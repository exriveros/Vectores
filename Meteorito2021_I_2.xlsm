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OneDrive\Documents\ECI\"/>
    </mc:Choice>
  </mc:AlternateContent>
  <bookViews>
    <workbookView xWindow="0" yWindow="0" windowWidth="28800" windowHeight="12330"/>
  </bookViews>
  <sheets>
    <sheet name="Hoja1" sheetId="1" r:id="rId1"/>
    <sheet name="Hoja1 (2)" sheetId="3" r:id="rId2"/>
  </sheets>
  <functionGroups builtInGroupCount="18"/>
  <definedNames>
    <definedName name="G" comment="Constante G" localSheetId="0">Hoja1!$I$6</definedName>
    <definedName name="G" comment="Constante G" localSheetId="1">'Hoja1 (2)'!$R$5</definedName>
    <definedName name="h" comment="Intervalo Tiempo" localSheetId="0">Hoja1!$C$6</definedName>
    <definedName name="h" localSheetId="1">'Hoja1 (2)'!$M$5</definedName>
    <definedName name="MasaK21" localSheetId="0">Hoja1!$F$6</definedName>
    <definedName name="MasaK21" localSheetId="1">'Hoja1 (2)'!$P$5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I9" i="1"/>
  <c r="Y8" i="3"/>
  <c r="C8" i="3" s="1"/>
  <c r="C9" i="1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X8" i="3"/>
  <c r="N8" i="3"/>
  <c r="O8" i="3"/>
  <c r="B8" i="3" s="1"/>
  <c r="L8" i="3"/>
  <c r="M5" i="3"/>
  <c r="Z8" i="3"/>
  <c r="P8" i="3"/>
  <c r="AA8" i="3"/>
  <c r="Q8" i="3"/>
  <c r="AB8" i="3" s="1"/>
  <c r="M9" i="3" l="1"/>
  <c r="M10" i="3" s="1"/>
  <c r="W9" i="3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20" i="3" s="1"/>
  <c r="W121" i="3" s="1"/>
  <c r="W122" i="3" s="1"/>
  <c r="W123" i="3" s="1"/>
  <c r="W124" i="3" s="1"/>
  <c r="W125" i="3" s="1"/>
  <c r="W126" i="3" s="1"/>
  <c r="W127" i="3" s="1"/>
  <c r="W128" i="3" s="1"/>
  <c r="W129" i="3" s="1"/>
  <c r="W130" i="3" s="1"/>
  <c r="W131" i="3" s="1"/>
  <c r="W132" i="3" s="1"/>
  <c r="W133" i="3" s="1"/>
  <c r="W134" i="3" s="1"/>
  <c r="W135" i="3" s="1"/>
  <c r="W136" i="3" s="1"/>
  <c r="W137" i="3" s="1"/>
  <c r="W138" i="3" s="1"/>
  <c r="W139" i="3" s="1"/>
  <c r="W140" i="3" s="1"/>
  <c r="W141" i="3" s="1"/>
  <c r="W142" i="3" s="1"/>
  <c r="W143" i="3" s="1"/>
  <c r="W144" i="3" s="1"/>
  <c r="W145" i="3" s="1"/>
  <c r="W146" i="3" s="1"/>
  <c r="W147" i="3" s="1"/>
  <c r="W148" i="3" s="1"/>
  <c r="W149" i="3" s="1"/>
  <c r="W150" i="3" s="1"/>
  <c r="W151" i="3" s="1"/>
  <c r="W152" i="3" s="1"/>
  <c r="W153" i="3" s="1"/>
  <c r="W154" i="3" s="1"/>
  <c r="W155" i="3" s="1"/>
  <c r="W156" i="3" s="1"/>
  <c r="W157" i="3" s="1"/>
  <c r="W158" i="3" s="1"/>
  <c r="W159" i="3" s="1"/>
  <c r="W160" i="3" s="1"/>
  <c r="W161" i="3" s="1"/>
  <c r="W162" i="3" s="1"/>
  <c r="W163" i="3" s="1"/>
  <c r="W164" i="3" s="1"/>
  <c r="W165" i="3" s="1"/>
  <c r="W166" i="3" s="1"/>
  <c r="W167" i="3" s="1"/>
  <c r="W168" i="3" s="1"/>
  <c r="W169" i="3" s="1"/>
  <c r="W170" i="3" s="1"/>
  <c r="W171" i="3" s="1"/>
  <c r="W172" i="3" s="1"/>
  <c r="W173" i="3" s="1"/>
  <c r="W174" i="3" s="1"/>
  <c r="W175" i="3" s="1"/>
  <c r="W176" i="3" s="1"/>
  <c r="W177" i="3" s="1"/>
  <c r="W178" i="3" s="1"/>
  <c r="W179" i="3" s="1"/>
  <c r="W180" i="3" s="1"/>
  <c r="W181" i="3" s="1"/>
  <c r="W182" i="3" s="1"/>
  <c r="W183" i="3" s="1"/>
  <c r="W184" i="3" s="1"/>
  <c r="W185" i="3" s="1"/>
  <c r="W186" i="3" s="1"/>
  <c r="W187" i="3" s="1"/>
  <c r="W188" i="3" s="1"/>
  <c r="W189" i="3" s="1"/>
  <c r="W190" i="3" s="1"/>
  <c r="W191" i="3" s="1"/>
  <c r="W192" i="3" s="1"/>
  <c r="W193" i="3" s="1"/>
  <c r="W194" i="3" s="1"/>
  <c r="W195" i="3" s="1"/>
  <c r="W196" i="3" s="1"/>
  <c r="W197" i="3" s="1"/>
  <c r="W198" i="3" s="1"/>
  <c r="W199" i="3" s="1"/>
  <c r="W200" i="3" s="1"/>
  <c r="W201" i="3" s="1"/>
  <c r="W202" i="3" s="1"/>
  <c r="W203" i="3" s="1"/>
  <c r="W204" i="3" s="1"/>
  <c r="W205" i="3" s="1"/>
  <c r="W206" i="3" s="1"/>
  <c r="W207" i="3" s="1"/>
  <c r="W208" i="3" s="1"/>
  <c r="W209" i="3" s="1"/>
  <c r="W210" i="3" s="1"/>
  <c r="W211" i="3" s="1"/>
  <c r="W212" i="3" s="1"/>
  <c r="W213" i="3" s="1"/>
  <c r="W214" i="3" s="1"/>
  <c r="W215" i="3" s="1"/>
  <c r="W216" i="3" s="1"/>
  <c r="W217" i="3" s="1"/>
  <c r="W218" i="3" s="1"/>
  <c r="W219" i="3" s="1"/>
  <c r="W220" i="3" s="1"/>
  <c r="W221" i="3" s="1"/>
  <c r="W222" i="3" s="1"/>
  <c r="W223" i="3" s="1"/>
  <c r="W224" i="3" s="1"/>
  <c r="W225" i="3" s="1"/>
  <c r="W226" i="3" s="1"/>
  <c r="W227" i="3" s="1"/>
  <c r="W228" i="3" s="1"/>
  <c r="W229" i="3" s="1"/>
  <c r="W230" i="3" s="1"/>
  <c r="W231" i="3" s="1"/>
  <c r="W232" i="3" s="1"/>
  <c r="W233" i="3" s="1"/>
  <c r="W234" i="3" s="1"/>
  <c r="W235" i="3" s="1"/>
  <c r="W236" i="3" s="1"/>
  <c r="W237" i="3" s="1"/>
  <c r="W238" i="3" s="1"/>
  <c r="W239" i="3" s="1"/>
  <c r="W240" i="3" s="1"/>
  <c r="W241" i="3" s="1"/>
  <c r="W242" i="3" s="1"/>
  <c r="W243" i="3" s="1"/>
  <c r="W244" i="3" s="1"/>
  <c r="W245" i="3" s="1"/>
  <c r="W246" i="3" s="1"/>
  <c r="W247" i="3" s="1"/>
  <c r="W248" i="3" s="1"/>
  <c r="W249" i="3" s="1"/>
  <c r="W250" i="3" s="1"/>
  <c r="W251" i="3" s="1"/>
  <c r="W252" i="3" s="1"/>
  <c r="W253" i="3" s="1"/>
  <c r="W254" i="3" s="1"/>
  <c r="W255" i="3" s="1"/>
  <c r="W256" i="3" s="1"/>
  <c r="W257" i="3" s="1"/>
  <c r="W258" i="3" s="1"/>
  <c r="W259" i="3" s="1"/>
  <c r="W260" i="3" s="1"/>
  <c r="W261" i="3" s="1"/>
  <c r="W262" i="3" s="1"/>
  <c r="W263" i="3" s="1"/>
  <c r="W264" i="3" s="1"/>
  <c r="W265" i="3" s="1"/>
  <c r="W266" i="3" s="1"/>
  <c r="W267" i="3" s="1"/>
  <c r="W268" i="3" s="1"/>
  <c r="W269" i="3" s="1"/>
  <c r="W270" i="3" s="1"/>
  <c r="W271" i="3" s="1"/>
  <c r="W272" i="3" s="1"/>
  <c r="W273" i="3" s="1"/>
  <c r="W274" i="3" s="1"/>
  <c r="W275" i="3" s="1"/>
  <c r="W276" i="3" s="1"/>
  <c r="W277" i="3" s="1"/>
  <c r="W278" i="3" s="1"/>
  <c r="W279" i="3" s="1"/>
  <c r="W280" i="3" s="1"/>
  <c r="W281" i="3" s="1"/>
  <c r="W282" i="3" s="1"/>
  <c r="W283" i="3" s="1"/>
  <c r="W284" i="3" s="1"/>
  <c r="W285" i="3" s="1"/>
  <c r="W286" i="3" s="1"/>
  <c r="W287" i="3" s="1"/>
  <c r="W288" i="3" s="1"/>
  <c r="W289" i="3" s="1"/>
  <c r="W290" i="3" s="1"/>
  <c r="W291" i="3" s="1"/>
  <c r="W292" i="3" s="1"/>
  <c r="W293" i="3" s="1"/>
  <c r="W294" i="3" s="1"/>
  <c r="W295" i="3" s="1"/>
  <c r="W296" i="3" s="1"/>
  <c r="W297" i="3" s="1"/>
  <c r="W298" i="3" s="1"/>
  <c r="W299" i="3" s="1"/>
  <c r="W300" i="3" s="1"/>
  <c r="W301" i="3" s="1"/>
  <c r="W302" i="3" s="1"/>
  <c r="W303" i="3" s="1"/>
  <c r="W304" i="3" s="1"/>
  <c r="W305" i="3" s="1"/>
  <c r="W306" i="3" s="1"/>
  <c r="W307" i="3" s="1"/>
  <c r="W308" i="3" s="1"/>
  <c r="W309" i="3" s="1"/>
  <c r="W310" i="3" s="1"/>
  <c r="W311" i="3" s="1"/>
  <c r="W312" i="3" s="1"/>
  <c r="W313" i="3" s="1"/>
  <c r="W314" i="3" s="1"/>
  <c r="W315" i="3" s="1"/>
  <c r="W316" i="3" s="1"/>
  <c r="W317" i="3" s="1"/>
  <c r="W318" i="3" s="1"/>
  <c r="W319" i="3" s="1"/>
  <c r="W320" i="3" s="1"/>
  <c r="W321" i="3" s="1"/>
  <c r="W322" i="3" s="1"/>
  <c r="W323" i="3" s="1"/>
  <c r="W324" i="3" s="1"/>
  <c r="W325" i="3" s="1"/>
  <c r="W326" i="3" s="1"/>
  <c r="W327" i="3" s="1"/>
  <c r="W328" i="3" s="1"/>
  <c r="W329" i="3" s="1"/>
  <c r="W330" i="3" s="1"/>
  <c r="W331" i="3" s="1"/>
  <c r="W332" i="3" s="1"/>
  <c r="W333" i="3" s="1"/>
  <c r="W334" i="3" s="1"/>
  <c r="W335" i="3" s="1"/>
  <c r="W336" i="3" s="1"/>
  <c r="W337" i="3" s="1"/>
  <c r="W338" i="3" s="1"/>
  <c r="W339" i="3" s="1"/>
  <c r="W340" i="3" s="1"/>
  <c r="W341" i="3" s="1"/>
  <c r="W342" i="3" s="1"/>
  <c r="W343" i="3" s="1"/>
  <c r="W344" i="3" s="1"/>
  <c r="W345" i="3" s="1"/>
  <c r="W346" i="3" s="1"/>
  <c r="W347" i="3" s="1"/>
  <c r="W348" i="3" s="1"/>
  <c r="W349" i="3" s="1"/>
  <c r="W350" i="3" s="1"/>
  <c r="W351" i="3" s="1"/>
  <c r="W352" i="3" s="1"/>
  <c r="W353" i="3" s="1"/>
  <c r="W354" i="3" s="1"/>
  <c r="W355" i="3" s="1"/>
  <c r="W356" i="3" s="1"/>
  <c r="W357" i="3" s="1"/>
  <c r="W358" i="3" s="1"/>
  <c r="W359" i="3" s="1"/>
  <c r="W360" i="3" s="1"/>
  <c r="W361" i="3" s="1"/>
  <c r="W362" i="3" s="1"/>
  <c r="W363" i="3" s="1"/>
  <c r="W364" i="3" s="1"/>
  <c r="W365" i="3" s="1"/>
  <c r="W366" i="3" s="1"/>
  <c r="W367" i="3" s="1"/>
  <c r="W368" i="3" s="1"/>
  <c r="W369" i="3" s="1"/>
  <c r="W370" i="3" s="1"/>
  <c r="W371" i="3" s="1"/>
  <c r="W372" i="3" s="1"/>
  <c r="W373" i="3" s="1"/>
  <c r="W374" i="3" s="1"/>
  <c r="W375" i="3" s="1"/>
  <c r="W376" i="3" s="1"/>
  <c r="W377" i="3" s="1"/>
  <c r="W378" i="3" s="1"/>
  <c r="W379" i="3" s="1"/>
  <c r="W380" i="3" s="1"/>
  <c r="W381" i="3" s="1"/>
  <c r="W382" i="3" s="1"/>
  <c r="W383" i="3" s="1"/>
  <c r="W384" i="3" s="1"/>
  <c r="W385" i="3" s="1"/>
  <c r="W386" i="3" s="1"/>
  <c r="W387" i="3" s="1"/>
  <c r="W388" i="3" s="1"/>
  <c r="W389" i="3" s="1"/>
  <c r="W390" i="3" s="1"/>
  <c r="W391" i="3" s="1"/>
  <c r="W392" i="3" s="1"/>
  <c r="W393" i="3" s="1"/>
  <c r="W394" i="3" s="1"/>
  <c r="W395" i="3" s="1"/>
  <c r="W396" i="3" s="1"/>
  <c r="W397" i="3" s="1"/>
  <c r="W398" i="3" s="1"/>
  <c r="W399" i="3" s="1"/>
  <c r="W400" i="3" s="1"/>
  <c r="W401" i="3" s="1"/>
  <c r="W402" i="3" s="1"/>
  <c r="W403" i="3" s="1"/>
  <c r="W404" i="3" s="1"/>
  <c r="W405" i="3" s="1"/>
  <c r="W406" i="3" s="1"/>
  <c r="W407" i="3" s="1"/>
  <c r="W408" i="3" s="1"/>
  <c r="W409" i="3" s="1"/>
  <c r="W410" i="3" s="1"/>
  <c r="W411" i="3" s="1"/>
  <c r="W412" i="3" s="1"/>
  <c r="W413" i="3" s="1"/>
  <c r="W414" i="3" s="1"/>
  <c r="W415" i="3" s="1"/>
  <c r="W416" i="3" s="1"/>
  <c r="W417" i="3" s="1"/>
  <c r="W418" i="3" s="1"/>
  <c r="W419" i="3" s="1"/>
  <c r="W420" i="3" s="1"/>
  <c r="W421" i="3" s="1"/>
  <c r="W422" i="3" s="1"/>
  <c r="W423" i="3" s="1"/>
  <c r="W424" i="3" s="1"/>
  <c r="W425" i="3" s="1"/>
  <c r="W426" i="3" s="1"/>
  <c r="W427" i="3" s="1"/>
  <c r="W428" i="3" s="1"/>
  <c r="W429" i="3" s="1"/>
  <c r="W430" i="3" s="1"/>
  <c r="W431" i="3" s="1"/>
  <c r="W432" i="3" s="1"/>
  <c r="W433" i="3" s="1"/>
  <c r="W434" i="3" s="1"/>
  <c r="W435" i="3" s="1"/>
  <c r="W436" i="3" s="1"/>
  <c r="W437" i="3" s="1"/>
  <c r="W438" i="3" s="1"/>
  <c r="W439" i="3" s="1"/>
  <c r="W440" i="3" s="1"/>
  <c r="W441" i="3" s="1"/>
  <c r="W442" i="3" s="1"/>
  <c r="W443" i="3" s="1"/>
  <c r="W444" i="3" s="1"/>
  <c r="W445" i="3" s="1"/>
  <c r="W446" i="3" s="1"/>
  <c r="W447" i="3" s="1"/>
  <c r="W448" i="3" s="1"/>
  <c r="W449" i="3" s="1"/>
  <c r="W450" i="3" s="1"/>
  <c r="W451" i="3" s="1"/>
  <c r="W452" i="3" s="1"/>
  <c r="W453" i="3" s="1"/>
  <c r="W454" i="3" s="1"/>
  <c r="W455" i="3" s="1"/>
  <c r="W456" i="3" s="1"/>
  <c r="W457" i="3" s="1"/>
  <c r="W458" i="3" s="1"/>
  <c r="W459" i="3" s="1"/>
  <c r="W460" i="3" s="1"/>
  <c r="W461" i="3" s="1"/>
  <c r="W462" i="3" s="1"/>
  <c r="W463" i="3" s="1"/>
  <c r="W464" i="3" s="1"/>
  <c r="W465" i="3" s="1"/>
  <c r="W466" i="3" s="1"/>
  <c r="W467" i="3" s="1"/>
  <c r="W468" i="3" s="1"/>
  <c r="W469" i="3" s="1"/>
  <c r="W470" i="3" s="1"/>
  <c r="W471" i="3" s="1"/>
  <c r="W472" i="3" s="1"/>
  <c r="W473" i="3" s="1"/>
  <c r="W474" i="3" s="1"/>
  <c r="W475" i="3" s="1"/>
  <c r="W476" i="3" s="1"/>
  <c r="W477" i="3" s="1"/>
  <c r="W478" i="3" s="1"/>
  <c r="W479" i="3" s="1"/>
  <c r="W480" i="3" s="1"/>
  <c r="W481" i="3" s="1"/>
  <c r="W482" i="3" s="1"/>
  <c r="W483" i="3" s="1"/>
  <c r="W484" i="3" s="1"/>
  <c r="W485" i="3" s="1"/>
  <c r="W486" i="3" s="1"/>
  <c r="W487" i="3" s="1"/>
  <c r="W488" i="3" s="1"/>
  <c r="W489" i="3" s="1"/>
  <c r="W490" i="3" s="1"/>
  <c r="W491" i="3" s="1"/>
  <c r="W492" i="3" s="1"/>
  <c r="W493" i="3" s="1"/>
  <c r="W494" i="3" s="1"/>
  <c r="W495" i="3" s="1"/>
  <c r="W496" i="3" s="1"/>
  <c r="W497" i="3" s="1"/>
  <c r="W498" i="3" s="1"/>
  <c r="W499" i="3" s="1"/>
  <c r="W500" i="3" s="1"/>
  <c r="W501" i="3" s="1"/>
  <c r="W502" i="3" s="1"/>
  <c r="W503" i="3" s="1"/>
  <c r="W504" i="3" s="1"/>
  <c r="W505" i="3" s="1"/>
  <c r="W506" i="3" s="1"/>
  <c r="W507" i="3" s="1"/>
  <c r="W508" i="3" s="1"/>
  <c r="W509" i="3" s="1"/>
  <c r="W510" i="3" s="1"/>
  <c r="W511" i="3" s="1"/>
  <c r="W512" i="3" s="1"/>
  <c r="W513" i="3" s="1"/>
  <c r="W514" i="3" s="1"/>
  <c r="W515" i="3" s="1"/>
  <c r="W516" i="3" s="1"/>
  <c r="W517" i="3" s="1"/>
  <c r="W518" i="3" s="1"/>
  <c r="W519" i="3" s="1"/>
  <c r="W520" i="3" s="1"/>
  <c r="W521" i="3" s="1"/>
  <c r="W522" i="3" s="1"/>
  <c r="W523" i="3" s="1"/>
  <c r="W524" i="3" s="1"/>
  <c r="W525" i="3" s="1"/>
  <c r="W526" i="3" s="1"/>
  <c r="W527" i="3" s="1"/>
  <c r="W528" i="3" s="1"/>
  <c r="W529" i="3" s="1"/>
  <c r="W530" i="3" s="1"/>
  <c r="W531" i="3" s="1"/>
  <c r="W532" i="3" s="1"/>
  <c r="W533" i="3" s="1"/>
  <c r="W534" i="3" s="1"/>
  <c r="W535" i="3" s="1"/>
  <c r="W536" i="3" s="1"/>
  <c r="W537" i="3" s="1"/>
  <c r="W538" i="3" s="1"/>
  <c r="W539" i="3" s="1"/>
  <c r="W540" i="3" s="1"/>
  <c r="W541" i="3" s="1"/>
  <c r="W542" i="3" s="1"/>
  <c r="W543" i="3" s="1"/>
  <c r="W544" i="3" s="1"/>
  <c r="W545" i="3" s="1"/>
  <c r="W546" i="3" s="1"/>
  <c r="W547" i="3" s="1"/>
  <c r="W548" i="3" s="1"/>
  <c r="W549" i="3" s="1"/>
  <c r="W550" i="3" s="1"/>
  <c r="W551" i="3" s="1"/>
  <c r="W552" i="3" s="1"/>
  <c r="W553" i="3" s="1"/>
  <c r="W554" i="3" s="1"/>
  <c r="W555" i="3" s="1"/>
  <c r="W556" i="3" s="1"/>
  <c r="W557" i="3" s="1"/>
  <c r="W558" i="3" s="1"/>
  <c r="W559" i="3" s="1"/>
  <c r="W560" i="3" s="1"/>
  <c r="W561" i="3" s="1"/>
  <c r="W562" i="3" s="1"/>
  <c r="W563" i="3" s="1"/>
  <c r="W564" i="3" s="1"/>
  <c r="W565" i="3" s="1"/>
  <c r="W566" i="3" s="1"/>
  <c r="W567" i="3" s="1"/>
  <c r="W568" i="3" s="1"/>
  <c r="W569" i="3" s="1"/>
  <c r="W570" i="3" s="1"/>
  <c r="W571" i="3" s="1"/>
  <c r="W572" i="3" s="1"/>
  <c r="W573" i="3" s="1"/>
  <c r="W574" i="3" s="1"/>
  <c r="W575" i="3" s="1"/>
  <c r="W576" i="3" s="1"/>
  <c r="W577" i="3" s="1"/>
  <c r="W578" i="3" s="1"/>
  <c r="W579" i="3" s="1"/>
  <c r="W580" i="3" s="1"/>
  <c r="W581" i="3" s="1"/>
  <c r="W582" i="3" s="1"/>
  <c r="W583" i="3" s="1"/>
  <c r="W584" i="3" s="1"/>
  <c r="W585" i="3" s="1"/>
  <c r="W586" i="3" s="1"/>
  <c r="W587" i="3" s="1"/>
  <c r="W588" i="3" s="1"/>
  <c r="W589" i="3" s="1"/>
  <c r="W590" i="3" s="1"/>
  <c r="W591" i="3" s="1"/>
  <c r="W592" i="3" s="1"/>
  <c r="W593" i="3" s="1"/>
  <c r="W594" i="3" s="1"/>
  <c r="W595" i="3" s="1"/>
  <c r="W596" i="3" s="1"/>
  <c r="W597" i="3" s="1"/>
  <c r="W598" i="3" s="1"/>
  <c r="W599" i="3" s="1"/>
  <c r="W600" i="3" s="1"/>
  <c r="W601" i="3" s="1"/>
  <c r="W602" i="3" s="1"/>
  <c r="W603" i="3" s="1"/>
  <c r="W604" i="3" s="1"/>
  <c r="W605" i="3" s="1"/>
  <c r="W606" i="3" s="1"/>
  <c r="W607" i="3" s="1"/>
  <c r="W608" i="3" s="1"/>
  <c r="W609" i="3" s="1"/>
  <c r="W610" i="3" s="1"/>
  <c r="W611" i="3" s="1"/>
  <c r="W612" i="3" s="1"/>
  <c r="W613" i="3" s="1"/>
  <c r="W614" i="3" s="1"/>
  <c r="W615" i="3" s="1"/>
  <c r="W616" i="3" s="1"/>
  <c r="W617" i="3" s="1"/>
  <c r="W618" i="3" s="1"/>
  <c r="W619" i="3" s="1"/>
  <c r="W620" i="3" s="1"/>
  <c r="W621" i="3" s="1"/>
  <c r="W622" i="3" s="1"/>
  <c r="W623" i="3" s="1"/>
  <c r="W624" i="3" s="1"/>
  <c r="W625" i="3" s="1"/>
  <c r="W626" i="3" s="1"/>
  <c r="W627" i="3" s="1"/>
  <c r="W628" i="3" s="1"/>
  <c r="W629" i="3" s="1"/>
  <c r="W630" i="3" s="1"/>
  <c r="W631" i="3" s="1"/>
  <c r="W632" i="3" s="1"/>
  <c r="W633" i="3" s="1"/>
  <c r="W634" i="3" s="1"/>
  <c r="W635" i="3" s="1"/>
  <c r="W636" i="3" s="1"/>
  <c r="W637" i="3" s="1"/>
  <c r="W638" i="3" s="1"/>
  <c r="W639" i="3" s="1"/>
  <c r="W640" i="3" s="1"/>
  <c r="W641" i="3" s="1"/>
  <c r="W642" i="3" s="1"/>
  <c r="W643" i="3" s="1"/>
  <c r="W644" i="3" s="1"/>
  <c r="W645" i="3" s="1"/>
  <c r="W646" i="3" s="1"/>
  <c r="W647" i="3" s="1"/>
  <c r="W648" i="3" s="1"/>
  <c r="W649" i="3" s="1"/>
  <c r="W650" i="3" s="1"/>
  <c r="W651" i="3" s="1"/>
  <c r="W652" i="3" s="1"/>
  <c r="W653" i="3" s="1"/>
  <c r="W654" i="3" s="1"/>
  <c r="W655" i="3" s="1"/>
  <c r="W656" i="3" s="1"/>
  <c r="W657" i="3" s="1"/>
  <c r="W658" i="3" s="1"/>
  <c r="W659" i="3" s="1"/>
  <c r="W660" i="3" s="1"/>
  <c r="W661" i="3" s="1"/>
  <c r="W662" i="3" s="1"/>
  <c r="W663" i="3" s="1"/>
  <c r="W664" i="3" s="1"/>
  <c r="W665" i="3" s="1"/>
  <c r="W666" i="3" s="1"/>
  <c r="W667" i="3" s="1"/>
  <c r="W668" i="3" s="1"/>
  <c r="W669" i="3" s="1"/>
  <c r="W670" i="3" s="1"/>
  <c r="W671" i="3" s="1"/>
  <c r="W672" i="3" s="1"/>
  <c r="W673" i="3" s="1"/>
  <c r="W674" i="3" s="1"/>
  <c r="W675" i="3" s="1"/>
  <c r="W676" i="3" s="1"/>
  <c r="W677" i="3" s="1"/>
  <c r="W678" i="3" s="1"/>
  <c r="W679" i="3" s="1"/>
  <c r="W680" i="3" s="1"/>
  <c r="W681" i="3" s="1"/>
  <c r="W682" i="3" s="1"/>
  <c r="W683" i="3" s="1"/>
  <c r="W684" i="3" s="1"/>
  <c r="W685" i="3" s="1"/>
  <c r="W686" i="3" s="1"/>
  <c r="W687" i="3" s="1"/>
  <c r="W688" i="3" s="1"/>
  <c r="W689" i="3" s="1"/>
  <c r="W690" i="3" s="1"/>
  <c r="W691" i="3" s="1"/>
  <c r="W692" i="3" s="1"/>
  <c r="W693" i="3" s="1"/>
  <c r="W694" i="3" s="1"/>
  <c r="W695" i="3" s="1"/>
  <c r="W696" i="3" s="1"/>
  <c r="W697" i="3" s="1"/>
  <c r="W698" i="3" s="1"/>
  <c r="W699" i="3" s="1"/>
  <c r="W700" i="3" s="1"/>
  <c r="W701" i="3" s="1"/>
  <c r="W702" i="3" s="1"/>
  <c r="W703" i="3" s="1"/>
  <c r="W704" i="3" s="1"/>
  <c r="W705" i="3" s="1"/>
  <c r="W706" i="3" s="1"/>
  <c r="W707" i="3" s="1"/>
  <c r="W708" i="3" s="1"/>
  <c r="W709" i="3" s="1"/>
  <c r="W710" i="3" s="1"/>
  <c r="W711" i="3" s="1"/>
  <c r="W712" i="3" s="1"/>
  <c r="W713" i="3" s="1"/>
  <c r="W714" i="3" s="1"/>
  <c r="W715" i="3" s="1"/>
  <c r="W716" i="3" s="1"/>
  <c r="W717" i="3" s="1"/>
  <c r="W718" i="3" s="1"/>
  <c r="W719" i="3" s="1"/>
  <c r="W720" i="3" s="1"/>
  <c r="W721" i="3" s="1"/>
  <c r="W722" i="3" s="1"/>
  <c r="W723" i="3" s="1"/>
  <c r="W724" i="3" s="1"/>
  <c r="W725" i="3" s="1"/>
  <c r="W726" i="3" s="1"/>
  <c r="W727" i="3" s="1"/>
  <c r="W728" i="3" s="1"/>
  <c r="R8" i="3"/>
  <c r="S8" i="3"/>
  <c r="AC8" i="3"/>
  <c r="L9" i="3" l="1"/>
  <c r="L10" i="3"/>
  <c r="M11" i="3"/>
  <c r="M12" i="3" l="1"/>
  <c r="L11" i="3"/>
  <c r="D10" i="1"/>
  <c r="C10" i="1" s="1"/>
  <c r="E10" i="1" a="1"/>
  <c r="T8" i="3" l="1"/>
  <c r="AD8" i="3"/>
  <c r="L12" i="3"/>
  <c r="M13" i="3"/>
  <c r="D11" i="1"/>
  <c r="C11" i="1" s="1"/>
  <c r="E10" i="1"/>
  <c r="F10" i="1"/>
  <c r="G10" i="1"/>
  <c r="H10" i="1"/>
  <c r="E11" i="1" a="1"/>
  <c r="L13" i="3" l="1"/>
  <c r="M14" i="3"/>
  <c r="N9" i="3"/>
  <c r="U8" i="3"/>
  <c r="O9" i="3" s="1"/>
  <c r="X9" i="3"/>
  <c r="AE8" i="3"/>
  <c r="Y9" i="3" s="1"/>
  <c r="D12" i="1"/>
  <c r="C12" i="1" s="1"/>
  <c r="F11" i="1"/>
  <c r="G11" i="1"/>
  <c r="E11" i="1"/>
  <c r="H11" i="1"/>
  <c r="I10" i="1"/>
  <c r="Z9" i="3"/>
  <c r="P9" i="3"/>
  <c r="E12" i="1" a="1"/>
  <c r="AA9" i="3"/>
  <c r="B9" i="3" l="1"/>
  <c r="C9" i="3"/>
  <c r="M15" i="3"/>
  <c r="L14" i="3"/>
  <c r="D13" i="1"/>
  <c r="C13" i="1" s="1"/>
  <c r="G12" i="1"/>
  <c r="E12" i="1"/>
  <c r="H12" i="1"/>
  <c r="F12" i="1"/>
  <c r="I11" i="1"/>
  <c r="E13" i="1" a="1"/>
  <c r="L15" i="3" l="1"/>
  <c r="M16" i="3"/>
  <c r="D14" i="1"/>
  <c r="C14" i="1" s="1"/>
  <c r="I12" i="1"/>
  <c r="H13" i="1"/>
  <c r="F13" i="1"/>
  <c r="G13" i="1"/>
  <c r="E13" i="1"/>
  <c r="Q9" i="3"/>
  <c r="E14" i="1" a="1"/>
  <c r="L16" i="3" l="1"/>
  <c r="M17" i="3"/>
  <c r="D15" i="1"/>
  <c r="C15" i="1" s="1"/>
  <c r="G14" i="1"/>
  <c r="F14" i="1"/>
  <c r="E14" i="1"/>
  <c r="H14" i="1"/>
  <c r="I13" i="1"/>
  <c r="AB9" i="3"/>
  <c r="R9" i="3"/>
  <c r="E15" i="1" a="1"/>
  <c r="S9" i="3"/>
  <c r="L17" i="3" l="1"/>
  <c r="M18" i="3"/>
  <c r="D16" i="1"/>
  <c r="C16" i="1" s="1"/>
  <c r="E15" i="1"/>
  <c r="H15" i="1"/>
  <c r="G15" i="1"/>
  <c r="I15" i="1" s="1"/>
  <c r="F15" i="1"/>
  <c r="I14" i="1"/>
  <c r="AC9" i="3"/>
  <c r="E16" i="1" a="1"/>
  <c r="AD9" i="3" l="1"/>
  <c r="AE9" i="3" s="1"/>
  <c r="T9" i="3"/>
  <c r="U9" i="3" s="1"/>
  <c r="L18" i="3"/>
  <c r="M19" i="3"/>
  <c r="D17" i="1"/>
  <c r="C17" i="1" s="1"/>
  <c r="H16" i="1"/>
  <c r="G16" i="1"/>
  <c r="F16" i="1"/>
  <c r="E16" i="1"/>
  <c r="E17" i="1" a="1"/>
  <c r="X10" i="3" l="1"/>
  <c r="Y10" i="3"/>
  <c r="I16" i="1"/>
  <c r="M20" i="3"/>
  <c r="L19" i="3"/>
  <c r="N10" i="3"/>
  <c r="O10" i="3"/>
  <c r="D18" i="1"/>
  <c r="C18" i="1" s="1"/>
  <c r="G17" i="1"/>
  <c r="F17" i="1"/>
  <c r="E17" i="1"/>
  <c r="H17" i="1"/>
  <c r="P10" i="3"/>
  <c r="Z10" i="3"/>
  <c r="E18" i="1" a="1"/>
  <c r="C10" i="3" l="1"/>
  <c r="B10" i="3"/>
  <c r="L20" i="3"/>
  <c r="M21" i="3"/>
  <c r="D19" i="1"/>
  <c r="C19" i="1" s="1"/>
  <c r="H18" i="1"/>
  <c r="E18" i="1"/>
  <c r="G18" i="1"/>
  <c r="F18" i="1"/>
  <c r="I17" i="1"/>
  <c r="AA10" i="3"/>
  <c r="E19" i="1" a="1"/>
  <c r="M22" i="3" l="1"/>
  <c r="L21" i="3"/>
  <c r="D20" i="1"/>
  <c r="C20" i="1" s="1"/>
  <c r="E19" i="1"/>
  <c r="H19" i="1"/>
  <c r="G19" i="1"/>
  <c r="F19" i="1"/>
  <c r="I18" i="1"/>
  <c r="Q10" i="3"/>
  <c r="E20" i="1" a="1"/>
  <c r="I19" i="1" l="1"/>
  <c r="M23" i="3"/>
  <c r="L22" i="3"/>
  <c r="D21" i="1"/>
  <c r="C21" i="1" s="1"/>
  <c r="G20" i="1"/>
  <c r="E20" i="1"/>
  <c r="H20" i="1"/>
  <c r="F20" i="1"/>
  <c r="AB10" i="3"/>
  <c r="R10" i="3"/>
  <c r="E21" i="1" a="1"/>
  <c r="L23" i="3" l="1"/>
  <c r="M24" i="3"/>
  <c r="D22" i="1"/>
  <c r="C22" i="1" s="1"/>
  <c r="E21" i="1"/>
  <c r="H21" i="1"/>
  <c r="G21" i="1"/>
  <c r="F21" i="1"/>
  <c r="I20" i="1"/>
  <c r="AC10" i="3"/>
  <c r="S10" i="3"/>
  <c r="E22" i="1" a="1"/>
  <c r="AD10" i="3" l="1"/>
  <c r="AE10" i="3" s="1"/>
  <c r="T10" i="3"/>
  <c r="U10" i="3" s="1"/>
  <c r="I21" i="1"/>
  <c r="L24" i="3"/>
  <c r="M25" i="3"/>
  <c r="D23" i="1"/>
  <c r="C23" i="1" s="1"/>
  <c r="H22" i="1"/>
  <c r="G22" i="1"/>
  <c r="F22" i="1"/>
  <c r="E22" i="1"/>
  <c r="E23" i="1" a="1"/>
  <c r="I22" i="1" l="1"/>
  <c r="L25" i="3"/>
  <c r="M26" i="3"/>
  <c r="N11" i="3"/>
  <c r="O11" i="3"/>
  <c r="X11" i="3"/>
  <c r="Y11" i="3"/>
  <c r="D24" i="1"/>
  <c r="C24" i="1" s="1"/>
  <c r="E23" i="1"/>
  <c r="H23" i="1"/>
  <c r="G23" i="1"/>
  <c r="F23" i="1"/>
  <c r="P11" i="3"/>
  <c r="Z11" i="3"/>
  <c r="E24" i="1" a="1"/>
  <c r="C11" i="3" l="1"/>
  <c r="B11" i="3"/>
  <c r="L26" i="3"/>
  <c r="M27" i="3"/>
  <c r="D25" i="1"/>
  <c r="C25" i="1" s="1"/>
  <c r="I23" i="1"/>
  <c r="E24" i="1"/>
  <c r="H24" i="1"/>
  <c r="G24" i="1"/>
  <c r="F24" i="1"/>
  <c r="AA11" i="3"/>
  <c r="E25" i="1" a="1"/>
  <c r="M28" i="3" l="1"/>
  <c r="L27" i="3"/>
  <c r="I24" i="1"/>
  <c r="D26" i="1"/>
  <c r="C26" i="1" s="1"/>
  <c r="F25" i="1"/>
  <c r="G25" i="1"/>
  <c r="E25" i="1"/>
  <c r="H25" i="1"/>
  <c r="Q11" i="3"/>
  <c r="E26" i="1" a="1"/>
  <c r="L28" i="3" l="1"/>
  <c r="M29" i="3"/>
  <c r="I25" i="1"/>
  <c r="D27" i="1"/>
  <c r="C27" i="1" s="1"/>
  <c r="E26" i="1"/>
  <c r="H26" i="1"/>
  <c r="G26" i="1"/>
  <c r="F26" i="1"/>
  <c r="AB11" i="3"/>
  <c r="R11" i="3"/>
  <c r="E27" i="1" a="1"/>
  <c r="M30" i="3" l="1"/>
  <c r="L29" i="3"/>
  <c r="D28" i="1"/>
  <c r="C28" i="1" s="1"/>
  <c r="I26" i="1"/>
  <c r="E27" i="1"/>
  <c r="F27" i="1"/>
  <c r="G27" i="1"/>
  <c r="H27" i="1"/>
  <c r="AC11" i="3"/>
  <c r="S11" i="3"/>
  <c r="E28" i="1" a="1"/>
  <c r="AD11" i="3" l="1"/>
  <c r="AE11" i="3" s="1"/>
  <c r="T11" i="3"/>
  <c r="U11" i="3" s="1"/>
  <c r="M31" i="3"/>
  <c r="L30" i="3"/>
  <c r="D29" i="1"/>
  <c r="C29" i="1" s="1"/>
  <c r="F28" i="1"/>
  <c r="E28" i="1"/>
  <c r="H28" i="1"/>
  <c r="G28" i="1"/>
  <c r="I27" i="1"/>
  <c r="E29" i="1" a="1"/>
  <c r="L31" i="3" l="1"/>
  <c r="M32" i="3"/>
  <c r="X12" i="3"/>
  <c r="Y12" i="3"/>
  <c r="I28" i="1"/>
  <c r="N12" i="3"/>
  <c r="O12" i="3"/>
  <c r="D30" i="1"/>
  <c r="C30" i="1" s="1"/>
  <c r="H29" i="1"/>
  <c r="G29" i="1"/>
  <c r="F29" i="1"/>
  <c r="E29" i="1"/>
  <c r="P12" i="3"/>
  <c r="Z12" i="3"/>
  <c r="E30" i="1" a="1"/>
  <c r="C12" i="3" l="1"/>
  <c r="B12" i="3"/>
  <c r="L32" i="3"/>
  <c r="M33" i="3"/>
  <c r="D31" i="1"/>
  <c r="C31" i="1" s="1"/>
  <c r="H30" i="1"/>
  <c r="G30" i="1"/>
  <c r="F30" i="1"/>
  <c r="E30" i="1"/>
  <c r="I29" i="1"/>
  <c r="AA12" i="3"/>
  <c r="E31" i="1" a="1"/>
  <c r="I30" i="1" l="1"/>
  <c r="L33" i="3"/>
  <c r="M34" i="3"/>
  <c r="D32" i="1"/>
  <c r="C32" i="1" s="1"/>
  <c r="H31" i="1"/>
  <c r="E31" i="1"/>
  <c r="G31" i="1"/>
  <c r="F31" i="1"/>
  <c r="Q12" i="3"/>
  <c r="E32" i="1" a="1"/>
  <c r="I31" i="1" l="1"/>
  <c r="L34" i="3"/>
  <c r="M35" i="3"/>
  <c r="D33" i="1"/>
  <c r="C33" i="1" s="1"/>
  <c r="H32" i="1"/>
  <c r="E32" i="1"/>
  <c r="G32" i="1"/>
  <c r="F32" i="1"/>
  <c r="AB12" i="3"/>
  <c r="R12" i="3"/>
  <c r="E33" i="1" a="1"/>
  <c r="I32" i="1" l="1"/>
  <c r="M36" i="3"/>
  <c r="L35" i="3"/>
  <c r="D34" i="1"/>
  <c r="C34" i="1" s="1"/>
  <c r="E33" i="1"/>
  <c r="G33" i="1"/>
  <c r="H33" i="1"/>
  <c r="F33" i="1"/>
  <c r="AC12" i="3"/>
  <c r="S12" i="3"/>
  <c r="E34" i="1" a="1"/>
  <c r="AD12" i="3" l="1"/>
  <c r="AE12" i="3" s="1"/>
  <c r="T12" i="3"/>
  <c r="U12" i="3" s="1"/>
  <c r="L36" i="3"/>
  <c r="M37" i="3"/>
  <c r="D35" i="1"/>
  <c r="C35" i="1" s="1"/>
  <c r="H34" i="1"/>
  <c r="F34" i="1"/>
  <c r="E34" i="1"/>
  <c r="G34" i="1"/>
  <c r="I33" i="1"/>
  <c r="E35" i="1" a="1"/>
  <c r="N13" i="3" l="1"/>
  <c r="O13" i="3"/>
  <c r="M38" i="3"/>
  <c r="L37" i="3"/>
  <c r="X13" i="3"/>
  <c r="Y13" i="3"/>
  <c r="I34" i="1"/>
  <c r="D36" i="1"/>
  <c r="C36" i="1" s="1"/>
  <c r="H35" i="1"/>
  <c r="G35" i="1"/>
  <c r="F35" i="1"/>
  <c r="E35" i="1"/>
  <c r="Z13" i="3"/>
  <c r="P13" i="3"/>
  <c r="E36" i="1" a="1"/>
  <c r="C13" i="3" l="1"/>
  <c r="B13" i="3"/>
  <c r="M39" i="3"/>
  <c r="L38" i="3"/>
  <c r="D37" i="1"/>
  <c r="C37" i="1" s="1"/>
  <c r="H36" i="1"/>
  <c r="G36" i="1"/>
  <c r="F36" i="1"/>
  <c r="E36" i="1"/>
  <c r="I35" i="1"/>
  <c r="AA13" i="3"/>
  <c r="E37" i="1" a="1"/>
  <c r="L39" i="3" l="1"/>
  <c r="M40" i="3"/>
  <c r="I36" i="1"/>
  <c r="D38" i="1"/>
  <c r="C38" i="1" s="1"/>
  <c r="G37" i="1"/>
  <c r="E37" i="1"/>
  <c r="H37" i="1"/>
  <c r="F37" i="1"/>
  <c r="Q13" i="3"/>
  <c r="E38" i="1" a="1"/>
  <c r="L40" i="3" l="1"/>
  <c r="M41" i="3"/>
  <c r="D39" i="1"/>
  <c r="C39" i="1" s="1"/>
  <c r="G38" i="1"/>
  <c r="E38" i="1"/>
  <c r="F38" i="1"/>
  <c r="H38" i="1"/>
  <c r="I37" i="1"/>
  <c r="AB13" i="3"/>
  <c r="R13" i="3"/>
  <c r="E39" i="1" a="1"/>
  <c r="L41" i="3" l="1"/>
  <c r="M42" i="3"/>
  <c r="D40" i="1"/>
  <c r="C40" i="1" s="1"/>
  <c r="F39" i="1"/>
  <c r="E39" i="1"/>
  <c r="H39" i="1"/>
  <c r="G39" i="1"/>
  <c r="I38" i="1"/>
  <c r="AC13" i="3"/>
  <c r="S13" i="3"/>
  <c r="E40" i="1" a="1"/>
  <c r="AD13" i="3" l="1"/>
  <c r="AE13" i="3" s="1"/>
  <c r="T13" i="3"/>
  <c r="U13" i="3" s="1"/>
  <c r="L42" i="3"/>
  <c r="M43" i="3"/>
  <c r="I39" i="1"/>
  <c r="D41" i="1"/>
  <c r="C41" i="1" s="1"/>
  <c r="H40" i="1"/>
  <c r="F40" i="1"/>
  <c r="E40" i="1"/>
  <c r="G40" i="1"/>
  <c r="E41" i="1" a="1"/>
  <c r="M44" i="3" l="1"/>
  <c r="L43" i="3"/>
  <c r="N14" i="3"/>
  <c r="O14" i="3"/>
  <c r="X14" i="3"/>
  <c r="Y14" i="3"/>
  <c r="D42" i="1"/>
  <c r="C42" i="1" s="1"/>
  <c r="I40" i="1"/>
  <c r="E41" i="1"/>
  <c r="H41" i="1"/>
  <c r="G41" i="1"/>
  <c r="F41" i="1"/>
  <c r="P14" i="3"/>
  <c r="Z14" i="3"/>
  <c r="E42" i="1" a="1"/>
  <c r="C14" i="3" l="1"/>
  <c r="B14" i="3"/>
  <c r="I41" i="1"/>
  <c r="L44" i="3"/>
  <c r="M45" i="3"/>
  <c r="D43" i="1"/>
  <c r="C43" i="1" s="1"/>
  <c r="H42" i="1"/>
  <c r="G42" i="1"/>
  <c r="F42" i="1"/>
  <c r="E42" i="1"/>
  <c r="AA14" i="3"/>
  <c r="E43" i="1" a="1"/>
  <c r="I42" i="1" l="1"/>
  <c r="M46" i="3"/>
  <c r="L45" i="3"/>
  <c r="D44" i="1"/>
  <c r="C44" i="1" s="1"/>
  <c r="F43" i="1"/>
  <c r="H43" i="1"/>
  <c r="G43" i="1"/>
  <c r="E43" i="1"/>
  <c r="Q14" i="3"/>
  <c r="E44" i="1" a="1"/>
  <c r="I43" i="1" l="1"/>
  <c r="M47" i="3"/>
  <c r="L46" i="3"/>
  <c r="D45" i="1"/>
  <c r="C45" i="1" s="1"/>
  <c r="G44" i="1"/>
  <c r="F44" i="1"/>
  <c r="H44" i="1"/>
  <c r="E44" i="1"/>
  <c r="AB14" i="3"/>
  <c r="R14" i="3"/>
  <c r="E45" i="1" a="1"/>
  <c r="L47" i="3" l="1"/>
  <c r="M48" i="3"/>
  <c r="D46" i="1"/>
  <c r="C46" i="1" s="1"/>
  <c r="E45" i="1"/>
  <c r="G45" i="1"/>
  <c r="F45" i="1"/>
  <c r="H45" i="1"/>
  <c r="I44" i="1"/>
  <c r="AC14" i="3"/>
  <c r="S14" i="3"/>
  <c r="E46" i="1" a="1"/>
  <c r="AD14" i="3" l="1"/>
  <c r="AE14" i="3" s="1"/>
  <c r="T14" i="3"/>
  <c r="U14" i="3" s="1"/>
  <c r="L48" i="3"/>
  <c r="M49" i="3"/>
  <c r="D47" i="1"/>
  <c r="C47" i="1" s="1"/>
  <c r="H46" i="1"/>
  <c r="G46" i="1"/>
  <c r="F46" i="1"/>
  <c r="E46" i="1"/>
  <c r="I45" i="1"/>
  <c r="E47" i="1" a="1"/>
  <c r="I46" i="1" l="1"/>
  <c r="L49" i="3"/>
  <c r="M50" i="3"/>
  <c r="N15" i="3"/>
  <c r="O15" i="3"/>
  <c r="X15" i="3"/>
  <c r="Y15" i="3"/>
  <c r="D48" i="1"/>
  <c r="C48" i="1" s="1"/>
  <c r="H47" i="1"/>
  <c r="G47" i="1"/>
  <c r="F47" i="1"/>
  <c r="E47" i="1"/>
  <c r="Z15" i="3"/>
  <c r="P15" i="3"/>
  <c r="E48" i="1" a="1"/>
  <c r="C15" i="3" l="1"/>
  <c r="B15" i="3"/>
  <c r="I47" i="1"/>
  <c r="L50" i="3"/>
  <c r="M51" i="3"/>
  <c r="D49" i="1"/>
  <c r="C49" i="1" s="1"/>
  <c r="H48" i="1"/>
  <c r="G48" i="1"/>
  <c r="F48" i="1"/>
  <c r="E48" i="1"/>
  <c r="AA15" i="3"/>
  <c r="E49" i="1" a="1"/>
  <c r="M52" i="3" l="1"/>
  <c r="L51" i="3"/>
  <c r="I48" i="1"/>
  <c r="D50" i="1"/>
  <c r="C50" i="1" s="1"/>
  <c r="F49" i="1"/>
  <c r="E49" i="1"/>
  <c r="H49" i="1"/>
  <c r="G49" i="1"/>
  <c r="Q15" i="3"/>
  <c r="E50" i="1" a="1"/>
  <c r="L52" i="3" l="1"/>
  <c r="M53" i="3"/>
  <c r="I49" i="1"/>
  <c r="D51" i="1"/>
  <c r="C51" i="1" s="1"/>
  <c r="H50" i="1"/>
  <c r="G50" i="1"/>
  <c r="F50" i="1"/>
  <c r="E50" i="1"/>
  <c r="AB15" i="3"/>
  <c r="R15" i="3"/>
  <c r="E51" i="1" a="1"/>
  <c r="I50" i="1" l="1"/>
  <c r="M54" i="3"/>
  <c r="L53" i="3"/>
  <c r="D52" i="1"/>
  <c r="C52" i="1" s="1"/>
  <c r="E51" i="1"/>
  <c r="H51" i="1"/>
  <c r="G51" i="1"/>
  <c r="F51" i="1"/>
  <c r="AC15" i="3"/>
  <c r="S15" i="3"/>
  <c r="E52" i="1" a="1"/>
  <c r="I51" i="1" l="1"/>
  <c r="AD15" i="3"/>
  <c r="AE15" i="3" s="1"/>
  <c r="T15" i="3"/>
  <c r="U15" i="3" s="1"/>
  <c r="M55" i="3"/>
  <c r="L54" i="3"/>
  <c r="D53" i="1"/>
  <c r="C53" i="1" s="1"/>
  <c r="H52" i="1"/>
  <c r="G52" i="1"/>
  <c r="E52" i="1"/>
  <c r="F52" i="1"/>
  <c r="E53" i="1" a="1"/>
  <c r="L55" i="3" l="1"/>
  <c r="M56" i="3"/>
  <c r="I52" i="1"/>
  <c r="N16" i="3"/>
  <c r="O16" i="3"/>
  <c r="X16" i="3"/>
  <c r="Y16" i="3"/>
  <c r="D54" i="1"/>
  <c r="C54" i="1" s="1"/>
  <c r="E53" i="1"/>
  <c r="H53" i="1"/>
  <c r="G53" i="1"/>
  <c r="F53" i="1"/>
  <c r="P16" i="3"/>
  <c r="Z16" i="3"/>
  <c r="E54" i="1" a="1"/>
  <c r="C16" i="3" l="1"/>
  <c r="B16" i="3"/>
  <c r="M57" i="3"/>
  <c r="L56" i="3"/>
  <c r="I53" i="1"/>
  <c r="D55" i="1"/>
  <c r="C55" i="1" s="1"/>
  <c r="G54" i="1"/>
  <c r="E54" i="1"/>
  <c r="H54" i="1"/>
  <c r="F54" i="1"/>
  <c r="AA16" i="3"/>
  <c r="E55" i="1" a="1"/>
  <c r="L57" i="3" l="1"/>
  <c r="M58" i="3"/>
  <c r="D56" i="1"/>
  <c r="C56" i="1" s="1"/>
  <c r="G55" i="1"/>
  <c r="E55" i="1"/>
  <c r="H55" i="1"/>
  <c r="F55" i="1"/>
  <c r="I54" i="1"/>
  <c r="Q16" i="3"/>
  <c r="E56" i="1" a="1"/>
  <c r="M59" i="3" l="1"/>
  <c r="L58" i="3"/>
  <c r="D57" i="1"/>
  <c r="C57" i="1" s="1"/>
  <c r="H56" i="1"/>
  <c r="G56" i="1"/>
  <c r="I56" i="1" s="1"/>
  <c r="E56" i="1"/>
  <c r="F56" i="1"/>
  <c r="I55" i="1"/>
  <c r="AB16" i="3"/>
  <c r="R16" i="3"/>
  <c r="E57" i="1" a="1"/>
  <c r="L59" i="3" l="1"/>
  <c r="M60" i="3"/>
  <c r="D58" i="1"/>
  <c r="C58" i="1" s="1"/>
  <c r="E57" i="1"/>
  <c r="G57" i="1"/>
  <c r="H57" i="1"/>
  <c r="F57" i="1"/>
  <c r="AC16" i="3"/>
  <c r="S16" i="3"/>
  <c r="E58" i="1" a="1"/>
  <c r="AD16" i="3" l="1"/>
  <c r="AE16" i="3" s="1"/>
  <c r="T16" i="3"/>
  <c r="U16" i="3" s="1"/>
  <c r="L60" i="3"/>
  <c r="M61" i="3"/>
  <c r="D59" i="1"/>
  <c r="C59" i="1" s="1"/>
  <c r="G58" i="1"/>
  <c r="H58" i="1"/>
  <c r="F58" i="1"/>
  <c r="E58" i="1"/>
  <c r="I57" i="1"/>
  <c r="E59" i="1" a="1"/>
  <c r="L61" i="3" l="1"/>
  <c r="M62" i="3"/>
  <c r="X17" i="3"/>
  <c r="Y17" i="3"/>
  <c r="N17" i="3"/>
  <c r="O17" i="3"/>
  <c r="D60" i="1"/>
  <c r="C60" i="1" s="1"/>
  <c r="G59" i="1"/>
  <c r="H59" i="1"/>
  <c r="F59" i="1"/>
  <c r="E59" i="1"/>
  <c r="I58" i="1"/>
  <c r="P17" i="3"/>
  <c r="Z17" i="3"/>
  <c r="E60" i="1" a="1"/>
  <c r="C17" i="3" l="1"/>
  <c r="B17" i="3"/>
  <c r="L62" i="3"/>
  <c r="M63" i="3"/>
  <c r="I59" i="1"/>
  <c r="D61" i="1"/>
  <c r="C61" i="1" s="1"/>
  <c r="E60" i="1"/>
  <c r="G60" i="1"/>
  <c r="F60" i="1"/>
  <c r="H60" i="1"/>
  <c r="AA17" i="3"/>
  <c r="E61" i="1" a="1"/>
  <c r="M64" i="3" l="1"/>
  <c r="L63" i="3"/>
  <c r="D62" i="1"/>
  <c r="C62" i="1" s="1"/>
  <c r="I60" i="1"/>
  <c r="G61" i="1"/>
  <c r="F61" i="1"/>
  <c r="E61" i="1"/>
  <c r="H61" i="1"/>
  <c r="Q17" i="3"/>
  <c r="E62" i="1" a="1"/>
  <c r="L64" i="3" l="1"/>
  <c r="M65" i="3"/>
  <c r="D63" i="1"/>
  <c r="C63" i="1" s="1"/>
  <c r="I61" i="1"/>
  <c r="G62" i="1"/>
  <c r="F62" i="1"/>
  <c r="E62" i="1"/>
  <c r="H62" i="1"/>
  <c r="AB17" i="3"/>
  <c r="R17" i="3"/>
  <c r="E63" i="1" a="1"/>
  <c r="M66" i="3" l="1"/>
  <c r="L65" i="3"/>
  <c r="D64" i="1"/>
  <c r="C64" i="1" s="1"/>
  <c r="H63" i="1"/>
  <c r="E63" i="1"/>
  <c r="G63" i="1"/>
  <c r="F63" i="1"/>
  <c r="I62" i="1"/>
  <c r="AC17" i="3"/>
  <c r="S17" i="3"/>
  <c r="E64" i="1" a="1"/>
  <c r="AD17" i="3" l="1"/>
  <c r="AE17" i="3" s="1"/>
  <c r="T17" i="3"/>
  <c r="U17" i="3" s="1"/>
  <c r="I63" i="1"/>
  <c r="L66" i="3"/>
  <c r="M67" i="3"/>
  <c r="D65" i="1"/>
  <c r="C65" i="1" s="1"/>
  <c r="E64" i="1"/>
  <c r="H64" i="1"/>
  <c r="F64" i="1"/>
  <c r="G64" i="1"/>
  <c r="E65" i="1" a="1"/>
  <c r="I64" i="1" l="1"/>
  <c r="L67" i="3"/>
  <c r="M68" i="3"/>
  <c r="N18" i="3"/>
  <c r="O18" i="3"/>
  <c r="X18" i="3"/>
  <c r="Y18" i="3"/>
  <c r="D66" i="1"/>
  <c r="C66" i="1" s="1"/>
  <c r="E65" i="1"/>
  <c r="G65" i="1"/>
  <c r="F65" i="1"/>
  <c r="H65" i="1"/>
  <c r="P18" i="3"/>
  <c r="Z18" i="3"/>
  <c r="E66" i="1" a="1"/>
  <c r="C18" i="3" l="1"/>
  <c r="B18" i="3"/>
  <c r="L68" i="3"/>
  <c r="M69" i="3"/>
  <c r="D67" i="1"/>
  <c r="C67" i="1" s="1"/>
  <c r="F66" i="1"/>
  <c r="E66" i="1"/>
  <c r="H66" i="1"/>
  <c r="G66" i="1"/>
  <c r="I65" i="1"/>
  <c r="AA18" i="3"/>
  <c r="E67" i="1" a="1"/>
  <c r="L69" i="3" l="1"/>
  <c r="M70" i="3"/>
  <c r="I66" i="1"/>
  <c r="D68" i="1"/>
  <c r="C68" i="1" s="1"/>
  <c r="G67" i="1"/>
  <c r="F67" i="1"/>
  <c r="E67" i="1"/>
  <c r="H67" i="1"/>
  <c r="Q18" i="3"/>
  <c r="E68" i="1" a="1"/>
  <c r="L70" i="3" l="1"/>
  <c r="M71" i="3"/>
  <c r="D69" i="1"/>
  <c r="C69" i="1" s="1"/>
  <c r="I67" i="1"/>
  <c r="G68" i="1"/>
  <c r="E68" i="1"/>
  <c r="F68" i="1"/>
  <c r="H68" i="1"/>
  <c r="AB18" i="3"/>
  <c r="R18" i="3"/>
  <c r="E69" i="1" a="1"/>
  <c r="M72" i="3" l="1"/>
  <c r="L71" i="3"/>
  <c r="D70" i="1"/>
  <c r="C70" i="1" s="1"/>
  <c r="H69" i="1"/>
  <c r="G69" i="1"/>
  <c r="E69" i="1"/>
  <c r="F69" i="1"/>
  <c r="I68" i="1"/>
  <c r="AC18" i="3"/>
  <c r="S18" i="3"/>
  <c r="E70" i="1" a="1"/>
  <c r="AD18" i="3" l="1"/>
  <c r="AE18" i="3" s="1"/>
  <c r="T18" i="3"/>
  <c r="U18" i="3" s="1"/>
  <c r="I69" i="1"/>
  <c r="L72" i="3"/>
  <c r="M73" i="3"/>
  <c r="D71" i="1"/>
  <c r="C71" i="1" s="1"/>
  <c r="E70" i="1"/>
  <c r="H70" i="1"/>
  <c r="G70" i="1"/>
  <c r="F70" i="1"/>
  <c r="E71" i="1" a="1"/>
  <c r="I70" i="1" l="1"/>
  <c r="L73" i="3"/>
  <c r="M74" i="3"/>
  <c r="X19" i="3"/>
  <c r="Y19" i="3"/>
  <c r="N19" i="3"/>
  <c r="O19" i="3"/>
  <c r="D72" i="1"/>
  <c r="C72" i="1" s="1"/>
  <c r="F71" i="1"/>
  <c r="E71" i="1"/>
  <c r="G71" i="1"/>
  <c r="H71" i="1"/>
  <c r="P19" i="3"/>
  <c r="Z19" i="3"/>
  <c r="E72" i="1" a="1"/>
  <c r="C19" i="3" l="1"/>
  <c r="B19" i="3"/>
  <c r="M75" i="3"/>
  <c r="L74" i="3"/>
  <c r="D73" i="1"/>
  <c r="C73" i="1" s="1"/>
  <c r="E72" i="1"/>
  <c r="F72" i="1"/>
  <c r="H72" i="1"/>
  <c r="G72" i="1"/>
  <c r="I71" i="1"/>
  <c r="AA19" i="3"/>
  <c r="E73" i="1" a="1"/>
  <c r="M76" i="3" l="1"/>
  <c r="L75" i="3"/>
  <c r="I72" i="1"/>
  <c r="D74" i="1"/>
  <c r="C74" i="1" s="1"/>
  <c r="G73" i="1"/>
  <c r="E73" i="1"/>
  <c r="F73" i="1"/>
  <c r="H73" i="1"/>
  <c r="Q19" i="3"/>
  <c r="E74" i="1" a="1"/>
  <c r="L76" i="3" l="1"/>
  <c r="M77" i="3"/>
  <c r="D75" i="1"/>
  <c r="C75" i="1" s="1"/>
  <c r="I73" i="1"/>
  <c r="H74" i="1"/>
  <c r="G74" i="1"/>
  <c r="F74" i="1"/>
  <c r="E74" i="1"/>
  <c r="AB19" i="3"/>
  <c r="R19" i="3"/>
  <c r="E75" i="1" a="1"/>
  <c r="I74" i="1" l="1"/>
  <c r="M78" i="3"/>
  <c r="L77" i="3"/>
  <c r="D76" i="1"/>
  <c r="C76" i="1" s="1"/>
  <c r="G75" i="1"/>
  <c r="F75" i="1"/>
  <c r="E75" i="1"/>
  <c r="H75" i="1"/>
  <c r="AC19" i="3"/>
  <c r="S19" i="3"/>
  <c r="E76" i="1" a="1"/>
  <c r="AD19" i="3" l="1"/>
  <c r="AE19" i="3" s="1"/>
  <c r="T19" i="3"/>
  <c r="U19" i="3" s="1"/>
  <c r="L78" i="3"/>
  <c r="M79" i="3"/>
  <c r="D77" i="1"/>
  <c r="C77" i="1" s="1"/>
  <c r="H76" i="1"/>
  <c r="G76" i="1"/>
  <c r="E76" i="1"/>
  <c r="F76" i="1"/>
  <c r="I75" i="1"/>
  <c r="E77" i="1" a="1"/>
  <c r="L79" i="3" l="1"/>
  <c r="M80" i="3"/>
  <c r="X20" i="3"/>
  <c r="Y20" i="3"/>
  <c r="N20" i="3"/>
  <c r="O20" i="3"/>
  <c r="D78" i="1"/>
  <c r="C78" i="1" s="1"/>
  <c r="F77" i="1"/>
  <c r="E77" i="1"/>
  <c r="H77" i="1"/>
  <c r="G77" i="1"/>
  <c r="I76" i="1"/>
  <c r="Z20" i="3"/>
  <c r="P20" i="3"/>
  <c r="E78" i="1" a="1"/>
  <c r="C20" i="3" l="1"/>
  <c r="B20" i="3"/>
  <c r="L80" i="3"/>
  <c r="M81" i="3"/>
  <c r="I77" i="1"/>
  <c r="D79" i="1"/>
  <c r="C79" i="1" s="1"/>
  <c r="F78" i="1"/>
  <c r="E78" i="1"/>
  <c r="G78" i="1"/>
  <c r="H78" i="1"/>
  <c r="AA20" i="3"/>
  <c r="E79" i="1" a="1"/>
  <c r="L81" i="3" l="1"/>
  <c r="M82" i="3"/>
  <c r="I78" i="1"/>
  <c r="D80" i="1"/>
  <c r="C80" i="1" s="1"/>
  <c r="F79" i="1"/>
  <c r="G79" i="1"/>
  <c r="E79" i="1"/>
  <c r="H79" i="1"/>
  <c r="Q20" i="3"/>
  <c r="E80" i="1" a="1"/>
  <c r="L82" i="3" l="1"/>
  <c r="M83" i="3"/>
  <c r="D81" i="1"/>
  <c r="C81" i="1" s="1"/>
  <c r="I79" i="1"/>
  <c r="H80" i="1"/>
  <c r="G80" i="1"/>
  <c r="F80" i="1"/>
  <c r="E80" i="1"/>
  <c r="AB20" i="3"/>
  <c r="R20" i="3"/>
  <c r="E81" i="1" a="1"/>
  <c r="M84" i="3" l="1"/>
  <c r="L83" i="3"/>
  <c r="I80" i="1"/>
  <c r="D82" i="1"/>
  <c r="C82" i="1" s="1"/>
  <c r="H81" i="1"/>
  <c r="G81" i="1"/>
  <c r="F81" i="1"/>
  <c r="E81" i="1"/>
  <c r="AC20" i="3"/>
  <c r="S20" i="3"/>
  <c r="E82" i="1" a="1"/>
  <c r="AD20" i="3" l="1"/>
  <c r="AE20" i="3" s="1"/>
  <c r="T20" i="3"/>
  <c r="U20" i="3" s="1"/>
  <c r="I81" i="1"/>
  <c r="L84" i="3"/>
  <c r="M85" i="3"/>
  <c r="D83" i="1"/>
  <c r="C83" i="1" s="1"/>
  <c r="E82" i="1"/>
  <c r="F82" i="1"/>
  <c r="H82" i="1"/>
  <c r="G82" i="1"/>
  <c r="E83" i="1" a="1"/>
  <c r="I82" i="1" l="1"/>
  <c r="L85" i="3"/>
  <c r="M86" i="3"/>
  <c r="N21" i="3"/>
  <c r="O21" i="3"/>
  <c r="X21" i="3"/>
  <c r="Y21" i="3"/>
  <c r="D84" i="1"/>
  <c r="C84" i="1" s="1"/>
  <c r="E83" i="1"/>
  <c r="H83" i="1"/>
  <c r="G83" i="1"/>
  <c r="F83" i="1"/>
  <c r="Z21" i="3"/>
  <c r="P21" i="3"/>
  <c r="E84" i="1" a="1"/>
  <c r="C21" i="3" l="1"/>
  <c r="B21" i="3"/>
  <c r="L86" i="3"/>
  <c r="M87" i="3"/>
  <c r="I83" i="1"/>
  <c r="D85" i="1"/>
  <c r="C85" i="1" s="1"/>
  <c r="F84" i="1"/>
  <c r="E84" i="1"/>
  <c r="G84" i="1"/>
  <c r="H84" i="1"/>
  <c r="AA21" i="3"/>
  <c r="E85" i="1" a="1"/>
  <c r="M88" i="3" l="1"/>
  <c r="L87" i="3"/>
  <c r="I84" i="1"/>
  <c r="D86" i="1"/>
  <c r="C86" i="1" s="1"/>
  <c r="G85" i="1"/>
  <c r="F85" i="1"/>
  <c r="E85" i="1"/>
  <c r="H85" i="1"/>
  <c r="Q21" i="3"/>
  <c r="E86" i="1" a="1"/>
  <c r="L88" i="3" l="1"/>
  <c r="M89" i="3"/>
  <c r="D87" i="1"/>
  <c r="C87" i="1" s="1"/>
  <c r="H86" i="1"/>
  <c r="E86" i="1"/>
  <c r="G86" i="1"/>
  <c r="F86" i="1"/>
  <c r="I85" i="1"/>
  <c r="AB21" i="3"/>
  <c r="R21" i="3"/>
  <c r="E87" i="1" a="1"/>
  <c r="M90" i="3" l="1"/>
  <c r="L89" i="3"/>
  <c r="I86" i="1"/>
  <c r="D88" i="1"/>
  <c r="C88" i="1" s="1"/>
  <c r="H87" i="1"/>
  <c r="G87" i="1"/>
  <c r="I87" i="1" s="1"/>
  <c r="F87" i="1"/>
  <c r="E87" i="1"/>
  <c r="AC21" i="3"/>
  <c r="S21" i="3"/>
  <c r="E88" i="1" a="1"/>
  <c r="AD21" i="3" l="1"/>
  <c r="AE21" i="3" s="1"/>
  <c r="T21" i="3"/>
  <c r="U21" i="3" s="1"/>
  <c r="M91" i="3"/>
  <c r="L90" i="3"/>
  <c r="D89" i="1"/>
  <c r="C89" i="1" s="1"/>
  <c r="G88" i="1"/>
  <c r="F88" i="1"/>
  <c r="E88" i="1"/>
  <c r="H88" i="1"/>
  <c r="E89" i="1" a="1"/>
  <c r="L91" i="3" l="1"/>
  <c r="M92" i="3"/>
  <c r="N22" i="3"/>
  <c r="O22" i="3"/>
  <c r="X22" i="3"/>
  <c r="Y22" i="3"/>
  <c r="D90" i="1"/>
  <c r="C90" i="1" s="1"/>
  <c r="E89" i="1"/>
  <c r="H89" i="1"/>
  <c r="F89" i="1"/>
  <c r="G89" i="1"/>
  <c r="I88" i="1"/>
  <c r="P22" i="3"/>
  <c r="Z22" i="3"/>
  <c r="E90" i="1" a="1"/>
  <c r="C22" i="3" l="1"/>
  <c r="B22" i="3"/>
  <c r="L92" i="3"/>
  <c r="M93" i="3"/>
  <c r="I89" i="1"/>
  <c r="D91" i="1"/>
  <c r="C91" i="1" s="1"/>
  <c r="E90" i="1"/>
  <c r="G90" i="1"/>
  <c r="F90" i="1"/>
  <c r="H90" i="1"/>
  <c r="AA22" i="3"/>
  <c r="E91" i="1" a="1"/>
  <c r="L93" i="3" l="1"/>
  <c r="M94" i="3"/>
  <c r="D92" i="1"/>
  <c r="C92" i="1" s="1"/>
  <c r="G91" i="1"/>
  <c r="E91" i="1"/>
  <c r="F91" i="1"/>
  <c r="H91" i="1"/>
  <c r="I90" i="1"/>
  <c r="Q22" i="3"/>
  <c r="E92" i="1" a="1"/>
  <c r="M95" i="3" l="1"/>
  <c r="L94" i="3"/>
  <c r="D93" i="1"/>
  <c r="C93" i="1" s="1"/>
  <c r="F92" i="1"/>
  <c r="E92" i="1"/>
  <c r="H92" i="1"/>
  <c r="G92" i="1"/>
  <c r="I91" i="1"/>
  <c r="AB22" i="3"/>
  <c r="R22" i="3"/>
  <c r="E93" i="1" a="1"/>
  <c r="L95" i="3" l="1"/>
  <c r="M96" i="3"/>
  <c r="I92" i="1"/>
  <c r="D94" i="1"/>
  <c r="C94" i="1" s="1"/>
  <c r="G93" i="1"/>
  <c r="H93" i="1"/>
  <c r="F93" i="1"/>
  <c r="E93" i="1"/>
  <c r="AC22" i="3"/>
  <c r="S22" i="3"/>
  <c r="E94" i="1" a="1"/>
  <c r="AD22" i="3" l="1"/>
  <c r="AE22" i="3" s="1"/>
  <c r="T22" i="3"/>
  <c r="U22" i="3" s="1"/>
  <c r="M97" i="3"/>
  <c r="L96" i="3"/>
  <c r="D95" i="1"/>
  <c r="C95" i="1" s="1"/>
  <c r="I93" i="1"/>
  <c r="H94" i="1"/>
  <c r="G94" i="1"/>
  <c r="F94" i="1"/>
  <c r="E94" i="1"/>
  <c r="E95" i="1" a="1"/>
  <c r="I94" i="1" l="1"/>
  <c r="L97" i="3"/>
  <c r="M98" i="3"/>
  <c r="N23" i="3"/>
  <c r="O23" i="3"/>
  <c r="X23" i="3"/>
  <c r="Y23" i="3"/>
  <c r="D96" i="1"/>
  <c r="C96" i="1" s="1"/>
  <c r="E95" i="1"/>
  <c r="H95" i="1"/>
  <c r="G95" i="1"/>
  <c r="F95" i="1"/>
  <c r="Z23" i="3"/>
  <c r="P23" i="3"/>
  <c r="E96" i="1" a="1"/>
  <c r="C23" i="3" l="1"/>
  <c r="B23" i="3"/>
  <c r="M99" i="3"/>
  <c r="L98" i="3"/>
  <c r="I95" i="1"/>
  <c r="D97" i="1"/>
  <c r="C97" i="1" s="1"/>
  <c r="E96" i="1"/>
  <c r="F96" i="1"/>
  <c r="H96" i="1"/>
  <c r="G96" i="1"/>
  <c r="AA23" i="3"/>
  <c r="E97" i="1" a="1"/>
  <c r="M100" i="3" l="1"/>
  <c r="L99" i="3"/>
  <c r="I96" i="1"/>
  <c r="D98" i="1"/>
  <c r="C98" i="1" s="1"/>
  <c r="H97" i="1"/>
  <c r="G97" i="1"/>
  <c r="F97" i="1"/>
  <c r="E97" i="1"/>
  <c r="Q23" i="3"/>
  <c r="E98" i="1" a="1"/>
  <c r="I97" i="1" l="1"/>
  <c r="M101" i="3"/>
  <c r="L100" i="3"/>
  <c r="D99" i="1"/>
  <c r="C99" i="1" s="1"/>
  <c r="G98" i="1"/>
  <c r="F98" i="1"/>
  <c r="E98" i="1"/>
  <c r="H98" i="1"/>
  <c r="AB23" i="3"/>
  <c r="R23" i="3"/>
  <c r="E99" i="1" a="1"/>
  <c r="M102" i="3" l="1"/>
  <c r="L101" i="3"/>
  <c r="D100" i="1"/>
  <c r="C100" i="1" s="1"/>
  <c r="H99" i="1"/>
  <c r="F99" i="1"/>
  <c r="G99" i="1"/>
  <c r="E99" i="1"/>
  <c r="I98" i="1"/>
  <c r="AC23" i="3"/>
  <c r="S23" i="3"/>
  <c r="E100" i="1" a="1"/>
  <c r="AD23" i="3" l="1"/>
  <c r="AE23" i="3" s="1"/>
  <c r="T23" i="3"/>
  <c r="U23" i="3" s="1"/>
  <c r="I99" i="1"/>
  <c r="M103" i="3"/>
  <c r="L102" i="3"/>
  <c r="D101" i="1"/>
  <c r="C101" i="1" s="1"/>
  <c r="E100" i="1"/>
  <c r="F100" i="1"/>
  <c r="G100" i="1"/>
  <c r="H100" i="1"/>
  <c r="E101" i="1" a="1"/>
  <c r="L103" i="3" l="1"/>
  <c r="M104" i="3"/>
  <c r="X24" i="3"/>
  <c r="Y24" i="3"/>
  <c r="N24" i="3"/>
  <c r="O24" i="3"/>
  <c r="D102" i="1"/>
  <c r="C102" i="1" s="1"/>
  <c r="E101" i="1"/>
  <c r="H101" i="1"/>
  <c r="G101" i="1"/>
  <c r="F101" i="1"/>
  <c r="I100" i="1"/>
  <c r="Z24" i="3"/>
  <c r="P24" i="3"/>
  <c r="E102" i="1" a="1"/>
  <c r="C24" i="3" l="1"/>
  <c r="B24" i="3"/>
  <c r="L104" i="3"/>
  <c r="M105" i="3"/>
  <c r="I101" i="1"/>
  <c r="D103" i="1"/>
  <c r="C103" i="1" s="1"/>
  <c r="F102" i="1"/>
  <c r="E102" i="1"/>
  <c r="G102" i="1"/>
  <c r="H102" i="1"/>
  <c r="AA24" i="3"/>
  <c r="E103" i="1" a="1"/>
  <c r="L105" i="3" l="1"/>
  <c r="M106" i="3"/>
  <c r="I102" i="1"/>
  <c r="D104" i="1"/>
  <c r="C104" i="1" s="1"/>
  <c r="G103" i="1"/>
  <c r="H103" i="1"/>
  <c r="F103" i="1"/>
  <c r="E103" i="1"/>
  <c r="Q24" i="3"/>
  <c r="E104" i="1" a="1"/>
  <c r="M107" i="3" l="1"/>
  <c r="L106" i="3"/>
  <c r="D105" i="1"/>
  <c r="C105" i="1" s="1"/>
  <c r="E104" i="1"/>
  <c r="H104" i="1"/>
  <c r="G104" i="1"/>
  <c r="F104" i="1"/>
  <c r="I103" i="1"/>
  <c r="AB24" i="3"/>
  <c r="R24" i="3"/>
  <c r="E105" i="1" a="1"/>
  <c r="I104" i="1" l="1"/>
  <c r="M108" i="3"/>
  <c r="L107" i="3"/>
  <c r="D106" i="1"/>
  <c r="C106" i="1" s="1"/>
  <c r="G105" i="1"/>
  <c r="F105" i="1"/>
  <c r="E105" i="1"/>
  <c r="H105" i="1"/>
  <c r="AC24" i="3"/>
  <c r="S24" i="3"/>
  <c r="E106" i="1" a="1"/>
  <c r="AD24" i="3" l="1"/>
  <c r="AE24" i="3" s="1"/>
  <c r="T24" i="3"/>
  <c r="U24" i="3" s="1"/>
  <c r="M109" i="3"/>
  <c r="L108" i="3"/>
  <c r="D107" i="1"/>
  <c r="C107" i="1" s="1"/>
  <c r="H106" i="1"/>
  <c r="G106" i="1"/>
  <c r="F106" i="1"/>
  <c r="E106" i="1"/>
  <c r="I105" i="1"/>
  <c r="E107" i="1" a="1"/>
  <c r="I106" i="1" l="1"/>
  <c r="M110" i="3"/>
  <c r="L109" i="3"/>
  <c r="X25" i="3"/>
  <c r="Y25" i="3"/>
  <c r="N25" i="3"/>
  <c r="O25" i="3"/>
  <c r="D108" i="1"/>
  <c r="C108" i="1" s="1"/>
  <c r="F107" i="1"/>
  <c r="E107" i="1"/>
  <c r="H107" i="1"/>
  <c r="G107" i="1"/>
  <c r="Z25" i="3"/>
  <c r="P25" i="3"/>
  <c r="E108" i="1" a="1"/>
  <c r="C25" i="3" l="1"/>
  <c r="B25" i="3"/>
  <c r="M111" i="3"/>
  <c r="L110" i="3"/>
  <c r="I107" i="1"/>
  <c r="D109" i="1"/>
  <c r="C109" i="1" s="1"/>
  <c r="E108" i="1"/>
  <c r="G108" i="1"/>
  <c r="H108" i="1"/>
  <c r="F108" i="1"/>
  <c r="AA25" i="3"/>
  <c r="E109" i="1" a="1"/>
  <c r="L111" i="3" l="1"/>
  <c r="M112" i="3"/>
  <c r="D110" i="1"/>
  <c r="C110" i="1" s="1"/>
  <c r="I108" i="1"/>
  <c r="G109" i="1"/>
  <c r="F109" i="1"/>
  <c r="E109" i="1"/>
  <c r="H109" i="1"/>
  <c r="Q25" i="3"/>
  <c r="E110" i="1" a="1"/>
  <c r="L112" i="3" l="1"/>
  <c r="M113" i="3"/>
  <c r="D111" i="1"/>
  <c r="C111" i="1" s="1"/>
  <c r="G110" i="1"/>
  <c r="F110" i="1"/>
  <c r="E110" i="1"/>
  <c r="H110" i="1"/>
  <c r="I109" i="1"/>
  <c r="AB25" i="3"/>
  <c r="R25" i="3"/>
  <c r="E111" i="1" a="1"/>
  <c r="M114" i="3" l="1"/>
  <c r="L113" i="3"/>
  <c r="D112" i="1"/>
  <c r="C112" i="1" s="1"/>
  <c r="H111" i="1"/>
  <c r="G111" i="1"/>
  <c r="F111" i="1"/>
  <c r="E111" i="1"/>
  <c r="I110" i="1"/>
  <c r="AC25" i="3"/>
  <c r="S25" i="3"/>
  <c r="E112" i="1" a="1"/>
  <c r="I111" i="1" l="1"/>
  <c r="AD25" i="3"/>
  <c r="AE25" i="3" s="1"/>
  <c r="T25" i="3"/>
  <c r="U25" i="3" s="1"/>
  <c r="M115" i="3"/>
  <c r="L114" i="3"/>
  <c r="D113" i="1"/>
  <c r="C113" i="1" s="1"/>
  <c r="E112" i="1"/>
  <c r="H112" i="1"/>
  <c r="G112" i="1"/>
  <c r="F112" i="1"/>
  <c r="E113" i="1" a="1"/>
  <c r="I112" i="1" l="1"/>
  <c r="L115" i="3"/>
  <c r="M116" i="3"/>
  <c r="X26" i="3"/>
  <c r="Y26" i="3"/>
  <c r="N26" i="3"/>
  <c r="O26" i="3"/>
  <c r="D114" i="1"/>
  <c r="C114" i="1" s="1"/>
  <c r="E113" i="1"/>
  <c r="H113" i="1"/>
  <c r="F113" i="1"/>
  <c r="G113" i="1"/>
  <c r="Z26" i="3"/>
  <c r="P26" i="3"/>
  <c r="E114" i="1" a="1"/>
  <c r="C26" i="3" l="1"/>
  <c r="B26" i="3"/>
  <c r="M117" i="3"/>
  <c r="L116" i="3"/>
  <c r="I113" i="1"/>
  <c r="D115" i="1"/>
  <c r="C115" i="1" s="1"/>
  <c r="F114" i="1"/>
  <c r="E114" i="1"/>
  <c r="H114" i="1"/>
  <c r="G114" i="1"/>
  <c r="AA26" i="3"/>
  <c r="E115" i="1" a="1"/>
  <c r="L117" i="3" l="1"/>
  <c r="M118" i="3"/>
  <c r="I114" i="1"/>
  <c r="D116" i="1"/>
  <c r="C116" i="1" s="1"/>
  <c r="F115" i="1"/>
  <c r="E115" i="1"/>
  <c r="H115" i="1"/>
  <c r="G115" i="1"/>
  <c r="Q26" i="3"/>
  <c r="E116" i="1" a="1"/>
  <c r="M119" i="3" l="1"/>
  <c r="L118" i="3"/>
  <c r="I115" i="1"/>
  <c r="D117" i="1"/>
  <c r="C117" i="1" s="1"/>
  <c r="G116" i="1"/>
  <c r="F116" i="1"/>
  <c r="E116" i="1"/>
  <c r="H116" i="1"/>
  <c r="AB26" i="3"/>
  <c r="R26" i="3"/>
  <c r="E117" i="1" a="1"/>
  <c r="L119" i="3" l="1"/>
  <c r="M120" i="3"/>
  <c r="D118" i="1"/>
  <c r="C118" i="1" s="1"/>
  <c r="I116" i="1"/>
  <c r="E117" i="1"/>
  <c r="G117" i="1"/>
  <c r="H117" i="1"/>
  <c r="F117" i="1"/>
  <c r="AC26" i="3"/>
  <c r="S26" i="3"/>
  <c r="E118" i="1" a="1"/>
  <c r="AD26" i="3" l="1"/>
  <c r="AE26" i="3" s="1"/>
  <c r="T26" i="3"/>
  <c r="U26" i="3" s="1"/>
  <c r="L120" i="3"/>
  <c r="M121" i="3"/>
  <c r="D119" i="1"/>
  <c r="C119" i="1" s="1"/>
  <c r="E118" i="1"/>
  <c r="F118" i="1"/>
  <c r="H118" i="1"/>
  <c r="G118" i="1"/>
  <c r="I117" i="1"/>
  <c r="E119" i="1" a="1"/>
  <c r="M122" i="3" l="1"/>
  <c r="L121" i="3"/>
  <c r="I118" i="1"/>
  <c r="N27" i="3"/>
  <c r="O27" i="3"/>
  <c r="X27" i="3"/>
  <c r="Y27" i="3"/>
  <c r="D120" i="1"/>
  <c r="C120" i="1" s="1"/>
  <c r="F119" i="1"/>
  <c r="E119" i="1"/>
  <c r="G119" i="1"/>
  <c r="H119" i="1"/>
  <c r="P27" i="3"/>
  <c r="Z27" i="3"/>
  <c r="E120" i="1" a="1"/>
  <c r="C27" i="3" l="1"/>
  <c r="B27" i="3"/>
  <c r="L122" i="3"/>
  <c r="M123" i="3"/>
  <c r="D121" i="1"/>
  <c r="C121" i="1" s="1"/>
  <c r="I119" i="1"/>
  <c r="F120" i="1"/>
  <c r="H120" i="1"/>
  <c r="E120" i="1"/>
  <c r="G120" i="1"/>
  <c r="AA27" i="3"/>
  <c r="E121" i="1" a="1"/>
  <c r="L123" i="3" l="1"/>
  <c r="M124" i="3"/>
  <c r="I120" i="1"/>
  <c r="D122" i="1"/>
  <c r="C122" i="1" s="1"/>
  <c r="E121" i="1"/>
  <c r="G121" i="1"/>
  <c r="H121" i="1"/>
  <c r="F121" i="1"/>
  <c r="Q27" i="3"/>
  <c r="E122" i="1" a="1"/>
  <c r="M125" i="3" l="1"/>
  <c r="L124" i="3"/>
  <c r="D123" i="1"/>
  <c r="C123" i="1" s="1"/>
  <c r="G122" i="1"/>
  <c r="F122" i="1"/>
  <c r="E122" i="1"/>
  <c r="H122" i="1"/>
  <c r="I121" i="1"/>
  <c r="AB27" i="3"/>
  <c r="R27" i="3"/>
  <c r="E123" i="1" a="1"/>
  <c r="L125" i="3" l="1"/>
  <c r="M126" i="3"/>
  <c r="D124" i="1"/>
  <c r="C124" i="1" s="1"/>
  <c r="H123" i="1"/>
  <c r="F123" i="1"/>
  <c r="G123" i="1"/>
  <c r="E123" i="1"/>
  <c r="I122" i="1"/>
  <c r="AC27" i="3"/>
  <c r="S27" i="3"/>
  <c r="E124" i="1" a="1"/>
  <c r="I123" i="1" l="1"/>
  <c r="AD27" i="3"/>
  <c r="AE27" i="3" s="1"/>
  <c r="T27" i="3"/>
  <c r="U27" i="3" s="1"/>
  <c r="L126" i="3"/>
  <c r="M127" i="3"/>
  <c r="D125" i="1"/>
  <c r="C125" i="1" s="1"/>
  <c r="H124" i="1"/>
  <c r="F124" i="1"/>
  <c r="G124" i="1"/>
  <c r="E124" i="1"/>
  <c r="E125" i="1" a="1"/>
  <c r="I124" i="1" l="1"/>
  <c r="M128" i="3"/>
  <c r="L127" i="3"/>
  <c r="N28" i="3"/>
  <c r="O28" i="3"/>
  <c r="X28" i="3"/>
  <c r="Y28" i="3"/>
  <c r="D126" i="1"/>
  <c r="C126" i="1" s="1"/>
  <c r="E125" i="1"/>
  <c r="H125" i="1"/>
  <c r="G125" i="1"/>
  <c r="F125" i="1"/>
  <c r="Z28" i="3"/>
  <c r="P28" i="3"/>
  <c r="E126" i="1" a="1"/>
  <c r="C28" i="3" l="1"/>
  <c r="B28" i="3"/>
  <c r="L128" i="3"/>
  <c r="M129" i="3"/>
  <c r="I125" i="1"/>
  <c r="D127" i="1"/>
  <c r="C127" i="1" s="1"/>
  <c r="G126" i="1"/>
  <c r="F126" i="1"/>
  <c r="E126" i="1"/>
  <c r="H126" i="1"/>
  <c r="AA28" i="3"/>
  <c r="E127" i="1" a="1"/>
  <c r="L129" i="3" l="1"/>
  <c r="M130" i="3"/>
  <c r="I126" i="1"/>
  <c r="D128" i="1"/>
  <c r="C128" i="1" s="1"/>
  <c r="F127" i="1"/>
  <c r="E127" i="1"/>
  <c r="G127" i="1"/>
  <c r="H127" i="1"/>
  <c r="Q28" i="3"/>
  <c r="E128" i="1" a="1"/>
  <c r="L130" i="3" l="1"/>
  <c r="M131" i="3"/>
  <c r="D129" i="1"/>
  <c r="C129" i="1" s="1"/>
  <c r="I127" i="1"/>
  <c r="G128" i="1"/>
  <c r="F128" i="1"/>
  <c r="E128" i="1"/>
  <c r="H128" i="1"/>
  <c r="AB28" i="3"/>
  <c r="R28" i="3"/>
  <c r="E129" i="1" a="1"/>
  <c r="M132" i="3" l="1"/>
  <c r="L131" i="3"/>
  <c r="D130" i="1"/>
  <c r="C130" i="1" s="1"/>
  <c r="H129" i="1"/>
  <c r="G129" i="1"/>
  <c r="F129" i="1"/>
  <c r="E129" i="1"/>
  <c r="I128" i="1"/>
  <c r="AC28" i="3"/>
  <c r="S28" i="3"/>
  <c r="E130" i="1" a="1"/>
  <c r="I129" i="1" l="1"/>
  <c r="AD28" i="3"/>
  <c r="AE28" i="3" s="1"/>
  <c r="T28" i="3"/>
  <c r="U28" i="3" s="1"/>
  <c r="M133" i="3"/>
  <c r="L132" i="3"/>
  <c r="D131" i="1"/>
  <c r="C131" i="1" s="1"/>
  <c r="E130" i="1"/>
  <c r="H130" i="1"/>
  <c r="G130" i="1"/>
  <c r="F130" i="1"/>
  <c r="E131" i="1" a="1"/>
  <c r="I130" i="1" l="1"/>
  <c r="M134" i="3"/>
  <c r="L133" i="3"/>
  <c r="N29" i="3"/>
  <c r="O29" i="3"/>
  <c r="X29" i="3"/>
  <c r="Y29" i="3"/>
  <c r="D132" i="1"/>
  <c r="C132" i="1" s="1"/>
  <c r="F131" i="1"/>
  <c r="E131" i="1"/>
  <c r="G131" i="1"/>
  <c r="H131" i="1"/>
  <c r="Z29" i="3"/>
  <c r="P29" i="3"/>
  <c r="E132" i="1" a="1"/>
  <c r="C29" i="3" l="1"/>
  <c r="B29" i="3"/>
  <c r="L134" i="3"/>
  <c r="M135" i="3"/>
  <c r="D133" i="1"/>
  <c r="C133" i="1" s="1"/>
  <c r="E132" i="1"/>
  <c r="F132" i="1"/>
  <c r="H132" i="1"/>
  <c r="G132" i="1"/>
  <c r="I131" i="1"/>
  <c r="AA29" i="3"/>
  <c r="E133" i="1" a="1"/>
  <c r="L135" i="3" l="1"/>
  <c r="M136" i="3"/>
  <c r="I132" i="1"/>
  <c r="D134" i="1"/>
  <c r="C134" i="1" s="1"/>
  <c r="G133" i="1"/>
  <c r="E133" i="1"/>
  <c r="F133" i="1"/>
  <c r="H133" i="1"/>
  <c r="Q29" i="3"/>
  <c r="E134" i="1" a="1"/>
  <c r="M137" i="3" l="1"/>
  <c r="L136" i="3"/>
  <c r="D135" i="1"/>
  <c r="C135" i="1" s="1"/>
  <c r="H134" i="1"/>
  <c r="G134" i="1"/>
  <c r="F134" i="1"/>
  <c r="E134" i="1"/>
  <c r="I133" i="1"/>
  <c r="AB29" i="3"/>
  <c r="R29" i="3"/>
  <c r="E135" i="1" a="1"/>
  <c r="L137" i="3" l="1"/>
  <c r="M138" i="3"/>
  <c r="I134" i="1"/>
  <c r="D136" i="1"/>
  <c r="C136" i="1" s="1"/>
  <c r="E135" i="1"/>
  <c r="H135" i="1"/>
  <c r="G135" i="1"/>
  <c r="F135" i="1"/>
  <c r="AC29" i="3"/>
  <c r="S29" i="3"/>
  <c r="E136" i="1" a="1"/>
  <c r="AD29" i="3" l="1"/>
  <c r="AE29" i="3" s="1"/>
  <c r="T29" i="3"/>
  <c r="U29" i="3" s="1"/>
  <c r="L138" i="3"/>
  <c r="M139" i="3"/>
  <c r="I135" i="1"/>
  <c r="D137" i="1"/>
  <c r="C137" i="1" s="1"/>
  <c r="F136" i="1"/>
  <c r="H136" i="1"/>
  <c r="G136" i="1"/>
  <c r="E136" i="1"/>
  <c r="E137" i="1" a="1"/>
  <c r="I136" i="1" l="1"/>
  <c r="L139" i="3"/>
  <c r="M140" i="3"/>
  <c r="N30" i="3"/>
  <c r="O30" i="3"/>
  <c r="X30" i="3"/>
  <c r="Y30" i="3"/>
  <c r="D138" i="1"/>
  <c r="C138" i="1" s="1"/>
  <c r="F137" i="1"/>
  <c r="E137" i="1"/>
  <c r="G137" i="1"/>
  <c r="H137" i="1"/>
  <c r="P30" i="3"/>
  <c r="Z30" i="3"/>
  <c r="E138" i="1" a="1"/>
  <c r="C30" i="3" l="1"/>
  <c r="B30" i="3"/>
  <c r="M141" i="3"/>
  <c r="L140" i="3"/>
  <c r="D139" i="1"/>
  <c r="C139" i="1" s="1"/>
  <c r="I137" i="1"/>
  <c r="E138" i="1"/>
  <c r="G138" i="1"/>
  <c r="H138" i="1"/>
  <c r="F138" i="1"/>
  <c r="AA30" i="3"/>
  <c r="E139" i="1" a="1"/>
  <c r="M142" i="3" l="1"/>
  <c r="L141" i="3"/>
  <c r="I138" i="1"/>
  <c r="D140" i="1"/>
  <c r="C140" i="1" s="1"/>
  <c r="G139" i="1"/>
  <c r="F139" i="1"/>
  <c r="E139" i="1"/>
  <c r="H139" i="1"/>
  <c r="Q30" i="3"/>
  <c r="E140" i="1" a="1"/>
  <c r="L142" i="3" l="1"/>
  <c r="M143" i="3"/>
  <c r="D141" i="1"/>
  <c r="C141" i="1" s="1"/>
  <c r="I139" i="1"/>
  <c r="H140" i="1"/>
  <c r="F140" i="1"/>
  <c r="G140" i="1"/>
  <c r="E140" i="1"/>
  <c r="AB30" i="3"/>
  <c r="R30" i="3"/>
  <c r="E141" i="1" a="1"/>
  <c r="L143" i="3" l="1"/>
  <c r="M144" i="3"/>
  <c r="D142" i="1"/>
  <c r="C142" i="1" s="1"/>
  <c r="I140" i="1"/>
  <c r="H141" i="1"/>
  <c r="E141" i="1"/>
  <c r="G141" i="1"/>
  <c r="F141" i="1"/>
  <c r="AC30" i="3"/>
  <c r="S30" i="3"/>
  <c r="E142" i="1" a="1"/>
  <c r="AD30" i="3" l="1"/>
  <c r="AE30" i="3" s="1"/>
  <c r="T30" i="3"/>
  <c r="U30" i="3" s="1"/>
  <c r="M145" i="3"/>
  <c r="L144" i="3"/>
  <c r="I141" i="1"/>
  <c r="D143" i="1"/>
  <c r="C143" i="1" s="1"/>
  <c r="F142" i="1"/>
  <c r="E142" i="1"/>
  <c r="H142" i="1"/>
  <c r="G142" i="1"/>
  <c r="E143" i="1" a="1"/>
  <c r="I142" i="1" l="1"/>
  <c r="L145" i="3"/>
  <c r="M146" i="3"/>
  <c r="X31" i="3"/>
  <c r="Y31" i="3"/>
  <c r="N31" i="3"/>
  <c r="O31" i="3"/>
  <c r="D144" i="1"/>
  <c r="C144" i="1" s="1"/>
  <c r="E143" i="1"/>
  <c r="F143" i="1"/>
  <c r="G143" i="1"/>
  <c r="H143" i="1"/>
  <c r="Z31" i="3"/>
  <c r="P31" i="3"/>
  <c r="E144" i="1" a="1"/>
  <c r="C31" i="3" l="1"/>
  <c r="B31" i="3"/>
  <c r="L146" i="3"/>
  <c r="M147" i="3"/>
  <c r="I143" i="1"/>
  <c r="D145" i="1"/>
  <c r="C145" i="1" s="1"/>
  <c r="E144" i="1"/>
  <c r="F144" i="1"/>
  <c r="G144" i="1"/>
  <c r="H144" i="1"/>
  <c r="AA31" i="3"/>
  <c r="E145" i="1" a="1"/>
  <c r="L147" i="3" l="1"/>
  <c r="M148" i="3"/>
  <c r="D146" i="1"/>
  <c r="C146" i="1" s="1"/>
  <c r="I144" i="1"/>
  <c r="F145" i="1"/>
  <c r="E145" i="1"/>
  <c r="H145" i="1"/>
  <c r="G145" i="1"/>
  <c r="Q31" i="3"/>
  <c r="E146" i="1" a="1"/>
  <c r="L148" i="3" l="1"/>
  <c r="M149" i="3"/>
  <c r="I145" i="1"/>
  <c r="D147" i="1"/>
  <c r="C147" i="1" s="1"/>
  <c r="G146" i="1"/>
  <c r="F146" i="1"/>
  <c r="E146" i="1"/>
  <c r="H146" i="1"/>
  <c r="AB31" i="3"/>
  <c r="R31" i="3"/>
  <c r="E147" i="1" a="1"/>
  <c r="M150" i="3" l="1"/>
  <c r="L149" i="3"/>
  <c r="D148" i="1"/>
  <c r="C148" i="1" s="1"/>
  <c r="H147" i="1"/>
  <c r="G147" i="1"/>
  <c r="I147" i="1" s="1"/>
  <c r="F147" i="1"/>
  <c r="E147" i="1"/>
  <c r="I146" i="1"/>
  <c r="AC31" i="3"/>
  <c r="S31" i="3"/>
  <c r="E148" i="1" a="1"/>
  <c r="AD31" i="3" l="1"/>
  <c r="AE31" i="3" s="1"/>
  <c r="T31" i="3"/>
  <c r="U31" i="3" s="1"/>
  <c r="L150" i="3"/>
  <c r="M151" i="3"/>
  <c r="D149" i="1"/>
  <c r="C149" i="1" s="1"/>
  <c r="G148" i="1"/>
  <c r="F148" i="1"/>
  <c r="H148" i="1"/>
  <c r="E148" i="1"/>
  <c r="E149" i="1" a="1"/>
  <c r="L151" i="3" l="1"/>
  <c r="M152" i="3"/>
  <c r="X32" i="3"/>
  <c r="Y32" i="3"/>
  <c r="N32" i="3"/>
  <c r="O32" i="3"/>
  <c r="I148" i="1"/>
  <c r="D150" i="1"/>
  <c r="C150" i="1" s="1"/>
  <c r="E149" i="1"/>
  <c r="H149" i="1"/>
  <c r="G149" i="1"/>
  <c r="F149" i="1"/>
  <c r="P32" i="3"/>
  <c r="Z32" i="3"/>
  <c r="E150" i="1" a="1"/>
  <c r="C32" i="3" l="1"/>
  <c r="B32" i="3"/>
  <c r="M153" i="3"/>
  <c r="L152" i="3"/>
  <c r="I149" i="1"/>
  <c r="D151" i="1"/>
  <c r="C151" i="1" s="1"/>
  <c r="F150" i="1"/>
  <c r="E150" i="1"/>
  <c r="G150" i="1"/>
  <c r="H150" i="1"/>
  <c r="AA32" i="3"/>
  <c r="E151" i="1" a="1"/>
  <c r="L153" i="3" l="1"/>
  <c r="M154" i="3"/>
  <c r="D152" i="1"/>
  <c r="C152" i="1" s="1"/>
  <c r="F151" i="1"/>
  <c r="E151" i="1"/>
  <c r="G151" i="1"/>
  <c r="H151" i="1"/>
  <c r="I150" i="1"/>
  <c r="Q32" i="3"/>
  <c r="E152" i="1" a="1"/>
  <c r="M155" i="3" l="1"/>
  <c r="L154" i="3"/>
  <c r="D153" i="1"/>
  <c r="C153" i="1" s="1"/>
  <c r="I151" i="1"/>
  <c r="G152" i="1"/>
  <c r="F152" i="1"/>
  <c r="E152" i="1"/>
  <c r="H152" i="1"/>
  <c r="AB32" i="3"/>
  <c r="R32" i="3"/>
  <c r="E153" i="1" a="1"/>
  <c r="L155" i="3" l="1"/>
  <c r="M156" i="3"/>
  <c r="D154" i="1"/>
  <c r="C154" i="1" s="1"/>
  <c r="H153" i="1"/>
  <c r="G153" i="1"/>
  <c r="F153" i="1"/>
  <c r="E153" i="1"/>
  <c r="I152" i="1"/>
  <c r="AC32" i="3"/>
  <c r="S32" i="3"/>
  <c r="E154" i="1" a="1"/>
  <c r="I153" i="1" l="1"/>
  <c r="AD32" i="3"/>
  <c r="AE32" i="3" s="1"/>
  <c r="T32" i="3"/>
  <c r="U32" i="3" s="1"/>
  <c r="L156" i="3"/>
  <c r="M157" i="3"/>
  <c r="D155" i="1"/>
  <c r="C155" i="1" s="1"/>
  <c r="F154" i="1"/>
  <c r="H154" i="1"/>
  <c r="G154" i="1"/>
  <c r="E154" i="1"/>
  <c r="E155" i="1" a="1"/>
  <c r="I154" i="1" l="1"/>
  <c r="M158" i="3"/>
  <c r="L157" i="3"/>
  <c r="N33" i="3"/>
  <c r="O33" i="3"/>
  <c r="X33" i="3"/>
  <c r="Y33" i="3"/>
  <c r="D156" i="1"/>
  <c r="C156" i="1" s="1"/>
  <c r="F155" i="1"/>
  <c r="E155" i="1"/>
  <c r="G155" i="1"/>
  <c r="H155" i="1"/>
  <c r="Z33" i="3"/>
  <c r="P33" i="3"/>
  <c r="E156" i="1" a="1"/>
  <c r="C33" i="3" l="1"/>
  <c r="B33" i="3"/>
  <c r="L158" i="3"/>
  <c r="M159" i="3"/>
  <c r="D157" i="1"/>
  <c r="C157" i="1" s="1"/>
  <c r="I155" i="1"/>
  <c r="E156" i="1"/>
  <c r="G156" i="1"/>
  <c r="H156" i="1"/>
  <c r="F156" i="1"/>
  <c r="AA33" i="3"/>
  <c r="E157" i="1" a="1"/>
  <c r="I156" i="1" l="1"/>
  <c r="M160" i="3"/>
  <c r="L159" i="3"/>
  <c r="D158" i="1"/>
  <c r="C158" i="1" s="1"/>
  <c r="G157" i="1"/>
  <c r="F157" i="1"/>
  <c r="H157" i="1"/>
  <c r="E157" i="1"/>
  <c r="Q33" i="3"/>
  <c r="E158" i="1" a="1"/>
  <c r="M161" i="3" l="1"/>
  <c r="L160" i="3"/>
  <c r="D159" i="1"/>
  <c r="C159" i="1" s="1"/>
  <c r="H158" i="1"/>
  <c r="G158" i="1"/>
  <c r="F158" i="1"/>
  <c r="E158" i="1"/>
  <c r="I157" i="1"/>
  <c r="AB33" i="3"/>
  <c r="R33" i="3"/>
  <c r="E159" i="1" a="1"/>
  <c r="L161" i="3" l="1"/>
  <c r="M162" i="3"/>
  <c r="I158" i="1"/>
  <c r="D160" i="1"/>
  <c r="C160" i="1" s="1"/>
  <c r="H159" i="1"/>
  <c r="G159" i="1"/>
  <c r="F159" i="1"/>
  <c r="E159" i="1"/>
  <c r="AC33" i="3"/>
  <c r="S33" i="3"/>
  <c r="E160" i="1" a="1"/>
  <c r="AD33" i="3" l="1"/>
  <c r="AE33" i="3" s="1"/>
  <c r="T33" i="3"/>
  <c r="U33" i="3" s="1"/>
  <c r="I159" i="1"/>
  <c r="L162" i="3"/>
  <c r="M163" i="3"/>
  <c r="D161" i="1"/>
  <c r="C161" i="1" s="1"/>
  <c r="E160" i="1"/>
  <c r="G160" i="1"/>
  <c r="F160" i="1"/>
  <c r="H160" i="1"/>
  <c r="E161" i="1" a="1"/>
  <c r="M164" i="3" l="1"/>
  <c r="L163" i="3"/>
  <c r="X34" i="3"/>
  <c r="Y34" i="3"/>
  <c r="N34" i="3"/>
  <c r="O34" i="3"/>
  <c r="D162" i="1"/>
  <c r="C162" i="1" s="1"/>
  <c r="F161" i="1"/>
  <c r="E161" i="1"/>
  <c r="G161" i="1"/>
  <c r="H161" i="1"/>
  <c r="I160" i="1"/>
  <c r="Z34" i="3"/>
  <c r="P34" i="3"/>
  <c r="E162" i="1" a="1"/>
  <c r="C34" i="3" l="1"/>
  <c r="B34" i="3"/>
  <c r="M165" i="3"/>
  <c r="L164" i="3"/>
  <c r="D163" i="1"/>
  <c r="C163" i="1" s="1"/>
  <c r="E162" i="1"/>
  <c r="H162" i="1"/>
  <c r="G162" i="1"/>
  <c r="F162" i="1"/>
  <c r="I161" i="1"/>
  <c r="AA34" i="3"/>
  <c r="E163" i="1" a="1"/>
  <c r="I162" i="1" l="1"/>
  <c r="L165" i="3"/>
  <c r="M166" i="3"/>
  <c r="D164" i="1"/>
  <c r="C164" i="1" s="1"/>
  <c r="G163" i="1"/>
  <c r="F163" i="1"/>
  <c r="E163" i="1"/>
  <c r="H163" i="1"/>
  <c r="Q34" i="3"/>
  <c r="E164" i="1" a="1"/>
  <c r="M167" i="3" l="1"/>
  <c r="L166" i="3"/>
  <c r="D165" i="1"/>
  <c r="C165" i="1" s="1"/>
  <c r="G164" i="1"/>
  <c r="F164" i="1"/>
  <c r="E164" i="1"/>
  <c r="H164" i="1"/>
  <c r="I163" i="1"/>
  <c r="AB34" i="3"/>
  <c r="R34" i="3"/>
  <c r="E165" i="1" a="1"/>
  <c r="L167" i="3" l="1"/>
  <c r="M168" i="3"/>
  <c r="D166" i="1"/>
  <c r="C166" i="1" s="1"/>
  <c r="H165" i="1"/>
  <c r="G165" i="1"/>
  <c r="E165" i="1"/>
  <c r="F165" i="1"/>
  <c r="I164" i="1"/>
  <c r="AC34" i="3"/>
  <c r="S34" i="3"/>
  <c r="E166" i="1" a="1"/>
  <c r="I165" i="1" l="1"/>
  <c r="AD34" i="3"/>
  <c r="AE34" i="3" s="1"/>
  <c r="T34" i="3"/>
  <c r="U34" i="3" s="1"/>
  <c r="M169" i="3"/>
  <c r="L168" i="3"/>
  <c r="D167" i="1"/>
  <c r="C167" i="1" s="1"/>
  <c r="F166" i="1"/>
  <c r="E166" i="1"/>
  <c r="H166" i="1"/>
  <c r="G166" i="1"/>
  <c r="E167" i="1" a="1"/>
  <c r="I166" i="1" l="1"/>
  <c r="M170" i="3"/>
  <c r="L169" i="3"/>
  <c r="N35" i="3"/>
  <c r="O35" i="3"/>
  <c r="X35" i="3"/>
  <c r="Y35" i="3"/>
  <c r="D168" i="1"/>
  <c r="C168" i="1" s="1"/>
  <c r="E167" i="1"/>
  <c r="H167" i="1"/>
  <c r="F167" i="1"/>
  <c r="G167" i="1"/>
  <c r="Z35" i="3"/>
  <c r="P35" i="3"/>
  <c r="E168" i="1" a="1"/>
  <c r="C35" i="3" l="1"/>
  <c r="B35" i="3"/>
  <c r="L170" i="3"/>
  <c r="M171" i="3"/>
  <c r="I167" i="1"/>
  <c r="D169" i="1"/>
  <c r="C169" i="1" s="1"/>
  <c r="E168" i="1"/>
  <c r="F168" i="1"/>
  <c r="G168" i="1"/>
  <c r="H168" i="1"/>
  <c r="AA35" i="3"/>
  <c r="E169" i="1" a="1"/>
  <c r="L171" i="3" l="1"/>
  <c r="M172" i="3"/>
  <c r="D170" i="1"/>
  <c r="C170" i="1" s="1"/>
  <c r="G169" i="1"/>
  <c r="F169" i="1"/>
  <c r="E169" i="1"/>
  <c r="H169" i="1"/>
  <c r="I168" i="1"/>
  <c r="Q35" i="3"/>
  <c r="E170" i="1" a="1"/>
  <c r="L172" i="3" l="1"/>
  <c r="M173" i="3"/>
  <c r="D171" i="1"/>
  <c r="C171" i="1" s="1"/>
  <c r="I169" i="1"/>
  <c r="H170" i="1"/>
  <c r="G170" i="1"/>
  <c r="F170" i="1"/>
  <c r="E170" i="1"/>
  <c r="AB35" i="3"/>
  <c r="R35" i="3"/>
  <c r="E171" i="1" a="1"/>
  <c r="I170" i="1" l="1"/>
  <c r="L173" i="3"/>
  <c r="M174" i="3"/>
  <c r="D172" i="1"/>
  <c r="C172" i="1" s="1"/>
  <c r="H171" i="1"/>
  <c r="G171" i="1"/>
  <c r="F171" i="1"/>
  <c r="E171" i="1"/>
  <c r="AC35" i="3"/>
  <c r="S35" i="3"/>
  <c r="E172" i="1" a="1"/>
  <c r="AD35" i="3" l="1"/>
  <c r="AE35" i="3" s="1"/>
  <c r="T35" i="3"/>
  <c r="U35" i="3" s="1"/>
  <c r="I171" i="1"/>
  <c r="M175" i="3"/>
  <c r="L174" i="3"/>
  <c r="D173" i="1"/>
  <c r="C173" i="1" s="1"/>
  <c r="E172" i="1"/>
  <c r="H172" i="1"/>
  <c r="F172" i="1"/>
  <c r="G172" i="1"/>
  <c r="E173" i="1" a="1"/>
  <c r="I172" i="1" l="1"/>
  <c r="M176" i="3"/>
  <c r="L175" i="3"/>
  <c r="N36" i="3"/>
  <c r="O36" i="3"/>
  <c r="X36" i="3"/>
  <c r="Y36" i="3"/>
  <c r="D174" i="1"/>
  <c r="C174" i="1" s="1"/>
  <c r="G173" i="1"/>
  <c r="F173" i="1"/>
  <c r="E173" i="1"/>
  <c r="H173" i="1"/>
  <c r="P36" i="3"/>
  <c r="Z36" i="3"/>
  <c r="E174" i="1" a="1"/>
  <c r="C36" i="3" l="1"/>
  <c r="B36" i="3"/>
  <c r="M177" i="3"/>
  <c r="L176" i="3"/>
  <c r="D175" i="1"/>
  <c r="C175" i="1" s="1"/>
  <c r="E174" i="1"/>
  <c r="H174" i="1"/>
  <c r="G174" i="1"/>
  <c r="F174" i="1"/>
  <c r="I173" i="1"/>
  <c r="AA36" i="3"/>
  <c r="E175" i="1" a="1"/>
  <c r="I174" i="1" l="1"/>
  <c r="L177" i="3"/>
  <c r="M178" i="3"/>
  <c r="D176" i="1"/>
  <c r="C176" i="1" s="1"/>
  <c r="G175" i="1"/>
  <c r="F175" i="1"/>
  <c r="E175" i="1"/>
  <c r="H175" i="1"/>
  <c r="Q36" i="3"/>
  <c r="E176" i="1" a="1"/>
  <c r="L178" i="3" l="1"/>
  <c r="M179" i="3"/>
  <c r="D177" i="1"/>
  <c r="C177" i="1" s="1"/>
  <c r="G176" i="1"/>
  <c r="F176" i="1"/>
  <c r="E176" i="1"/>
  <c r="H176" i="1"/>
  <c r="I175" i="1"/>
  <c r="AB36" i="3"/>
  <c r="R36" i="3"/>
  <c r="E177" i="1" a="1"/>
  <c r="L179" i="3" l="1"/>
  <c r="M180" i="3"/>
  <c r="D178" i="1"/>
  <c r="C178" i="1" s="1"/>
  <c r="H177" i="1"/>
  <c r="G177" i="1"/>
  <c r="F177" i="1"/>
  <c r="E177" i="1"/>
  <c r="I176" i="1"/>
  <c r="AC36" i="3"/>
  <c r="S36" i="3"/>
  <c r="E178" i="1" a="1"/>
  <c r="I177" i="1" l="1"/>
  <c r="AD36" i="3"/>
  <c r="AE36" i="3" s="1"/>
  <c r="T36" i="3"/>
  <c r="U36" i="3" s="1"/>
  <c r="L180" i="3"/>
  <c r="M181" i="3"/>
  <c r="D179" i="1"/>
  <c r="C179" i="1" s="1"/>
  <c r="E178" i="1"/>
  <c r="H178" i="1"/>
  <c r="G178" i="1"/>
  <c r="F178" i="1"/>
  <c r="E179" i="1" a="1"/>
  <c r="I178" i="1" l="1"/>
  <c r="M182" i="3"/>
  <c r="L181" i="3"/>
  <c r="N37" i="3"/>
  <c r="O37" i="3"/>
  <c r="X37" i="3"/>
  <c r="Y37" i="3"/>
  <c r="D180" i="1"/>
  <c r="C180" i="1" s="1"/>
  <c r="E179" i="1"/>
  <c r="H179" i="1"/>
  <c r="G179" i="1"/>
  <c r="F179" i="1"/>
  <c r="Z37" i="3"/>
  <c r="P37" i="3"/>
  <c r="E180" i="1" a="1"/>
  <c r="C37" i="3" l="1"/>
  <c r="B37" i="3"/>
  <c r="L182" i="3"/>
  <c r="M183" i="3"/>
  <c r="I179" i="1"/>
  <c r="D181" i="1"/>
  <c r="C181" i="1" s="1"/>
  <c r="F180" i="1"/>
  <c r="E180" i="1"/>
  <c r="H180" i="1"/>
  <c r="G180" i="1"/>
  <c r="AA37" i="3"/>
  <c r="E181" i="1" a="1"/>
  <c r="I180" i="1" l="1"/>
  <c r="L183" i="3"/>
  <c r="M184" i="3"/>
  <c r="D182" i="1"/>
  <c r="C182" i="1" s="1"/>
  <c r="F181" i="1"/>
  <c r="E181" i="1"/>
  <c r="G181" i="1"/>
  <c r="H181" i="1"/>
  <c r="Q37" i="3"/>
  <c r="E182" i="1" a="1"/>
  <c r="M185" i="3" l="1"/>
  <c r="L184" i="3"/>
  <c r="D183" i="1"/>
  <c r="C183" i="1" s="1"/>
  <c r="I181" i="1"/>
  <c r="H182" i="1"/>
  <c r="G182" i="1"/>
  <c r="F182" i="1"/>
  <c r="E182" i="1"/>
  <c r="AB37" i="3"/>
  <c r="R37" i="3"/>
  <c r="E183" i="1" a="1"/>
  <c r="L185" i="3" l="1"/>
  <c r="M186" i="3"/>
  <c r="I182" i="1"/>
  <c r="D184" i="1"/>
  <c r="C184" i="1" s="1"/>
  <c r="H183" i="1"/>
  <c r="G183" i="1"/>
  <c r="F183" i="1"/>
  <c r="E183" i="1"/>
  <c r="AC37" i="3"/>
  <c r="S37" i="3"/>
  <c r="E184" i="1" a="1"/>
  <c r="I183" i="1" l="1"/>
  <c r="AD37" i="3"/>
  <c r="AE37" i="3" s="1"/>
  <c r="T37" i="3"/>
  <c r="U37" i="3" s="1"/>
  <c r="M187" i="3"/>
  <c r="L186" i="3"/>
  <c r="D185" i="1"/>
  <c r="C185" i="1" s="1"/>
  <c r="E184" i="1"/>
  <c r="H184" i="1"/>
  <c r="G184" i="1"/>
  <c r="F184" i="1"/>
  <c r="E185" i="1" a="1"/>
  <c r="I184" i="1" l="1"/>
  <c r="L187" i="3"/>
  <c r="M188" i="3"/>
  <c r="X38" i="3"/>
  <c r="Y38" i="3"/>
  <c r="N38" i="3"/>
  <c r="O38" i="3"/>
  <c r="D186" i="1"/>
  <c r="C186" i="1" s="1"/>
  <c r="F185" i="1"/>
  <c r="H185" i="1"/>
  <c r="E185" i="1"/>
  <c r="G185" i="1"/>
  <c r="P38" i="3"/>
  <c r="Z38" i="3"/>
  <c r="E186" i="1" a="1"/>
  <c r="C38" i="3" l="1"/>
  <c r="B38" i="3"/>
  <c r="L188" i="3"/>
  <c r="M189" i="3"/>
  <c r="I185" i="1"/>
  <c r="D187" i="1"/>
  <c r="C187" i="1" s="1"/>
  <c r="E186" i="1"/>
  <c r="H186" i="1"/>
  <c r="G186" i="1"/>
  <c r="F186" i="1"/>
  <c r="AA38" i="3"/>
  <c r="E187" i="1" a="1"/>
  <c r="M190" i="3" l="1"/>
  <c r="L189" i="3"/>
  <c r="D188" i="1"/>
  <c r="C188" i="1" s="1"/>
  <c r="G187" i="1"/>
  <c r="F187" i="1"/>
  <c r="E187" i="1"/>
  <c r="H187" i="1"/>
  <c r="I186" i="1"/>
  <c r="Q38" i="3"/>
  <c r="E188" i="1" a="1"/>
  <c r="L190" i="3" l="1"/>
  <c r="M191" i="3"/>
  <c r="D189" i="1"/>
  <c r="C189" i="1" s="1"/>
  <c r="H188" i="1"/>
  <c r="G188" i="1"/>
  <c r="F188" i="1"/>
  <c r="E188" i="1"/>
  <c r="I187" i="1"/>
  <c r="AB38" i="3"/>
  <c r="R38" i="3"/>
  <c r="E189" i="1" a="1"/>
  <c r="M192" i="3" l="1"/>
  <c r="L191" i="3"/>
  <c r="I188" i="1"/>
  <c r="D190" i="1"/>
  <c r="C190" i="1" s="1"/>
  <c r="H189" i="1"/>
  <c r="G189" i="1"/>
  <c r="F189" i="1"/>
  <c r="E189" i="1"/>
  <c r="AC38" i="3"/>
  <c r="S38" i="3"/>
  <c r="E190" i="1" a="1"/>
  <c r="AD38" i="3" l="1"/>
  <c r="AE38" i="3" s="1"/>
  <c r="T38" i="3"/>
  <c r="U38" i="3" s="1"/>
  <c r="L192" i="3"/>
  <c r="M193" i="3"/>
  <c r="D191" i="1"/>
  <c r="C191" i="1" s="1"/>
  <c r="G190" i="1"/>
  <c r="H190" i="1"/>
  <c r="F190" i="1"/>
  <c r="E190" i="1"/>
  <c r="I189" i="1"/>
  <c r="E191" i="1" a="1"/>
  <c r="M194" i="3" l="1"/>
  <c r="L193" i="3"/>
  <c r="X39" i="3"/>
  <c r="Y39" i="3"/>
  <c r="N39" i="3"/>
  <c r="O39" i="3"/>
  <c r="D192" i="1"/>
  <c r="C192" i="1" s="1"/>
  <c r="E191" i="1"/>
  <c r="H191" i="1"/>
  <c r="G191" i="1"/>
  <c r="F191" i="1"/>
  <c r="I190" i="1"/>
  <c r="P39" i="3"/>
  <c r="Z39" i="3"/>
  <c r="E192" i="1" a="1"/>
  <c r="C39" i="3" l="1"/>
  <c r="B39" i="3"/>
  <c r="M195" i="3"/>
  <c r="L194" i="3"/>
  <c r="I191" i="1"/>
  <c r="D193" i="1"/>
  <c r="C193" i="1" s="1"/>
  <c r="F192" i="1"/>
  <c r="E192" i="1"/>
  <c r="H192" i="1"/>
  <c r="G192" i="1"/>
  <c r="AA39" i="3"/>
  <c r="E193" i="1" a="1"/>
  <c r="L195" i="3" l="1"/>
  <c r="M196" i="3"/>
  <c r="I192" i="1"/>
  <c r="D194" i="1"/>
  <c r="C194" i="1" s="1"/>
  <c r="H193" i="1"/>
  <c r="G193" i="1"/>
  <c r="F193" i="1"/>
  <c r="E193" i="1"/>
  <c r="Q39" i="3"/>
  <c r="E194" i="1" a="1"/>
  <c r="I193" i="1" l="1"/>
  <c r="L196" i="3"/>
  <c r="M197" i="3"/>
  <c r="D195" i="1"/>
  <c r="C195" i="1" s="1"/>
  <c r="H194" i="1"/>
  <c r="G194" i="1"/>
  <c r="F194" i="1"/>
  <c r="E194" i="1"/>
  <c r="AB39" i="3"/>
  <c r="R39" i="3"/>
  <c r="E195" i="1" a="1"/>
  <c r="I194" i="1" l="1"/>
  <c r="L197" i="3"/>
  <c r="M198" i="3"/>
  <c r="D196" i="1"/>
  <c r="C196" i="1" s="1"/>
  <c r="H195" i="1"/>
  <c r="G195" i="1"/>
  <c r="I195" i="1" s="1"/>
  <c r="F195" i="1"/>
  <c r="E195" i="1"/>
  <c r="AC39" i="3"/>
  <c r="S39" i="3"/>
  <c r="E196" i="1" a="1"/>
  <c r="AD39" i="3" l="1"/>
  <c r="AE39" i="3" s="1"/>
  <c r="T39" i="3"/>
  <c r="U39" i="3" s="1"/>
  <c r="L198" i="3"/>
  <c r="M199" i="3"/>
  <c r="D197" i="1"/>
  <c r="C197" i="1" s="1"/>
  <c r="F196" i="1"/>
  <c r="G196" i="1"/>
  <c r="E196" i="1"/>
  <c r="H196" i="1"/>
  <c r="E197" i="1" a="1"/>
  <c r="L199" i="3" l="1"/>
  <c r="M200" i="3"/>
  <c r="X40" i="3"/>
  <c r="Y40" i="3"/>
  <c r="N40" i="3"/>
  <c r="O40" i="3"/>
  <c r="I196" i="1"/>
  <c r="D198" i="1"/>
  <c r="C198" i="1" s="1"/>
  <c r="E197" i="1"/>
  <c r="H197" i="1"/>
  <c r="F197" i="1"/>
  <c r="G197" i="1"/>
  <c r="Z40" i="3"/>
  <c r="P40" i="3"/>
  <c r="E198" i="1" a="1"/>
  <c r="C40" i="3" l="1"/>
  <c r="B40" i="3"/>
  <c r="L200" i="3"/>
  <c r="M201" i="3"/>
  <c r="I197" i="1"/>
  <c r="D199" i="1"/>
  <c r="C199" i="1" s="1"/>
  <c r="F198" i="1"/>
  <c r="G198" i="1"/>
  <c r="E198" i="1"/>
  <c r="H198" i="1"/>
  <c r="AA40" i="3"/>
  <c r="E199" i="1" a="1"/>
  <c r="L201" i="3" l="1"/>
  <c r="M202" i="3"/>
  <c r="I198" i="1"/>
  <c r="D200" i="1"/>
  <c r="C200" i="1" s="1"/>
  <c r="H199" i="1"/>
  <c r="G199" i="1"/>
  <c r="F199" i="1"/>
  <c r="E199" i="1"/>
  <c r="Q40" i="3"/>
  <c r="E200" i="1" a="1"/>
  <c r="I199" i="1" l="1"/>
  <c r="M203" i="3"/>
  <c r="L202" i="3"/>
  <c r="D201" i="1"/>
  <c r="C201" i="1" s="1"/>
  <c r="G200" i="1"/>
  <c r="F200" i="1"/>
  <c r="E200" i="1"/>
  <c r="H200" i="1"/>
  <c r="AB40" i="3"/>
  <c r="R40" i="3"/>
  <c r="E201" i="1" a="1"/>
  <c r="L203" i="3" l="1"/>
  <c r="M204" i="3"/>
  <c r="D202" i="1"/>
  <c r="C202" i="1" s="1"/>
  <c r="H201" i="1"/>
  <c r="G201" i="1"/>
  <c r="F201" i="1"/>
  <c r="E201" i="1"/>
  <c r="I200" i="1"/>
  <c r="AC40" i="3"/>
  <c r="S40" i="3"/>
  <c r="E202" i="1" a="1"/>
  <c r="AD40" i="3" l="1"/>
  <c r="AE40" i="3" s="1"/>
  <c r="T40" i="3"/>
  <c r="U40" i="3" s="1"/>
  <c r="I201" i="1"/>
  <c r="L204" i="3"/>
  <c r="M205" i="3"/>
  <c r="D203" i="1"/>
  <c r="C203" i="1" s="1"/>
  <c r="G202" i="1"/>
  <c r="H202" i="1"/>
  <c r="F202" i="1"/>
  <c r="E202" i="1"/>
  <c r="E203" i="1" a="1"/>
  <c r="M206" i="3" l="1"/>
  <c r="L205" i="3"/>
  <c r="N41" i="3"/>
  <c r="O41" i="3"/>
  <c r="X41" i="3"/>
  <c r="Y41" i="3"/>
  <c r="I202" i="1"/>
  <c r="D204" i="1"/>
  <c r="C204" i="1" s="1"/>
  <c r="E203" i="1"/>
  <c r="H203" i="1"/>
  <c r="G203" i="1"/>
  <c r="F203" i="1"/>
  <c r="Z41" i="3"/>
  <c r="P41" i="3"/>
  <c r="E204" i="1" a="1"/>
  <c r="C41" i="3" l="1"/>
  <c r="B41" i="3"/>
  <c r="L206" i="3"/>
  <c r="M207" i="3"/>
  <c r="I203" i="1"/>
  <c r="D205" i="1"/>
  <c r="C205" i="1" s="1"/>
  <c r="F204" i="1"/>
  <c r="H204" i="1"/>
  <c r="E204" i="1"/>
  <c r="G204" i="1"/>
  <c r="AA41" i="3"/>
  <c r="E205" i="1" a="1"/>
  <c r="L207" i="3" l="1"/>
  <c r="M208" i="3"/>
  <c r="I204" i="1"/>
  <c r="D206" i="1"/>
  <c r="C206" i="1" s="1"/>
  <c r="F205" i="1"/>
  <c r="E205" i="1"/>
  <c r="H205" i="1"/>
  <c r="G205" i="1"/>
  <c r="Q41" i="3"/>
  <c r="E206" i="1" a="1"/>
  <c r="L208" i="3" l="1"/>
  <c r="M209" i="3"/>
  <c r="D207" i="1"/>
  <c r="C207" i="1" s="1"/>
  <c r="G206" i="1"/>
  <c r="H206" i="1"/>
  <c r="F206" i="1"/>
  <c r="E206" i="1"/>
  <c r="I205" i="1"/>
  <c r="AB41" i="3"/>
  <c r="R41" i="3"/>
  <c r="E207" i="1" a="1"/>
  <c r="L209" i="3" l="1"/>
  <c r="M210" i="3"/>
  <c r="D208" i="1"/>
  <c r="C208" i="1" s="1"/>
  <c r="H207" i="1"/>
  <c r="G207" i="1"/>
  <c r="I207" i="1" s="1"/>
  <c r="F207" i="1"/>
  <c r="E207" i="1"/>
  <c r="I206" i="1"/>
  <c r="AC41" i="3"/>
  <c r="S41" i="3"/>
  <c r="E208" i="1" a="1"/>
  <c r="AD41" i="3" l="1"/>
  <c r="AE41" i="3" s="1"/>
  <c r="T41" i="3"/>
  <c r="U41" i="3" s="1"/>
  <c r="M211" i="3"/>
  <c r="L210" i="3"/>
  <c r="D209" i="1"/>
  <c r="C209" i="1" s="1"/>
  <c r="G208" i="1"/>
  <c r="E208" i="1"/>
  <c r="F208" i="1"/>
  <c r="H208" i="1"/>
  <c r="E209" i="1" a="1"/>
  <c r="M212" i="3" l="1"/>
  <c r="L211" i="3"/>
  <c r="X42" i="3"/>
  <c r="Y42" i="3"/>
  <c r="N42" i="3"/>
  <c r="O42" i="3"/>
  <c r="D210" i="1"/>
  <c r="C210" i="1" s="1"/>
  <c r="F209" i="1"/>
  <c r="H209" i="1"/>
  <c r="E209" i="1"/>
  <c r="G209" i="1"/>
  <c r="I208" i="1"/>
  <c r="P42" i="3"/>
  <c r="Z42" i="3"/>
  <c r="E210" i="1" a="1"/>
  <c r="C42" i="3" l="1"/>
  <c r="B42" i="3"/>
  <c r="L212" i="3"/>
  <c r="M213" i="3"/>
  <c r="I209" i="1"/>
  <c r="D211" i="1"/>
  <c r="C211" i="1" s="1"/>
  <c r="G210" i="1"/>
  <c r="E210" i="1"/>
  <c r="H210" i="1"/>
  <c r="F210" i="1"/>
  <c r="AA42" i="3"/>
  <c r="E211" i="1" a="1"/>
  <c r="L213" i="3" l="1"/>
  <c r="M214" i="3"/>
  <c r="D212" i="1"/>
  <c r="C212" i="1" s="1"/>
  <c r="G211" i="1"/>
  <c r="E211" i="1"/>
  <c r="F211" i="1"/>
  <c r="H211" i="1"/>
  <c r="I210" i="1"/>
  <c r="Q42" i="3"/>
  <c r="E212" i="1" a="1"/>
  <c r="M215" i="3" l="1"/>
  <c r="L214" i="3"/>
  <c r="D213" i="1"/>
  <c r="C213" i="1" s="1"/>
  <c r="H212" i="1"/>
  <c r="G212" i="1"/>
  <c r="F212" i="1"/>
  <c r="E212" i="1"/>
  <c r="I211" i="1"/>
  <c r="AB42" i="3"/>
  <c r="R42" i="3"/>
  <c r="E213" i="1" a="1"/>
  <c r="L215" i="3" l="1"/>
  <c r="M216" i="3"/>
  <c r="I212" i="1"/>
  <c r="D214" i="1"/>
  <c r="C214" i="1" s="1"/>
  <c r="H213" i="1"/>
  <c r="F213" i="1"/>
  <c r="E213" i="1"/>
  <c r="G213" i="1"/>
  <c r="AC42" i="3"/>
  <c r="S42" i="3"/>
  <c r="E214" i="1" a="1"/>
  <c r="AD42" i="3" l="1"/>
  <c r="AE42" i="3" s="1"/>
  <c r="T42" i="3"/>
  <c r="U42" i="3" s="1"/>
  <c r="L216" i="3"/>
  <c r="M217" i="3"/>
  <c r="I213" i="1"/>
  <c r="D215" i="1"/>
  <c r="C215" i="1" s="1"/>
  <c r="F214" i="1"/>
  <c r="E214" i="1"/>
  <c r="H214" i="1"/>
  <c r="G214" i="1"/>
  <c r="E215" i="1" a="1"/>
  <c r="I214" i="1" l="1"/>
  <c r="M218" i="3"/>
  <c r="L217" i="3"/>
  <c r="X43" i="3"/>
  <c r="Y43" i="3"/>
  <c r="N43" i="3"/>
  <c r="O43" i="3"/>
  <c r="D216" i="1"/>
  <c r="C216" i="1" s="1"/>
  <c r="F215" i="1"/>
  <c r="E215" i="1"/>
  <c r="H215" i="1"/>
  <c r="G215" i="1"/>
  <c r="P43" i="3"/>
  <c r="Z43" i="3"/>
  <c r="E216" i="1" a="1"/>
  <c r="C43" i="3" l="1"/>
  <c r="B43" i="3"/>
  <c r="M219" i="3"/>
  <c r="L218" i="3"/>
  <c r="I215" i="1"/>
  <c r="D217" i="1"/>
  <c r="C217" i="1" s="1"/>
  <c r="F216" i="1"/>
  <c r="E216" i="1"/>
  <c r="H216" i="1"/>
  <c r="G216" i="1"/>
  <c r="AA43" i="3"/>
  <c r="E217" i="1" a="1"/>
  <c r="L219" i="3" l="1"/>
  <c r="M220" i="3"/>
  <c r="I216" i="1"/>
  <c r="D218" i="1"/>
  <c r="C218" i="1" s="1"/>
  <c r="E217" i="1"/>
  <c r="F217" i="1"/>
  <c r="H217" i="1"/>
  <c r="G217" i="1"/>
  <c r="Q43" i="3"/>
  <c r="E218" i="1" a="1"/>
  <c r="M221" i="3" l="1"/>
  <c r="L220" i="3"/>
  <c r="D219" i="1"/>
  <c r="C219" i="1" s="1"/>
  <c r="I217" i="1"/>
  <c r="F218" i="1"/>
  <c r="E218" i="1"/>
  <c r="G218" i="1"/>
  <c r="H218" i="1"/>
  <c r="AB43" i="3"/>
  <c r="R43" i="3"/>
  <c r="E219" i="1" a="1"/>
  <c r="M222" i="3" l="1"/>
  <c r="L221" i="3"/>
  <c r="D220" i="1"/>
  <c r="C220" i="1" s="1"/>
  <c r="I218" i="1"/>
  <c r="H219" i="1"/>
  <c r="G219" i="1"/>
  <c r="F219" i="1"/>
  <c r="E219" i="1"/>
  <c r="AC43" i="3"/>
  <c r="S43" i="3"/>
  <c r="E220" i="1" a="1"/>
  <c r="AD43" i="3" l="1"/>
  <c r="AE43" i="3" s="1"/>
  <c r="T43" i="3"/>
  <c r="U43" i="3" s="1"/>
  <c r="L222" i="3"/>
  <c r="M223" i="3"/>
  <c r="I219" i="1"/>
  <c r="D221" i="1"/>
  <c r="C221" i="1" s="1"/>
  <c r="F220" i="1"/>
  <c r="E220" i="1"/>
  <c r="G220" i="1"/>
  <c r="H220" i="1"/>
  <c r="E221" i="1" a="1"/>
  <c r="M224" i="3" l="1"/>
  <c r="L223" i="3"/>
  <c r="X44" i="3"/>
  <c r="Y44" i="3"/>
  <c r="N44" i="3"/>
  <c r="O44" i="3"/>
  <c r="D222" i="1"/>
  <c r="C222" i="1" s="1"/>
  <c r="E221" i="1"/>
  <c r="F221" i="1"/>
  <c r="H221" i="1"/>
  <c r="G221" i="1"/>
  <c r="I220" i="1"/>
  <c r="Z44" i="3"/>
  <c r="P44" i="3"/>
  <c r="E222" i="1" a="1"/>
  <c r="C44" i="3" l="1"/>
  <c r="B44" i="3"/>
  <c r="L224" i="3"/>
  <c r="M225" i="3"/>
  <c r="D223" i="1"/>
  <c r="C223" i="1" s="1"/>
  <c r="I221" i="1"/>
  <c r="E222" i="1"/>
  <c r="H222" i="1"/>
  <c r="G222" i="1"/>
  <c r="F222" i="1"/>
  <c r="AA44" i="3"/>
  <c r="E223" i="1" a="1"/>
  <c r="M226" i="3" l="1"/>
  <c r="L225" i="3"/>
  <c r="D224" i="1"/>
  <c r="C224" i="1" s="1"/>
  <c r="G223" i="1"/>
  <c r="F223" i="1"/>
  <c r="E223" i="1"/>
  <c r="H223" i="1"/>
  <c r="I222" i="1"/>
  <c r="Q44" i="3"/>
  <c r="E224" i="1" a="1"/>
  <c r="L226" i="3" l="1"/>
  <c r="M227" i="3"/>
  <c r="D225" i="1"/>
  <c r="C225" i="1" s="1"/>
  <c r="G224" i="1"/>
  <c r="H224" i="1"/>
  <c r="E224" i="1"/>
  <c r="F224" i="1"/>
  <c r="I223" i="1"/>
  <c r="AB44" i="3"/>
  <c r="R44" i="3"/>
  <c r="E225" i="1" a="1"/>
  <c r="M228" i="3" l="1"/>
  <c r="L227" i="3"/>
  <c r="D226" i="1"/>
  <c r="C226" i="1" s="1"/>
  <c r="H225" i="1"/>
  <c r="E225" i="1"/>
  <c r="G225" i="1"/>
  <c r="F225" i="1"/>
  <c r="I224" i="1"/>
  <c r="AC44" i="3"/>
  <c r="S44" i="3"/>
  <c r="E226" i="1" a="1"/>
  <c r="AD44" i="3" l="1"/>
  <c r="AE44" i="3" s="1"/>
  <c r="T44" i="3"/>
  <c r="U44" i="3" s="1"/>
  <c r="I225" i="1"/>
  <c r="M229" i="3"/>
  <c r="L228" i="3"/>
  <c r="D227" i="1"/>
  <c r="C227" i="1" s="1"/>
  <c r="E226" i="1"/>
  <c r="H226" i="1"/>
  <c r="F226" i="1"/>
  <c r="G226" i="1"/>
  <c r="E227" i="1" a="1"/>
  <c r="L229" i="3" l="1"/>
  <c r="M230" i="3"/>
  <c r="N45" i="3"/>
  <c r="O45" i="3"/>
  <c r="X45" i="3"/>
  <c r="Y45" i="3"/>
  <c r="I226" i="1"/>
  <c r="D228" i="1"/>
  <c r="C228" i="1" s="1"/>
  <c r="E227" i="1"/>
  <c r="F227" i="1"/>
  <c r="H227" i="1"/>
  <c r="G227" i="1"/>
  <c r="Z45" i="3"/>
  <c r="P45" i="3"/>
  <c r="E228" i="1" a="1"/>
  <c r="C45" i="3" l="1"/>
  <c r="B45" i="3"/>
  <c r="M231" i="3"/>
  <c r="L230" i="3"/>
  <c r="D229" i="1"/>
  <c r="C229" i="1" s="1"/>
  <c r="I227" i="1"/>
  <c r="F228" i="1"/>
  <c r="E228" i="1"/>
  <c r="G228" i="1"/>
  <c r="H228" i="1"/>
  <c r="AA45" i="3"/>
  <c r="E229" i="1" a="1"/>
  <c r="M232" i="3" l="1"/>
  <c r="L231" i="3"/>
  <c r="D230" i="1"/>
  <c r="C230" i="1" s="1"/>
  <c r="I228" i="1"/>
  <c r="H229" i="1"/>
  <c r="F229" i="1"/>
  <c r="E229" i="1"/>
  <c r="G229" i="1"/>
  <c r="Q45" i="3"/>
  <c r="E230" i="1" a="1"/>
  <c r="M233" i="3" l="1"/>
  <c r="L232" i="3"/>
  <c r="I229" i="1"/>
  <c r="D231" i="1"/>
  <c r="C231" i="1" s="1"/>
  <c r="G230" i="1"/>
  <c r="F230" i="1"/>
  <c r="E230" i="1"/>
  <c r="H230" i="1"/>
  <c r="AB45" i="3"/>
  <c r="R45" i="3"/>
  <c r="E231" i="1" a="1"/>
  <c r="L233" i="3" l="1"/>
  <c r="M234" i="3"/>
  <c r="D232" i="1"/>
  <c r="C232" i="1" s="1"/>
  <c r="H231" i="1"/>
  <c r="G231" i="1"/>
  <c r="I231" i="1" s="1"/>
  <c r="F231" i="1"/>
  <c r="E231" i="1"/>
  <c r="I230" i="1"/>
  <c r="AC45" i="3"/>
  <c r="S45" i="3"/>
  <c r="E232" i="1" a="1"/>
  <c r="AD45" i="3" l="1"/>
  <c r="AE45" i="3" s="1"/>
  <c r="T45" i="3"/>
  <c r="U45" i="3" s="1"/>
  <c r="M235" i="3"/>
  <c r="L234" i="3"/>
  <c r="D233" i="1"/>
  <c r="C233" i="1" s="1"/>
  <c r="F232" i="1"/>
  <c r="G232" i="1"/>
  <c r="H232" i="1"/>
  <c r="E232" i="1"/>
  <c r="E233" i="1" a="1"/>
  <c r="L235" i="3" l="1"/>
  <c r="M236" i="3"/>
  <c r="N46" i="3"/>
  <c r="O46" i="3"/>
  <c r="X46" i="3"/>
  <c r="Y46" i="3"/>
  <c r="D234" i="1"/>
  <c r="C234" i="1" s="1"/>
  <c r="F233" i="1"/>
  <c r="G233" i="1"/>
  <c r="H233" i="1"/>
  <c r="E233" i="1"/>
  <c r="I232" i="1"/>
  <c r="Z46" i="3"/>
  <c r="P46" i="3"/>
  <c r="E234" i="1" a="1"/>
  <c r="C46" i="3" l="1"/>
  <c r="B46" i="3"/>
  <c r="M237" i="3"/>
  <c r="L236" i="3"/>
  <c r="D235" i="1"/>
  <c r="C235" i="1" s="1"/>
  <c r="H234" i="1"/>
  <c r="F234" i="1"/>
  <c r="G234" i="1"/>
  <c r="E234" i="1"/>
  <c r="I233" i="1"/>
  <c r="AA46" i="3"/>
  <c r="E235" i="1" a="1"/>
  <c r="L237" i="3" l="1"/>
  <c r="M238" i="3"/>
  <c r="D236" i="1"/>
  <c r="C236" i="1" s="1"/>
  <c r="G235" i="1"/>
  <c r="F235" i="1"/>
  <c r="E235" i="1"/>
  <c r="H235" i="1"/>
  <c r="I234" i="1"/>
  <c r="Q46" i="3"/>
  <c r="E236" i="1" a="1"/>
  <c r="M239" i="3" l="1"/>
  <c r="L238" i="3"/>
  <c r="D237" i="1"/>
  <c r="C237" i="1" s="1"/>
  <c r="I235" i="1"/>
  <c r="H236" i="1"/>
  <c r="G236" i="1"/>
  <c r="F236" i="1"/>
  <c r="E236" i="1"/>
  <c r="AB46" i="3"/>
  <c r="R46" i="3"/>
  <c r="E237" i="1" a="1"/>
  <c r="I236" i="1" l="1"/>
  <c r="L239" i="3"/>
  <c r="M240" i="3"/>
  <c r="D238" i="1"/>
  <c r="C238" i="1" s="1"/>
  <c r="H237" i="1"/>
  <c r="F237" i="1"/>
  <c r="E237" i="1"/>
  <c r="G237" i="1"/>
  <c r="AC46" i="3"/>
  <c r="S46" i="3"/>
  <c r="E238" i="1" a="1"/>
  <c r="AD46" i="3" l="1"/>
  <c r="AE46" i="3" s="1"/>
  <c r="T46" i="3"/>
  <c r="U46" i="3" s="1"/>
  <c r="L240" i="3"/>
  <c r="M241" i="3"/>
  <c r="I237" i="1"/>
  <c r="D239" i="1"/>
  <c r="C239" i="1" s="1"/>
  <c r="E238" i="1"/>
  <c r="H238" i="1"/>
  <c r="G238" i="1"/>
  <c r="F238" i="1"/>
  <c r="E239" i="1" a="1"/>
  <c r="I238" i="1" l="1"/>
  <c r="L241" i="3"/>
  <c r="M242" i="3"/>
  <c r="N47" i="3"/>
  <c r="O47" i="3"/>
  <c r="X47" i="3"/>
  <c r="Y47" i="3"/>
  <c r="D240" i="1"/>
  <c r="C240" i="1" s="1"/>
  <c r="F239" i="1"/>
  <c r="E239" i="1"/>
  <c r="G239" i="1"/>
  <c r="H239" i="1"/>
  <c r="Z47" i="3"/>
  <c r="P47" i="3"/>
  <c r="E240" i="1" a="1"/>
  <c r="C47" i="3" l="1"/>
  <c r="B47" i="3"/>
  <c r="M243" i="3"/>
  <c r="L242" i="3"/>
  <c r="D241" i="1"/>
  <c r="C241" i="1" s="1"/>
  <c r="I239" i="1"/>
  <c r="F240" i="1"/>
  <c r="H240" i="1"/>
  <c r="E240" i="1"/>
  <c r="G240" i="1"/>
  <c r="AA47" i="3"/>
  <c r="E241" i="1" a="1"/>
  <c r="M244" i="3" l="1"/>
  <c r="L243" i="3"/>
  <c r="I240" i="1"/>
  <c r="D242" i="1"/>
  <c r="C242" i="1" s="1"/>
  <c r="H241" i="1"/>
  <c r="E241" i="1"/>
  <c r="F241" i="1"/>
  <c r="G241" i="1"/>
  <c r="Q47" i="3"/>
  <c r="E242" i="1" a="1"/>
  <c r="M245" i="3" l="1"/>
  <c r="L244" i="3"/>
  <c r="D243" i="1"/>
  <c r="C243" i="1" s="1"/>
  <c r="H242" i="1"/>
  <c r="E242" i="1"/>
  <c r="F242" i="1"/>
  <c r="G242" i="1"/>
  <c r="I241" i="1"/>
  <c r="AB47" i="3"/>
  <c r="R47" i="3"/>
  <c r="E243" i="1" a="1"/>
  <c r="L245" i="3" l="1"/>
  <c r="M246" i="3"/>
  <c r="D244" i="1"/>
  <c r="C244" i="1" s="1"/>
  <c r="F243" i="1"/>
  <c r="E243" i="1"/>
  <c r="H243" i="1"/>
  <c r="G243" i="1"/>
  <c r="I242" i="1"/>
  <c r="AC47" i="3"/>
  <c r="S47" i="3"/>
  <c r="E244" i="1" a="1"/>
  <c r="AD47" i="3" l="1"/>
  <c r="AE47" i="3" s="1"/>
  <c r="T47" i="3"/>
  <c r="U47" i="3" s="1"/>
  <c r="M247" i="3"/>
  <c r="L246" i="3"/>
  <c r="I243" i="1"/>
  <c r="D245" i="1"/>
  <c r="C245" i="1" s="1"/>
  <c r="E244" i="1"/>
  <c r="F244" i="1"/>
  <c r="G244" i="1"/>
  <c r="H244" i="1"/>
  <c r="E245" i="1" a="1"/>
  <c r="L247" i="3" l="1"/>
  <c r="M248" i="3"/>
  <c r="X48" i="3"/>
  <c r="Y48" i="3"/>
  <c r="N48" i="3"/>
  <c r="O48" i="3"/>
  <c r="D246" i="1"/>
  <c r="C246" i="1" s="1"/>
  <c r="E245" i="1"/>
  <c r="H245" i="1"/>
  <c r="F245" i="1"/>
  <c r="G245" i="1"/>
  <c r="I244" i="1"/>
  <c r="P48" i="3"/>
  <c r="Z48" i="3"/>
  <c r="E246" i="1" a="1"/>
  <c r="C48" i="3" l="1"/>
  <c r="B48" i="3"/>
  <c r="L248" i="3"/>
  <c r="M249" i="3"/>
  <c r="I245" i="1"/>
  <c r="D247" i="1"/>
  <c r="C247" i="1" s="1"/>
  <c r="E246" i="1"/>
  <c r="H246" i="1"/>
  <c r="F246" i="1"/>
  <c r="G246" i="1"/>
  <c r="AA48" i="3"/>
  <c r="E247" i="1" a="1"/>
  <c r="M250" i="3" l="1"/>
  <c r="L249" i="3"/>
  <c r="D248" i="1"/>
  <c r="C248" i="1" s="1"/>
  <c r="F247" i="1"/>
  <c r="E247" i="1"/>
  <c r="H247" i="1"/>
  <c r="G247" i="1"/>
  <c r="I247" i="1" s="1"/>
  <c r="I246" i="1"/>
  <c r="Q48" i="3"/>
  <c r="E248" i="1" a="1"/>
  <c r="L250" i="3" l="1"/>
  <c r="M251" i="3"/>
  <c r="D249" i="1"/>
  <c r="C249" i="1" s="1"/>
  <c r="G248" i="1"/>
  <c r="E248" i="1"/>
  <c r="F248" i="1"/>
  <c r="H248" i="1"/>
  <c r="AB48" i="3"/>
  <c r="R48" i="3"/>
  <c r="E249" i="1" a="1"/>
  <c r="M252" i="3" l="1"/>
  <c r="L251" i="3"/>
  <c r="D250" i="1"/>
  <c r="C250" i="1" s="1"/>
  <c r="H249" i="1"/>
  <c r="G249" i="1"/>
  <c r="E249" i="1"/>
  <c r="F249" i="1"/>
  <c r="I248" i="1"/>
  <c r="AC48" i="3"/>
  <c r="S48" i="3"/>
  <c r="E250" i="1" a="1"/>
  <c r="AD48" i="3" l="1"/>
  <c r="AE48" i="3" s="1"/>
  <c r="T48" i="3"/>
  <c r="U48" i="3" s="1"/>
  <c r="L252" i="3"/>
  <c r="M253" i="3"/>
  <c r="I249" i="1"/>
  <c r="D251" i="1"/>
  <c r="C251" i="1" s="1"/>
  <c r="G250" i="1"/>
  <c r="H250" i="1"/>
  <c r="F250" i="1"/>
  <c r="E250" i="1"/>
  <c r="E251" i="1" a="1"/>
  <c r="L253" i="3" l="1"/>
  <c r="M254" i="3"/>
  <c r="X49" i="3"/>
  <c r="Y49" i="3"/>
  <c r="N49" i="3"/>
  <c r="O49" i="3"/>
  <c r="D252" i="1"/>
  <c r="C252" i="1" s="1"/>
  <c r="F251" i="1"/>
  <c r="E251" i="1"/>
  <c r="G251" i="1"/>
  <c r="H251" i="1"/>
  <c r="I250" i="1"/>
  <c r="P49" i="3"/>
  <c r="Z49" i="3"/>
  <c r="E252" i="1" a="1"/>
  <c r="C49" i="3" l="1"/>
  <c r="B49" i="3"/>
  <c r="M255" i="3"/>
  <c r="L254" i="3"/>
  <c r="D253" i="1"/>
  <c r="C253" i="1" s="1"/>
  <c r="F252" i="1"/>
  <c r="E252" i="1"/>
  <c r="H252" i="1"/>
  <c r="G252" i="1"/>
  <c r="I251" i="1"/>
  <c r="AA49" i="3"/>
  <c r="E253" i="1" a="1"/>
  <c r="L255" i="3" l="1"/>
  <c r="M256" i="3"/>
  <c r="D254" i="1"/>
  <c r="C254" i="1" s="1"/>
  <c r="H253" i="1"/>
  <c r="G253" i="1"/>
  <c r="F253" i="1"/>
  <c r="E253" i="1"/>
  <c r="I252" i="1"/>
  <c r="Q49" i="3"/>
  <c r="E254" i="1" a="1"/>
  <c r="M257" i="3" l="1"/>
  <c r="L256" i="3"/>
  <c r="I253" i="1"/>
  <c r="D255" i="1"/>
  <c r="C255" i="1" s="1"/>
  <c r="G254" i="1"/>
  <c r="E254" i="1"/>
  <c r="F254" i="1"/>
  <c r="H254" i="1"/>
  <c r="AB49" i="3"/>
  <c r="R49" i="3"/>
  <c r="E255" i="1" a="1"/>
  <c r="M258" i="3" l="1"/>
  <c r="L257" i="3"/>
  <c r="D256" i="1"/>
  <c r="C256" i="1" s="1"/>
  <c r="H255" i="1"/>
  <c r="F255" i="1"/>
  <c r="E255" i="1"/>
  <c r="G255" i="1"/>
  <c r="I254" i="1"/>
  <c r="AC49" i="3"/>
  <c r="S49" i="3"/>
  <c r="E256" i="1" a="1"/>
  <c r="AD49" i="3" l="1"/>
  <c r="AE49" i="3" s="1"/>
  <c r="T49" i="3"/>
  <c r="U49" i="3" s="1"/>
  <c r="M259" i="3"/>
  <c r="L258" i="3"/>
  <c r="I255" i="1"/>
  <c r="D257" i="1"/>
  <c r="C257" i="1" s="1"/>
  <c r="G256" i="1"/>
  <c r="F256" i="1"/>
  <c r="E256" i="1"/>
  <c r="H256" i="1"/>
  <c r="E257" i="1" a="1"/>
  <c r="M260" i="3" l="1"/>
  <c r="L259" i="3"/>
  <c r="N50" i="3"/>
  <c r="O50" i="3"/>
  <c r="X50" i="3"/>
  <c r="Y50" i="3"/>
  <c r="D258" i="1"/>
  <c r="C258" i="1" s="1"/>
  <c r="F257" i="1"/>
  <c r="E257" i="1"/>
  <c r="H257" i="1"/>
  <c r="G257" i="1"/>
  <c r="I256" i="1"/>
  <c r="Z50" i="3"/>
  <c r="P50" i="3"/>
  <c r="E258" i="1" a="1"/>
  <c r="C50" i="3" l="1"/>
  <c r="B50" i="3"/>
  <c r="L260" i="3"/>
  <c r="M261" i="3"/>
  <c r="I257" i="1"/>
  <c r="D259" i="1"/>
  <c r="C259" i="1" s="1"/>
  <c r="F258" i="1"/>
  <c r="E258" i="1"/>
  <c r="H258" i="1"/>
  <c r="G258" i="1"/>
  <c r="AA50" i="3"/>
  <c r="E259" i="1" a="1"/>
  <c r="L261" i="3" l="1"/>
  <c r="M262" i="3"/>
  <c r="D260" i="1"/>
  <c r="C260" i="1" s="1"/>
  <c r="H259" i="1"/>
  <c r="F259" i="1"/>
  <c r="E259" i="1"/>
  <c r="G259" i="1"/>
  <c r="I258" i="1"/>
  <c r="Q50" i="3"/>
  <c r="E260" i="1" a="1"/>
  <c r="I259" i="1" l="1"/>
  <c r="L262" i="3"/>
  <c r="M263" i="3"/>
  <c r="D261" i="1"/>
  <c r="C261" i="1" s="1"/>
  <c r="H260" i="1"/>
  <c r="E260" i="1"/>
  <c r="G260" i="1"/>
  <c r="F260" i="1"/>
  <c r="AB50" i="3"/>
  <c r="R50" i="3"/>
  <c r="E261" i="1" a="1"/>
  <c r="L263" i="3" l="1"/>
  <c r="M264" i="3"/>
  <c r="I260" i="1"/>
  <c r="D262" i="1"/>
  <c r="C262" i="1" s="1"/>
  <c r="H261" i="1"/>
  <c r="E261" i="1"/>
  <c r="G261" i="1"/>
  <c r="F261" i="1"/>
  <c r="AC50" i="3"/>
  <c r="S50" i="3"/>
  <c r="E262" i="1" a="1"/>
  <c r="AD50" i="3" l="1"/>
  <c r="AE50" i="3" s="1"/>
  <c r="T50" i="3"/>
  <c r="U50" i="3" s="1"/>
  <c r="L264" i="3"/>
  <c r="M265" i="3"/>
  <c r="I261" i="1"/>
  <c r="D263" i="1"/>
  <c r="C263" i="1" s="1"/>
  <c r="H262" i="1"/>
  <c r="E262" i="1"/>
  <c r="F262" i="1"/>
  <c r="G262" i="1"/>
  <c r="E263" i="1" a="1"/>
  <c r="I262" i="1" l="1"/>
  <c r="L265" i="3"/>
  <c r="M266" i="3"/>
  <c r="N51" i="3"/>
  <c r="O51" i="3"/>
  <c r="X51" i="3"/>
  <c r="Y51" i="3"/>
  <c r="D264" i="1"/>
  <c r="C264" i="1" s="1"/>
  <c r="G263" i="1"/>
  <c r="F263" i="1"/>
  <c r="H263" i="1"/>
  <c r="E263" i="1"/>
  <c r="Z51" i="3"/>
  <c r="P51" i="3"/>
  <c r="E264" i="1" a="1"/>
  <c r="C51" i="3" l="1"/>
  <c r="B51" i="3"/>
  <c r="L266" i="3"/>
  <c r="M267" i="3"/>
  <c r="D265" i="1"/>
  <c r="C265" i="1" s="1"/>
  <c r="F264" i="1"/>
  <c r="E264" i="1"/>
  <c r="H264" i="1"/>
  <c r="G264" i="1"/>
  <c r="I263" i="1"/>
  <c r="AA51" i="3"/>
  <c r="E265" i="1" a="1"/>
  <c r="M268" i="3" l="1"/>
  <c r="L267" i="3"/>
  <c r="I264" i="1"/>
  <c r="D266" i="1"/>
  <c r="C266" i="1" s="1"/>
  <c r="E265" i="1"/>
  <c r="H265" i="1"/>
  <c r="G265" i="1"/>
  <c r="I265" i="1" s="1"/>
  <c r="F265" i="1"/>
  <c r="Q51" i="3"/>
  <c r="E266" i="1" a="1"/>
  <c r="L268" i="3" l="1"/>
  <c r="M269" i="3"/>
  <c r="D267" i="1"/>
  <c r="C267" i="1" s="1"/>
  <c r="E266" i="1"/>
  <c r="G266" i="1"/>
  <c r="F266" i="1"/>
  <c r="H266" i="1"/>
  <c r="AB51" i="3"/>
  <c r="R51" i="3"/>
  <c r="E267" i="1" a="1"/>
  <c r="L269" i="3" l="1"/>
  <c r="M270" i="3"/>
  <c r="D268" i="1"/>
  <c r="C268" i="1" s="1"/>
  <c r="H267" i="1"/>
  <c r="E267" i="1"/>
  <c r="G267" i="1"/>
  <c r="F267" i="1"/>
  <c r="I266" i="1"/>
  <c r="AC51" i="3"/>
  <c r="S51" i="3"/>
  <c r="E268" i="1" a="1"/>
  <c r="I267" i="1" l="1"/>
  <c r="AD51" i="3"/>
  <c r="AE51" i="3" s="1"/>
  <c r="T51" i="3"/>
  <c r="U51" i="3" s="1"/>
  <c r="M271" i="3"/>
  <c r="L270" i="3"/>
  <c r="D269" i="1"/>
  <c r="C269" i="1" s="1"/>
  <c r="F268" i="1"/>
  <c r="H268" i="1"/>
  <c r="E268" i="1"/>
  <c r="G268" i="1"/>
  <c r="E269" i="1" a="1"/>
  <c r="I268" i="1" l="1"/>
  <c r="L271" i="3"/>
  <c r="M272" i="3"/>
  <c r="X52" i="3"/>
  <c r="Y52" i="3"/>
  <c r="N52" i="3"/>
  <c r="O52" i="3"/>
  <c r="D270" i="1"/>
  <c r="C270" i="1" s="1"/>
  <c r="F269" i="1"/>
  <c r="G269" i="1"/>
  <c r="H269" i="1"/>
  <c r="E269" i="1"/>
  <c r="P52" i="3"/>
  <c r="Z52" i="3"/>
  <c r="E270" i="1" a="1"/>
  <c r="C52" i="3" l="1"/>
  <c r="B52" i="3"/>
  <c r="L272" i="3"/>
  <c r="M273" i="3"/>
  <c r="D271" i="1"/>
  <c r="C271" i="1" s="1"/>
  <c r="G270" i="1"/>
  <c r="E270" i="1"/>
  <c r="H270" i="1"/>
  <c r="F270" i="1"/>
  <c r="I269" i="1"/>
  <c r="AA52" i="3"/>
  <c r="E271" i="1" a="1"/>
  <c r="M274" i="3" l="1"/>
  <c r="L273" i="3"/>
  <c r="D272" i="1"/>
  <c r="C272" i="1" s="1"/>
  <c r="I270" i="1"/>
  <c r="G271" i="1"/>
  <c r="H271" i="1"/>
  <c r="E271" i="1"/>
  <c r="F271" i="1"/>
  <c r="Q52" i="3"/>
  <c r="E272" i="1" a="1"/>
  <c r="L274" i="3" l="1"/>
  <c r="M275" i="3"/>
  <c r="D273" i="1"/>
  <c r="C273" i="1" s="1"/>
  <c r="I271" i="1"/>
  <c r="H272" i="1"/>
  <c r="E272" i="1"/>
  <c r="G272" i="1"/>
  <c r="F272" i="1"/>
  <c r="AB52" i="3"/>
  <c r="R52" i="3"/>
  <c r="E273" i="1" a="1"/>
  <c r="I272" i="1" l="1"/>
  <c r="L275" i="3"/>
  <c r="M276" i="3"/>
  <c r="D274" i="1"/>
  <c r="C274" i="1" s="1"/>
  <c r="E273" i="1"/>
  <c r="H273" i="1"/>
  <c r="G273" i="1"/>
  <c r="F273" i="1"/>
  <c r="AC52" i="3"/>
  <c r="S52" i="3"/>
  <c r="E274" i="1" a="1"/>
  <c r="AD52" i="3" l="1"/>
  <c r="AE52" i="3" s="1"/>
  <c r="T52" i="3"/>
  <c r="U52" i="3" s="1"/>
  <c r="L276" i="3"/>
  <c r="M277" i="3"/>
  <c r="I273" i="1"/>
  <c r="D275" i="1"/>
  <c r="C275" i="1" s="1"/>
  <c r="F274" i="1"/>
  <c r="E274" i="1"/>
  <c r="G274" i="1"/>
  <c r="H274" i="1"/>
  <c r="E275" i="1" a="1"/>
  <c r="L277" i="3" l="1"/>
  <c r="M278" i="3"/>
  <c r="X53" i="3"/>
  <c r="Y53" i="3"/>
  <c r="N53" i="3"/>
  <c r="O53" i="3"/>
  <c r="D276" i="1"/>
  <c r="C276" i="1" s="1"/>
  <c r="E275" i="1"/>
  <c r="G275" i="1"/>
  <c r="F275" i="1"/>
  <c r="H275" i="1"/>
  <c r="I274" i="1"/>
  <c r="Z53" i="3"/>
  <c r="P53" i="3"/>
  <c r="E276" i="1" a="1"/>
  <c r="C53" i="3" l="1"/>
  <c r="B53" i="3"/>
  <c r="M279" i="3"/>
  <c r="L278" i="3"/>
  <c r="D277" i="1"/>
  <c r="C277" i="1" s="1"/>
  <c r="H276" i="1"/>
  <c r="G276" i="1"/>
  <c r="F276" i="1"/>
  <c r="E276" i="1"/>
  <c r="I275" i="1"/>
  <c r="AA53" i="3"/>
  <c r="E277" i="1" a="1"/>
  <c r="I276" i="1" l="1"/>
  <c r="M280" i="3"/>
  <c r="L279" i="3"/>
  <c r="D278" i="1"/>
  <c r="C278" i="1" s="1"/>
  <c r="F277" i="1"/>
  <c r="E277" i="1"/>
  <c r="G277" i="1"/>
  <c r="H277" i="1"/>
  <c r="Q53" i="3"/>
  <c r="E278" i="1" a="1"/>
  <c r="M281" i="3" l="1"/>
  <c r="L280" i="3"/>
  <c r="D279" i="1"/>
  <c r="C279" i="1" s="1"/>
  <c r="H278" i="1"/>
  <c r="F278" i="1"/>
  <c r="E278" i="1"/>
  <c r="G278" i="1"/>
  <c r="I277" i="1"/>
  <c r="AB53" i="3"/>
  <c r="R53" i="3"/>
  <c r="E279" i="1" a="1"/>
  <c r="M282" i="3" l="1"/>
  <c r="L281" i="3"/>
  <c r="D280" i="1"/>
  <c r="C280" i="1" s="1"/>
  <c r="H279" i="1"/>
  <c r="G279" i="1"/>
  <c r="F279" i="1"/>
  <c r="E279" i="1"/>
  <c r="I278" i="1"/>
  <c r="AC53" i="3"/>
  <c r="S53" i="3"/>
  <c r="E280" i="1" a="1"/>
  <c r="I279" i="1" l="1"/>
  <c r="AD53" i="3"/>
  <c r="AE53" i="3" s="1"/>
  <c r="T53" i="3"/>
  <c r="U53" i="3" s="1"/>
  <c r="L282" i="3"/>
  <c r="M283" i="3"/>
  <c r="D281" i="1"/>
  <c r="C281" i="1" s="1"/>
  <c r="F280" i="1"/>
  <c r="E280" i="1"/>
  <c r="G280" i="1"/>
  <c r="H280" i="1"/>
  <c r="E281" i="1" a="1"/>
  <c r="M284" i="3" l="1"/>
  <c r="L283" i="3"/>
  <c r="X54" i="3"/>
  <c r="Y54" i="3"/>
  <c r="N54" i="3"/>
  <c r="O54" i="3"/>
  <c r="D282" i="1"/>
  <c r="C282" i="1" s="1"/>
  <c r="G281" i="1"/>
  <c r="H281" i="1"/>
  <c r="F281" i="1"/>
  <c r="E281" i="1"/>
  <c r="I280" i="1"/>
  <c r="P54" i="3"/>
  <c r="Z54" i="3"/>
  <c r="E282" i="1" a="1"/>
  <c r="C54" i="3" l="1"/>
  <c r="B54" i="3"/>
  <c r="M285" i="3"/>
  <c r="L284" i="3"/>
  <c r="D283" i="1"/>
  <c r="C283" i="1" s="1"/>
  <c r="I281" i="1"/>
  <c r="H282" i="1"/>
  <c r="F282" i="1"/>
  <c r="E282" i="1"/>
  <c r="G282" i="1"/>
  <c r="AA54" i="3"/>
  <c r="E283" i="1" a="1"/>
  <c r="L285" i="3" l="1"/>
  <c r="M286" i="3"/>
  <c r="I282" i="1"/>
  <c r="D284" i="1"/>
  <c r="C284" i="1" s="1"/>
  <c r="H283" i="1"/>
  <c r="E283" i="1"/>
  <c r="F283" i="1"/>
  <c r="G283" i="1"/>
  <c r="Q54" i="3"/>
  <c r="E284" i="1" a="1"/>
  <c r="L286" i="3" l="1"/>
  <c r="M287" i="3"/>
  <c r="I283" i="1"/>
  <c r="D285" i="1"/>
  <c r="C285" i="1" s="1"/>
  <c r="H284" i="1"/>
  <c r="F284" i="1"/>
  <c r="E284" i="1"/>
  <c r="G284" i="1"/>
  <c r="AB54" i="3"/>
  <c r="R54" i="3"/>
  <c r="E285" i="1" a="1"/>
  <c r="M288" i="3" l="1"/>
  <c r="L287" i="3"/>
  <c r="I284" i="1"/>
  <c r="D286" i="1"/>
  <c r="C286" i="1" s="1"/>
  <c r="H285" i="1"/>
  <c r="F285" i="1"/>
  <c r="E285" i="1"/>
  <c r="G285" i="1"/>
  <c r="AC54" i="3"/>
  <c r="S54" i="3"/>
  <c r="E286" i="1" a="1"/>
  <c r="AD54" i="3" l="1"/>
  <c r="AE54" i="3" s="1"/>
  <c r="T54" i="3"/>
  <c r="U54" i="3" s="1"/>
  <c r="L288" i="3"/>
  <c r="M289" i="3"/>
  <c r="I285" i="1"/>
  <c r="D287" i="1"/>
  <c r="C287" i="1" s="1"/>
  <c r="E286" i="1"/>
  <c r="G286" i="1"/>
  <c r="H286" i="1"/>
  <c r="F286" i="1"/>
  <c r="E287" i="1" a="1"/>
  <c r="M290" i="3" l="1"/>
  <c r="L289" i="3"/>
  <c r="X55" i="3"/>
  <c r="Y55" i="3"/>
  <c r="N55" i="3"/>
  <c r="O55" i="3"/>
  <c r="D288" i="1"/>
  <c r="C288" i="1" s="1"/>
  <c r="E287" i="1"/>
  <c r="G287" i="1"/>
  <c r="H287" i="1"/>
  <c r="F287" i="1"/>
  <c r="I286" i="1"/>
  <c r="Z55" i="3"/>
  <c r="P55" i="3"/>
  <c r="E288" i="1" a="1"/>
  <c r="C55" i="3" l="1"/>
  <c r="B55" i="3"/>
  <c r="L290" i="3"/>
  <c r="M291" i="3"/>
  <c r="D289" i="1"/>
  <c r="C289" i="1" s="1"/>
  <c r="G288" i="1"/>
  <c r="E288" i="1"/>
  <c r="H288" i="1"/>
  <c r="F288" i="1"/>
  <c r="I287" i="1"/>
  <c r="AA55" i="3"/>
  <c r="E289" i="1" a="1"/>
  <c r="M292" i="3" l="1"/>
  <c r="L291" i="3"/>
  <c r="D290" i="1"/>
  <c r="C290" i="1" s="1"/>
  <c r="I288" i="1"/>
  <c r="H289" i="1"/>
  <c r="F289" i="1"/>
  <c r="E289" i="1"/>
  <c r="G289" i="1"/>
  <c r="Q55" i="3"/>
  <c r="E290" i="1" a="1"/>
  <c r="L292" i="3" l="1"/>
  <c r="M293" i="3"/>
  <c r="D291" i="1"/>
  <c r="C291" i="1" s="1"/>
  <c r="F290" i="1"/>
  <c r="E290" i="1"/>
  <c r="G290" i="1"/>
  <c r="H290" i="1"/>
  <c r="I289" i="1"/>
  <c r="AB55" i="3"/>
  <c r="R55" i="3"/>
  <c r="E291" i="1" a="1"/>
  <c r="M294" i="3" l="1"/>
  <c r="L293" i="3"/>
  <c r="D292" i="1"/>
  <c r="C292" i="1" s="1"/>
  <c r="I290" i="1"/>
  <c r="H291" i="1"/>
  <c r="E291" i="1"/>
  <c r="G291" i="1"/>
  <c r="F291" i="1"/>
  <c r="AC55" i="3"/>
  <c r="S55" i="3"/>
  <c r="E292" i="1" a="1"/>
  <c r="AD55" i="3" l="1"/>
  <c r="AE55" i="3" s="1"/>
  <c r="T55" i="3"/>
  <c r="U55" i="3" s="1"/>
  <c r="L294" i="3"/>
  <c r="M295" i="3"/>
  <c r="I291" i="1"/>
  <c r="D293" i="1"/>
  <c r="C293" i="1" s="1"/>
  <c r="G292" i="1"/>
  <c r="F292" i="1"/>
  <c r="E292" i="1"/>
  <c r="H292" i="1"/>
  <c r="E293" i="1" a="1"/>
  <c r="Y56" i="3" l="1"/>
  <c r="X56" i="3"/>
  <c r="M296" i="3"/>
  <c r="L295" i="3"/>
  <c r="O56" i="3"/>
  <c r="N56" i="3"/>
  <c r="D294" i="1"/>
  <c r="C294" i="1" s="1"/>
  <c r="G293" i="1"/>
  <c r="H293" i="1"/>
  <c r="F293" i="1"/>
  <c r="E293" i="1"/>
  <c r="I292" i="1"/>
  <c r="Z56" i="3"/>
  <c r="P56" i="3"/>
  <c r="E294" i="1" a="1"/>
  <c r="C56" i="3" l="1"/>
  <c r="B56" i="3"/>
  <c r="M297" i="3"/>
  <c r="L296" i="3"/>
  <c r="D295" i="1"/>
  <c r="C295" i="1" s="1"/>
  <c r="G294" i="1"/>
  <c r="H294" i="1"/>
  <c r="F294" i="1"/>
  <c r="E294" i="1"/>
  <c r="I293" i="1"/>
  <c r="AA56" i="3"/>
  <c r="E295" i="1" a="1"/>
  <c r="M298" i="3" l="1"/>
  <c r="L297" i="3"/>
  <c r="D296" i="1"/>
  <c r="C296" i="1" s="1"/>
  <c r="F295" i="1"/>
  <c r="E295" i="1"/>
  <c r="G295" i="1"/>
  <c r="H295" i="1"/>
  <c r="I294" i="1"/>
  <c r="Q56" i="3"/>
  <c r="E296" i="1" a="1"/>
  <c r="M299" i="3" l="1"/>
  <c r="L298" i="3"/>
  <c r="D297" i="1"/>
  <c r="C297" i="1" s="1"/>
  <c r="I295" i="1"/>
  <c r="E296" i="1"/>
  <c r="G296" i="1"/>
  <c r="H296" i="1"/>
  <c r="F296" i="1"/>
  <c r="AB56" i="3"/>
  <c r="R56" i="3"/>
  <c r="E297" i="1" a="1"/>
  <c r="L299" i="3" l="1"/>
  <c r="M300" i="3"/>
  <c r="D298" i="1"/>
  <c r="C298" i="1" s="1"/>
  <c r="E297" i="1"/>
  <c r="G297" i="1"/>
  <c r="H297" i="1"/>
  <c r="F297" i="1"/>
  <c r="I296" i="1"/>
  <c r="AC56" i="3"/>
  <c r="S56" i="3"/>
  <c r="E298" i="1" a="1"/>
  <c r="AD56" i="3" l="1"/>
  <c r="AE56" i="3" s="1"/>
  <c r="Y57" i="3" s="1"/>
  <c r="T56" i="3"/>
  <c r="U56" i="3" s="1"/>
  <c r="L300" i="3"/>
  <c r="M301" i="3"/>
  <c r="D299" i="1"/>
  <c r="C299" i="1" s="1"/>
  <c r="G298" i="1"/>
  <c r="H298" i="1"/>
  <c r="F298" i="1"/>
  <c r="E298" i="1"/>
  <c r="I297" i="1"/>
  <c r="E299" i="1" a="1"/>
  <c r="X57" i="3" l="1"/>
  <c r="C57" i="3"/>
  <c r="O57" i="3"/>
  <c r="N57" i="3"/>
  <c r="L301" i="3"/>
  <c r="M302" i="3"/>
  <c r="D300" i="1"/>
  <c r="C300" i="1" s="1"/>
  <c r="I298" i="1"/>
  <c r="H299" i="1"/>
  <c r="F299" i="1"/>
  <c r="E299" i="1"/>
  <c r="G299" i="1"/>
  <c r="P57" i="3"/>
  <c r="Z57" i="3"/>
  <c r="E300" i="1" a="1"/>
  <c r="I299" i="1" l="1"/>
  <c r="B57" i="3"/>
  <c r="M303" i="3"/>
  <c r="L302" i="3"/>
  <c r="D301" i="1"/>
  <c r="C301" i="1" s="1"/>
  <c r="H300" i="1"/>
  <c r="G300" i="1"/>
  <c r="F300" i="1"/>
  <c r="E300" i="1"/>
  <c r="AA57" i="3"/>
  <c r="E301" i="1" a="1"/>
  <c r="L303" i="3" l="1"/>
  <c r="M304" i="3"/>
  <c r="I300" i="1"/>
  <c r="D302" i="1"/>
  <c r="C302" i="1" s="1"/>
  <c r="F301" i="1"/>
  <c r="E301" i="1"/>
  <c r="H301" i="1"/>
  <c r="G301" i="1"/>
  <c r="Q57" i="3"/>
  <c r="E302" i="1" a="1"/>
  <c r="I301" i="1" l="1"/>
  <c r="M305" i="3"/>
  <c r="L304" i="3"/>
  <c r="D303" i="1"/>
  <c r="C303" i="1" s="1"/>
  <c r="E302" i="1"/>
  <c r="F302" i="1"/>
  <c r="G302" i="1"/>
  <c r="H302" i="1"/>
  <c r="AB57" i="3"/>
  <c r="R57" i="3"/>
  <c r="E303" i="1" a="1"/>
  <c r="L305" i="3" l="1"/>
  <c r="M306" i="3"/>
  <c r="D304" i="1"/>
  <c r="C304" i="1" s="1"/>
  <c r="E303" i="1"/>
  <c r="F303" i="1"/>
  <c r="H303" i="1"/>
  <c r="G303" i="1"/>
  <c r="I303" i="1" s="1"/>
  <c r="I302" i="1"/>
  <c r="AC57" i="3"/>
  <c r="S57" i="3"/>
  <c r="E304" i="1" a="1"/>
  <c r="AD57" i="3" l="1"/>
  <c r="AE57" i="3" s="1"/>
  <c r="Y58" i="3" s="1"/>
  <c r="T57" i="3"/>
  <c r="U57" i="3" s="1"/>
  <c r="L306" i="3"/>
  <c r="M307" i="3"/>
  <c r="D305" i="1"/>
  <c r="C305" i="1" s="1"/>
  <c r="H304" i="1"/>
  <c r="E304" i="1"/>
  <c r="G304" i="1"/>
  <c r="F304" i="1"/>
  <c r="E305" i="1" a="1"/>
  <c r="I304" i="1" l="1"/>
  <c r="X58" i="3"/>
  <c r="C58" i="3"/>
  <c r="N58" i="3"/>
  <c r="O58" i="3"/>
  <c r="L307" i="3"/>
  <c r="M308" i="3"/>
  <c r="D306" i="1"/>
  <c r="C306" i="1" s="1"/>
  <c r="F305" i="1"/>
  <c r="H305" i="1"/>
  <c r="E305" i="1"/>
  <c r="G305" i="1"/>
  <c r="Z58" i="3"/>
  <c r="P58" i="3"/>
  <c r="E306" i="1" a="1"/>
  <c r="I305" i="1" l="1"/>
  <c r="B58" i="3"/>
  <c r="M309" i="3"/>
  <c r="L308" i="3"/>
  <c r="D307" i="1"/>
  <c r="C307" i="1" s="1"/>
  <c r="H306" i="1"/>
  <c r="F306" i="1"/>
  <c r="E306" i="1"/>
  <c r="G306" i="1"/>
  <c r="AA58" i="3"/>
  <c r="E307" i="1" a="1"/>
  <c r="I306" i="1" l="1"/>
  <c r="M310" i="3"/>
  <c r="L309" i="3"/>
  <c r="D308" i="1"/>
  <c r="C308" i="1" s="1"/>
  <c r="H307" i="1"/>
  <c r="F307" i="1"/>
  <c r="E307" i="1"/>
  <c r="G307" i="1"/>
  <c r="Q58" i="3"/>
  <c r="E308" i="1" a="1"/>
  <c r="I307" i="1" l="1"/>
  <c r="M311" i="3"/>
  <c r="L310" i="3"/>
  <c r="D309" i="1"/>
  <c r="C309" i="1" s="1"/>
  <c r="E308" i="1"/>
  <c r="H308" i="1"/>
  <c r="G308" i="1"/>
  <c r="F308" i="1"/>
  <c r="AB58" i="3"/>
  <c r="R58" i="3"/>
  <c r="E309" i="1" a="1"/>
  <c r="M312" i="3" l="1"/>
  <c r="L311" i="3"/>
  <c r="I308" i="1"/>
  <c r="D310" i="1"/>
  <c r="C310" i="1" s="1"/>
  <c r="F309" i="1"/>
  <c r="E309" i="1"/>
  <c r="H309" i="1"/>
  <c r="G309" i="1"/>
  <c r="AC58" i="3"/>
  <c r="S58" i="3"/>
  <c r="E310" i="1" a="1"/>
  <c r="AD58" i="3" l="1"/>
  <c r="AE58" i="3" s="1"/>
  <c r="T58" i="3"/>
  <c r="U58" i="3" s="1"/>
  <c r="O59" i="3" s="1"/>
  <c r="I309" i="1"/>
  <c r="M313" i="3"/>
  <c r="L312" i="3"/>
  <c r="D311" i="1"/>
  <c r="C311" i="1" s="1"/>
  <c r="G310" i="1"/>
  <c r="E310" i="1"/>
  <c r="H310" i="1"/>
  <c r="F310" i="1"/>
  <c r="E311" i="1" a="1"/>
  <c r="N59" i="3" l="1"/>
  <c r="Y59" i="3"/>
  <c r="X59" i="3"/>
  <c r="B59" i="3"/>
  <c r="L313" i="3"/>
  <c r="M314" i="3"/>
  <c r="D312" i="1"/>
  <c r="C312" i="1" s="1"/>
  <c r="I310" i="1"/>
  <c r="G311" i="1"/>
  <c r="H311" i="1"/>
  <c r="E311" i="1"/>
  <c r="F311" i="1"/>
  <c r="Z59" i="3"/>
  <c r="P59" i="3"/>
  <c r="E312" i="1" a="1"/>
  <c r="C59" i="3" l="1"/>
  <c r="L314" i="3"/>
  <c r="M315" i="3"/>
  <c r="D313" i="1"/>
  <c r="C313" i="1" s="1"/>
  <c r="F312" i="1"/>
  <c r="E312" i="1"/>
  <c r="H312" i="1"/>
  <c r="G312" i="1"/>
  <c r="I311" i="1"/>
  <c r="AA59" i="3"/>
  <c r="E313" i="1" a="1"/>
  <c r="I312" i="1" l="1"/>
  <c r="L315" i="3"/>
  <c r="M316" i="3"/>
  <c r="D314" i="1"/>
  <c r="C314" i="1" s="1"/>
  <c r="F313" i="1"/>
  <c r="E313" i="1"/>
  <c r="G313" i="1"/>
  <c r="H313" i="1"/>
  <c r="Q59" i="3"/>
  <c r="E314" i="1" a="1"/>
  <c r="L316" i="3" l="1"/>
  <c r="M317" i="3"/>
  <c r="D315" i="1"/>
  <c r="C315" i="1" s="1"/>
  <c r="F314" i="1"/>
  <c r="G314" i="1"/>
  <c r="H314" i="1"/>
  <c r="E314" i="1"/>
  <c r="I313" i="1"/>
  <c r="AB59" i="3"/>
  <c r="R59" i="3"/>
  <c r="E315" i="1" a="1"/>
  <c r="L317" i="3" l="1"/>
  <c r="M318" i="3"/>
  <c r="D316" i="1"/>
  <c r="C316" i="1" s="1"/>
  <c r="H315" i="1"/>
  <c r="E315" i="1"/>
  <c r="G315" i="1"/>
  <c r="F315" i="1"/>
  <c r="I314" i="1"/>
  <c r="AC59" i="3"/>
  <c r="S59" i="3"/>
  <c r="E316" i="1" a="1"/>
  <c r="AD59" i="3" l="1"/>
  <c r="AE59" i="3" s="1"/>
  <c r="T59" i="3"/>
  <c r="U59" i="3" s="1"/>
  <c r="O60" i="3" s="1"/>
  <c r="I315" i="1"/>
  <c r="L318" i="3"/>
  <c r="M319" i="3"/>
  <c r="D317" i="1"/>
  <c r="C317" i="1" s="1"/>
  <c r="G316" i="1"/>
  <c r="H316" i="1"/>
  <c r="E316" i="1"/>
  <c r="F316" i="1"/>
  <c r="E317" i="1" a="1"/>
  <c r="N60" i="3" l="1"/>
  <c r="Y60" i="3"/>
  <c r="X60" i="3"/>
  <c r="B60" i="3"/>
  <c r="M320" i="3"/>
  <c r="L319" i="3"/>
  <c r="D318" i="1"/>
  <c r="C318" i="1" s="1"/>
  <c r="I316" i="1"/>
  <c r="F317" i="1"/>
  <c r="G317" i="1"/>
  <c r="H317" i="1"/>
  <c r="E317" i="1"/>
  <c r="P60" i="3"/>
  <c r="Z60" i="3"/>
  <c r="E318" i="1" a="1"/>
  <c r="C60" i="3" l="1"/>
  <c r="L320" i="3"/>
  <c r="M321" i="3"/>
  <c r="I317" i="1"/>
  <c r="D319" i="1"/>
  <c r="C319" i="1" s="1"/>
  <c r="F318" i="1"/>
  <c r="G318" i="1"/>
  <c r="E318" i="1"/>
  <c r="H318" i="1"/>
  <c r="AA60" i="3"/>
  <c r="E319" i="1" a="1"/>
  <c r="M322" i="3" l="1"/>
  <c r="L321" i="3"/>
  <c r="D320" i="1"/>
  <c r="C320" i="1" s="1"/>
  <c r="G319" i="1"/>
  <c r="E319" i="1"/>
  <c r="F319" i="1"/>
  <c r="H319" i="1"/>
  <c r="I318" i="1"/>
  <c r="Q60" i="3"/>
  <c r="E320" i="1" a="1"/>
  <c r="L322" i="3" l="1"/>
  <c r="M323" i="3"/>
  <c r="D321" i="1"/>
  <c r="C321" i="1" s="1"/>
  <c r="H320" i="1"/>
  <c r="E320" i="1"/>
  <c r="G320" i="1"/>
  <c r="F320" i="1"/>
  <c r="I319" i="1"/>
  <c r="AB60" i="3"/>
  <c r="R60" i="3"/>
  <c r="E321" i="1" a="1"/>
  <c r="L323" i="3" l="1"/>
  <c r="M324" i="3"/>
  <c r="I320" i="1"/>
  <c r="D322" i="1"/>
  <c r="C322" i="1" s="1"/>
  <c r="F321" i="1"/>
  <c r="G321" i="1"/>
  <c r="E321" i="1"/>
  <c r="H321" i="1"/>
  <c r="AC60" i="3"/>
  <c r="S60" i="3"/>
  <c r="E322" i="1" a="1"/>
  <c r="AD60" i="3" l="1"/>
  <c r="AE60" i="3" s="1"/>
  <c r="Y61" i="3" s="1"/>
  <c r="C61" i="3" s="1"/>
  <c r="T60" i="3"/>
  <c r="U60" i="3" s="1"/>
  <c r="O61" i="3" s="1"/>
  <c r="L324" i="3"/>
  <c r="M325" i="3"/>
  <c r="D323" i="1"/>
  <c r="C323" i="1" s="1"/>
  <c r="I321" i="1"/>
  <c r="F322" i="1"/>
  <c r="H322" i="1"/>
  <c r="G322" i="1"/>
  <c r="E322" i="1"/>
  <c r="Z61" i="3"/>
  <c r="P61" i="3"/>
  <c r="E323" i="1" a="1"/>
  <c r="N61" i="3" l="1"/>
  <c r="X61" i="3"/>
  <c r="I322" i="1"/>
  <c r="B61" i="3"/>
  <c r="L325" i="3"/>
  <c r="M326" i="3"/>
  <c r="D324" i="1"/>
  <c r="C324" i="1" s="1"/>
  <c r="H323" i="1"/>
  <c r="F323" i="1"/>
  <c r="E323" i="1"/>
  <c r="G323" i="1"/>
  <c r="AA61" i="3"/>
  <c r="E324" i="1" a="1"/>
  <c r="I323" i="1" l="1"/>
  <c r="L326" i="3"/>
  <c r="M327" i="3"/>
  <c r="D325" i="1"/>
  <c r="C325" i="1" s="1"/>
  <c r="F324" i="1"/>
  <c r="G324" i="1"/>
  <c r="H324" i="1"/>
  <c r="E324" i="1"/>
  <c r="Q61" i="3"/>
  <c r="E325" i="1" a="1"/>
  <c r="L327" i="3" l="1"/>
  <c r="M328" i="3"/>
  <c r="D326" i="1"/>
  <c r="C326" i="1" s="1"/>
  <c r="I324" i="1"/>
  <c r="G325" i="1"/>
  <c r="F325" i="1"/>
  <c r="H325" i="1"/>
  <c r="E325" i="1"/>
  <c r="AB61" i="3"/>
  <c r="R61" i="3"/>
  <c r="E326" i="1" a="1"/>
  <c r="L328" i="3" l="1"/>
  <c r="M329" i="3"/>
  <c r="D327" i="1"/>
  <c r="C327" i="1" s="1"/>
  <c r="E326" i="1"/>
  <c r="F326" i="1"/>
  <c r="G326" i="1"/>
  <c r="H326" i="1"/>
  <c r="I325" i="1"/>
  <c r="AC61" i="3"/>
  <c r="S61" i="3"/>
  <c r="E327" i="1" a="1"/>
  <c r="AD61" i="3" l="1"/>
  <c r="AE61" i="3" s="1"/>
  <c r="Y62" i="3" s="1"/>
  <c r="T61" i="3"/>
  <c r="U61" i="3" s="1"/>
  <c r="L329" i="3"/>
  <c r="M330" i="3"/>
  <c r="D328" i="1"/>
  <c r="C328" i="1" s="1"/>
  <c r="F327" i="1"/>
  <c r="H327" i="1"/>
  <c r="G327" i="1"/>
  <c r="E327" i="1"/>
  <c r="I326" i="1"/>
  <c r="E328" i="1" a="1"/>
  <c r="X62" i="3" l="1"/>
  <c r="C62" i="3"/>
  <c r="N62" i="3"/>
  <c r="O62" i="3"/>
  <c r="L330" i="3"/>
  <c r="M331" i="3"/>
  <c r="I327" i="1"/>
  <c r="D329" i="1"/>
  <c r="C329" i="1" s="1"/>
  <c r="E328" i="1"/>
  <c r="G328" i="1"/>
  <c r="F328" i="1"/>
  <c r="H328" i="1"/>
  <c r="Z62" i="3"/>
  <c r="P62" i="3"/>
  <c r="E329" i="1" a="1"/>
  <c r="B62" i="3" l="1"/>
  <c r="L331" i="3"/>
  <c r="M332" i="3"/>
  <c r="D330" i="1"/>
  <c r="C330" i="1" s="1"/>
  <c r="I328" i="1"/>
  <c r="G329" i="1"/>
  <c r="F329" i="1"/>
  <c r="H329" i="1"/>
  <c r="E329" i="1"/>
  <c r="AA62" i="3"/>
  <c r="E330" i="1" a="1"/>
  <c r="M333" i="3" l="1"/>
  <c r="L332" i="3"/>
  <c r="D331" i="1"/>
  <c r="C331" i="1" s="1"/>
  <c r="H330" i="1"/>
  <c r="F330" i="1"/>
  <c r="E330" i="1"/>
  <c r="G330" i="1"/>
  <c r="I330" i="1" s="1"/>
  <c r="I329" i="1"/>
  <c r="Q62" i="3"/>
  <c r="E331" i="1" a="1"/>
  <c r="M334" i="3" l="1"/>
  <c r="L333" i="3"/>
  <c r="D332" i="1"/>
  <c r="C332" i="1" s="1"/>
  <c r="H331" i="1"/>
  <c r="G331" i="1"/>
  <c r="E331" i="1"/>
  <c r="F331" i="1"/>
  <c r="AB62" i="3"/>
  <c r="R62" i="3"/>
  <c r="E332" i="1" a="1"/>
  <c r="I331" i="1" l="1"/>
  <c r="M335" i="3"/>
  <c r="L334" i="3"/>
  <c r="D333" i="1"/>
  <c r="C333" i="1" s="1"/>
  <c r="F332" i="1"/>
  <c r="G332" i="1"/>
  <c r="E332" i="1"/>
  <c r="H332" i="1"/>
  <c r="AC62" i="3"/>
  <c r="S62" i="3"/>
  <c r="E333" i="1" a="1"/>
  <c r="AD62" i="3" l="1"/>
  <c r="AE62" i="3" s="1"/>
  <c r="T62" i="3"/>
  <c r="U62" i="3" s="1"/>
  <c r="O63" i="3" s="1"/>
  <c r="M336" i="3"/>
  <c r="L335" i="3"/>
  <c r="D334" i="1"/>
  <c r="C334" i="1" s="1"/>
  <c r="E333" i="1"/>
  <c r="G333" i="1"/>
  <c r="F333" i="1"/>
  <c r="H333" i="1"/>
  <c r="I332" i="1"/>
  <c r="E334" i="1" a="1"/>
  <c r="N63" i="3" l="1"/>
  <c r="Y63" i="3"/>
  <c r="X63" i="3"/>
  <c r="B63" i="3"/>
  <c r="L336" i="3"/>
  <c r="M337" i="3"/>
  <c r="D335" i="1"/>
  <c r="C335" i="1" s="1"/>
  <c r="E334" i="1"/>
  <c r="F334" i="1"/>
  <c r="G334" i="1"/>
  <c r="H334" i="1"/>
  <c r="I333" i="1"/>
  <c r="P63" i="3"/>
  <c r="E335" i="1" a="1"/>
  <c r="C63" i="3" l="1"/>
  <c r="L337" i="3"/>
  <c r="M338" i="3"/>
  <c r="D336" i="1"/>
  <c r="C336" i="1" s="1"/>
  <c r="I334" i="1"/>
  <c r="F335" i="1"/>
  <c r="G335" i="1"/>
  <c r="E335" i="1"/>
  <c r="H335" i="1"/>
  <c r="Z63" i="3"/>
  <c r="AA63" i="3"/>
  <c r="E336" i="1" a="1"/>
  <c r="L338" i="3" l="1"/>
  <c r="M339" i="3"/>
  <c r="D337" i="1"/>
  <c r="C337" i="1" s="1"/>
  <c r="F336" i="1"/>
  <c r="G336" i="1"/>
  <c r="E336" i="1"/>
  <c r="H336" i="1"/>
  <c r="I335" i="1"/>
  <c r="Q63" i="3"/>
  <c r="E337" i="1" a="1"/>
  <c r="M340" i="3" l="1"/>
  <c r="L339" i="3"/>
  <c r="D338" i="1"/>
  <c r="C338" i="1" s="1"/>
  <c r="G337" i="1"/>
  <c r="H337" i="1"/>
  <c r="F337" i="1"/>
  <c r="E337" i="1"/>
  <c r="I336" i="1"/>
  <c r="AB63" i="3"/>
  <c r="R63" i="3"/>
  <c r="E338" i="1" a="1"/>
  <c r="L340" i="3" l="1"/>
  <c r="M341" i="3"/>
  <c r="I337" i="1"/>
  <c r="D339" i="1"/>
  <c r="C339" i="1" s="1"/>
  <c r="F338" i="1"/>
  <c r="G338" i="1"/>
  <c r="H338" i="1"/>
  <c r="E338" i="1"/>
  <c r="AC63" i="3"/>
  <c r="S63" i="3"/>
  <c r="E339" i="1" a="1"/>
  <c r="AD63" i="3" l="1"/>
  <c r="AE63" i="3" s="1"/>
  <c r="Y64" i="3" s="1"/>
  <c r="T63" i="3"/>
  <c r="U63" i="3" s="1"/>
  <c r="O64" i="3" s="1"/>
  <c r="L341" i="3"/>
  <c r="M342" i="3"/>
  <c r="D340" i="1"/>
  <c r="C340" i="1" s="1"/>
  <c r="H339" i="1"/>
  <c r="F339" i="1"/>
  <c r="G339" i="1"/>
  <c r="E339" i="1"/>
  <c r="I338" i="1"/>
  <c r="Z64" i="3"/>
  <c r="P64" i="3"/>
  <c r="E340" i="1" a="1"/>
  <c r="X64" i="3" l="1"/>
  <c r="C64" i="3"/>
  <c r="N64" i="3"/>
  <c r="B64" i="3"/>
  <c r="L342" i="3"/>
  <c r="M343" i="3"/>
  <c r="I339" i="1"/>
  <c r="D341" i="1"/>
  <c r="C341" i="1" s="1"/>
  <c r="F340" i="1"/>
  <c r="G340" i="1"/>
  <c r="E340" i="1"/>
  <c r="H340" i="1"/>
  <c r="AA64" i="3"/>
  <c r="E341" i="1" a="1"/>
  <c r="M344" i="3" l="1"/>
  <c r="L343" i="3"/>
  <c r="D342" i="1"/>
  <c r="C342" i="1" s="1"/>
  <c r="H341" i="1"/>
  <c r="E341" i="1"/>
  <c r="G341" i="1"/>
  <c r="F341" i="1"/>
  <c r="I340" i="1"/>
  <c r="Q64" i="3"/>
  <c r="E342" i="1" a="1"/>
  <c r="I341" i="1" l="1"/>
  <c r="L344" i="3"/>
  <c r="M345" i="3"/>
  <c r="D343" i="1"/>
  <c r="C343" i="1" s="1"/>
  <c r="H342" i="1"/>
  <c r="G342" i="1"/>
  <c r="F342" i="1"/>
  <c r="E342" i="1"/>
  <c r="AB64" i="3"/>
  <c r="R64" i="3"/>
  <c r="E343" i="1" a="1"/>
  <c r="I342" i="1" l="1"/>
  <c r="M346" i="3"/>
  <c r="L345" i="3"/>
  <c r="D344" i="1"/>
  <c r="C344" i="1" s="1"/>
  <c r="F343" i="1"/>
  <c r="G343" i="1"/>
  <c r="E343" i="1"/>
  <c r="H343" i="1"/>
  <c r="AC64" i="3"/>
  <c r="S64" i="3"/>
  <c r="E344" i="1" a="1"/>
  <c r="AD64" i="3" l="1"/>
  <c r="AE64" i="3" s="1"/>
  <c r="Y65" i="3" s="1"/>
  <c r="T64" i="3"/>
  <c r="U64" i="3" s="1"/>
  <c r="L346" i="3"/>
  <c r="M347" i="3"/>
  <c r="D345" i="1"/>
  <c r="C345" i="1" s="1"/>
  <c r="G344" i="1"/>
  <c r="E344" i="1"/>
  <c r="H344" i="1"/>
  <c r="F344" i="1"/>
  <c r="I343" i="1"/>
  <c r="E345" i="1" a="1"/>
  <c r="X65" i="3" l="1"/>
  <c r="C65" i="3"/>
  <c r="N65" i="3"/>
  <c r="O65" i="3"/>
  <c r="L347" i="3"/>
  <c r="M348" i="3"/>
  <c r="D346" i="1"/>
  <c r="C346" i="1" s="1"/>
  <c r="F345" i="1"/>
  <c r="H345" i="1"/>
  <c r="E345" i="1"/>
  <c r="G345" i="1"/>
  <c r="I345" i="1" s="1"/>
  <c r="I344" i="1"/>
  <c r="Z65" i="3"/>
  <c r="P65" i="3"/>
  <c r="E346" i="1" a="1"/>
  <c r="B65" i="3" l="1"/>
  <c r="L348" i="3"/>
  <c r="M349" i="3"/>
  <c r="D347" i="1"/>
  <c r="C347" i="1" s="1"/>
  <c r="F346" i="1"/>
  <c r="G346" i="1"/>
  <c r="H346" i="1"/>
  <c r="E346" i="1"/>
  <c r="AA65" i="3"/>
  <c r="E347" i="1" a="1"/>
  <c r="L349" i="3" l="1"/>
  <c r="M350" i="3"/>
  <c r="D348" i="1"/>
  <c r="C348" i="1" s="1"/>
  <c r="I346" i="1"/>
  <c r="E347" i="1"/>
  <c r="F347" i="1"/>
  <c r="G347" i="1"/>
  <c r="H347" i="1"/>
  <c r="Q65" i="3"/>
  <c r="E348" i="1" a="1"/>
  <c r="M351" i="3" l="1"/>
  <c r="L350" i="3"/>
  <c r="D349" i="1"/>
  <c r="C349" i="1" s="1"/>
  <c r="F348" i="1"/>
  <c r="G348" i="1"/>
  <c r="H348" i="1"/>
  <c r="E348" i="1"/>
  <c r="I347" i="1"/>
  <c r="AB65" i="3"/>
  <c r="R65" i="3"/>
  <c r="E349" i="1" a="1"/>
  <c r="M352" i="3" l="1"/>
  <c r="L351" i="3"/>
  <c r="D350" i="1"/>
  <c r="C350" i="1" s="1"/>
  <c r="E349" i="1"/>
  <c r="H349" i="1"/>
  <c r="G349" i="1"/>
  <c r="F349" i="1"/>
  <c r="I348" i="1"/>
  <c r="AC65" i="3"/>
  <c r="S65" i="3"/>
  <c r="E350" i="1" a="1"/>
  <c r="AD65" i="3" l="1"/>
  <c r="AE65" i="3" s="1"/>
  <c r="Y66" i="3" s="1"/>
  <c r="T65" i="3"/>
  <c r="U65" i="3" s="1"/>
  <c r="M353" i="3"/>
  <c r="L352" i="3"/>
  <c r="I349" i="1"/>
  <c r="D351" i="1"/>
  <c r="C351" i="1" s="1"/>
  <c r="E350" i="1"/>
  <c r="H350" i="1"/>
  <c r="G350" i="1"/>
  <c r="F350" i="1"/>
  <c r="E351" i="1" a="1"/>
  <c r="I350" i="1" l="1"/>
  <c r="X66" i="3"/>
  <c r="C66" i="3"/>
  <c r="N66" i="3"/>
  <c r="O66" i="3"/>
  <c r="L353" i="3"/>
  <c r="M354" i="3"/>
  <c r="D352" i="1"/>
  <c r="C352" i="1" s="1"/>
  <c r="F351" i="1"/>
  <c r="H351" i="1"/>
  <c r="E351" i="1"/>
  <c r="G351" i="1"/>
  <c r="P66" i="3"/>
  <c r="Z66" i="3"/>
  <c r="E352" i="1" a="1"/>
  <c r="I351" i="1" l="1"/>
  <c r="B66" i="3"/>
  <c r="L354" i="3"/>
  <c r="M355" i="3"/>
  <c r="D353" i="1"/>
  <c r="C353" i="1" s="1"/>
  <c r="H352" i="1"/>
  <c r="F352" i="1"/>
  <c r="E352" i="1"/>
  <c r="G352" i="1"/>
  <c r="AA66" i="3"/>
  <c r="E353" i="1" a="1"/>
  <c r="I352" i="1" l="1"/>
  <c r="L355" i="3"/>
  <c r="M356" i="3"/>
  <c r="D354" i="1"/>
  <c r="C354" i="1" s="1"/>
  <c r="H353" i="1"/>
  <c r="E353" i="1"/>
  <c r="G353" i="1"/>
  <c r="F353" i="1"/>
  <c r="Q66" i="3"/>
  <c r="E354" i="1" a="1"/>
  <c r="I353" i="1" l="1"/>
  <c r="L356" i="3"/>
  <c r="M357" i="3"/>
  <c r="D355" i="1"/>
  <c r="C355" i="1" s="1"/>
  <c r="F354" i="1"/>
  <c r="H354" i="1"/>
  <c r="E354" i="1"/>
  <c r="G354" i="1"/>
  <c r="AB66" i="3"/>
  <c r="R66" i="3"/>
  <c r="E355" i="1" a="1"/>
  <c r="I354" i="1" l="1"/>
  <c r="M358" i="3"/>
  <c r="L357" i="3"/>
  <c r="D356" i="1"/>
  <c r="C356" i="1" s="1"/>
  <c r="G355" i="1"/>
  <c r="F355" i="1"/>
  <c r="E355" i="1"/>
  <c r="H355" i="1"/>
  <c r="AC66" i="3"/>
  <c r="S66" i="3"/>
  <c r="E356" i="1" a="1"/>
  <c r="AD66" i="3" l="1"/>
  <c r="AE66" i="3" s="1"/>
  <c r="Y67" i="3" s="1"/>
  <c r="T66" i="3"/>
  <c r="U66" i="3" s="1"/>
  <c r="M359" i="3"/>
  <c r="L358" i="3"/>
  <c r="D357" i="1"/>
  <c r="C357" i="1" s="1"/>
  <c r="G356" i="1"/>
  <c r="H356" i="1"/>
  <c r="F356" i="1"/>
  <c r="E356" i="1"/>
  <c r="I355" i="1"/>
  <c r="E357" i="1" a="1"/>
  <c r="X67" i="3" l="1"/>
  <c r="C67" i="3"/>
  <c r="N67" i="3"/>
  <c r="O67" i="3"/>
  <c r="M360" i="3"/>
  <c r="L359" i="3"/>
  <c r="D358" i="1"/>
  <c r="C358" i="1" s="1"/>
  <c r="I356" i="1"/>
  <c r="G357" i="1"/>
  <c r="F357" i="1"/>
  <c r="E357" i="1"/>
  <c r="H357" i="1"/>
  <c r="Z67" i="3"/>
  <c r="P67" i="3"/>
  <c r="E358" i="1" a="1"/>
  <c r="B67" i="3" l="1"/>
  <c r="L360" i="3"/>
  <c r="M361" i="3"/>
  <c r="D359" i="1"/>
  <c r="C359" i="1" s="1"/>
  <c r="G358" i="1"/>
  <c r="F358" i="1"/>
  <c r="E358" i="1"/>
  <c r="H358" i="1"/>
  <c r="I357" i="1"/>
  <c r="AA67" i="3"/>
  <c r="E359" i="1" a="1"/>
  <c r="M362" i="3" l="1"/>
  <c r="L361" i="3"/>
  <c r="D360" i="1"/>
  <c r="C360" i="1" s="1"/>
  <c r="H359" i="1"/>
  <c r="G359" i="1"/>
  <c r="E359" i="1"/>
  <c r="F359" i="1"/>
  <c r="I358" i="1"/>
  <c r="Q67" i="3"/>
  <c r="E360" i="1" a="1"/>
  <c r="I359" i="1" l="1"/>
  <c r="L362" i="3"/>
  <c r="M363" i="3"/>
  <c r="D361" i="1"/>
  <c r="C361" i="1" s="1"/>
  <c r="G360" i="1"/>
  <c r="F360" i="1"/>
  <c r="H360" i="1"/>
  <c r="E360" i="1"/>
  <c r="AB67" i="3"/>
  <c r="R67" i="3"/>
  <c r="E361" i="1" a="1"/>
  <c r="M364" i="3" l="1"/>
  <c r="L363" i="3"/>
  <c r="D362" i="1"/>
  <c r="C362" i="1" s="1"/>
  <c r="I360" i="1"/>
  <c r="G361" i="1"/>
  <c r="H361" i="1"/>
  <c r="F361" i="1"/>
  <c r="E361" i="1"/>
  <c r="AC67" i="3"/>
  <c r="S67" i="3"/>
  <c r="E362" i="1" a="1"/>
  <c r="AD67" i="3" l="1"/>
  <c r="AE67" i="3" s="1"/>
  <c r="Y68" i="3" s="1"/>
  <c r="T67" i="3"/>
  <c r="U67" i="3" s="1"/>
  <c r="L364" i="3"/>
  <c r="M365" i="3"/>
  <c r="D363" i="1"/>
  <c r="C363" i="1" s="1"/>
  <c r="F362" i="1"/>
  <c r="H362" i="1"/>
  <c r="E362" i="1"/>
  <c r="G362" i="1"/>
  <c r="I361" i="1"/>
  <c r="E363" i="1" a="1"/>
  <c r="I362" i="1" l="1"/>
  <c r="X68" i="3"/>
  <c r="C68" i="3"/>
  <c r="N68" i="3"/>
  <c r="O68" i="3"/>
  <c r="M366" i="3"/>
  <c r="L365" i="3"/>
  <c r="D364" i="1"/>
  <c r="C364" i="1" s="1"/>
  <c r="E363" i="1"/>
  <c r="G363" i="1"/>
  <c r="H363" i="1"/>
  <c r="F363" i="1"/>
  <c r="P68" i="3"/>
  <c r="Z68" i="3"/>
  <c r="E364" i="1" a="1"/>
  <c r="B68" i="3" l="1"/>
  <c r="M367" i="3"/>
  <c r="L366" i="3"/>
  <c r="D365" i="1"/>
  <c r="C365" i="1" s="1"/>
  <c r="I363" i="1"/>
  <c r="G364" i="1"/>
  <c r="E364" i="1"/>
  <c r="H364" i="1"/>
  <c r="F364" i="1"/>
  <c r="AA68" i="3"/>
  <c r="E365" i="1" a="1"/>
  <c r="M368" i="3" l="1"/>
  <c r="L367" i="3"/>
  <c r="D366" i="1"/>
  <c r="C366" i="1" s="1"/>
  <c r="G365" i="1"/>
  <c r="F365" i="1"/>
  <c r="E365" i="1"/>
  <c r="H365" i="1"/>
  <c r="I364" i="1"/>
  <c r="Q68" i="3"/>
  <c r="E366" i="1" a="1"/>
  <c r="M369" i="3" l="1"/>
  <c r="L368" i="3"/>
  <c r="D367" i="1"/>
  <c r="C367" i="1" s="1"/>
  <c r="G366" i="1"/>
  <c r="F366" i="1"/>
  <c r="E366" i="1"/>
  <c r="H366" i="1"/>
  <c r="I365" i="1"/>
  <c r="AB68" i="3"/>
  <c r="R68" i="3"/>
  <c r="E367" i="1" a="1"/>
  <c r="M370" i="3" l="1"/>
  <c r="L369" i="3"/>
  <c r="D368" i="1"/>
  <c r="C368" i="1" s="1"/>
  <c r="F367" i="1"/>
  <c r="E367" i="1"/>
  <c r="G367" i="1"/>
  <c r="H367" i="1"/>
  <c r="I366" i="1"/>
  <c r="AC68" i="3"/>
  <c r="S68" i="3"/>
  <c r="E368" i="1" a="1"/>
  <c r="AD68" i="3" l="1"/>
  <c r="AE68" i="3" s="1"/>
  <c r="Y69" i="3" s="1"/>
  <c r="T68" i="3"/>
  <c r="U68" i="3" s="1"/>
  <c r="M371" i="3"/>
  <c r="L370" i="3"/>
  <c r="D369" i="1"/>
  <c r="C369" i="1" s="1"/>
  <c r="I367" i="1"/>
  <c r="H368" i="1"/>
  <c r="G368" i="1"/>
  <c r="F368" i="1"/>
  <c r="E368" i="1"/>
  <c r="E369" i="1" a="1"/>
  <c r="X69" i="3" l="1"/>
  <c r="C69" i="3"/>
  <c r="N69" i="3"/>
  <c r="O69" i="3"/>
  <c r="L371" i="3"/>
  <c r="M372" i="3"/>
  <c r="I368" i="1"/>
  <c r="D370" i="1"/>
  <c r="C370" i="1" s="1"/>
  <c r="E369" i="1"/>
  <c r="G369" i="1"/>
  <c r="F369" i="1"/>
  <c r="H369" i="1"/>
  <c r="P69" i="3"/>
  <c r="Z69" i="3"/>
  <c r="E370" i="1" a="1"/>
  <c r="B69" i="3" l="1"/>
  <c r="L372" i="3"/>
  <c r="M373" i="3"/>
  <c r="D371" i="1"/>
  <c r="C371" i="1" s="1"/>
  <c r="G370" i="1"/>
  <c r="F370" i="1"/>
  <c r="E370" i="1"/>
  <c r="H370" i="1"/>
  <c r="I369" i="1"/>
  <c r="AA69" i="3"/>
  <c r="E371" i="1" a="1"/>
  <c r="L373" i="3" l="1"/>
  <c r="M374" i="3"/>
  <c r="D372" i="1"/>
  <c r="C372" i="1" s="1"/>
  <c r="G371" i="1"/>
  <c r="F371" i="1"/>
  <c r="H371" i="1"/>
  <c r="E371" i="1"/>
  <c r="I370" i="1"/>
  <c r="Q69" i="3"/>
  <c r="E372" i="1" a="1"/>
  <c r="M375" i="3" l="1"/>
  <c r="L374" i="3"/>
  <c r="D373" i="1"/>
  <c r="C373" i="1" s="1"/>
  <c r="E372" i="1"/>
  <c r="H372" i="1"/>
  <c r="G372" i="1"/>
  <c r="F372" i="1"/>
  <c r="I371" i="1"/>
  <c r="AB69" i="3"/>
  <c r="R69" i="3"/>
  <c r="E373" i="1" a="1"/>
  <c r="M376" i="3" l="1"/>
  <c r="L375" i="3"/>
  <c r="I372" i="1"/>
  <c r="D374" i="1"/>
  <c r="C374" i="1" s="1"/>
  <c r="G373" i="1"/>
  <c r="H373" i="1"/>
  <c r="E373" i="1"/>
  <c r="F373" i="1"/>
  <c r="AC69" i="3"/>
  <c r="S69" i="3"/>
  <c r="E374" i="1" a="1"/>
  <c r="AD69" i="3" l="1"/>
  <c r="AE69" i="3" s="1"/>
  <c r="Y70" i="3" s="1"/>
  <c r="T69" i="3"/>
  <c r="U69" i="3" s="1"/>
  <c r="L376" i="3"/>
  <c r="M377" i="3"/>
  <c r="D375" i="1"/>
  <c r="C375" i="1" s="1"/>
  <c r="H374" i="1"/>
  <c r="F374" i="1"/>
  <c r="E374" i="1"/>
  <c r="G374" i="1"/>
  <c r="I373" i="1"/>
  <c r="E375" i="1" a="1"/>
  <c r="I374" i="1" l="1"/>
  <c r="X70" i="3"/>
  <c r="C70" i="3"/>
  <c r="N70" i="3"/>
  <c r="O70" i="3"/>
  <c r="M378" i="3"/>
  <c r="L377" i="3"/>
  <c r="D376" i="1"/>
  <c r="C376" i="1" s="1"/>
  <c r="G375" i="1"/>
  <c r="F375" i="1"/>
  <c r="H375" i="1"/>
  <c r="E375" i="1"/>
  <c r="Z70" i="3"/>
  <c r="P70" i="3"/>
  <c r="E376" i="1" a="1"/>
  <c r="B70" i="3" l="1"/>
  <c r="M379" i="3"/>
  <c r="L378" i="3"/>
  <c r="D377" i="1"/>
  <c r="C377" i="1" s="1"/>
  <c r="H376" i="1"/>
  <c r="F376" i="1"/>
  <c r="E376" i="1"/>
  <c r="G376" i="1"/>
  <c r="I375" i="1"/>
  <c r="AA70" i="3"/>
  <c r="E377" i="1" a="1"/>
  <c r="I376" i="1" l="1"/>
  <c r="L379" i="3"/>
  <c r="M380" i="3"/>
  <c r="D378" i="1"/>
  <c r="C378" i="1" s="1"/>
  <c r="F377" i="1"/>
  <c r="H377" i="1"/>
  <c r="E377" i="1"/>
  <c r="G377" i="1"/>
  <c r="Q70" i="3"/>
  <c r="E378" i="1" a="1"/>
  <c r="I377" i="1" l="1"/>
  <c r="L380" i="3"/>
  <c r="M381" i="3"/>
  <c r="D379" i="1"/>
  <c r="C379" i="1" s="1"/>
  <c r="F378" i="1"/>
  <c r="H378" i="1"/>
  <c r="E378" i="1"/>
  <c r="G378" i="1"/>
  <c r="AB70" i="3"/>
  <c r="R70" i="3"/>
  <c r="E379" i="1" a="1"/>
  <c r="I378" i="1" l="1"/>
  <c r="M382" i="3"/>
  <c r="L381" i="3"/>
  <c r="D380" i="1"/>
  <c r="C380" i="1" s="1"/>
  <c r="E379" i="1"/>
  <c r="F379" i="1"/>
  <c r="H379" i="1"/>
  <c r="G379" i="1"/>
  <c r="AC70" i="3"/>
  <c r="S70" i="3"/>
  <c r="E380" i="1" a="1"/>
  <c r="AD70" i="3" l="1"/>
  <c r="AE70" i="3" s="1"/>
  <c r="Y71" i="3" s="1"/>
  <c r="T70" i="3"/>
  <c r="U70" i="3" s="1"/>
  <c r="I379" i="1"/>
  <c r="L382" i="3"/>
  <c r="M383" i="3"/>
  <c r="D381" i="1"/>
  <c r="C381" i="1" s="1"/>
  <c r="G380" i="1"/>
  <c r="F380" i="1"/>
  <c r="E380" i="1"/>
  <c r="H380" i="1"/>
  <c r="E381" i="1" a="1"/>
  <c r="X71" i="3" l="1"/>
  <c r="C71" i="3"/>
  <c r="N71" i="3"/>
  <c r="O71" i="3"/>
  <c r="L383" i="3"/>
  <c r="M384" i="3"/>
  <c r="D382" i="1"/>
  <c r="C382" i="1" s="1"/>
  <c r="I380" i="1"/>
  <c r="G381" i="1"/>
  <c r="F381" i="1"/>
  <c r="H381" i="1"/>
  <c r="E381" i="1"/>
  <c r="Z71" i="3"/>
  <c r="P71" i="3"/>
  <c r="E382" i="1" a="1"/>
  <c r="B71" i="3" l="1"/>
  <c r="M385" i="3"/>
  <c r="L384" i="3"/>
  <c r="D383" i="1"/>
  <c r="C383" i="1" s="1"/>
  <c r="G382" i="1"/>
  <c r="F382" i="1"/>
  <c r="H382" i="1"/>
  <c r="E382" i="1"/>
  <c r="I381" i="1"/>
  <c r="AA71" i="3"/>
  <c r="E383" i="1" a="1"/>
  <c r="L385" i="3" l="1"/>
  <c r="M386" i="3"/>
  <c r="D384" i="1"/>
  <c r="C384" i="1" s="1"/>
  <c r="F383" i="1"/>
  <c r="H383" i="1"/>
  <c r="G383" i="1"/>
  <c r="E383" i="1"/>
  <c r="I382" i="1"/>
  <c r="Q71" i="3"/>
  <c r="E384" i="1" a="1"/>
  <c r="M387" i="3" l="1"/>
  <c r="L386" i="3"/>
  <c r="I383" i="1"/>
  <c r="D385" i="1"/>
  <c r="C385" i="1" s="1"/>
  <c r="F384" i="1"/>
  <c r="E384" i="1"/>
  <c r="G384" i="1"/>
  <c r="H384" i="1"/>
  <c r="AB71" i="3"/>
  <c r="R71" i="3"/>
  <c r="E385" i="1" a="1"/>
  <c r="M388" i="3" l="1"/>
  <c r="L387" i="3"/>
  <c r="D386" i="1"/>
  <c r="C386" i="1" s="1"/>
  <c r="I384" i="1"/>
  <c r="G385" i="1"/>
  <c r="F385" i="1"/>
  <c r="E385" i="1"/>
  <c r="H385" i="1"/>
  <c r="AC71" i="3"/>
  <c r="S71" i="3"/>
  <c r="E386" i="1" a="1"/>
  <c r="AD71" i="3" l="1"/>
  <c r="AE71" i="3" s="1"/>
  <c r="T71" i="3"/>
  <c r="U71" i="3" s="1"/>
  <c r="O72" i="3" s="1"/>
  <c r="M389" i="3"/>
  <c r="L388" i="3"/>
  <c r="D387" i="1"/>
  <c r="C387" i="1" s="1"/>
  <c r="G386" i="1"/>
  <c r="F386" i="1"/>
  <c r="E386" i="1"/>
  <c r="H386" i="1"/>
  <c r="I385" i="1"/>
  <c r="E387" i="1" a="1"/>
  <c r="N72" i="3" l="1"/>
  <c r="Y72" i="3"/>
  <c r="X72" i="3"/>
  <c r="B72" i="3"/>
  <c r="M390" i="3"/>
  <c r="L389" i="3"/>
  <c r="D388" i="1"/>
  <c r="C388" i="1" s="1"/>
  <c r="G387" i="1"/>
  <c r="F387" i="1"/>
  <c r="E387" i="1"/>
  <c r="H387" i="1"/>
  <c r="I386" i="1"/>
  <c r="P72" i="3"/>
  <c r="E388" i="1" a="1"/>
  <c r="C72" i="3" l="1"/>
  <c r="L390" i="3"/>
  <c r="M391" i="3"/>
  <c r="D389" i="1"/>
  <c r="C389" i="1" s="1"/>
  <c r="G388" i="1"/>
  <c r="F388" i="1"/>
  <c r="E388" i="1"/>
  <c r="H388" i="1"/>
  <c r="I387" i="1"/>
  <c r="Z72" i="3"/>
  <c r="AA72" i="3"/>
  <c r="E389" i="1" a="1"/>
  <c r="L391" i="3" l="1"/>
  <c r="M392" i="3"/>
  <c r="D390" i="1"/>
  <c r="C390" i="1" s="1"/>
  <c r="H389" i="1"/>
  <c r="E389" i="1"/>
  <c r="G389" i="1"/>
  <c r="F389" i="1"/>
  <c r="I388" i="1"/>
  <c r="Q72" i="3"/>
  <c r="E390" i="1" a="1"/>
  <c r="L392" i="3" l="1"/>
  <c r="M393" i="3"/>
  <c r="I389" i="1"/>
  <c r="D391" i="1"/>
  <c r="C391" i="1" s="1"/>
  <c r="H390" i="1"/>
  <c r="E390" i="1"/>
  <c r="G390" i="1"/>
  <c r="F390" i="1"/>
  <c r="AB72" i="3"/>
  <c r="R72" i="3"/>
  <c r="E391" i="1" a="1"/>
  <c r="I390" i="1" l="1"/>
  <c r="L393" i="3"/>
  <c r="M394" i="3"/>
  <c r="D392" i="1"/>
  <c r="C392" i="1" s="1"/>
  <c r="G391" i="1"/>
  <c r="F391" i="1"/>
  <c r="H391" i="1"/>
  <c r="E391" i="1"/>
  <c r="AC72" i="3"/>
  <c r="S72" i="3"/>
  <c r="E392" i="1" a="1"/>
  <c r="AD72" i="3" l="1"/>
  <c r="AE72" i="3" s="1"/>
  <c r="Y73" i="3" s="1"/>
  <c r="C73" i="3" s="1"/>
  <c r="T72" i="3"/>
  <c r="U72" i="3" s="1"/>
  <c r="O73" i="3" s="1"/>
  <c r="L394" i="3"/>
  <c r="M395" i="3"/>
  <c r="D393" i="1"/>
  <c r="C393" i="1" s="1"/>
  <c r="F392" i="1"/>
  <c r="H392" i="1"/>
  <c r="G392" i="1"/>
  <c r="E392" i="1"/>
  <c r="I391" i="1"/>
  <c r="P73" i="3"/>
  <c r="Z73" i="3"/>
  <c r="E393" i="1" a="1"/>
  <c r="I392" i="1" l="1"/>
  <c r="N73" i="3"/>
  <c r="X73" i="3"/>
  <c r="B73" i="3"/>
  <c r="M396" i="3"/>
  <c r="L395" i="3"/>
  <c r="D394" i="1"/>
  <c r="C394" i="1" s="1"/>
  <c r="F393" i="1"/>
  <c r="H393" i="1"/>
  <c r="E393" i="1"/>
  <c r="G393" i="1"/>
  <c r="AA73" i="3"/>
  <c r="E394" i="1" a="1"/>
  <c r="I393" i="1" l="1"/>
  <c r="L396" i="3"/>
  <c r="M397" i="3"/>
  <c r="D395" i="1"/>
  <c r="C395" i="1" s="1"/>
  <c r="G394" i="1"/>
  <c r="F394" i="1"/>
  <c r="E394" i="1"/>
  <c r="H394" i="1"/>
  <c r="Q73" i="3"/>
  <c r="E395" i="1" a="1"/>
  <c r="L397" i="3" l="1"/>
  <c r="M398" i="3"/>
  <c r="D396" i="1"/>
  <c r="C396" i="1" s="1"/>
  <c r="E395" i="1"/>
  <c r="F395" i="1"/>
  <c r="H395" i="1"/>
  <c r="G395" i="1"/>
  <c r="I395" i="1" s="1"/>
  <c r="I394" i="1"/>
  <c r="AB73" i="3"/>
  <c r="R73" i="3"/>
  <c r="E396" i="1" a="1"/>
  <c r="M399" i="3" l="1"/>
  <c r="L398" i="3"/>
  <c r="D397" i="1"/>
  <c r="C397" i="1" s="1"/>
  <c r="G396" i="1"/>
  <c r="F396" i="1"/>
  <c r="E396" i="1"/>
  <c r="H396" i="1"/>
  <c r="AC73" i="3"/>
  <c r="S73" i="3"/>
  <c r="E397" i="1" a="1"/>
  <c r="AD73" i="3" l="1"/>
  <c r="AE73" i="3" s="1"/>
  <c r="Y74" i="3" s="1"/>
  <c r="T73" i="3"/>
  <c r="U73" i="3" s="1"/>
  <c r="L399" i="3"/>
  <c r="M400" i="3"/>
  <c r="D398" i="1"/>
  <c r="C398" i="1" s="1"/>
  <c r="H397" i="1"/>
  <c r="E397" i="1"/>
  <c r="F397" i="1"/>
  <c r="G397" i="1"/>
  <c r="I396" i="1"/>
  <c r="E398" i="1" a="1"/>
  <c r="I397" i="1" l="1"/>
  <c r="X74" i="3"/>
  <c r="C74" i="3"/>
  <c r="N74" i="3"/>
  <c r="O74" i="3"/>
  <c r="L400" i="3"/>
  <c r="M401" i="3"/>
  <c r="D399" i="1"/>
  <c r="C399" i="1" s="1"/>
  <c r="F398" i="1"/>
  <c r="G398" i="1"/>
  <c r="H398" i="1"/>
  <c r="E398" i="1"/>
  <c r="P74" i="3"/>
  <c r="Z74" i="3"/>
  <c r="E399" i="1" a="1"/>
  <c r="B74" i="3" l="1"/>
  <c r="L401" i="3"/>
  <c r="M402" i="3"/>
  <c r="D400" i="1"/>
  <c r="C400" i="1" s="1"/>
  <c r="H399" i="1"/>
  <c r="E399" i="1"/>
  <c r="F399" i="1"/>
  <c r="G399" i="1"/>
  <c r="I398" i="1"/>
  <c r="AA74" i="3"/>
  <c r="E400" i="1" a="1"/>
  <c r="L402" i="3" l="1"/>
  <c r="M403" i="3"/>
  <c r="I399" i="1"/>
  <c r="D401" i="1"/>
  <c r="C401" i="1" s="1"/>
  <c r="E400" i="1"/>
  <c r="G400" i="1"/>
  <c r="H400" i="1"/>
  <c r="F400" i="1"/>
  <c r="Q74" i="3"/>
  <c r="E401" i="1" a="1"/>
  <c r="L403" i="3" l="1"/>
  <c r="M404" i="3"/>
  <c r="D402" i="1"/>
  <c r="C402" i="1" s="1"/>
  <c r="F401" i="1"/>
  <c r="G401" i="1"/>
  <c r="H401" i="1"/>
  <c r="E401" i="1"/>
  <c r="I400" i="1"/>
  <c r="AB74" i="3"/>
  <c r="R74" i="3"/>
  <c r="E402" i="1" a="1"/>
  <c r="M405" i="3" l="1"/>
  <c r="L404" i="3"/>
  <c r="D403" i="1"/>
  <c r="C403" i="1" s="1"/>
  <c r="E402" i="1"/>
  <c r="G402" i="1"/>
  <c r="F402" i="1"/>
  <c r="H402" i="1"/>
  <c r="I401" i="1"/>
  <c r="AC74" i="3"/>
  <c r="S74" i="3"/>
  <c r="E403" i="1" a="1"/>
  <c r="AD74" i="3" l="1"/>
  <c r="AE74" i="3" s="1"/>
  <c r="Y75" i="3" s="1"/>
  <c r="T74" i="3"/>
  <c r="U74" i="3" s="1"/>
  <c r="L405" i="3"/>
  <c r="M406" i="3"/>
  <c r="D404" i="1"/>
  <c r="C404" i="1" s="1"/>
  <c r="H403" i="1"/>
  <c r="E403" i="1"/>
  <c r="F403" i="1"/>
  <c r="G403" i="1"/>
  <c r="I402" i="1"/>
  <c r="E404" i="1" a="1"/>
  <c r="I403" i="1" l="1"/>
  <c r="X75" i="3"/>
  <c r="C75" i="3"/>
  <c r="N75" i="3"/>
  <c r="O75" i="3"/>
  <c r="M407" i="3"/>
  <c r="L406" i="3"/>
  <c r="D405" i="1"/>
  <c r="C405" i="1" s="1"/>
  <c r="F404" i="1"/>
  <c r="E404" i="1"/>
  <c r="H404" i="1"/>
  <c r="G404" i="1"/>
  <c r="Z75" i="3"/>
  <c r="P75" i="3"/>
  <c r="E405" i="1" a="1"/>
  <c r="B75" i="3" l="1"/>
  <c r="L407" i="3"/>
  <c r="M408" i="3"/>
  <c r="I404" i="1"/>
  <c r="D406" i="1"/>
  <c r="C406" i="1" s="1"/>
  <c r="G405" i="1"/>
  <c r="F405" i="1"/>
  <c r="H405" i="1"/>
  <c r="E405" i="1"/>
  <c r="AA75" i="3"/>
  <c r="E406" i="1" a="1"/>
  <c r="M409" i="3" l="1"/>
  <c r="L408" i="3"/>
  <c r="D407" i="1"/>
  <c r="C407" i="1" s="1"/>
  <c r="F406" i="1"/>
  <c r="G406" i="1"/>
  <c r="H406" i="1"/>
  <c r="E406" i="1"/>
  <c r="I405" i="1"/>
  <c r="Q75" i="3"/>
  <c r="E407" i="1" a="1"/>
  <c r="M410" i="3" l="1"/>
  <c r="L409" i="3"/>
  <c r="D408" i="1"/>
  <c r="C408" i="1" s="1"/>
  <c r="G407" i="1"/>
  <c r="E407" i="1"/>
  <c r="F407" i="1"/>
  <c r="H407" i="1"/>
  <c r="I406" i="1"/>
  <c r="AB75" i="3"/>
  <c r="R75" i="3"/>
  <c r="E408" i="1" a="1"/>
  <c r="L410" i="3" l="1"/>
  <c r="M411" i="3"/>
  <c r="D409" i="1"/>
  <c r="C409" i="1" s="1"/>
  <c r="F408" i="1"/>
  <c r="G408" i="1"/>
  <c r="H408" i="1"/>
  <c r="E408" i="1"/>
  <c r="I407" i="1"/>
  <c r="AC75" i="3"/>
  <c r="S75" i="3"/>
  <c r="E409" i="1" a="1"/>
  <c r="AD75" i="3" l="1"/>
  <c r="AE75" i="3" s="1"/>
  <c r="Y76" i="3" s="1"/>
  <c r="T75" i="3"/>
  <c r="U75" i="3" s="1"/>
  <c r="M412" i="3"/>
  <c r="L411" i="3"/>
  <c r="D410" i="1"/>
  <c r="C410" i="1" s="1"/>
  <c r="I408" i="1"/>
  <c r="F409" i="1"/>
  <c r="H409" i="1"/>
  <c r="E409" i="1"/>
  <c r="G409" i="1"/>
  <c r="E410" i="1" a="1"/>
  <c r="I409" i="1" l="1"/>
  <c r="X76" i="3"/>
  <c r="C76" i="3"/>
  <c r="N76" i="3"/>
  <c r="O76" i="3"/>
  <c r="L412" i="3"/>
  <c r="M413" i="3"/>
  <c r="D411" i="1"/>
  <c r="C411" i="1" s="1"/>
  <c r="F410" i="1"/>
  <c r="G410" i="1"/>
  <c r="H410" i="1"/>
  <c r="E410" i="1"/>
  <c r="P76" i="3"/>
  <c r="Z76" i="3"/>
  <c r="E411" i="1" a="1"/>
  <c r="B76" i="3" l="1"/>
  <c r="L413" i="3"/>
  <c r="M414" i="3"/>
  <c r="I410" i="1"/>
  <c r="D412" i="1"/>
  <c r="C412" i="1" s="1"/>
  <c r="E411" i="1"/>
  <c r="F411" i="1"/>
  <c r="H411" i="1"/>
  <c r="G411" i="1"/>
  <c r="AA76" i="3"/>
  <c r="E412" i="1" a="1"/>
  <c r="I411" i="1" l="1"/>
  <c r="M415" i="3"/>
  <c r="L414" i="3"/>
  <c r="D413" i="1"/>
  <c r="C413" i="1" s="1"/>
  <c r="H412" i="1"/>
  <c r="F412" i="1"/>
  <c r="G412" i="1"/>
  <c r="E412" i="1"/>
  <c r="Q76" i="3"/>
  <c r="E413" i="1" a="1"/>
  <c r="I412" i="1" l="1"/>
  <c r="L415" i="3"/>
  <c r="M416" i="3"/>
  <c r="D414" i="1"/>
  <c r="C414" i="1" s="1"/>
  <c r="G413" i="1"/>
  <c r="F413" i="1"/>
  <c r="E413" i="1"/>
  <c r="H413" i="1"/>
  <c r="AB76" i="3"/>
  <c r="R76" i="3"/>
  <c r="E414" i="1" a="1"/>
  <c r="M417" i="3" l="1"/>
  <c r="L416" i="3"/>
  <c r="D415" i="1"/>
  <c r="C415" i="1" s="1"/>
  <c r="E414" i="1"/>
  <c r="F414" i="1"/>
  <c r="H414" i="1"/>
  <c r="G414" i="1"/>
  <c r="I414" i="1" s="1"/>
  <c r="I413" i="1"/>
  <c r="AC76" i="3"/>
  <c r="S76" i="3"/>
  <c r="E415" i="1" a="1"/>
  <c r="AD76" i="3" l="1"/>
  <c r="AE76" i="3" s="1"/>
  <c r="Y77" i="3" s="1"/>
  <c r="T76" i="3"/>
  <c r="U76" i="3" s="1"/>
  <c r="L417" i="3"/>
  <c r="M418" i="3"/>
  <c r="D416" i="1"/>
  <c r="C416" i="1" s="1"/>
  <c r="F415" i="1"/>
  <c r="G415" i="1"/>
  <c r="E415" i="1"/>
  <c r="H415" i="1"/>
  <c r="E416" i="1" a="1"/>
  <c r="X77" i="3" l="1"/>
  <c r="C77" i="3"/>
  <c r="N77" i="3"/>
  <c r="O77" i="3"/>
  <c r="L418" i="3"/>
  <c r="M419" i="3"/>
  <c r="D417" i="1"/>
  <c r="C417" i="1" s="1"/>
  <c r="I415" i="1"/>
  <c r="F416" i="1"/>
  <c r="G416" i="1"/>
  <c r="E416" i="1"/>
  <c r="H416" i="1"/>
  <c r="Z77" i="3"/>
  <c r="P77" i="3"/>
  <c r="E417" i="1" a="1"/>
  <c r="B77" i="3" l="1"/>
  <c r="L419" i="3"/>
  <c r="M420" i="3"/>
  <c r="D418" i="1"/>
  <c r="C418" i="1" s="1"/>
  <c r="F417" i="1"/>
  <c r="G417" i="1"/>
  <c r="H417" i="1"/>
  <c r="E417" i="1"/>
  <c r="I416" i="1"/>
  <c r="AA77" i="3"/>
  <c r="E418" i="1" a="1"/>
  <c r="L420" i="3" l="1"/>
  <c r="M421" i="3"/>
  <c r="D419" i="1"/>
  <c r="C419" i="1" s="1"/>
  <c r="F418" i="1"/>
  <c r="G418" i="1"/>
  <c r="H418" i="1"/>
  <c r="E418" i="1"/>
  <c r="I417" i="1"/>
  <c r="Q77" i="3"/>
  <c r="E419" i="1" a="1"/>
  <c r="M422" i="3" l="1"/>
  <c r="L421" i="3"/>
  <c r="D420" i="1"/>
  <c r="C420" i="1" s="1"/>
  <c r="I418" i="1"/>
  <c r="G419" i="1"/>
  <c r="H419" i="1"/>
  <c r="E419" i="1"/>
  <c r="F419" i="1"/>
  <c r="AB77" i="3"/>
  <c r="R77" i="3"/>
  <c r="E420" i="1" a="1"/>
  <c r="L422" i="3" l="1"/>
  <c r="M423" i="3"/>
  <c r="D421" i="1"/>
  <c r="C421" i="1" s="1"/>
  <c r="E420" i="1"/>
  <c r="F420" i="1"/>
  <c r="G420" i="1"/>
  <c r="H420" i="1"/>
  <c r="I419" i="1"/>
  <c r="AC77" i="3"/>
  <c r="S77" i="3"/>
  <c r="E421" i="1" a="1"/>
  <c r="AD77" i="3" l="1"/>
  <c r="AE77" i="3" s="1"/>
  <c r="Y78" i="3" s="1"/>
  <c r="T77" i="3"/>
  <c r="U77" i="3" s="1"/>
  <c r="M424" i="3"/>
  <c r="L423" i="3"/>
  <c r="D422" i="1"/>
  <c r="C422" i="1" s="1"/>
  <c r="F421" i="1"/>
  <c r="G421" i="1"/>
  <c r="H421" i="1"/>
  <c r="E421" i="1"/>
  <c r="I420" i="1"/>
  <c r="E422" i="1" a="1"/>
  <c r="X78" i="3" l="1"/>
  <c r="C78" i="3"/>
  <c r="N78" i="3"/>
  <c r="O78" i="3"/>
  <c r="L424" i="3"/>
  <c r="M425" i="3"/>
  <c r="D423" i="1"/>
  <c r="C423" i="1" s="1"/>
  <c r="H422" i="1"/>
  <c r="E422" i="1"/>
  <c r="G422" i="1"/>
  <c r="F422" i="1"/>
  <c r="I421" i="1"/>
  <c r="P78" i="3"/>
  <c r="Z78" i="3"/>
  <c r="E423" i="1" a="1"/>
  <c r="I422" i="1" l="1"/>
  <c r="B78" i="3"/>
  <c r="L425" i="3"/>
  <c r="M426" i="3"/>
  <c r="D424" i="1"/>
  <c r="C424" i="1" s="1"/>
  <c r="F423" i="1"/>
  <c r="H423" i="1"/>
  <c r="E423" i="1"/>
  <c r="G423" i="1"/>
  <c r="AA78" i="3"/>
  <c r="E424" i="1" a="1"/>
  <c r="I423" i="1" l="1"/>
  <c r="L426" i="3"/>
  <c r="M427" i="3"/>
  <c r="D425" i="1"/>
  <c r="C425" i="1" s="1"/>
  <c r="G424" i="1"/>
  <c r="E424" i="1"/>
  <c r="F424" i="1"/>
  <c r="H424" i="1"/>
  <c r="Q78" i="3"/>
  <c r="E425" i="1" a="1"/>
  <c r="M428" i="3" l="1"/>
  <c r="L427" i="3"/>
  <c r="D426" i="1"/>
  <c r="C426" i="1" s="1"/>
  <c r="F425" i="1"/>
  <c r="H425" i="1"/>
  <c r="E425" i="1"/>
  <c r="G425" i="1"/>
  <c r="I424" i="1"/>
  <c r="AB78" i="3"/>
  <c r="R78" i="3"/>
  <c r="E426" i="1" a="1"/>
  <c r="I425" i="1" l="1"/>
  <c r="M429" i="3"/>
  <c r="L428" i="3"/>
  <c r="D427" i="1"/>
  <c r="C427" i="1" s="1"/>
  <c r="H426" i="1"/>
  <c r="G426" i="1"/>
  <c r="E426" i="1"/>
  <c r="F426" i="1"/>
  <c r="AC78" i="3"/>
  <c r="S78" i="3"/>
  <c r="E427" i="1" a="1"/>
  <c r="AD78" i="3" l="1"/>
  <c r="AE78" i="3" s="1"/>
  <c r="Y79" i="3" s="1"/>
  <c r="T78" i="3"/>
  <c r="U78" i="3" s="1"/>
  <c r="I426" i="1"/>
  <c r="L429" i="3"/>
  <c r="M430" i="3"/>
  <c r="D428" i="1"/>
  <c r="C428" i="1" s="1"/>
  <c r="F427" i="1"/>
  <c r="E427" i="1"/>
  <c r="G427" i="1"/>
  <c r="H427" i="1"/>
  <c r="E428" i="1" a="1"/>
  <c r="X79" i="3" l="1"/>
  <c r="C79" i="3"/>
  <c r="N79" i="3"/>
  <c r="O79" i="3"/>
  <c r="L430" i="3"/>
  <c r="M431" i="3"/>
  <c r="D429" i="1"/>
  <c r="C429" i="1" s="1"/>
  <c r="E428" i="1"/>
  <c r="F428" i="1"/>
  <c r="G428" i="1"/>
  <c r="H428" i="1"/>
  <c r="I427" i="1"/>
  <c r="P79" i="3"/>
  <c r="Z79" i="3"/>
  <c r="E429" i="1" a="1"/>
  <c r="B79" i="3" l="1"/>
  <c r="L431" i="3"/>
  <c r="M432" i="3"/>
  <c r="D430" i="1"/>
  <c r="C430" i="1" s="1"/>
  <c r="F429" i="1"/>
  <c r="G429" i="1"/>
  <c r="H429" i="1"/>
  <c r="E429" i="1"/>
  <c r="I428" i="1"/>
  <c r="AA79" i="3"/>
  <c r="E430" i="1" a="1"/>
  <c r="M433" i="3" l="1"/>
  <c r="L432" i="3"/>
  <c r="D431" i="1"/>
  <c r="C431" i="1" s="1"/>
  <c r="G430" i="1"/>
  <c r="F430" i="1"/>
  <c r="H430" i="1"/>
  <c r="E430" i="1"/>
  <c r="I429" i="1"/>
  <c r="Q79" i="3"/>
  <c r="E431" i="1" a="1"/>
  <c r="L433" i="3" l="1"/>
  <c r="M434" i="3"/>
  <c r="D432" i="1"/>
  <c r="C432" i="1" s="1"/>
  <c r="H431" i="1"/>
  <c r="E431" i="1"/>
  <c r="F431" i="1"/>
  <c r="G431" i="1"/>
  <c r="I431" i="1" s="1"/>
  <c r="I430" i="1"/>
  <c r="AB79" i="3"/>
  <c r="R79" i="3"/>
  <c r="E432" i="1" a="1"/>
  <c r="L434" i="3" l="1"/>
  <c r="M435" i="3"/>
  <c r="D433" i="1"/>
  <c r="C433" i="1" s="1"/>
  <c r="F432" i="1"/>
  <c r="H432" i="1"/>
  <c r="G432" i="1"/>
  <c r="I432" i="1" s="1"/>
  <c r="E432" i="1"/>
  <c r="AC79" i="3"/>
  <c r="S79" i="3"/>
  <c r="E433" i="1" a="1"/>
  <c r="AD79" i="3" l="1"/>
  <c r="AE79" i="3" s="1"/>
  <c r="Y80" i="3" s="1"/>
  <c r="T79" i="3"/>
  <c r="U79" i="3" s="1"/>
  <c r="M436" i="3"/>
  <c r="L435" i="3"/>
  <c r="D434" i="1"/>
  <c r="C434" i="1" s="1"/>
  <c r="F433" i="1"/>
  <c r="G433" i="1"/>
  <c r="H433" i="1"/>
  <c r="E433" i="1"/>
  <c r="E434" i="1" a="1"/>
  <c r="X80" i="3" l="1"/>
  <c r="C80" i="3"/>
  <c r="N80" i="3"/>
  <c r="O80" i="3"/>
  <c r="L436" i="3"/>
  <c r="M437" i="3"/>
  <c r="D435" i="1"/>
  <c r="C435" i="1" s="1"/>
  <c r="F434" i="1"/>
  <c r="G434" i="1"/>
  <c r="E434" i="1"/>
  <c r="H434" i="1"/>
  <c r="I433" i="1"/>
  <c r="Z80" i="3"/>
  <c r="P80" i="3"/>
  <c r="E435" i="1" a="1"/>
  <c r="B80" i="3" l="1"/>
  <c r="L437" i="3"/>
  <c r="M438" i="3"/>
  <c r="D436" i="1"/>
  <c r="C436" i="1" s="1"/>
  <c r="G435" i="1"/>
  <c r="E435" i="1"/>
  <c r="H435" i="1"/>
  <c r="F435" i="1"/>
  <c r="I434" i="1"/>
  <c r="AA80" i="3"/>
  <c r="E436" i="1" a="1"/>
  <c r="L438" i="3" l="1"/>
  <c r="M439" i="3"/>
  <c r="D437" i="1"/>
  <c r="C437" i="1" s="1"/>
  <c r="G436" i="1"/>
  <c r="E436" i="1"/>
  <c r="H436" i="1"/>
  <c r="F436" i="1"/>
  <c r="I435" i="1"/>
  <c r="Q80" i="3"/>
  <c r="E437" i="1" a="1"/>
  <c r="M440" i="3" l="1"/>
  <c r="L439" i="3"/>
  <c r="D438" i="1"/>
  <c r="C438" i="1" s="1"/>
  <c r="F437" i="1"/>
  <c r="H437" i="1"/>
  <c r="E437" i="1"/>
  <c r="G437" i="1"/>
  <c r="I437" i="1" s="1"/>
  <c r="I436" i="1"/>
  <c r="AB80" i="3"/>
  <c r="R80" i="3"/>
  <c r="E438" i="1" a="1"/>
  <c r="M441" i="3" l="1"/>
  <c r="L440" i="3"/>
  <c r="D439" i="1"/>
  <c r="C439" i="1" s="1"/>
  <c r="H438" i="1"/>
  <c r="E438" i="1"/>
  <c r="F438" i="1"/>
  <c r="G438" i="1"/>
  <c r="AC80" i="3"/>
  <c r="S80" i="3"/>
  <c r="E439" i="1" a="1"/>
  <c r="AD80" i="3" l="1"/>
  <c r="AE80" i="3" s="1"/>
  <c r="Y81" i="3" s="1"/>
  <c r="T80" i="3"/>
  <c r="U80" i="3" s="1"/>
  <c r="I438" i="1"/>
  <c r="L441" i="3"/>
  <c r="M442" i="3"/>
  <c r="D440" i="1"/>
  <c r="C440" i="1" s="1"/>
  <c r="H439" i="1"/>
  <c r="F439" i="1"/>
  <c r="G439" i="1"/>
  <c r="E439" i="1"/>
  <c r="E440" i="1" a="1"/>
  <c r="I439" i="1" l="1"/>
  <c r="X81" i="3"/>
  <c r="C81" i="3"/>
  <c r="N81" i="3"/>
  <c r="O81" i="3"/>
  <c r="L442" i="3"/>
  <c r="M443" i="3"/>
  <c r="D441" i="1"/>
  <c r="C441" i="1" s="1"/>
  <c r="F440" i="1"/>
  <c r="G440" i="1"/>
  <c r="H440" i="1"/>
  <c r="E440" i="1"/>
  <c r="Z81" i="3"/>
  <c r="P81" i="3"/>
  <c r="E441" i="1" a="1"/>
  <c r="B81" i="3" l="1"/>
  <c r="M444" i="3"/>
  <c r="L443" i="3"/>
  <c r="D442" i="1"/>
  <c r="C442" i="1" s="1"/>
  <c r="I440" i="1"/>
  <c r="H441" i="1"/>
  <c r="E441" i="1"/>
  <c r="F441" i="1"/>
  <c r="G441" i="1"/>
  <c r="AA81" i="3"/>
  <c r="E442" i="1" a="1"/>
  <c r="I441" i="1" l="1"/>
  <c r="L444" i="3"/>
  <c r="M445" i="3"/>
  <c r="D443" i="1"/>
  <c r="C443" i="1" s="1"/>
  <c r="H442" i="1"/>
  <c r="E442" i="1"/>
  <c r="G442" i="1"/>
  <c r="F442" i="1"/>
  <c r="Q81" i="3"/>
  <c r="E443" i="1" a="1"/>
  <c r="I442" i="1" l="1"/>
  <c r="M446" i="3"/>
  <c r="L445" i="3"/>
  <c r="D444" i="1"/>
  <c r="C444" i="1" s="1"/>
  <c r="F443" i="1"/>
  <c r="H443" i="1"/>
  <c r="G443" i="1"/>
  <c r="E443" i="1"/>
  <c r="AB81" i="3"/>
  <c r="R81" i="3"/>
  <c r="E444" i="1" a="1"/>
  <c r="I443" i="1" l="1"/>
  <c r="M447" i="3"/>
  <c r="L446" i="3"/>
  <c r="D445" i="1"/>
  <c r="C445" i="1" s="1"/>
  <c r="G444" i="1"/>
  <c r="F444" i="1"/>
  <c r="E444" i="1"/>
  <c r="H444" i="1"/>
  <c r="AC81" i="3"/>
  <c r="S81" i="3"/>
  <c r="E445" i="1" a="1"/>
  <c r="AD81" i="3" l="1"/>
  <c r="AE81" i="3" s="1"/>
  <c r="Y82" i="3" s="1"/>
  <c r="T81" i="3"/>
  <c r="U81" i="3" s="1"/>
  <c r="L447" i="3"/>
  <c r="M448" i="3"/>
  <c r="D446" i="1"/>
  <c r="C446" i="1" s="1"/>
  <c r="I444" i="1"/>
  <c r="G445" i="1"/>
  <c r="E445" i="1"/>
  <c r="F445" i="1"/>
  <c r="H445" i="1"/>
  <c r="E446" i="1" a="1"/>
  <c r="X82" i="3" l="1"/>
  <c r="C82" i="3"/>
  <c r="N82" i="3"/>
  <c r="O82" i="3"/>
  <c r="L448" i="3"/>
  <c r="M449" i="3"/>
  <c r="D447" i="1"/>
  <c r="C447" i="1" s="1"/>
  <c r="G446" i="1"/>
  <c r="F446" i="1"/>
  <c r="H446" i="1"/>
  <c r="E446" i="1"/>
  <c r="I445" i="1"/>
  <c r="Z82" i="3"/>
  <c r="P82" i="3"/>
  <c r="E447" i="1" a="1"/>
  <c r="B82" i="3" l="1"/>
  <c r="L449" i="3"/>
  <c r="M450" i="3"/>
  <c r="D448" i="1"/>
  <c r="C448" i="1" s="1"/>
  <c r="G447" i="1"/>
  <c r="H447" i="1"/>
  <c r="E447" i="1"/>
  <c r="F447" i="1"/>
  <c r="I446" i="1"/>
  <c r="AA82" i="3"/>
  <c r="E448" i="1" a="1"/>
  <c r="M451" i="3" l="1"/>
  <c r="L450" i="3"/>
  <c r="D449" i="1"/>
  <c r="C449" i="1" s="1"/>
  <c r="G448" i="1"/>
  <c r="E448" i="1"/>
  <c r="F448" i="1"/>
  <c r="H448" i="1"/>
  <c r="I447" i="1"/>
  <c r="Q82" i="3"/>
  <c r="E449" i="1" a="1"/>
  <c r="L451" i="3" l="1"/>
  <c r="M452" i="3"/>
  <c r="D450" i="1"/>
  <c r="C450" i="1" s="1"/>
  <c r="F449" i="1"/>
  <c r="G449" i="1"/>
  <c r="H449" i="1"/>
  <c r="E449" i="1"/>
  <c r="I448" i="1"/>
  <c r="AB82" i="3"/>
  <c r="R82" i="3"/>
  <c r="E450" i="1" a="1"/>
  <c r="L452" i="3" l="1"/>
  <c r="M453" i="3"/>
  <c r="D451" i="1"/>
  <c r="C451" i="1" s="1"/>
  <c r="I449" i="1"/>
  <c r="E450" i="1"/>
  <c r="H450" i="1"/>
  <c r="F450" i="1"/>
  <c r="G450" i="1"/>
  <c r="AC82" i="3"/>
  <c r="S82" i="3"/>
  <c r="E451" i="1" a="1"/>
  <c r="AD82" i="3" l="1"/>
  <c r="AE82" i="3" s="1"/>
  <c r="Y83" i="3" s="1"/>
  <c r="T82" i="3"/>
  <c r="U82" i="3" s="1"/>
  <c r="I450" i="1"/>
  <c r="L453" i="3"/>
  <c r="M454" i="3"/>
  <c r="D452" i="1"/>
  <c r="C452" i="1" s="1"/>
  <c r="E451" i="1"/>
  <c r="H451" i="1"/>
  <c r="F451" i="1"/>
  <c r="G451" i="1"/>
  <c r="E452" i="1" a="1"/>
  <c r="I451" i="1" l="1"/>
  <c r="X83" i="3"/>
  <c r="C83" i="3"/>
  <c r="N83" i="3"/>
  <c r="O83" i="3"/>
  <c r="M455" i="3"/>
  <c r="L454" i="3"/>
  <c r="D453" i="1"/>
  <c r="C453" i="1" s="1"/>
  <c r="G452" i="1"/>
  <c r="E452" i="1"/>
  <c r="F452" i="1"/>
  <c r="H452" i="1"/>
  <c r="P83" i="3"/>
  <c r="Z83" i="3"/>
  <c r="E453" i="1" a="1"/>
  <c r="B83" i="3" l="1"/>
  <c r="M456" i="3"/>
  <c r="L455" i="3"/>
  <c r="D454" i="1"/>
  <c r="C454" i="1" s="1"/>
  <c r="F453" i="1"/>
  <c r="G453" i="1"/>
  <c r="H453" i="1"/>
  <c r="E453" i="1"/>
  <c r="I452" i="1"/>
  <c r="AA83" i="3"/>
  <c r="E454" i="1" a="1"/>
  <c r="L456" i="3" l="1"/>
  <c r="M457" i="3"/>
  <c r="D455" i="1"/>
  <c r="C455" i="1" s="1"/>
  <c r="G454" i="1"/>
  <c r="H454" i="1"/>
  <c r="E454" i="1"/>
  <c r="F454" i="1"/>
  <c r="I453" i="1"/>
  <c r="Q83" i="3"/>
  <c r="E455" i="1" a="1"/>
  <c r="L457" i="3" l="1"/>
  <c r="M458" i="3"/>
  <c r="D456" i="1"/>
  <c r="C456" i="1" s="1"/>
  <c r="H455" i="1"/>
  <c r="F455" i="1"/>
  <c r="E455" i="1"/>
  <c r="G455" i="1"/>
  <c r="I455" i="1" s="1"/>
  <c r="I454" i="1"/>
  <c r="AB83" i="3"/>
  <c r="R83" i="3"/>
  <c r="E456" i="1" a="1"/>
  <c r="M459" i="3" l="1"/>
  <c r="L458" i="3"/>
  <c r="D457" i="1"/>
  <c r="C457" i="1" s="1"/>
  <c r="F456" i="1"/>
  <c r="H456" i="1"/>
  <c r="G456" i="1"/>
  <c r="I456" i="1" s="1"/>
  <c r="E456" i="1"/>
  <c r="AC83" i="3"/>
  <c r="S83" i="3"/>
  <c r="E457" i="1" a="1"/>
  <c r="AD83" i="3" l="1"/>
  <c r="AE83" i="3" s="1"/>
  <c r="Y84" i="3" s="1"/>
  <c r="T83" i="3"/>
  <c r="U83" i="3" s="1"/>
  <c r="M460" i="3"/>
  <c r="L459" i="3"/>
  <c r="D458" i="1"/>
  <c r="C458" i="1" s="1"/>
  <c r="H457" i="1"/>
  <c r="G457" i="1"/>
  <c r="I457" i="1" s="1"/>
  <c r="F457" i="1"/>
  <c r="E457" i="1"/>
  <c r="E458" i="1" a="1"/>
  <c r="X84" i="3" l="1"/>
  <c r="C84" i="3"/>
  <c r="N84" i="3"/>
  <c r="O84" i="3"/>
  <c r="M461" i="3"/>
  <c r="L460" i="3"/>
  <c r="D459" i="1"/>
  <c r="C459" i="1" s="1"/>
  <c r="G458" i="1"/>
  <c r="H458" i="1"/>
  <c r="F458" i="1"/>
  <c r="E458" i="1"/>
  <c r="P84" i="3"/>
  <c r="Z84" i="3"/>
  <c r="E459" i="1" a="1"/>
  <c r="B84" i="3" l="1"/>
  <c r="M462" i="3"/>
  <c r="L461" i="3"/>
  <c r="D460" i="1"/>
  <c r="C460" i="1" s="1"/>
  <c r="H459" i="1"/>
  <c r="E459" i="1"/>
  <c r="G459" i="1"/>
  <c r="F459" i="1"/>
  <c r="I458" i="1"/>
  <c r="AA84" i="3"/>
  <c r="E460" i="1" a="1"/>
  <c r="I459" i="1" l="1"/>
  <c r="L462" i="3"/>
  <c r="M463" i="3"/>
  <c r="D461" i="1"/>
  <c r="C461" i="1" s="1"/>
  <c r="E460" i="1"/>
  <c r="H460" i="1"/>
  <c r="G460" i="1"/>
  <c r="I460" i="1" s="1"/>
  <c r="F460" i="1"/>
  <c r="Q84" i="3"/>
  <c r="E461" i="1" a="1"/>
  <c r="M464" i="3" l="1"/>
  <c r="L463" i="3"/>
  <c r="D462" i="1"/>
  <c r="C462" i="1" s="1"/>
  <c r="H461" i="1"/>
  <c r="E461" i="1"/>
  <c r="G461" i="1"/>
  <c r="F461" i="1"/>
  <c r="AB84" i="3"/>
  <c r="R84" i="3"/>
  <c r="E462" i="1" a="1"/>
  <c r="I461" i="1" l="1"/>
  <c r="L464" i="3"/>
  <c r="M465" i="3"/>
  <c r="D463" i="1"/>
  <c r="C463" i="1" s="1"/>
  <c r="G462" i="1"/>
  <c r="F462" i="1"/>
  <c r="H462" i="1"/>
  <c r="E462" i="1"/>
  <c r="AC84" i="3"/>
  <c r="S84" i="3"/>
  <c r="E463" i="1" a="1"/>
  <c r="AD84" i="3" l="1"/>
  <c r="AE84" i="3" s="1"/>
  <c r="T84" i="3"/>
  <c r="U84" i="3" s="1"/>
  <c r="O85" i="3" s="1"/>
  <c r="M466" i="3"/>
  <c r="L465" i="3"/>
  <c r="D464" i="1"/>
  <c r="C464" i="1" s="1"/>
  <c r="I462" i="1"/>
  <c r="G463" i="1"/>
  <c r="H463" i="1"/>
  <c r="F463" i="1"/>
  <c r="E463" i="1"/>
  <c r="E464" i="1" a="1"/>
  <c r="N85" i="3" l="1"/>
  <c r="Y85" i="3"/>
  <c r="X85" i="3"/>
  <c r="B85" i="3"/>
  <c r="M467" i="3"/>
  <c r="L466" i="3"/>
  <c r="D465" i="1"/>
  <c r="C465" i="1" s="1"/>
  <c r="I463" i="1"/>
  <c r="H464" i="1"/>
  <c r="G464" i="1"/>
  <c r="I464" i="1" s="1"/>
  <c r="E464" i="1"/>
  <c r="F464" i="1"/>
  <c r="P85" i="3"/>
  <c r="E465" i="1" a="1"/>
  <c r="C85" i="3" l="1"/>
  <c r="M468" i="3"/>
  <c r="L467" i="3"/>
  <c r="D466" i="1"/>
  <c r="C466" i="1" s="1"/>
  <c r="E465" i="1"/>
  <c r="F465" i="1"/>
  <c r="G465" i="1"/>
  <c r="H465" i="1"/>
  <c r="Z85" i="3"/>
  <c r="AA85" i="3"/>
  <c r="E466" i="1" a="1"/>
  <c r="M469" i="3" l="1"/>
  <c r="L468" i="3"/>
  <c r="D467" i="1"/>
  <c r="C467" i="1" s="1"/>
  <c r="I465" i="1"/>
  <c r="E466" i="1"/>
  <c r="G466" i="1"/>
  <c r="H466" i="1"/>
  <c r="F466" i="1"/>
  <c r="Q85" i="3"/>
  <c r="E467" i="1" a="1"/>
  <c r="L469" i="3" l="1"/>
  <c r="M470" i="3"/>
  <c r="D468" i="1"/>
  <c r="C468" i="1" s="1"/>
  <c r="H467" i="1"/>
  <c r="F467" i="1"/>
  <c r="E467" i="1"/>
  <c r="G467" i="1"/>
  <c r="I466" i="1"/>
  <c r="AB85" i="3"/>
  <c r="R85" i="3"/>
  <c r="E468" i="1" a="1"/>
  <c r="I467" i="1" l="1"/>
  <c r="L470" i="3"/>
  <c r="M471" i="3"/>
  <c r="D469" i="1"/>
  <c r="C469" i="1" s="1"/>
  <c r="G468" i="1"/>
  <c r="E468" i="1"/>
  <c r="H468" i="1"/>
  <c r="F468" i="1"/>
  <c r="AC85" i="3"/>
  <c r="S85" i="3"/>
  <c r="E469" i="1" a="1"/>
  <c r="AD85" i="3" l="1"/>
  <c r="AE85" i="3" s="1"/>
  <c r="Y86" i="3" s="1"/>
  <c r="C86" i="3" s="1"/>
  <c r="T85" i="3"/>
  <c r="U85" i="3" s="1"/>
  <c r="O86" i="3" s="1"/>
  <c r="L471" i="3"/>
  <c r="M472" i="3"/>
  <c r="D470" i="1"/>
  <c r="C470" i="1" s="1"/>
  <c r="F469" i="1"/>
  <c r="G469" i="1"/>
  <c r="H469" i="1"/>
  <c r="E469" i="1"/>
  <c r="I468" i="1"/>
  <c r="P86" i="3"/>
  <c r="Z86" i="3"/>
  <c r="E470" i="1" a="1"/>
  <c r="X86" i="3" l="1"/>
  <c r="N86" i="3"/>
  <c r="B86" i="3"/>
  <c r="L472" i="3"/>
  <c r="M473" i="3"/>
  <c r="D471" i="1"/>
  <c r="C471" i="1" s="1"/>
  <c r="I469" i="1"/>
  <c r="H470" i="1"/>
  <c r="E470" i="1"/>
  <c r="F470" i="1"/>
  <c r="G470" i="1"/>
  <c r="AA86" i="3"/>
  <c r="E471" i="1" a="1"/>
  <c r="I470" i="1" l="1"/>
  <c r="L473" i="3"/>
  <c r="M474" i="3"/>
  <c r="D472" i="1"/>
  <c r="C472" i="1" s="1"/>
  <c r="F471" i="1"/>
  <c r="E471" i="1"/>
  <c r="G471" i="1"/>
  <c r="H471" i="1"/>
  <c r="Q86" i="3"/>
  <c r="E472" i="1" a="1"/>
  <c r="L474" i="3" l="1"/>
  <c r="M475" i="3"/>
  <c r="D473" i="1"/>
  <c r="C473" i="1" s="1"/>
  <c r="E472" i="1"/>
  <c r="G472" i="1"/>
  <c r="F472" i="1"/>
  <c r="H472" i="1"/>
  <c r="I471" i="1"/>
  <c r="AB86" i="3"/>
  <c r="R86" i="3"/>
  <c r="E473" i="1" a="1"/>
  <c r="M476" i="3" l="1"/>
  <c r="L475" i="3"/>
  <c r="I472" i="1"/>
  <c r="D474" i="1"/>
  <c r="C474" i="1" s="1"/>
  <c r="G473" i="1"/>
  <c r="H473" i="1"/>
  <c r="E473" i="1"/>
  <c r="F473" i="1"/>
  <c r="AC86" i="3"/>
  <c r="S86" i="3"/>
  <c r="E474" i="1" a="1"/>
  <c r="AD86" i="3" l="1"/>
  <c r="AE86" i="3" s="1"/>
  <c r="Y87" i="3" s="1"/>
  <c r="T86" i="3"/>
  <c r="U86" i="3" s="1"/>
  <c r="L476" i="3"/>
  <c r="M477" i="3"/>
  <c r="D475" i="1"/>
  <c r="C475" i="1" s="1"/>
  <c r="F474" i="1"/>
  <c r="H474" i="1"/>
  <c r="E474" i="1"/>
  <c r="G474" i="1"/>
  <c r="I473" i="1"/>
  <c r="E475" i="1" a="1"/>
  <c r="I474" i="1" l="1"/>
  <c r="X87" i="3"/>
  <c r="C87" i="3"/>
  <c r="N87" i="3"/>
  <c r="O87" i="3"/>
  <c r="L477" i="3"/>
  <c r="M478" i="3"/>
  <c r="D476" i="1"/>
  <c r="C476" i="1" s="1"/>
  <c r="G475" i="1"/>
  <c r="H475" i="1"/>
  <c r="F475" i="1"/>
  <c r="E475" i="1"/>
  <c r="P87" i="3"/>
  <c r="Z87" i="3"/>
  <c r="E476" i="1" a="1"/>
  <c r="B87" i="3" l="1"/>
  <c r="L478" i="3"/>
  <c r="M479" i="3"/>
  <c r="D477" i="1"/>
  <c r="C477" i="1" s="1"/>
  <c r="G476" i="1"/>
  <c r="E476" i="1"/>
  <c r="F476" i="1"/>
  <c r="H476" i="1"/>
  <c r="I475" i="1"/>
  <c r="AA87" i="3"/>
  <c r="E477" i="1" a="1"/>
  <c r="L479" i="3" l="1"/>
  <c r="M480" i="3"/>
  <c r="D478" i="1"/>
  <c r="C478" i="1" s="1"/>
  <c r="G477" i="1"/>
  <c r="H477" i="1"/>
  <c r="E477" i="1"/>
  <c r="F477" i="1"/>
  <c r="I476" i="1"/>
  <c r="Q87" i="3"/>
  <c r="E478" i="1" a="1"/>
  <c r="L480" i="3" l="1"/>
  <c r="M481" i="3"/>
  <c r="D479" i="1"/>
  <c r="C479" i="1" s="1"/>
  <c r="G478" i="1"/>
  <c r="H478" i="1"/>
  <c r="E478" i="1"/>
  <c r="F478" i="1"/>
  <c r="I477" i="1"/>
  <c r="AB87" i="3"/>
  <c r="R87" i="3"/>
  <c r="E479" i="1" a="1"/>
  <c r="M482" i="3" l="1"/>
  <c r="L481" i="3"/>
  <c r="D480" i="1"/>
  <c r="C480" i="1" s="1"/>
  <c r="E479" i="1"/>
  <c r="G479" i="1"/>
  <c r="H479" i="1"/>
  <c r="F479" i="1"/>
  <c r="I478" i="1"/>
  <c r="AC87" i="3"/>
  <c r="S87" i="3"/>
  <c r="E480" i="1" a="1"/>
  <c r="AD87" i="3" l="1"/>
  <c r="AE87" i="3" s="1"/>
  <c r="T87" i="3"/>
  <c r="U87" i="3" s="1"/>
  <c r="O88" i="3" s="1"/>
  <c r="L482" i="3"/>
  <c r="M483" i="3"/>
  <c r="D481" i="1"/>
  <c r="C481" i="1" s="1"/>
  <c r="H480" i="1"/>
  <c r="E480" i="1"/>
  <c r="G480" i="1"/>
  <c r="F480" i="1"/>
  <c r="I479" i="1"/>
  <c r="E481" i="1" a="1"/>
  <c r="I480" i="1" l="1"/>
  <c r="N88" i="3"/>
  <c r="Y88" i="3"/>
  <c r="X88" i="3"/>
  <c r="B88" i="3"/>
  <c r="L483" i="3"/>
  <c r="M484" i="3"/>
  <c r="D482" i="1"/>
  <c r="C482" i="1" s="1"/>
  <c r="H481" i="1"/>
  <c r="G481" i="1"/>
  <c r="E481" i="1"/>
  <c r="F481" i="1"/>
  <c r="P88" i="3"/>
  <c r="E482" i="1" a="1"/>
  <c r="I481" i="1" l="1"/>
  <c r="C88" i="3"/>
  <c r="M485" i="3"/>
  <c r="L484" i="3"/>
  <c r="D483" i="1"/>
  <c r="C483" i="1" s="1"/>
  <c r="H482" i="1"/>
  <c r="F482" i="1"/>
  <c r="E482" i="1"/>
  <c r="G482" i="1"/>
  <c r="Z88" i="3"/>
  <c r="AA88" i="3"/>
  <c r="E483" i="1" a="1"/>
  <c r="I482" i="1" l="1"/>
  <c r="L485" i="3"/>
  <c r="M486" i="3"/>
  <c r="D484" i="1"/>
  <c r="C484" i="1" s="1"/>
  <c r="F483" i="1"/>
  <c r="H483" i="1"/>
  <c r="E483" i="1"/>
  <c r="G483" i="1"/>
  <c r="Q88" i="3"/>
  <c r="E484" i="1" a="1"/>
  <c r="I483" i="1" l="1"/>
  <c r="L486" i="3"/>
  <c r="M487" i="3"/>
  <c r="D485" i="1"/>
  <c r="C485" i="1" s="1"/>
  <c r="E484" i="1"/>
  <c r="H484" i="1"/>
  <c r="G484" i="1"/>
  <c r="I484" i="1" s="1"/>
  <c r="F484" i="1"/>
  <c r="AB88" i="3"/>
  <c r="R88" i="3"/>
  <c r="E485" i="1" a="1"/>
  <c r="M488" i="3" l="1"/>
  <c r="L487" i="3"/>
  <c r="D486" i="1"/>
  <c r="C486" i="1" s="1"/>
  <c r="F485" i="1"/>
  <c r="H485" i="1"/>
  <c r="G485" i="1"/>
  <c r="E485" i="1"/>
  <c r="AC88" i="3"/>
  <c r="S88" i="3"/>
  <c r="E486" i="1" a="1"/>
  <c r="AD88" i="3" l="1"/>
  <c r="AE88" i="3" s="1"/>
  <c r="Y89" i="3" s="1"/>
  <c r="C89" i="3" s="1"/>
  <c r="T88" i="3"/>
  <c r="U88" i="3" s="1"/>
  <c r="O89" i="3" s="1"/>
  <c r="I485" i="1"/>
  <c r="L488" i="3"/>
  <c r="M489" i="3"/>
  <c r="D487" i="1"/>
  <c r="C487" i="1" s="1"/>
  <c r="G486" i="1"/>
  <c r="H486" i="1"/>
  <c r="E486" i="1"/>
  <c r="F486" i="1"/>
  <c r="P89" i="3"/>
  <c r="Z89" i="3"/>
  <c r="E487" i="1" a="1"/>
  <c r="X89" i="3" l="1"/>
  <c r="N89" i="3"/>
  <c r="B89" i="3"/>
  <c r="M490" i="3"/>
  <c r="L489" i="3"/>
  <c r="D488" i="1"/>
  <c r="C488" i="1" s="1"/>
  <c r="H487" i="1"/>
  <c r="G487" i="1"/>
  <c r="F487" i="1"/>
  <c r="E487" i="1"/>
  <c r="I486" i="1"/>
  <c r="AA89" i="3"/>
  <c r="E488" i="1" a="1"/>
  <c r="I487" i="1" l="1"/>
  <c r="M491" i="3"/>
  <c r="L490" i="3"/>
  <c r="D489" i="1"/>
  <c r="C489" i="1" s="1"/>
  <c r="E488" i="1"/>
  <c r="F488" i="1"/>
  <c r="G488" i="1"/>
  <c r="H488" i="1"/>
  <c r="Q89" i="3"/>
  <c r="E489" i="1" a="1"/>
  <c r="M492" i="3" l="1"/>
  <c r="L491" i="3"/>
  <c r="I488" i="1"/>
  <c r="D490" i="1"/>
  <c r="C490" i="1" s="1"/>
  <c r="G489" i="1"/>
  <c r="E489" i="1"/>
  <c r="F489" i="1"/>
  <c r="H489" i="1"/>
  <c r="AB89" i="3"/>
  <c r="R89" i="3"/>
  <c r="E490" i="1" a="1"/>
  <c r="M493" i="3" l="1"/>
  <c r="L492" i="3"/>
  <c r="D491" i="1"/>
  <c r="C491" i="1" s="1"/>
  <c r="F490" i="1"/>
  <c r="E490" i="1"/>
  <c r="H490" i="1"/>
  <c r="G490" i="1"/>
  <c r="I490" i="1" s="1"/>
  <c r="I489" i="1"/>
  <c r="AC89" i="3"/>
  <c r="S89" i="3"/>
  <c r="E491" i="1" a="1"/>
  <c r="AD89" i="3" l="1"/>
  <c r="AE89" i="3" s="1"/>
  <c r="Y90" i="3" s="1"/>
  <c r="T89" i="3"/>
  <c r="U89" i="3" s="1"/>
  <c r="L493" i="3"/>
  <c r="M494" i="3"/>
  <c r="D492" i="1"/>
  <c r="C492" i="1" s="1"/>
  <c r="F491" i="1"/>
  <c r="H491" i="1"/>
  <c r="E491" i="1"/>
  <c r="G491" i="1"/>
  <c r="E492" i="1" a="1"/>
  <c r="I491" i="1" l="1"/>
  <c r="X90" i="3"/>
  <c r="C90" i="3"/>
  <c r="N90" i="3"/>
  <c r="O90" i="3"/>
  <c r="L494" i="3"/>
  <c r="M495" i="3"/>
  <c r="D493" i="1"/>
  <c r="C493" i="1" s="1"/>
  <c r="F492" i="1"/>
  <c r="E492" i="1"/>
  <c r="G492" i="1"/>
  <c r="H492" i="1"/>
  <c r="Z90" i="3"/>
  <c r="P90" i="3"/>
  <c r="E493" i="1" a="1"/>
  <c r="B90" i="3" l="1"/>
  <c r="M496" i="3"/>
  <c r="L495" i="3"/>
  <c r="D494" i="1"/>
  <c r="C494" i="1" s="1"/>
  <c r="F493" i="1"/>
  <c r="E493" i="1"/>
  <c r="G493" i="1"/>
  <c r="H493" i="1"/>
  <c r="I492" i="1"/>
  <c r="AA90" i="3"/>
  <c r="E494" i="1" a="1"/>
  <c r="M497" i="3" l="1"/>
  <c r="L496" i="3"/>
  <c r="D495" i="1"/>
  <c r="C495" i="1" s="1"/>
  <c r="F494" i="1"/>
  <c r="H494" i="1"/>
  <c r="G494" i="1"/>
  <c r="E494" i="1"/>
  <c r="I493" i="1"/>
  <c r="Q90" i="3"/>
  <c r="E495" i="1" a="1"/>
  <c r="I494" i="1" l="1"/>
  <c r="M498" i="3"/>
  <c r="L497" i="3"/>
  <c r="D496" i="1"/>
  <c r="C496" i="1" s="1"/>
  <c r="G495" i="1"/>
  <c r="E495" i="1"/>
  <c r="H495" i="1"/>
  <c r="F495" i="1"/>
  <c r="AB90" i="3"/>
  <c r="R90" i="3"/>
  <c r="E496" i="1" a="1"/>
  <c r="L498" i="3" l="1"/>
  <c r="M499" i="3"/>
  <c r="D497" i="1"/>
  <c r="C497" i="1" s="1"/>
  <c r="I495" i="1"/>
  <c r="F496" i="1"/>
  <c r="H496" i="1"/>
  <c r="G496" i="1"/>
  <c r="E496" i="1"/>
  <c r="AC90" i="3"/>
  <c r="S90" i="3"/>
  <c r="E497" i="1" a="1"/>
  <c r="AD90" i="3" l="1"/>
  <c r="AE90" i="3" s="1"/>
  <c r="T90" i="3"/>
  <c r="U90" i="3" s="1"/>
  <c r="O91" i="3" s="1"/>
  <c r="L499" i="3"/>
  <c r="M500" i="3"/>
  <c r="I496" i="1"/>
  <c r="D498" i="1"/>
  <c r="C498" i="1" s="1"/>
  <c r="E497" i="1"/>
  <c r="F497" i="1"/>
  <c r="H497" i="1"/>
  <c r="G497" i="1"/>
  <c r="E498" i="1" a="1"/>
  <c r="I497" i="1" l="1"/>
  <c r="N91" i="3"/>
  <c r="Y91" i="3"/>
  <c r="X91" i="3"/>
  <c r="B91" i="3"/>
  <c r="M501" i="3"/>
  <c r="L500" i="3"/>
  <c r="D499" i="1"/>
  <c r="C499" i="1" s="1"/>
  <c r="F498" i="1"/>
  <c r="G498" i="1"/>
  <c r="E498" i="1"/>
  <c r="H498" i="1"/>
  <c r="P91" i="3"/>
  <c r="E499" i="1" a="1"/>
  <c r="C91" i="3" l="1"/>
  <c r="L501" i="3"/>
  <c r="M502" i="3"/>
  <c r="D500" i="1"/>
  <c r="C500" i="1" s="1"/>
  <c r="G499" i="1"/>
  <c r="F499" i="1"/>
  <c r="E499" i="1"/>
  <c r="H499" i="1"/>
  <c r="I498" i="1"/>
  <c r="Z91" i="3"/>
  <c r="AA91" i="3"/>
  <c r="E500" i="1" a="1"/>
  <c r="L502" i="3" l="1"/>
  <c r="M503" i="3"/>
  <c r="D501" i="1"/>
  <c r="C501" i="1" s="1"/>
  <c r="F500" i="1"/>
  <c r="H500" i="1"/>
  <c r="G500" i="1"/>
  <c r="E500" i="1"/>
  <c r="I499" i="1"/>
  <c r="Q91" i="3"/>
  <c r="E501" i="1" a="1"/>
  <c r="I500" i="1" l="1"/>
  <c r="M504" i="3"/>
  <c r="L503" i="3"/>
  <c r="D502" i="1"/>
  <c r="C502" i="1" s="1"/>
  <c r="F501" i="1"/>
  <c r="E501" i="1"/>
  <c r="G501" i="1"/>
  <c r="H501" i="1"/>
  <c r="AB91" i="3"/>
  <c r="R91" i="3"/>
  <c r="E502" i="1" a="1"/>
  <c r="M505" i="3" l="1"/>
  <c r="L504" i="3"/>
  <c r="D503" i="1"/>
  <c r="C503" i="1" s="1"/>
  <c r="E502" i="1"/>
  <c r="F502" i="1"/>
  <c r="H502" i="1"/>
  <c r="G502" i="1"/>
  <c r="I502" i="1" s="1"/>
  <c r="I501" i="1"/>
  <c r="AC91" i="3"/>
  <c r="S91" i="3"/>
  <c r="E503" i="1" a="1"/>
  <c r="AD91" i="3" l="1"/>
  <c r="AE91" i="3" s="1"/>
  <c r="Y92" i="3" s="1"/>
  <c r="T91" i="3"/>
  <c r="U91" i="3" s="1"/>
  <c r="O92" i="3" s="1"/>
  <c r="L505" i="3"/>
  <c r="M506" i="3"/>
  <c r="D504" i="1"/>
  <c r="C504" i="1" s="1"/>
  <c r="F503" i="1"/>
  <c r="H503" i="1"/>
  <c r="G503" i="1"/>
  <c r="I503" i="1" s="1"/>
  <c r="E503" i="1"/>
  <c r="P92" i="3"/>
  <c r="Z92" i="3"/>
  <c r="E504" i="1" a="1"/>
  <c r="X92" i="3" l="1"/>
  <c r="C92" i="3"/>
  <c r="N92" i="3"/>
  <c r="B92" i="3"/>
  <c r="M507" i="3"/>
  <c r="L506" i="3"/>
  <c r="D505" i="1"/>
  <c r="C505" i="1" s="1"/>
  <c r="G504" i="1"/>
  <c r="F504" i="1"/>
  <c r="H504" i="1"/>
  <c r="E504" i="1"/>
  <c r="AA92" i="3"/>
  <c r="E505" i="1" a="1"/>
  <c r="M508" i="3" l="1"/>
  <c r="L507" i="3"/>
  <c r="D506" i="1"/>
  <c r="C506" i="1" s="1"/>
  <c r="I504" i="1"/>
  <c r="F505" i="1"/>
  <c r="E505" i="1"/>
  <c r="H505" i="1"/>
  <c r="G505" i="1"/>
  <c r="Q92" i="3"/>
  <c r="E506" i="1" a="1"/>
  <c r="I505" i="1" l="1"/>
  <c r="L508" i="3"/>
  <c r="M509" i="3"/>
  <c r="D507" i="1"/>
  <c r="C507" i="1" s="1"/>
  <c r="G506" i="1"/>
  <c r="E506" i="1"/>
  <c r="F506" i="1"/>
  <c r="H506" i="1"/>
  <c r="AB92" i="3"/>
  <c r="R92" i="3"/>
  <c r="E507" i="1" a="1"/>
  <c r="L509" i="3" l="1"/>
  <c r="M510" i="3"/>
  <c r="D508" i="1"/>
  <c r="C508" i="1" s="1"/>
  <c r="H507" i="1"/>
  <c r="G507" i="1"/>
  <c r="I507" i="1" s="1"/>
  <c r="F507" i="1"/>
  <c r="E507" i="1"/>
  <c r="I506" i="1"/>
  <c r="AC92" i="3"/>
  <c r="S92" i="3"/>
  <c r="E508" i="1" a="1"/>
  <c r="AD92" i="3" l="1"/>
  <c r="AE92" i="3" s="1"/>
  <c r="Y93" i="3" s="1"/>
  <c r="T92" i="3"/>
  <c r="U92" i="3" s="1"/>
  <c r="L510" i="3"/>
  <c r="M511" i="3"/>
  <c r="D509" i="1"/>
  <c r="C509" i="1" s="1"/>
  <c r="F508" i="1"/>
  <c r="H508" i="1"/>
  <c r="E508" i="1"/>
  <c r="G508" i="1"/>
  <c r="E509" i="1" a="1"/>
  <c r="I508" i="1" l="1"/>
  <c r="X93" i="3"/>
  <c r="C93" i="3"/>
  <c r="N93" i="3"/>
  <c r="O93" i="3"/>
  <c r="L511" i="3"/>
  <c r="M512" i="3"/>
  <c r="D510" i="1"/>
  <c r="C510" i="1" s="1"/>
  <c r="F509" i="1"/>
  <c r="E509" i="1"/>
  <c r="H509" i="1"/>
  <c r="G509" i="1"/>
  <c r="P93" i="3"/>
  <c r="Z93" i="3"/>
  <c r="E510" i="1" a="1"/>
  <c r="I509" i="1" l="1"/>
  <c r="B93" i="3"/>
  <c r="M513" i="3"/>
  <c r="L512" i="3"/>
  <c r="D511" i="1"/>
  <c r="C511" i="1" s="1"/>
  <c r="G510" i="1"/>
  <c r="F510" i="1"/>
  <c r="H510" i="1"/>
  <c r="E510" i="1"/>
  <c r="AA93" i="3"/>
  <c r="E511" i="1" a="1"/>
  <c r="M514" i="3" l="1"/>
  <c r="L513" i="3"/>
  <c r="D512" i="1"/>
  <c r="C512" i="1" s="1"/>
  <c r="F511" i="1"/>
  <c r="G511" i="1"/>
  <c r="E511" i="1"/>
  <c r="H511" i="1"/>
  <c r="I510" i="1"/>
  <c r="Q93" i="3"/>
  <c r="E512" i="1" a="1"/>
  <c r="L514" i="3" l="1"/>
  <c r="M515" i="3"/>
  <c r="D513" i="1"/>
  <c r="C513" i="1" s="1"/>
  <c r="F512" i="1"/>
  <c r="H512" i="1"/>
  <c r="E512" i="1"/>
  <c r="G512" i="1"/>
  <c r="I512" i="1" s="1"/>
  <c r="I511" i="1"/>
  <c r="AB93" i="3"/>
  <c r="R93" i="3"/>
  <c r="E513" i="1" a="1"/>
  <c r="L515" i="3" l="1"/>
  <c r="M516" i="3"/>
  <c r="D514" i="1"/>
  <c r="C514" i="1" s="1"/>
  <c r="F513" i="1"/>
  <c r="E513" i="1"/>
  <c r="H513" i="1"/>
  <c r="G513" i="1"/>
  <c r="AC93" i="3"/>
  <c r="S93" i="3"/>
  <c r="E514" i="1" a="1"/>
  <c r="I513" i="1" l="1"/>
  <c r="AD93" i="3"/>
  <c r="AE93" i="3" s="1"/>
  <c r="Y94" i="3" s="1"/>
  <c r="T93" i="3"/>
  <c r="U93" i="3" s="1"/>
  <c r="L516" i="3"/>
  <c r="M517" i="3"/>
  <c r="D515" i="1"/>
  <c r="C515" i="1" s="1"/>
  <c r="H514" i="1"/>
  <c r="G514" i="1"/>
  <c r="E514" i="1"/>
  <c r="F514" i="1"/>
  <c r="E515" i="1" a="1"/>
  <c r="I514" i="1" l="1"/>
  <c r="X94" i="3"/>
  <c r="C94" i="3"/>
  <c r="N94" i="3"/>
  <c r="O94" i="3"/>
  <c r="M518" i="3"/>
  <c r="L517" i="3"/>
  <c r="D516" i="1"/>
  <c r="C516" i="1" s="1"/>
  <c r="H515" i="1"/>
  <c r="G515" i="1"/>
  <c r="E515" i="1"/>
  <c r="F515" i="1"/>
  <c r="Z94" i="3"/>
  <c r="P94" i="3"/>
  <c r="E516" i="1" a="1"/>
  <c r="I515" i="1" l="1"/>
  <c r="B94" i="3"/>
  <c r="L518" i="3"/>
  <c r="M519" i="3"/>
  <c r="D517" i="1"/>
  <c r="C517" i="1" s="1"/>
  <c r="F516" i="1"/>
  <c r="H516" i="1"/>
  <c r="G516" i="1"/>
  <c r="E516" i="1"/>
  <c r="AA94" i="3"/>
  <c r="E517" i="1" a="1"/>
  <c r="I516" i="1" l="1"/>
  <c r="M520" i="3"/>
  <c r="L519" i="3"/>
  <c r="D518" i="1"/>
  <c r="C518" i="1" s="1"/>
  <c r="H517" i="1"/>
  <c r="F517" i="1"/>
  <c r="E517" i="1"/>
  <c r="G517" i="1"/>
  <c r="Q94" i="3"/>
  <c r="E518" i="1" a="1"/>
  <c r="I517" i="1" l="1"/>
  <c r="M521" i="3"/>
  <c r="L520" i="3"/>
  <c r="D519" i="1"/>
  <c r="C519" i="1" s="1"/>
  <c r="E518" i="1"/>
  <c r="G518" i="1"/>
  <c r="F518" i="1"/>
  <c r="H518" i="1"/>
  <c r="AB94" i="3"/>
  <c r="R94" i="3"/>
  <c r="E519" i="1" a="1"/>
  <c r="M522" i="3" l="1"/>
  <c r="L521" i="3"/>
  <c r="D520" i="1"/>
  <c r="C520" i="1" s="1"/>
  <c r="F519" i="1"/>
  <c r="H519" i="1"/>
  <c r="E519" i="1"/>
  <c r="G519" i="1"/>
  <c r="I519" i="1" s="1"/>
  <c r="I518" i="1"/>
  <c r="AC94" i="3"/>
  <c r="S94" i="3"/>
  <c r="E520" i="1" a="1"/>
  <c r="AD94" i="3" l="1"/>
  <c r="AE94" i="3" s="1"/>
  <c r="Y95" i="3" s="1"/>
  <c r="T94" i="3"/>
  <c r="U94" i="3" s="1"/>
  <c r="M523" i="3"/>
  <c r="L522" i="3"/>
  <c r="D521" i="1"/>
  <c r="C521" i="1" s="1"/>
  <c r="F520" i="1"/>
  <c r="G520" i="1"/>
  <c r="E520" i="1"/>
  <c r="H520" i="1"/>
  <c r="E521" i="1" a="1"/>
  <c r="X95" i="3" l="1"/>
  <c r="C95" i="3"/>
  <c r="N95" i="3"/>
  <c r="O95" i="3"/>
  <c r="L523" i="3"/>
  <c r="M524" i="3"/>
  <c r="D522" i="1"/>
  <c r="C522" i="1" s="1"/>
  <c r="I520" i="1"/>
  <c r="F521" i="1"/>
  <c r="G521" i="1"/>
  <c r="E521" i="1"/>
  <c r="H521" i="1"/>
  <c r="Z95" i="3"/>
  <c r="P95" i="3"/>
  <c r="E522" i="1" a="1"/>
  <c r="B95" i="3" l="1"/>
  <c r="L524" i="3"/>
  <c r="M525" i="3"/>
  <c r="D523" i="1"/>
  <c r="C523" i="1" s="1"/>
  <c r="H522" i="1"/>
  <c r="F522" i="1"/>
  <c r="G522" i="1"/>
  <c r="E522" i="1"/>
  <c r="I521" i="1"/>
  <c r="AA95" i="3"/>
  <c r="E523" i="1" a="1"/>
  <c r="I522" i="1" l="1"/>
  <c r="L525" i="3"/>
  <c r="M526" i="3"/>
  <c r="D524" i="1"/>
  <c r="C524" i="1" s="1"/>
  <c r="H523" i="1"/>
  <c r="G523" i="1"/>
  <c r="I523" i="1" s="1"/>
  <c r="E523" i="1"/>
  <c r="F523" i="1"/>
  <c r="Q95" i="3"/>
  <c r="E524" i="1" a="1"/>
  <c r="L526" i="3" l="1"/>
  <c r="M527" i="3"/>
  <c r="D525" i="1"/>
  <c r="C525" i="1" s="1"/>
  <c r="F524" i="1"/>
  <c r="H524" i="1"/>
  <c r="G524" i="1"/>
  <c r="E524" i="1"/>
  <c r="AB95" i="3"/>
  <c r="R95" i="3"/>
  <c r="E525" i="1" a="1"/>
  <c r="I524" i="1" l="1"/>
  <c r="M528" i="3"/>
  <c r="L527" i="3"/>
  <c r="D526" i="1"/>
  <c r="C526" i="1" s="1"/>
  <c r="F525" i="1"/>
  <c r="E525" i="1"/>
  <c r="H525" i="1"/>
  <c r="G525" i="1"/>
  <c r="AC95" i="3"/>
  <c r="S95" i="3"/>
  <c r="E526" i="1" a="1"/>
  <c r="AD95" i="3" l="1"/>
  <c r="AE95" i="3" s="1"/>
  <c r="Y96" i="3" s="1"/>
  <c r="T95" i="3"/>
  <c r="U95" i="3" s="1"/>
  <c r="I525" i="1"/>
  <c r="L528" i="3"/>
  <c r="M529" i="3"/>
  <c r="D527" i="1"/>
  <c r="C527" i="1" s="1"/>
  <c r="F526" i="1"/>
  <c r="H526" i="1"/>
  <c r="E526" i="1"/>
  <c r="G526" i="1"/>
  <c r="E527" i="1" a="1"/>
  <c r="I526" i="1" l="1"/>
  <c r="X96" i="3"/>
  <c r="C96" i="3"/>
  <c r="N96" i="3"/>
  <c r="O96" i="3"/>
  <c r="M530" i="3"/>
  <c r="L529" i="3"/>
  <c r="D528" i="1"/>
  <c r="C528" i="1" s="1"/>
  <c r="H527" i="1"/>
  <c r="E527" i="1"/>
  <c r="G527" i="1"/>
  <c r="F527" i="1"/>
  <c r="Z96" i="3"/>
  <c r="P96" i="3"/>
  <c r="E528" i="1" a="1"/>
  <c r="I527" i="1" l="1"/>
  <c r="B96" i="3"/>
  <c r="L530" i="3"/>
  <c r="M531" i="3"/>
  <c r="D529" i="1"/>
  <c r="C529" i="1" s="1"/>
  <c r="G528" i="1"/>
  <c r="E528" i="1"/>
  <c r="H528" i="1"/>
  <c r="F528" i="1"/>
  <c r="AA96" i="3"/>
  <c r="E529" i="1" a="1"/>
  <c r="M532" i="3" l="1"/>
  <c r="L531" i="3"/>
  <c r="D530" i="1"/>
  <c r="C530" i="1" s="1"/>
  <c r="F529" i="1"/>
  <c r="G529" i="1"/>
  <c r="H529" i="1"/>
  <c r="E529" i="1"/>
  <c r="I528" i="1"/>
  <c r="Q96" i="3"/>
  <c r="E530" i="1" a="1"/>
  <c r="L532" i="3" l="1"/>
  <c r="M533" i="3"/>
  <c r="D531" i="1"/>
  <c r="C531" i="1" s="1"/>
  <c r="E530" i="1"/>
  <c r="F530" i="1"/>
  <c r="H530" i="1"/>
  <c r="G530" i="1"/>
  <c r="I530" i="1" s="1"/>
  <c r="I529" i="1"/>
  <c r="AB96" i="3"/>
  <c r="R96" i="3"/>
  <c r="E531" i="1" a="1"/>
  <c r="L533" i="3" l="1"/>
  <c r="M534" i="3"/>
  <c r="D532" i="1"/>
  <c r="C532" i="1" s="1"/>
  <c r="E531" i="1"/>
  <c r="H531" i="1"/>
  <c r="G531" i="1"/>
  <c r="F531" i="1"/>
  <c r="AC96" i="3"/>
  <c r="S96" i="3"/>
  <c r="E532" i="1" a="1"/>
  <c r="AD96" i="3" l="1"/>
  <c r="AE96" i="3" s="1"/>
  <c r="Y97" i="3" s="1"/>
  <c r="T96" i="3"/>
  <c r="U96" i="3" s="1"/>
  <c r="M535" i="3"/>
  <c r="L534" i="3"/>
  <c r="I531" i="1"/>
  <c r="D533" i="1"/>
  <c r="C533" i="1" s="1"/>
  <c r="E532" i="1"/>
  <c r="F532" i="1"/>
  <c r="G532" i="1"/>
  <c r="H532" i="1"/>
  <c r="E533" i="1" a="1"/>
  <c r="X97" i="3" l="1"/>
  <c r="C97" i="3"/>
  <c r="N97" i="3"/>
  <c r="O97" i="3"/>
  <c r="M536" i="3"/>
  <c r="L535" i="3"/>
  <c r="D534" i="1"/>
  <c r="C534" i="1" s="1"/>
  <c r="E533" i="1"/>
  <c r="H533" i="1"/>
  <c r="F533" i="1"/>
  <c r="G533" i="1"/>
  <c r="I532" i="1"/>
  <c r="P97" i="3"/>
  <c r="Z97" i="3"/>
  <c r="E534" i="1" a="1"/>
  <c r="I533" i="1" l="1"/>
  <c r="B97" i="3"/>
  <c r="M537" i="3"/>
  <c r="L536" i="3"/>
  <c r="D535" i="1"/>
  <c r="C535" i="1" s="1"/>
  <c r="F534" i="1"/>
  <c r="E534" i="1"/>
  <c r="H534" i="1"/>
  <c r="G534" i="1"/>
  <c r="AA97" i="3"/>
  <c r="E535" i="1" a="1"/>
  <c r="I534" i="1" l="1"/>
  <c r="L537" i="3"/>
  <c r="M538" i="3"/>
  <c r="D536" i="1"/>
  <c r="C536" i="1" s="1"/>
  <c r="E535" i="1"/>
  <c r="G535" i="1"/>
  <c r="H535" i="1"/>
  <c r="F535" i="1"/>
  <c r="Q97" i="3"/>
  <c r="E536" i="1" a="1"/>
  <c r="L538" i="3" l="1"/>
  <c r="M539" i="3"/>
  <c r="D537" i="1"/>
  <c r="C537" i="1" s="1"/>
  <c r="E536" i="1"/>
  <c r="G536" i="1"/>
  <c r="H536" i="1"/>
  <c r="F536" i="1"/>
  <c r="I535" i="1"/>
  <c r="AB97" i="3"/>
  <c r="R97" i="3"/>
  <c r="E537" i="1" a="1"/>
  <c r="L539" i="3" l="1"/>
  <c r="M540" i="3"/>
  <c r="D538" i="1"/>
  <c r="C538" i="1" s="1"/>
  <c r="I536" i="1"/>
  <c r="G537" i="1"/>
  <c r="E537" i="1"/>
  <c r="H537" i="1"/>
  <c r="F537" i="1"/>
  <c r="AC97" i="3"/>
  <c r="S97" i="3"/>
  <c r="E538" i="1" a="1"/>
  <c r="AD97" i="3" l="1"/>
  <c r="AE97" i="3" s="1"/>
  <c r="Y98" i="3" s="1"/>
  <c r="T97" i="3"/>
  <c r="U97" i="3" s="1"/>
  <c r="L540" i="3"/>
  <c r="M541" i="3"/>
  <c r="D539" i="1"/>
  <c r="C539" i="1" s="1"/>
  <c r="G538" i="1"/>
  <c r="E538" i="1"/>
  <c r="F538" i="1"/>
  <c r="H538" i="1"/>
  <c r="I537" i="1"/>
  <c r="E539" i="1" a="1"/>
  <c r="X98" i="3" l="1"/>
  <c r="C98" i="3"/>
  <c r="N98" i="3"/>
  <c r="O98" i="3"/>
  <c r="M542" i="3"/>
  <c r="L541" i="3"/>
  <c r="D540" i="1"/>
  <c r="C540" i="1" s="1"/>
  <c r="E539" i="1"/>
  <c r="F539" i="1"/>
  <c r="H539" i="1"/>
  <c r="G539" i="1"/>
  <c r="I539" i="1" s="1"/>
  <c r="I538" i="1"/>
  <c r="P98" i="3"/>
  <c r="Z98" i="3"/>
  <c r="E540" i="1" a="1"/>
  <c r="B98" i="3" l="1"/>
  <c r="M543" i="3"/>
  <c r="L542" i="3"/>
  <c r="D541" i="1"/>
  <c r="C541" i="1" s="1"/>
  <c r="E540" i="1"/>
  <c r="H540" i="1"/>
  <c r="G540" i="1"/>
  <c r="F540" i="1"/>
  <c r="AA98" i="3"/>
  <c r="E541" i="1" a="1"/>
  <c r="I540" i="1" l="1"/>
  <c r="M544" i="3"/>
  <c r="L543" i="3"/>
  <c r="D542" i="1"/>
  <c r="C542" i="1" s="1"/>
  <c r="E541" i="1"/>
  <c r="H541" i="1"/>
  <c r="F541" i="1"/>
  <c r="G541" i="1"/>
  <c r="I541" i="1" s="1"/>
  <c r="Q98" i="3"/>
  <c r="E542" i="1" a="1"/>
  <c r="M545" i="3" l="1"/>
  <c r="L544" i="3"/>
  <c r="D543" i="1"/>
  <c r="C543" i="1" s="1"/>
  <c r="H542" i="1"/>
  <c r="E542" i="1"/>
  <c r="F542" i="1"/>
  <c r="G542" i="1"/>
  <c r="AB98" i="3"/>
  <c r="R98" i="3"/>
  <c r="E543" i="1" a="1"/>
  <c r="I542" i="1" l="1"/>
  <c r="L545" i="3"/>
  <c r="M546" i="3"/>
  <c r="D544" i="1"/>
  <c r="C544" i="1" s="1"/>
  <c r="H543" i="1"/>
  <c r="E543" i="1"/>
  <c r="F543" i="1"/>
  <c r="G543" i="1"/>
  <c r="AC98" i="3"/>
  <c r="S98" i="3"/>
  <c r="E544" i="1" a="1"/>
  <c r="AD98" i="3" l="1"/>
  <c r="AE98" i="3" s="1"/>
  <c r="T98" i="3"/>
  <c r="U98" i="3" s="1"/>
  <c r="O99" i="3" s="1"/>
  <c r="I543" i="1"/>
  <c r="L546" i="3"/>
  <c r="M547" i="3"/>
  <c r="D545" i="1"/>
  <c r="C545" i="1" s="1"/>
  <c r="E544" i="1"/>
  <c r="G544" i="1"/>
  <c r="F544" i="1"/>
  <c r="H544" i="1"/>
  <c r="E545" i="1" a="1"/>
  <c r="N99" i="3" l="1"/>
  <c r="Y99" i="3"/>
  <c r="X99" i="3"/>
  <c r="B99" i="3"/>
  <c r="L547" i="3"/>
  <c r="M548" i="3"/>
  <c r="D546" i="1"/>
  <c r="C546" i="1" s="1"/>
  <c r="H545" i="1"/>
  <c r="G545" i="1"/>
  <c r="F545" i="1"/>
  <c r="E545" i="1"/>
  <c r="I544" i="1"/>
  <c r="P99" i="3"/>
  <c r="E546" i="1" a="1"/>
  <c r="I545" i="1" l="1"/>
  <c r="C99" i="3"/>
  <c r="L548" i="3"/>
  <c r="M549" i="3"/>
  <c r="D547" i="1"/>
  <c r="C547" i="1" s="1"/>
  <c r="E546" i="1"/>
  <c r="H546" i="1"/>
  <c r="G546" i="1"/>
  <c r="F546" i="1"/>
  <c r="Z99" i="3"/>
  <c r="AA99" i="3"/>
  <c r="E547" i="1" a="1"/>
  <c r="I546" i="1" l="1"/>
  <c r="M550" i="3"/>
  <c r="L549" i="3"/>
  <c r="D548" i="1"/>
  <c r="C548" i="1" s="1"/>
  <c r="E547" i="1"/>
  <c r="H547" i="1"/>
  <c r="F547" i="1"/>
  <c r="G547" i="1"/>
  <c r="Q99" i="3"/>
  <c r="E548" i="1" a="1"/>
  <c r="I547" i="1" l="1"/>
  <c r="L550" i="3"/>
  <c r="M551" i="3"/>
  <c r="D549" i="1"/>
  <c r="C549" i="1" s="1"/>
  <c r="G548" i="1"/>
  <c r="E548" i="1"/>
  <c r="H548" i="1"/>
  <c r="F548" i="1"/>
  <c r="AB99" i="3"/>
  <c r="R99" i="3"/>
  <c r="E549" i="1" a="1"/>
  <c r="L551" i="3" l="1"/>
  <c r="M552" i="3"/>
  <c r="D550" i="1"/>
  <c r="C550" i="1" s="1"/>
  <c r="H549" i="1"/>
  <c r="F549" i="1"/>
  <c r="G549" i="1"/>
  <c r="E549" i="1"/>
  <c r="I548" i="1"/>
  <c r="AC99" i="3"/>
  <c r="S99" i="3"/>
  <c r="E550" i="1" a="1"/>
  <c r="AD99" i="3" l="1"/>
  <c r="AE99" i="3" s="1"/>
  <c r="Y100" i="3" s="1"/>
  <c r="T99" i="3"/>
  <c r="U99" i="3" s="1"/>
  <c r="O100" i="3" s="1"/>
  <c r="I549" i="1"/>
  <c r="M553" i="3"/>
  <c r="L552" i="3"/>
  <c r="D551" i="1"/>
  <c r="C551" i="1" s="1"/>
  <c r="F550" i="1"/>
  <c r="E550" i="1"/>
  <c r="H550" i="1"/>
  <c r="G550" i="1"/>
  <c r="P100" i="3"/>
  <c r="Z100" i="3"/>
  <c r="E551" i="1" a="1"/>
  <c r="X100" i="3" l="1"/>
  <c r="I550" i="1"/>
  <c r="C100" i="3"/>
  <c r="N100" i="3"/>
  <c r="B100" i="3"/>
  <c r="L553" i="3"/>
  <c r="M554" i="3"/>
  <c r="D552" i="1"/>
  <c r="C552" i="1" s="1"/>
  <c r="H551" i="1"/>
  <c r="E551" i="1"/>
  <c r="G551" i="1"/>
  <c r="F551" i="1"/>
  <c r="E552" i="1" a="1"/>
  <c r="I551" i="1" l="1"/>
  <c r="M555" i="3"/>
  <c r="L554" i="3"/>
  <c r="D553" i="1"/>
  <c r="C553" i="1" s="1"/>
  <c r="H552" i="1"/>
  <c r="G552" i="1"/>
  <c r="E552" i="1"/>
  <c r="F552" i="1"/>
  <c r="AA100" i="3"/>
  <c r="Q100" i="3"/>
  <c r="E553" i="1" a="1"/>
  <c r="I552" i="1" l="1"/>
  <c r="L555" i="3"/>
  <c r="M556" i="3"/>
  <c r="D554" i="1"/>
  <c r="C554" i="1" s="1"/>
  <c r="H553" i="1"/>
  <c r="G553" i="1"/>
  <c r="I553" i="1" s="1"/>
  <c r="E553" i="1"/>
  <c r="F553" i="1"/>
  <c r="AB100" i="3"/>
  <c r="R100" i="3"/>
  <c r="E554" i="1" a="1"/>
  <c r="L556" i="3" l="1"/>
  <c r="M557" i="3"/>
  <c r="D555" i="1"/>
  <c r="C555" i="1" s="1"/>
  <c r="G554" i="1"/>
  <c r="H554" i="1"/>
  <c r="E554" i="1"/>
  <c r="F554" i="1"/>
  <c r="AC100" i="3"/>
  <c r="S100" i="3"/>
  <c r="E555" i="1" a="1"/>
  <c r="AD100" i="3" l="1"/>
  <c r="AE100" i="3" s="1"/>
  <c r="Y101" i="3" s="1"/>
  <c r="T100" i="3"/>
  <c r="U100" i="3" s="1"/>
  <c r="L557" i="3"/>
  <c r="M558" i="3"/>
  <c r="D556" i="1"/>
  <c r="C556" i="1" s="1"/>
  <c r="I554" i="1"/>
  <c r="H555" i="1"/>
  <c r="F555" i="1"/>
  <c r="G555" i="1"/>
  <c r="E555" i="1"/>
  <c r="E556" i="1" a="1"/>
  <c r="I555" i="1" l="1"/>
  <c r="X101" i="3"/>
  <c r="C101" i="3"/>
  <c r="N101" i="3"/>
  <c r="O101" i="3"/>
  <c r="M559" i="3"/>
  <c r="L558" i="3"/>
  <c r="D557" i="1"/>
  <c r="C557" i="1" s="1"/>
  <c r="G556" i="1"/>
  <c r="F556" i="1"/>
  <c r="H556" i="1"/>
  <c r="E556" i="1"/>
  <c r="P101" i="3"/>
  <c r="Z101" i="3"/>
  <c r="E557" i="1" a="1"/>
  <c r="B101" i="3" l="1"/>
  <c r="L559" i="3"/>
  <c r="M560" i="3"/>
  <c r="I556" i="1"/>
  <c r="D558" i="1"/>
  <c r="C558" i="1" s="1"/>
  <c r="G557" i="1"/>
  <c r="F557" i="1"/>
  <c r="H557" i="1"/>
  <c r="E557" i="1"/>
  <c r="AA101" i="3"/>
  <c r="E558" i="1" a="1"/>
  <c r="M561" i="3" l="1"/>
  <c r="L560" i="3"/>
  <c r="D559" i="1"/>
  <c r="C559" i="1" s="1"/>
  <c r="F558" i="1"/>
  <c r="H558" i="1"/>
  <c r="G558" i="1"/>
  <c r="E558" i="1"/>
  <c r="I557" i="1"/>
  <c r="Q101" i="3"/>
  <c r="E559" i="1" a="1"/>
  <c r="I558" i="1" l="1"/>
  <c r="M562" i="3"/>
  <c r="L561" i="3"/>
  <c r="D560" i="1"/>
  <c r="C560" i="1" s="1"/>
  <c r="H559" i="1"/>
  <c r="G559" i="1"/>
  <c r="E559" i="1"/>
  <c r="F559" i="1"/>
  <c r="AB101" i="3"/>
  <c r="R101" i="3"/>
  <c r="E560" i="1" a="1"/>
  <c r="I559" i="1" l="1"/>
  <c r="M563" i="3"/>
  <c r="L562" i="3"/>
  <c r="D561" i="1"/>
  <c r="C561" i="1" s="1"/>
  <c r="F560" i="1"/>
  <c r="H560" i="1"/>
  <c r="G560" i="1"/>
  <c r="E560" i="1"/>
  <c r="AC101" i="3"/>
  <c r="S101" i="3"/>
  <c r="E561" i="1" a="1"/>
  <c r="AD101" i="3" l="1"/>
  <c r="AE101" i="3" s="1"/>
  <c r="Y102" i="3" s="1"/>
  <c r="T101" i="3"/>
  <c r="U101" i="3" s="1"/>
  <c r="M564" i="3"/>
  <c r="L563" i="3"/>
  <c r="I560" i="1"/>
  <c r="D562" i="1"/>
  <c r="C562" i="1" s="1"/>
  <c r="H561" i="1"/>
  <c r="G561" i="1"/>
  <c r="F561" i="1"/>
  <c r="E561" i="1"/>
  <c r="E562" i="1" a="1"/>
  <c r="I561" i="1" l="1"/>
  <c r="X102" i="3"/>
  <c r="C102" i="3"/>
  <c r="N102" i="3"/>
  <c r="O102" i="3"/>
  <c r="L564" i="3"/>
  <c r="M565" i="3"/>
  <c r="D563" i="1"/>
  <c r="C563" i="1" s="1"/>
  <c r="H562" i="1"/>
  <c r="G562" i="1"/>
  <c r="F562" i="1"/>
  <c r="E562" i="1"/>
  <c r="Z102" i="3"/>
  <c r="P102" i="3"/>
  <c r="E563" i="1" a="1"/>
  <c r="B102" i="3" l="1"/>
  <c r="L565" i="3"/>
  <c r="M566" i="3"/>
  <c r="I562" i="1"/>
  <c r="D564" i="1"/>
  <c r="C564" i="1" s="1"/>
  <c r="H563" i="1"/>
  <c r="G563" i="1"/>
  <c r="E563" i="1"/>
  <c r="F563" i="1"/>
  <c r="AA102" i="3"/>
  <c r="E564" i="1" a="1"/>
  <c r="I563" i="1" l="1"/>
  <c r="L566" i="3"/>
  <c r="M567" i="3"/>
  <c r="D565" i="1"/>
  <c r="C565" i="1" s="1"/>
  <c r="H564" i="1"/>
  <c r="G564" i="1"/>
  <c r="F564" i="1"/>
  <c r="E564" i="1"/>
  <c r="Q102" i="3"/>
  <c r="E565" i="1" a="1"/>
  <c r="I564" i="1" l="1"/>
  <c r="M568" i="3"/>
  <c r="L567" i="3"/>
  <c r="D566" i="1"/>
  <c r="C566" i="1" s="1"/>
  <c r="H565" i="1"/>
  <c r="G565" i="1"/>
  <c r="F565" i="1"/>
  <c r="E565" i="1"/>
  <c r="AB102" i="3"/>
  <c r="R102" i="3"/>
  <c r="E566" i="1" a="1"/>
  <c r="I565" i="1" l="1"/>
  <c r="M569" i="3"/>
  <c r="L568" i="3"/>
  <c r="D567" i="1"/>
  <c r="C567" i="1" s="1"/>
  <c r="H566" i="1"/>
  <c r="G566" i="1"/>
  <c r="E566" i="1"/>
  <c r="F566" i="1"/>
  <c r="AC102" i="3"/>
  <c r="S102" i="3"/>
  <c r="E567" i="1" a="1"/>
  <c r="AD102" i="3" l="1"/>
  <c r="AE102" i="3" s="1"/>
  <c r="T102" i="3"/>
  <c r="U102" i="3" s="1"/>
  <c r="O103" i="3" s="1"/>
  <c r="I566" i="1"/>
  <c r="M570" i="3"/>
  <c r="L569" i="3"/>
  <c r="D568" i="1"/>
  <c r="C568" i="1" s="1"/>
  <c r="H567" i="1"/>
  <c r="G567" i="1"/>
  <c r="E567" i="1"/>
  <c r="F567" i="1"/>
  <c r="E568" i="1" a="1"/>
  <c r="N103" i="3" l="1"/>
  <c r="I567" i="1"/>
  <c r="Y103" i="3"/>
  <c r="X103" i="3"/>
  <c r="B103" i="3"/>
  <c r="L570" i="3"/>
  <c r="M571" i="3"/>
  <c r="D569" i="1"/>
  <c r="C569" i="1" s="1"/>
  <c r="H568" i="1"/>
  <c r="G568" i="1"/>
  <c r="E568" i="1"/>
  <c r="F568" i="1"/>
  <c r="P103" i="3"/>
  <c r="E569" i="1" a="1"/>
  <c r="I568" i="1" l="1"/>
  <c r="C103" i="3"/>
  <c r="M572" i="3"/>
  <c r="L571" i="3"/>
  <c r="D570" i="1"/>
  <c r="C570" i="1" s="1"/>
  <c r="G569" i="1"/>
  <c r="F569" i="1"/>
  <c r="H569" i="1"/>
  <c r="E569" i="1"/>
  <c r="Z103" i="3"/>
  <c r="AA103" i="3"/>
  <c r="E570" i="1" a="1"/>
  <c r="L572" i="3" l="1"/>
  <c r="M573" i="3"/>
  <c r="D571" i="1"/>
  <c r="C571" i="1" s="1"/>
  <c r="E570" i="1"/>
  <c r="H570" i="1"/>
  <c r="G570" i="1"/>
  <c r="I570" i="1" s="1"/>
  <c r="F570" i="1"/>
  <c r="I569" i="1"/>
  <c r="Q103" i="3"/>
  <c r="E571" i="1" a="1"/>
  <c r="L573" i="3" l="1"/>
  <c r="M574" i="3"/>
  <c r="D572" i="1"/>
  <c r="C572" i="1" s="1"/>
  <c r="H571" i="1"/>
  <c r="E571" i="1"/>
  <c r="G571" i="1"/>
  <c r="F571" i="1"/>
  <c r="AB103" i="3"/>
  <c r="R103" i="3"/>
  <c r="E572" i="1" a="1"/>
  <c r="L574" i="3" l="1"/>
  <c r="M575" i="3"/>
  <c r="I571" i="1"/>
  <c r="D573" i="1"/>
  <c r="C573" i="1" s="1"/>
  <c r="E572" i="1"/>
  <c r="H572" i="1"/>
  <c r="F572" i="1"/>
  <c r="G572" i="1"/>
  <c r="AC103" i="3"/>
  <c r="S103" i="3"/>
  <c r="E573" i="1" a="1"/>
  <c r="AD103" i="3" l="1"/>
  <c r="AE103" i="3" s="1"/>
  <c r="Y104" i="3" s="1"/>
  <c r="T103" i="3"/>
  <c r="U103" i="3" s="1"/>
  <c r="O104" i="3" s="1"/>
  <c r="I572" i="1"/>
  <c r="X104" i="3"/>
  <c r="C104" i="3"/>
  <c r="M576" i="3"/>
  <c r="L575" i="3"/>
  <c r="D574" i="1"/>
  <c r="C574" i="1" s="1"/>
  <c r="F573" i="1"/>
  <c r="H573" i="1"/>
  <c r="G573" i="1"/>
  <c r="E573" i="1"/>
  <c r="P104" i="3"/>
  <c r="Z104" i="3"/>
  <c r="E574" i="1" a="1"/>
  <c r="I573" i="1" l="1"/>
  <c r="N104" i="3"/>
  <c r="B104" i="3"/>
  <c r="M577" i="3"/>
  <c r="L576" i="3"/>
  <c r="D575" i="1"/>
  <c r="C575" i="1" s="1"/>
  <c r="F574" i="1"/>
  <c r="H574" i="1"/>
  <c r="G574" i="1"/>
  <c r="E574" i="1"/>
  <c r="E575" i="1" a="1"/>
  <c r="I574" i="1" l="1"/>
  <c r="M578" i="3"/>
  <c r="L577" i="3"/>
  <c r="D576" i="1"/>
  <c r="C576" i="1" s="1"/>
  <c r="F575" i="1"/>
  <c r="H575" i="1"/>
  <c r="E575" i="1"/>
  <c r="G575" i="1"/>
  <c r="AA104" i="3"/>
  <c r="Q104" i="3"/>
  <c r="E576" i="1" a="1"/>
  <c r="I575" i="1" l="1"/>
  <c r="L578" i="3"/>
  <c r="M579" i="3"/>
  <c r="D577" i="1"/>
  <c r="C577" i="1" s="1"/>
  <c r="F576" i="1"/>
  <c r="E576" i="1"/>
  <c r="H576" i="1"/>
  <c r="G576" i="1"/>
  <c r="AB104" i="3"/>
  <c r="R104" i="3"/>
  <c r="E577" i="1" a="1"/>
  <c r="I576" i="1" l="1"/>
  <c r="L579" i="3"/>
  <c r="M580" i="3"/>
  <c r="D578" i="1"/>
  <c r="C578" i="1" s="1"/>
  <c r="H577" i="1"/>
  <c r="G577" i="1"/>
  <c r="F577" i="1"/>
  <c r="E577" i="1"/>
  <c r="AC104" i="3"/>
  <c r="S104" i="3"/>
  <c r="E578" i="1" a="1"/>
  <c r="AD104" i="3" l="1"/>
  <c r="AE104" i="3" s="1"/>
  <c r="T104" i="3"/>
  <c r="U104" i="3" s="1"/>
  <c r="O105" i="3" s="1"/>
  <c r="I577" i="1"/>
  <c r="M581" i="3"/>
  <c r="L580" i="3"/>
  <c r="D579" i="1"/>
  <c r="C579" i="1" s="1"/>
  <c r="G578" i="1"/>
  <c r="F578" i="1"/>
  <c r="H578" i="1"/>
  <c r="E578" i="1"/>
  <c r="E579" i="1" a="1"/>
  <c r="N105" i="3" l="1"/>
  <c r="Y105" i="3"/>
  <c r="X105" i="3"/>
  <c r="B105" i="3"/>
  <c r="M582" i="3"/>
  <c r="L581" i="3"/>
  <c r="D580" i="1"/>
  <c r="C580" i="1" s="1"/>
  <c r="H579" i="1"/>
  <c r="G579" i="1"/>
  <c r="F579" i="1"/>
  <c r="E579" i="1"/>
  <c r="I578" i="1"/>
  <c r="P105" i="3"/>
  <c r="E580" i="1" a="1"/>
  <c r="I579" i="1" l="1"/>
  <c r="C105" i="3"/>
  <c r="M583" i="3"/>
  <c r="L582" i="3"/>
  <c r="D581" i="1"/>
  <c r="C581" i="1" s="1"/>
  <c r="G580" i="1"/>
  <c r="E580" i="1"/>
  <c r="H580" i="1"/>
  <c r="F580" i="1"/>
  <c r="Z105" i="3"/>
  <c r="AA105" i="3"/>
  <c r="E581" i="1" a="1"/>
  <c r="L583" i="3" l="1"/>
  <c r="M584" i="3"/>
  <c r="D582" i="1"/>
  <c r="C582" i="1" s="1"/>
  <c r="E581" i="1"/>
  <c r="H581" i="1"/>
  <c r="G581" i="1"/>
  <c r="I581" i="1" s="1"/>
  <c r="F581" i="1"/>
  <c r="I580" i="1"/>
  <c r="Q105" i="3"/>
  <c r="E582" i="1" a="1"/>
  <c r="L584" i="3" l="1"/>
  <c r="M585" i="3"/>
  <c r="D583" i="1"/>
  <c r="C583" i="1" s="1"/>
  <c r="E582" i="1"/>
  <c r="H582" i="1"/>
  <c r="G582" i="1"/>
  <c r="F582" i="1"/>
  <c r="AB105" i="3"/>
  <c r="R105" i="3"/>
  <c r="E583" i="1" a="1"/>
  <c r="I582" i="1" l="1"/>
  <c r="M586" i="3"/>
  <c r="L585" i="3"/>
  <c r="D584" i="1"/>
  <c r="C584" i="1" s="1"/>
  <c r="H583" i="1"/>
  <c r="E583" i="1"/>
  <c r="F583" i="1"/>
  <c r="G583" i="1"/>
  <c r="AC105" i="3"/>
  <c r="S105" i="3"/>
  <c r="E584" i="1" a="1"/>
  <c r="AD105" i="3" l="1"/>
  <c r="AE105" i="3" s="1"/>
  <c r="T105" i="3"/>
  <c r="I583" i="1"/>
  <c r="L586" i="3"/>
  <c r="M587" i="3"/>
  <c r="D585" i="1"/>
  <c r="C585" i="1" s="1"/>
  <c r="G584" i="1"/>
  <c r="E584" i="1"/>
  <c r="H584" i="1"/>
  <c r="F584" i="1"/>
  <c r="E585" i="1" a="1"/>
  <c r="U105" i="3" l="1"/>
  <c r="O106" i="3" s="1"/>
  <c r="N106" i="3"/>
  <c r="Y106" i="3"/>
  <c r="X106" i="3"/>
  <c r="L587" i="3"/>
  <c r="M588" i="3"/>
  <c r="D586" i="1"/>
  <c r="C586" i="1" s="1"/>
  <c r="E585" i="1"/>
  <c r="H585" i="1"/>
  <c r="G585" i="1"/>
  <c r="F585" i="1"/>
  <c r="I584" i="1"/>
  <c r="P106" i="3"/>
  <c r="E586" i="1" a="1"/>
  <c r="I585" i="1" l="1"/>
  <c r="B106" i="3"/>
  <c r="C106" i="3"/>
  <c r="L588" i="3"/>
  <c r="M589" i="3"/>
  <c r="D587" i="1"/>
  <c r="C587" i="1" s="1"/>
  <c r="H586" i="1"/>
  <c r="G586" i="1"/>
  <c r="E586" i="1"/>
  <c r="F586" i="1"/>
  <c r="Z106" i="3"/>
  <c r="AA106" i="3"/>
  <c r="E587" i="1" a="1"/>
  <c r="I586" i="1" l="1"/>
  <c r="L589" i="3"/>
  <c r="M590" i="3"/>
  <c r="D588" i="1"/>
  <c r="C588" i="1" s="1"/>
  <c r="G587" i="1"/>
  <c r="F587" i="1"/>
  <c r="E587" i="1"/>
  <c r="H587" i="1"/>
  <c r="Q106" i="3"/>
  <c r="E588" i="1" a="1"/>
  <c r="M591" i="3" l="1"/>
  <c r="L590" i="3"/>
  <c r="D589" i="1"/>
  <c r="C589" i="1" s="1"/>
  <c r="E588" i="1"/>
  <c r="F588" i="1"/>
  <c r="H588" i="1"/>
  <c r="G588" i="1"/>
  <c r="I588" i="1" s="1"/>
  <c r="I587" i="1"/>
  <c r="AB106" i="3"/>
  <c r="R106" i="3"/>
  <c r="E589" i="1" a="1"/>
  <c r="L591" i="3" l="1"/>
  <c r="M592" i="3"/>
  <c r="D590" i="1"/>
  <c r="C590" i="1" s="1"/>
  <c r="F589" i="1"/>
  <c r="H589" i="1"/>
  <c r="G589" i="1"/>
  <c r="I589" i="1" s="1"/>
  <c r="E589" i="1"/>
  <c r="AC106" i="3"/>
  <c r="S106" i="3"/>
  <c r="E590" i="1" a="1"/>
  <c r="AD106" i="3" l="1"/>
  <c r="AE106" i="3" s="1"/>
  <c r="T106" i="3"/>
  <c r="M593" i="3"/>
  <c r="L592" i="3"/>
  <c r="D591" i="1"/>
  <c r="C591" i="1" s="1"/>
  <c r="G590" i="1"/>
  <c r="E590" i="1"/>
  <c r="H590" i="1"/>
  <c r="F590" i="1"/>
  <c r="E591" i="1" a="1"/>
  <c r="U106" i="3" l="1"/>
  <c r="O107" i="3" s="1"/>
  <c r="N107" i="3"/>
  <c r="Y107" i="3"/>
  <c r="X107" i="3"/>
  <c r="L593" i="3"/>
  <c r="M594" i="3"/>
  <c r="D592" i="1"/>
  <c r="C592" i="1" s="1"/>
  <c r="I590" i="1"/>
  <c r="H591" i="1"/>
  <c r="G591" i="1"/>
  <c r="E591" i="1"/>
  <c r="F591" i="1"/>
  <c r="P107" i="3"/>
  <c r="E592" i="1" a="1"/>
  <c r="B107" i="3" l="1"/>
  <c r="C107" i="3"/>
  <c r="L594" i="3"/>
  <c r="M595" i="3"/>
  <c r="I591" i="1"/>
  <c r="D593" i="1"/>
  <c r="C593" i="1" s="1"/>
  <c r="H592" i="1"/>
  <c r="F592" i="1"/>
  <c r="G592" i="1"/>
  <c r="E592" i="1"/>
  <c r="Z107" i="3"/>
  <c r="AA107" i="3"/>
  <c r="E593" i="1" a="1"/>
  <c r="M596" i="3" l="1"/>
  <c r="L595" i="3"/>
  <c r="I592" i="1"/>
  <c r="D594" i="1"/>
  <c r="C594" i="1" s="1"/>
  <c r="H593" i="1"/>
  <c r="G593" i="1"/>
  <c r="F593" i="1"/>
  <c r="E593" i="1"/>
  <c r="Q107" i="3"/>
  <c r="E594" i="1" a="1"/>
  <c r="I593" i="1" l="1"/>
  <c r="M597" i="3"/>
  <c r="L596" i="3"/>
  <c r="D595" i="1"/>
  <c r="C595" i="1" s="1"/>
  <c r="E594" i="1"/>
  <c r="G594" i="1"/>
  <c r="F594" i="1"/>
  <c r="H594" i="1"/>
  <c r="AB107" i="3"/>
  <c r="R107" i="3"/>
  <c r="E595" i="1" a="1"/>
  <c r="M598" i="3" l="1"/>
  <c r="L597" i="3"/>
  <c r="D596" i="1"/>
  <c r="C596" i="1" s="1"/>
  <c r="F595" i="1"/>
  <c r="E595" i="1"/>
  <c r="H595" i="1"/>
  <c r="G595" i="1"/>
  <c r="I595" i="1" s="1"/>
  <c r="I594" i="1"/>
  <c r="AC107" i="3"/>
  <c r="S107" i="3"/>
  <c r="E596" i="1" a="1"/>
  <c r="AD107" i="3" l="1"/>
  <c r="AE107" i="3" s="1"/>
  <c r="T107" i="3"/>
  <c r="U107" i="3" s="1"/>
  <c r="O108" i="3" s="1"/>
  <c r="L598" i="3"/>
  <c r="M599" i="3"/>
  <c r="D597" i="1"/>
  <c r="C597" i="1" s="1"/>
  <c r="E596" i="1"/>
  <c r="H596" i="1"/>
  <c r="F596" i="1"/>
  <c r="G596" i="1"/>
  <c r="E597" i="1" a="1"/>
  <c r="N108" i="3" l="1"/>
  <c r="I596" i="1"/>
  <c r="B108" i="3"/>
  <c r="Y108" i="3"/>
  <c r="X108" i="3"/>
  <c r="L599" i="3"/>
  <c r="M600" i="3"/>
  <c r="D598" i="1"/>
  <c r="C598" i="1" s="1"/>
  <c r="F597" i="1"/>
  <c r="H597" i="1"/>
  <c r="E597" i="1"/>
  <c r="G597" i="1"/>
  <c r="P108" i="3"/>
  <c r="E598" i="1" a="1"/>
  <c r="I597" i="1" l="1"/>
  <c r="C108" i="3"/>
  <c r="L600" i="3"/>
  <c r="M601" i="3"/>
  <c r="D599" i="1"/>
  <c r="C599" i="1" s="1"/>
  <c r="F598" i="1"/>
  <c r="G598" i="1"/>
  <c r="E598" i="1"/>
  <c r="H598" i="1"/>
  <c r="Z108" i="3"/>
  <c r="AA108" i="3"/>
  <c r="E599" i="1" a="1"/>
  <c r="M602" i="3" l="1"/>
  <c r="L601" i="3"/>
  <c r="D600" i="1"/>
  <c r="C600" i="1" s="1"/>
  <c r="H599" i="1"/>
  <c r="F599" i="1"/>
  <c r="E599" i="1"/>
  <c r="G599" i="1"/>
  <c r="I599" i="1" s="1"/>
  <c r="I598" i="1"/>
  <c r="Q108" i="3"/>
  <c r="E600" i="1" a="1"/>
  <c r="M603" i="3" l="1"/>
  <c r="L602" i="3"/>
  <c r="D601" i="1"/>
  <c r="C601" i="1" s="1"/>
  <c r="F600" i="1"/>
  <c r="E600" i="1"/>
  <c r="G600" i="1"/>
  <c r="H600" i="1"/>
  <c r="AB108" i="3"/>
  <c r="R108" i="3"/>
  <c r="E601" i="1" a="1"/>
  <c r="L603" i="3" l="1"/>
  <c r="M604" i="3"/>
  <c r="D602" i="1"/>
  <c r="C602" i="1" s="1"/>
  <c r="H601" i="1"/>
  <c r="E601" i="1"/>
  <c r="G601" i="1"/>
  <c r="F601" i="1"/>
  <c r="I600" i="1"/>
  <c r="AC108" i="3"/>
  <c r="S108" i="3"/>
  <c r="E602" i="1" a="1"/>
  <c r="AD108" i="3" l="1"/>
  <c r="AE108" i="3" s="1"/>
  <c r="T108" i="3"/>
  <c r="U108" i="3" s="1"/>
  <c r="O109" i="3" s="1"/>
  <c r="I601" i="1"/>
  <c r="M605" i="3"/>
  <c r="L604" i="3"/>
  <c r="D603" i="1"/>
  <c r="C603" i="1" s="1"/>
  <c r="H602" i="1"/>
  <c r="F602" i="1"/>
  <c r="E602" i="1"/>
  <c r="G602" i="1"/>
  <c r="E603" i="1" a="1"/>
  <c r="N109" i="3" l="1"/>
  <c r="I602" i="1"/>
  <c r="B109" i="3"/>
  <c r="Y109" i="3"/>
  <c r="X109" i="3"/>
  <c r="L605" i="3"/>
  <c r="M606" i="3"/>
  <c r="D604" i="1"/>
  <c r="C604" i="1" s="1"/>
  <c r="G603" i="1"/>
  <c r="H603" i="1"/>
  <c r="F603" i="1"/>
  <c r="E603" i="1"/>
  <c r="P109" i="3"/>
  <c r="E604" i="1" a="1"/>
  <c r="C109" i="3" l="1"/>
  <c r="M607" i="3"/>
  <c r="L606" i="3"/>
  <c r="I603" i="1"/>
  <c r="D605" i="1"/>
  <c r="C605" i="1" s="1"/>
  <c r="H604" i="1"/>
  <c r="F604" i="1"/>
  <c r="E604" i="1"/>
  <c r="G604" i="1"/>
  <c r="Z109" i="3"/>
  <c r="AA109" i="3"/>
  <c r="E605" i="1" a="1"/>
  <c r="I604" i="1" l="1"/>
  <c r="M608" i="3"/>
  <c r="L607" i="3"/>
  <c r="D606" i="1"/>
  <c r="C606" i="1" s="1"/>
  <c r="H605" i="1"/>
  <c r="E605" i="1"/>
  <c r="F605" i="1"/>
  <c r="G605" i="1"/>
  <c r="Q109" i="3"/>
  <c r="E606" i="1" a="1"/>
  <c r="I605" i="1" l="1"/>
  <c r="L608" i="3"/>
  <c r="M609" i="3"/>
  <c r="D607" i="1"/>
  <c r="C607" i="1" s="1"/>
  <c r="E606" i="1"/>
  <c r="G606" i="1"/>
  <c r="F606" i="1"/>
  <c r="H606" i="1"/>
  <c r="AB109" i="3"/>
  <c r="R109" i="3"/>
  <c r="E607" i="1" a="1"/>
  <c r="M610" i="3" l="1"/>
  <c r="L609" i="3"/>
  <c r="D608" i="1"/>
  <c r="C608" i="1" s="1"/>
  <c r="H607" i="1"/>
  <c r="E607" i="1"/>
  <c r="G607" i="1"/>
  <c r="F607" i="1"/>
  <c r="I606" i="1"/>
  <c r="AC109" i="3"/>
  <c r="S109" i="3"/>
  <c r="E608" i="1" a="1"/>
  <c r="AD109" i="3" l="1"/>
  <c r="AE109" i="3" s="1"/>
  <c r="T109" i="3"/>
  <c r="U109" i="3" s="1"/>
  <c r="O110" i="3" s="1"/>
  <c r="I607" i="1"/>
  <c r="M611" i="3"/>
  <c r="L610" i="3"/>
  <c r="D609" i="1"/>
  <c r="C609" i="1" s="1"/>
  <c r="H608" i="1"/>
  <c r="F608" i="1"/>
  <c r="E608" i="1"/>
  <c r="G608" i="1"/>
  <c r="E609" i="1" a="1"/>
  <c r="N110" i="3" l="1"/>
  <c r="I608" i="1"/>
  <c r="B110" i="3"/>
  <c r="Y110" i="3"/>
  <c r="X110" i="3"/>
  <c r="L611" i="3"/>
  <c r="M612" i="3"/>
  <c r="D610" i="1"/>
  <c r="C610" i="1" s="1"/>
  <c r="E609" i="1"/>
  <c r="H609" i="1"/>
  <c r="F609" i="1"/>
  <c r="G609" i="1"/>
  <c r="P110" i="3"/>
  <c r="E610" i="1" a="1"/>
  <c r="I609" i="1" l="1"/>
  <c r="C110" i="3"/>
  <c r="M613" i="3"/>
  <c r="L612" i="3"/>
  <c r="D611" i="1"/>
  <c r="C611" i="1" s="1"/>
  <c r="H610" i="1"/>
  <c r="F610" i="1"/>
  <c r="E610" i="1"/>
  <c r="G610" i="1"/>
  <c r="Z110" i="3"/>
  <c r="AA110" i="3"/>
  <c r="E611" i="1" a="1"/>
  <c r="I610" i="1" l="1"/>
  <c r="M614" i="3"/>
  <c r="L613" i="3"/>
  <c r="D612" i="1"/>
  <c r="C612" i="1" s="1"/>
  <c r="H611" i="1"/>
  <c r="F611" i="1"/>
  <c r="G611" i="1"/>
  <c r="E611" i="1"/>
  <c r="Q110" i="3"/>
  <c r="E612" i="1" a="1"/>
  <c r="I611" i="1" l="1"/>
  <c r="L614" i="3"/>
  <c r="M615" i="3"/>
  <c r="D613" i="1"/>
  <c r="C613" i="1" s="1"/>
  <c r="H612" i="1"/>
  <c r="F612" i="1"/>
  <c r="G612" i="1"/>
  <c r="I612" i="1" s="1"/>
  <c r="E612" i="1"/>
  <c r="AB110" i="3"/>
  <c r="R110" i="3"/>
  <c r="E613" i="1" a="1"/>
  <c r="M616" i="3" l="1"/>
  <c r="L615" i="3"/>
  <c r="D614" i="1"/>
  <c r="C614" i="1" s="1"/>
  <c r="E613" i="1"/>
  <c r="G613" i="1"/>
  <c r="H613" i="1"/>
  <c r="F613" i="1"/>
  <c r="AC110" i="3"/>
  <c r="S110" i="3"/>
  <c r="E614" i="1" a="1"/>
  <c r="AD110" i="3" l="1"/>
  <c r="AE110" i="3" s="1"/>
  <c r="T110" i="3"/>
  <c r="U110" i="3" s="1"/>
  <c r="O111" i="3" s="1"/>
  <c r="M617" i="3"/>
  <c r="L616" i="3"/>
  <c r="D615" i="1"/>
  <c r="C615" i="1" s="1"/>
  <c r="I613" i="1"/>
  <c r="H614" i="1"/>
  <c r="F614" i="1"/>
  <c r="E614" i="1"/>
  <c r="G614" i="1"/>
  <c r="E615" i="1" a="1"/>
  <c r="I614" i="1" l="1"/>
  <c r="N111" i="3"/>
  <c r="B111" i="3"/>
  <c r="Y111" i="3"/>
  <c r="X111" i="3"/>
  <c r="L617" i="3"/>
  <c r="M618" i="3"/>
  <c r="D616" i="1"/>
  <c r="C616" i="1" s="1"/>
  <c r="H615" i="1"/>
  <c r="F615" i="1"/>
  <c r="E615" i="1"/>
  <c r="G615" i="1"/>
  <c r="P111" i="3"/>
  <c r="E616" i="1" a="1"/>
  <c r="I615" i="1" l="1"/>
  <c r="C111" i="3"/>
  <c r="M619" i="3"/>
  <c r="L618" i="3"/>
  <c r="D617" i="1"/>
  <c r="C617" i="1" s="1"/>
  <c r="H616" i="1"/>
  <c r="E616" i="1"/>
  <c r="G616" i="1"/>
  <c r="F616" i="1"/>
  <c r="Z111" i="3"/>
  <c r="AA111" i="3"/>
  <c r="E617" i="1" a="1"/>
  <c r="I616" i="1" l="1"/>
  <c r="L619" i="3"/>
  <c r="M620" i="3"/>
  <c r="D618" i="1"/>
  <c r="C618" i="1" s="1"/>
  <c r="H617" i="1"/>
  <c r="F617" i="1"/>
  <c r="G617" i="1"/>
  <c r="E617" i="1"/>
  <c r="Q111" i="3"/>
  <c r="E618" i="1" a="1"/>
  <c r="I617" i="1" l="1"/>
  <c r="M621" i="3"/>
  <c r="L620" i="3"/>
  <c r="D619" i="1"/>
  <c r="C619" i="1" s="1"/>
  <c r="E618" i="1"/>
  <c r="H618" i="1"/>
  <c r="F618" i="1"/>
  <c r="G618" i="1"/>
  <c r="AB111" i="3"/>
  <c r="R111" i="3"/>
  <c r="E619" i="1" a="1"/>
  <c r="I618" i="1" l="1"/>
  <c r="M622" i="3"/>
  <c r="L621" i="3"/>
  <c r="D620" i="1"/>
  <c r="C620" i="1" s="1"/>
  <c r="G619" i="1"/>
  <c r="H619" i="1"/>
  <c r="F619" i="1"/>
  <c r="E619" i="1"/>
  <c r="AC111" i="3"/>
  <c r="S111" i="3"/>
  <c r="E620" i="1" a="1"/>
  <c r="AD111" i="3" l="1"/>
  <c r="AE111" i="3" s="1"/>
  <c r="T111" i="3"/>
  <c r="U111" i="3" s="1"/>
  <c r="O112" i="3" s="1"/>
  <c r="L622" i="3"/>
  <c r="M623" i="3"/>
  <c r="D621" i="1"/>
  <c r="C621" i="1" s="1"/>
  <c r="H620" i="1"/>
  <c r="F620" i="1"/>
  <c r="E620" i="1"/>
  <c r="G620" i="1"/>
  <c r="I619" i="1"/>
  <c r="E621" i="1" a="1"/>
  <c r="I620" i="1" l="1"/>
  <c r="N112" i="3"/>
  <c r="B112" i="3"/>
  <c r="Y112" i="3"/>
  <c r="X112" i="3"/>
  <c r="L623" i="3"/>
  <c r="M624" i="3"/>
  <c r="D622" i="1"/>
  <c r="C622" i="1" s="1"/>
  <c r="F621" i="1"/>
  <c r="E621" i="1"/>
  <c r="G621" i="1"/>
  <c r="H621" i="1"/>
  <c r="P112" i="3"/>
  <c r="E622" i="1" a="1"/>
  <c r="C112" i="3" l="1"/>
  <c r="L624" i="3"/>
  <c r="M625" i="3"/>
  <c r="D623" i="1"/>
  <c r="C623" i="1" s="1"/>
  <c r="E622" i="1"/>
  <c r="F622" i="1"/>
  <c r="H622" i="1"/>
  <c r="G622" i="1"/>
  <c r="I621" i="1"/>
  <c r="Z112" i="3"/>
  <c r="AA112" i="3"/>
  <c r="E623" i="1" a="1"/>
  <c r="I622" i="1" l="1"/>
  <c r="M626" i="3"/>
  <c r="L625" i="3"/>
  <c r="D624" i="1"/>
  <c r="C624" i="1" s="1"/>
  <c r="H623" i="1"/>
  <c r="F623" i="1"/>
  <c r="E623" i="1"/>
  <c r="G623" i="1"/>
  <c r="Q112" i="3"/>
  <c r="E624" i="1" a="1"/>
  <c r="I623" i="1" l="1"/>
  <c r="M627" i="3"/>
  <c r="L626" i="3"/>
  <c r="D625" i="1"/>
  <c r="C625" i="1" s="1"/>
  <c r="H624" i="1"/>
  <c r="F624" i="1"/>
  <c r="E624" i="1"/>
  <c r="G624" i="1"/>
  <c r="AB112" i="3"/>
  <c r="R112" i="3"/>
  <c r="E625" i="1" a="1"/>
  <c r="I624" i="1" l="1"/>
  <c r="L627" i="3"/>
  <c r="M628" i="3"/>
  <c r="D626" i="1"/>
  <c r="C626" i="1" s="1"/>
  <c r="E625" i="1"/>
  <c r="G625" i="1"/>
  <c r="H625" i="1"/>
  <c r="F625" i="1"/>
  <c r="AC112" i="3"/>
  <c r="S112" i="3"/>
  <c r="E626" i="1" a="1"/>
  <c r="AD112" i="3" l="1"/>
  <c r="AE112" i="3" s="1"/>
  <c r="T112" i="3"/>
  <c r="U112" i="3" s="1"/>
  <c r="O113" i="3" s="1"/>
  <c r="L628" i="3"/>
  <c r="M629" i="3"/>
  <c r="D627" i="1"/>
  <c r="C627" i="1" s="1"/>
  <c r="H626" i="1"/>
  <c r="G626" i="1"/>
  <c r="E626" i="1"/>
  <c r="F626" i="1"/>
  <c r="I625" i="1"/>
  <c r="E627" i="1" a="1"/>
  <c r="N113" i="3" l="1"/>
  <c r="I626" i="1"/>
  <c r="B113" i="3"/>
  <c r="Y113" i="3"/>
  <c r="X113" i="3"/>
  <c r="L629" i="3"/>
  <c r="M630" i="3"/>
  <c r="D628" i="1"/>
  <c r="C628" i="1" s="1"/>
  <c r="H627" i="1"/>
  <c r="F627" i="1"/>
  <c r="E627" i="1"/>
  <c r="G627" i="1"/>
  <c r="P113" i="3"/>
  <c r="E628" i="1" a="1"/>
  <c r="I627" i="1" l="1"/>
  <c r="C113" i="3"/>
  <c r="L630" i="3"/>
  <c r="M631" i="3"/>
  <c r="D629" i="1"/>
  <c r="C629" i="1" s="1"/>
  <c r="G628" i="1"/>
  <c r="H628" i="1"/>
  <c r="F628" i="1"/>
  <c r="E628" i="1"/>
  <c r="Z113" i="3"/>
  <c r="AA113" i="3"/>
  <c r="E629" i="1" a="1"/>
  <c r="L631" i="3" l="1"/>
  <c r="M632" i="3"/>
  <c r="I628" i="1"/>
  <c r="D630" i="1"/>
  <c r="C630" i="1" s="1"/>
  <c r="H629" i="1"/>
  <c r="E629" i="1"/>
  <c r="G629" i="1"/>
  <c r="I629" i="1" s="1"/>
  <c r="F629" i="1"/>
  <c r="Q113" i="3"/>
  <c r="E630" i="1" a="1"/>
  <c r="M633" i="3" l="1"/>
  <c r="L632" i="3"/>
  <c r="D631" i="1"/>
  <c r="C631" i="1" s="1"/>
  <c r="H630" i="1"/>
  <c r="E630" i="1"/>
  <c r="G630" i="1"/>
  <c r="I630" i="1" s="1"/>
  <c r="F630" i="1"/>
  <c r="AB113" i="3"/>
  <c r="R113" i="3"/>
  <c r="E631" i="1" a="1"/>
  <c r="L633" i="3" l="1"/>
  <c r="M634" i="3"/>
  <c r="D632" i="1"/>
  <c r="C632" i="1" s="1"/>
  <c r="H631" i="1"/>
  <c r="E631" i="1"/>
  <c r="G631" i="1"/>
  <c r="F631" i="1"/>
  <c r="AC113" i="3"/>
  <c r="S113" i="3"/>
  <c r="E632" i="1" a="1"/>
  <c r="I631" i="1" l="1"/>
  <c r="AD113" i="3"/>
  <c r="AE113" i="3" s="1"/>
  <c r="T113" i="3"/>
  <c r="U113" i="3" s="1"/>
  <c r="O114" i="3" s="1"/>
  <c r="L634" i="3"/>
  <c r="M635" i="3"/>
  <c r="D633" i="1"/>
  <c r="C633" i="1" s="1"/>
  <c r="H632" i="1"/>
  <c r="E632" i="1"/>
  <c r="G632" i="1"/>
  <c r="F632" i="1"/>
  <c r="E633" i="1" a="1"/>
  <c r="I632" i="1" l="1"/>
  <c r="N114" i="3"/>
  <c r="B114" i="3"/>
  <c r="Y114" i="3"/>
  <c r="X114" i="3"/>
  <c r="M636" i="3"/>
  <c r="L635" i="3"/>
  <c r="D634" i="1"/>
  <c r="C634" i="1" s="1"/>
  <c r="E633" i="1"/>
  <c r="H633" i="1"/>
  <c r="F633" i="1"/>
  <c r="G633" i="1"/>
  <c r="P114" i="3"/>
  <c r="E634" i="1" a="1"/>
  <c r="C114" i="3" l="1"/>
  <c r="L636" i="3"/>
  <c r="M637" i="3"/>
  <c r="I633" i="1"/>
  <c r="D635" i="1"/>
  <c r="C635" i="1" s="1"/>
  <c r="H634" i="1"/>
  <c r="F634" i="1"/>
  <c r="E634" i="1"/>
  <c r="G634" i="1"/>
  <c r="Z114" i="3"/>
  <c r="AA114" i="3"/>
  <c r="E635" i="1" a="1"/>
  <c r="I634" i="1" l="1"/>
  <c r="L637" i="3"/>
  <c r="M638" i="3"/>
  <c r="D636" i="1"/>
  <c r="C636" i="1" s="1"/>
  <c r="H635" i="1"/>
  <c r="F635" i="1"/>
  <c r="E635" i="1"/>
  <c r="G635" i="1"/>
  <c r="Q114" i="3"/>
  <c r="E636" i="1" a="1"/>
  <c r="I635" i="1" l="1"/>
  <c r="L638" i="3"/>
  <c r="M639" i="3"/>
  <c r="D637" i="1"/>
  <c r="C637" i="1" s="1"/>
  <c r="H636" i="1"/>
  <c r="E636" i="1"/>
  <c r="F636" i="1"/>
  <c r="G636" i="1"/>
  <c r="AB114" i="3"/>
  <c r="R114" i="3"/>
  <c r="E637" i="1" a="1"/>
  <c r="I636" i="1" l="1"/>
  <c r="L639" i="3"/>
  <c r="M640" i="3"/>
  <c r="D638" i="1"/>
  <c r="C638" i="1" s="1"/>
  <c r="H637" i="1"/>
  <c r="F637" i="1"/>
  <c r="E637" i="1"/>
  <c r="G637" i="1"/>
  <c r="AC114" i="3"/>
  <c r="S114" i="3"/>
  <c r="E638" i="1" a="1"/>
  <c r="AD114" i="3" l="1"/>
  <c r="AE114" i="3" s="1"/>
  <c r="T114" i="3"/>
  <c r="U114" i="3" s="1"/>
  <c r="O115" i="3" s="1"/>
  <c r="I637" i="1"/>
  <c r="M641" i="3"/>
  <c r="L640" i="3"/>
  <c r="D639" i="1"/>
  <c r="C639" i="1" s="1"/>
  <c r="G638" i="1"/>
  <c r="H638" i="1"/>
  <c r="F638" i="1"/>
  <c r="E638" i="1"/>
  <c r="E639" i="1" a="1"/>
  <c r="N115" i="3" l="1"/>
  <c r="B115" i="3"/>
  <c r="X115" i="3"/>
  <c r="Y115" i="3"/>
  <c r="M642" i="3"/>
  <c r="L641" i="3"/>
  <c r="D640" i="1"/>
  <c r="C640" i="1" s="1"/>
  <c r="I638" i="1"/>
  <c r="F639" i="1"/>
  <c r="G639" i="1"/>
  <c r="H639" i="1"/>
  <c r="E639" i="1"/>
  <c r="P115" i="3"/>
  <c r="E640" i="1" a="1"/>
  <c r="C115" i="3" l="1"/>
  <c r="M643" i="3"/>
  <c r="L642" i="3"/>
  <c r="D641" i="1"/>
  <c r="C641" i="1" s="1"/>
  <c r="H640" i="1"/>
  <c r="F640" i="1"/>
  <c r="E640" i="1"/>
  <c r="G640" i="1"/>
  <c r="I639" i="1"/>
  <c r="Z115" i="3"/>
  <c r="AA115" i="3"/>
  <c r="E641" i="1" a="1"/>
  <c r="I640" i="1" l="1"/>
  <c r="M644" i="3"/>
  <c r="L643" i="3"/>
  <c r="D642" i="1"/>
  <c r="C642" i="1" s="1"/>
  <c r="F641" i="1"/>
  <c r="E641" i="1"/>
  <c r="G641" i="1"/>
  <c r="H641" i="1"/>
  <c r="Q115" i="3"/>
  <c r="E642" i="1" a="1"/>
  <c r="L644" i="3" l="1"/>
  <c r="M645" i="3"/>
  <c r="D643" i="1"/>
  <c r="C643" i="1" s="1"/>
  <c r="H642" i="1"/>
  <c r="F642" i="1"/>
  <c r="E642" i="1"/>
  <c r="G642" i="1"/>
  <c r="I641" i="1"/>
  <c r="AB115" i="3"/>
  <c r="R115" i="3"/>
  <c r="E643" i="1" a="1"/>
  <c r="I642" i="1" l="1"/>
  <c r="M646" i="3"/>
  <c r="L645" i="3"/>
  <c r="D644" i="1"/>
  <c r="C644" i="1" s="1"/>
  <c r="E643" i="1"/>
  <c r="H643" i="1"/>
  <c r="F643" i="1"/>
  <c r="G643" i="1"/>
  <c r="AC115" i="3"/>
  <c r="S115" i="3"/>
  <c r="E644" i="1" a="1"/>
  <c r="AD115" i="3" l="1"/>
  <c r="AE115" i="3" s="1"/>
  <c r="T115" i="3"/>
  <c r="U115" i="3" s="1"/>
  <c r="O116" i="3" s="1"/>
  <c r="I643" i="1"/>
  <c r="M647" i="3"/>
  <c r="L646" i="3"/>
  <c r="D645" i="1"/>
  <c r="C645" i="1" s="1"/>
  <c r="E644" i="1"/>
  <c r="G644" i="1"/>
  <c r="F644" i="1"/>
  <c r="H644" i="1"/>
  <c r="E645" i="1" a="1"/>
  <c r="N116" i="3" l="1"/>
  <c r="B116" i="3"/>
  <c r="Y116" i="3"/>
  <c r="X116" i="3"/>
  <c r="M648" i="3"/>
  <c r="L647" i="3"/>
  <c r="D646" i="1"/>
  <c r="C646" i="1" s="1"/>
  <c r="G645" i="1"/>
  <c r="F645" i="1"/>
  <c r="E645" i="1"/>
  <c r="H645" i="1"/>
  <c r="I644" i="1"/>
  <c r="P116" i="3"/>
  <c r="E646" i="1" a="1"/>
  <c r="C116" i="3" l="1"/>
  <c r="L648" i="3"/>
  <c r="M649" i="3"/>
  <c r="D647" i="1"/>
  <c r="C647" i="1" s="1"/>
  <c r="G646" i="1"/>
  <c r="F646" i="1"/>
  <c r="E646" i="1"/>
  <c r="H646" i="1"/>
  <c r="I645" i="1"/>
  <c r="Z116" i="3"/>
  <c r="AA116" i="3"/>
  <c r="E647" i="1" a="1"/>
  <c r="M650" i="3" l="1"/>
  <c r="L649" i="3"/>
  <c r="D648" i="1"/>
  <c r="C648" i="1" s="1"/>
  <c r="I646" i="1"/>
  <c r="G647" i="1"/>
  <c r="H647" i="1"/>
  <c r="E647" i="1"/>
  <c r="F647" i="1"/>
  <c r="Q116" i="3"/>
  <c r="E648" i="1" a="1"/>
  <c r="M651" i="3" l="1"/>
  <c r="L650" i="3"/>
  <c r="D649" i="1"/>
  <c r="C649" i="1" s="1"/>
  <c r="G648" i="1"/>
  <c r="E648" i="1"/>
  <c r="H648" i="1"/>
  <c r="F648" i="1"/>
  <c r="I647" i="1"/>
  <c r="AB116" i="3"/>
  <c r="R116" i="3"/>
  <c r="E649" i="1" a="1"/>
  <c r="M652" i="3" l="1"/>
  <c r="L651" i="3"/>
  <c r="D650" i="1"/>
  <c r="C650" i="1" s="1"/>
  <c r="G649" i="1"/>
  <c r="E649" i="1"/>
  <c r="H649" i="1"/>
  <c r="F649" i="1"/>
  <c r="I648" i="1"/>
  <c r="AC116" i="3"/>
  <c r="S116" i="3"/>
  <c r="E650" i="1" a="1"/>
  <c r="AD116" i="3" l="1"/>
  <c r="AE116" i="3" s="1"/>
  <c r="T116" i="3"/>
  <c r="U116" i="3" s="1"/>
  <c r="O117" i="3" s="1"/>
  <c r="M653" i="3"/>
  <c r="L652" i="3"/>
  <c r="D651" i="1"/>
  <c r="C651" i="1" s="1"/>
  <c r="I649" i="1"/>
  <c r="G650" i="1"/>
  <c r="H650" i="1"/>
  <c r="F650" i="1"/>
  <c r="E650" i="1"/>
  <c r="E651" i="1" a="1"/>
  <c r="N117" i="3" l="1"/>
  <c r="B117" i="3"/>
  <c r="X117" i="3"/>
  <c r="Y117" i="3"/>
  <c r="M654" i="3"/>
  <c r="L653" i="3"/>
  <c r="D652" i="1"/>
  <c r="C652" i="1" s="1"/>
  <c r="H651" i="1"/>
  <c r="F651" i="1"/>
  <c r="E651" i="1"/>
  <c r="G651" i="1"/>
  <c r="I650" i="1"/>
  <c r="P117" i="3"/>
  <c r="E652" i="1" a="1"/>
  <c r="I651" i="1" l="1"/>
  <c r="C117" i="3"/>
  <c r="L654" i="3"/>
  <c r="M655" i="3"/>
  <c r="D653" i="1"/>
  <c r="C653" i="1" s="1"/>
  <c r="H652" i="1"/>
  <c r="G652" i="1"/>
  <c r="F652" i="1"/>
  <c r="E652" i="1"/>
  <c r="Z117" i="3"/>
  <c r="AA117" i="3"/>
  <c r="E653" i="1" a="1"/>
  <c r="I652" i="1" l="1"/>
  <c r="M656" i="3"/>
  <c r="L655" i="3"/>
  <c r="D654" i="1"/>
  <c r="C654" i="1" s="1"/>
  <c r="F653" i="1"/>
  <c r="G653" i="1"/>
  <c r="E653" i="1"/>
  <c r="H653" i="1"/>
  <c r="Q117" i="3"/>
  <c r="E654" i="1" a="1"/>
  <c r="L656" i="3" l="1"/>
  <c r="M657" i="3"/>
  <c r="D655" i="1"/>
  <c r="C655" i="1" s="1"/>
  <c r="G654" i="1"/>
  <c r="H654" i="1"/>
  <c r="E654" i="1"/>
  <c r="F654" i="1"/>
  <c r="I653" i="1"/>
  <c r="AB117" i="3"/>
  <c r="R117" i="3"/>
  <c r="E655" i="1" a="1"/>
  <c r="L657" i="3" l="1"/>
  <c r="M658" i="3"/>
  <c r="I654" i="1"/>
  <c r="D656" i="1"/>
  <c r="C656" i="1" s="1"/>
  <c r="G655" i="1"/>
  <c r="H655" i="1"/>
  <c r="F655" i="1"/>
  <c r="E655" i="1"/>
  <c r="AC117" i="3"/>
  <c r="S117" i="3"/>
  <c r="E656" i="1" a="1"/>
  <c r="AD117" i="3" l="1"/>
  <c r="AE117" i="3" s="1"/>
  <c r="T117" i="3"/>
  <c r="U117" i="3" s="1"/>
  <c r="O118" i="3" s="1"/>
  <c r="L658" i="3"/>
  <c r="M659" i="3"/>
  <c r="D657" i="1"/>
  <c r="C657" i="1" s="1"/>
  <c r="G656" i="1"/>
  <c r="F656" i="1"/>
  <c r="E656" i="1"/>
  <c r="H656" i="1"/>
  <c r="I655" i="1"/>
  <c r="E657" i="1" a="1"/>
  <c r="N118" i="3" l="1"/>
  <c r="B118" i="3"/>
  <c r="X118" i="3"/>
  <c r="Y118" i="3"/>
  <c r="M660" i="3"/>
  <c r="L659" i="3"/>
  <c r="D658" i="1"/>
  <c r="C658" i="1" s="1"/>
  <c r="I656" i="1"/>
  <c r="F657" i="1"/>
  <c r="G657" i="1"/>
  <c r="E657" i="1"/>
  <c r="H657" i="1"/>
  <c r="P118" i="3"/>
  <c r="E658" i="1" a="1"/>
  <c r="C118" i="3" l="1"/>
  <c r="L660" i="3"/>
  <c r="M661" i="3"/>
  <c r="D659" i="1"/>
  <c r="C659" i="1" s="1"/>
  <c r="G658" i="1"/>
  <c r="H658" i="1"/>
  <c r="E658" i="1"/>
  <c r="F658" i="1"/>
  <c r="I657" i="1"/>
  <c r="Z118" i="3"/>
  <c r="AA118" i="3"/>
  <c r="E659" i="1" a="1"/>
  <c r="L661" i="3" l="1"/>
  <c r="M662" i="3"/>
  <c r="D660" i="1"/>
  <c r="C660" i="1" s="1"/>
  <c r="G659" i="1"/>
  <c r="F659" i="1"/>
  <c r="H659" i="1"/>
  <c r="E659" i="1"/>
  <c r="I658" i="1"/>
  <c r="Q118" i="3"/>
  <c r="E660" i="1" a="1"/>
  <c r="M663" i="3" l="1"/>
  <c r="L662" i="3"/>
  <c r="D661" i="1"/>
  <c r="C661" i="1" s="1"/>
  <c r="F660" i="1"/>
  <c r="E660" i="1"/>
  <c r="H660" i="1"/>
  <c r="G660" i="1"/>
  <c r="I660" i="1" s="1"/>
  <c r="I659" i="1"/>
  <c r="AB118" i="3"/>
  <c r="R118" i="3"/>
  <c r="E661" i="1" a="1"/>
  <c r="M664" i="3" l="1"/>
  <c r="L663" i="3"/>
  <c r="D662" i="1"/>
  <c r="C662" i="1" s="1"/>
  <c r="G661" i="1"/>
  <c r="H661" i="1"/>
  <c r="F661" i="1"/>
  <c r="E661" i="1"/>
  <c r="AC118" i="3"/>
  <c r="S118" i="3"/>
  <c r="E662" i="1" a="1"/>
  <c r="AD118" i="3" l="1"/>
  <c r="AE118" i="3" s="1"/>
  <c r="T118" i="3"/>
  <c r="U118" i="3" s="1"/>
  <c r="O119" i="3" s="1"/>
  <c r="M665" i="3"/>
  <c r="L664" i="3"/>
  <c r="D663" i="1"/>
  <c r="C663" i="1" s="1"/>
  <c r="H662" i="1"/>
  <c r="E662" i="1"/>
  <c r="F662" i="1"/>
  <c r="G662" i="1"/>
  <c r="I661" i="1"/>
  <c r="E663" i="1" a="1"/>
  <c r="I662" i="1" l="1"/>
  <c r="N119" i="3"/>
  <c r="B119" i="3"/>
  <c r="X119" i="3"/>
  <c r="Y119" i="3"/>
  <c r="M666" i="3"/>
  <c r="L665" i="3"/>
  <c r="D664" i="1"/>
  <c r="C664" i="1" s="1"/>
  <c r="G663" i="1"/>
  <c r="F663" i="1"/>
  <c r="H663" i="1"/>
  <c r="E663" i="1"/>
  <c r="P119" i="3"/>
  <c r="E664" i="1" a="1"/>
  <c r="C119" i="3" l="1"/>
  <c r="M667" i="3"/>
  <c r="L666" i="3"/>
  <c r="D665" i="1"/>
  <c r="C665" i="1" s="1"/>
  <c r="F664" i="1"/>
  <c r="H664" i="1"/>
  <c r="G664" i="1"/>
  <c r="E664" i="1"/>
  <c r="I663" i="1"/>
  <c r="Z119" i="3"/>
  <c r="AA119" i="3"/>
  <c r="E665" i="1" a="1"/>
  <c r="I664" i="1" l="1"/>
  <c r="M668" i="3"/>
  <c r="L667" i="3"/>
  <c r="D666" i="1"/>
  <c r="C666" i="1" s="1"/>
  <c r="H665" i="1"/>
  <c r="E665" i="1"/>
  <c r="G665" i="1"/>
  <c r="F665" i="1"/>
  <c r="Q119" i="3"/>
  <c r="E666" i="1" a="1"/>
  <c r="I665" i="1" l="1"/>
  <c r="L668" i="3"/>
  <c r="M669" i="3"/>
  <c r="D667" i="1"/>
  <c r="C667" i="1" s="1"/>
  <c r="F666" i="1"/>
  <c r="H666" i="1"/>
  <c r="G666" i="1"/>
  <c r="I666" i="1" s="1"/>
  <c r="E666" i="1"/>
  <c r="AB119" i="3"/>
  <c r="R119" i="3"/>
  <c r="E667" i="1" a="1"/>
  <c r="M670" i="3" l="1"/>
  <c r="L669" i="3"/>
  <c r="D668" i="1"/>
  <c r="C668" i="1" s="1"/>
  <c r="H667" i="1"/>
  <c r="E667" i="1"/>
  <c r="F667" i="1"/>
  <c r="G667" i="1"/>
  <c r="AC119" i="3"/>
  <c r="S119" i="3"/>
  <c r="E668" i="1" a="1"/>
  <c r="I667" i="1" l="1"/>
  <c r="AD119" i="3"/>
  <c r="AE119" i="3" s="1"/>
  <c r="Y120" i="3" s="1"/>
  <c r="T119" i="3"/>
  <c r="U119" i="3" s="1"/>
  <c r="O120" i="3" s="1"/>
  <c r="L670" i="3"/>
  <c r="M671" i="3"/>
  <c r="D669" i="1"/>
  <c r="C669" i="1" s="1"/>
  <c r="H668" i="1"/>
  <c r="G668" i="1"/>
  <c r="F668" i="1"/>
  <c r="E668" i="1"/>
  <c r="P120" i="3"/>
  <c r="E669" i="1" a="1"/>
  <c r="X120" i="3" l="1"/>
  <c r="B120" i="3"/>
  <c r="N120" i="3"/>
  <c r="I668" i="1"/>
  <c r="C120" i="3"/>
  <c r="L671" i="3"/>
  <c r="M672" i="3"/>
  <c r="D670" i="1"/>
  <c r="C670" i="1" s="1"/>
  <c r="H669" i="1"/>
  <c r="G669" i="1"/>
  <c r="E669" i="1"/>
  <c r="F669" i="1"/>
  <c r="Z120" i="3"/>
  <c r="E670" i="1" a="1"/>
  <c r="I669" i="1" l="1"/>
  <c r="L672" i="3"/>
  <c r="M673" i="3"/>
  <c r="D671" i="1"/>
  <c r="C671" i="1" s="1"/>
  <c r="E670" i="1"/>
  <c r="G670" i="1"/>
  <c r="F670" i="1"/>
  <c r="H670" i="1"/>
  <c r="AA120" i="3"/>
  <c r="Q120" i="3"/>
  <c r="E671" i="1" a="1"/>
  <c r="M674" i="3" l="1"/>
  <c r="L673" i="3"/>
  <c r="D672" i="1"/>
  <c r="C672" i="1" s="1"/>
  <c r="H671" i="1"/>
  <c r="G671" i="1"/>
  <c r="F671" i="1"/>
  <c r="E671" i="1"/>
  <c r="I670" i="1"/>
  <c r="AB120" i="3"/>
  <c r="R120" i="3"/>
  <c r="E672" i="1" a="1"/>
  <c r="M675" i="3" l="1"/>
  <c r="L674" i="3"/>
  <c r="I671" i="1"/>
  <c r="D673" i="1"/>
  <c r="C673" i="1" s="1"/>
  <c r="E672" i="1"/>
  <c r="F672" i="1"/>
  <c r="H672" i="1"/>
  <c r="G672" i="1"/>
  <c r="AC120" i="3"/>
  <c r="S120" i="3"/>
  <c r="E673" i="1" a="1"/>
  <c r="AD120" i="3" l="1"/>
  <c r="AE120" i="3" s="1"/>
  <c r="T120" i="3"/>
  <c r="U120" i="3" s="1"/>
  <c r="O121" i="3" s="1"/>
  <c r="I672" i="1"/>
  <c r="L675" i="3"/>
  <c r="M676" i="3"/>
  <c r="D674" i="1"/>
  <c r="C674" i="1" s="1"/>
  <c r="H673" i="1"/>
  <c r="F673" i="1"/>
  <c r="G673" i="1"/>
  <c r="E673" i="1"/>
  <c r="E674" i="1" a="1"/>
  <c r="I673" i="1" l="1"/>
  <c r="N121" i="3"/>
  <c r="B121" i="3"/>
  <c r="X121" i="3"/>
  <c r="Y121" i="3"/>
  <c r="M677" i="3"/>
  <c r="L676" i="3"/>
  <c r="D675" i="1"/>
  <c r="C675" i="1" s="1"/>
  <c r="E674" i="1"/>
  <c r="H674" i="1"/>
  <c r="G674" i="1"/>
  <c r="F674" i="1"/>
  <c r="P121" i="3"/>
  <c r="E675" i="1" a="1"/>
  <c r="C121" i="3" l="1"/>
  <c r="M678" i="3"/>
  <c r="L677" i="3"/>
  <c r="I674" i="1"/>
  <c r="D676" i="1"/>
  <c r="C676" i="1" s="1"/>
  <c r="F675" i="1"/>
  <c r="H675" i="1"/>
  <c r="G675" i="1"/>
  <c r="E675" i="1"/>
  <c r="Z121" i="3"/>
  <c r="AA121" i="3"/>
  <c r="E676" i="1" a="1"/>
  <c r="I675" i="1" l="1"/>
  <c r="L678" i="3"/>
  <c r="M679" i="3"/>
  <c r="D677" i="1"/>
  <c r="C677" i="1" s="1"/>
  <c r="G676" i="1"/>
  <c r="F676" i="1"/>
  <c r="H676" i="1"/>
  <c r="E676" i="1"/>
  <c r="Q121" i="3"/>
  <c r="E677" i="1" a="1"/>
  <c r="L679" i="3" l="1"/>
  <c r="M680" i="3"/>
  <c r="D678" i="1"/>
  <c r="C678" i="1" s="1"/>
  <c r="H677" i="1"/>
  <c r="G677" i="1"/>
  <c r="I677" i="1" s="1"/>
  <c r="F677" i="1"/>
  <c r="E677" i="1"/>
  <c r="I676" i="1"/>
  <c r="AB121" i="3"/>
  <c r="R121" i="3"/>
  <c r="E678" i="1" a="1"/>
  <c r="L680" i="3" l="1"/>
  <c r="M681" i="3"/>
  <c r="D679" i="1"/>
  <c r="C679" i="1" s="1"/>
  <c r="H678" i="1"/>
  <c r="G678" i="1"/>
  <c r="F678" i="1"/>
  <c r="E678" i="1"/>
  <c r="AC121" i="3"/>
  <c r="S121" i="3"/>
  <c r="E679" i="1" a="1"/>
  <c r="AD121" i="3" l="1"/>
  <c r="AE121" i="3" s="1"/>
  <c r="T121" i="3"/>
  <c r="U121" i="3" s="1"/>
  <c r="O122" i="3" s="1"/>
  <c r="I678" i="1"/>
  <c r="M682" i="3"/>
  <c r="L681" i="3"/>
  <c r="D680" i="1"/>
  <c r="C680" i="1" s="1"/>
  <c r="H679" i="1"/>
  <c r="G679" i="1"/>
  <c r="F679" i="1"/>
  <c r="E679" i="1"/>
  <c r="E680" i="1" a="1"/>
  <c r="N122" i="3" l="1"/>
  <c r="B122" i="3"/>
  <c r="X122" i="3"/>
  <c r="Y122" i="3"/>
  <c r="M683" i="3"/>
  <c r="L682" i="3"/>
  <c r="D681" i="1"/>
  <c r="C681" i="1" s="1"/>
  <c r="I679" i="1"/>
  <c r="H680" i="1"/>
  <c r="F680" i="1"/>
  <c r="E680" i="1"/>
  <c r="G680" i="1"/>
  <c r="P122" i="3"/>
  <c r="E681" i="1" a="1"/>
  <c r="C122" i="3" l="1"/>
  <c r="M684" i="3"/>
  <c r="L683" i="3"/>
  <c r="I680" i="1"/>
  <c r="D682" i="1"/>
  <c r="C682" i="1" s="1"/>
  <c r="F681" i="1"/>
  <c r="H681" i="1"/>
  <c r="G681" i="1"/>
  <c r="E681" i="1"/>
  <c r="Z122" i="3"/>
  <c r="AA122" i="3"/>
  <c r="E682" i="1" a="1"/>
  <c r="I681" i="1" l="1"/>
  <c r="L684" i="3"/>
  <c r="M685" i="3"/>
  <c r="D683" i="1"/>
  <c r="C683" i="1" s="1"/>
  <c r="H682" i="1"/>
  <c r="G682" i="1"/>
  <c r="I682" i="1" s="1"/>
  <c r="F682" i="1"/>
  <c r="E682" i="1"/>
  <c r="Q122" i="3"/>
  <c r="E683" i="1" a="1"/>
  <c r="M686" i="3" l="1"/>
  <c r="L685" i="3"/>
  <c r="D684" i="1"/>
  <c r="C684" i="1" s="1"/>
  <c r="F683" i="1"/>
  <c r="E683" i="1"/>
  <c r="H683" i="1"/>
  <c r="G683" i="1"/>
  <c r="AB122" i="3"/>
  <c r="R122" i="3"/>
  <c r="E684" i="1" a="1"/>
  <c r="I683" i="1" l="1"/>
  <c r="M687" i="3"/>
  <c r="L686" i="3"/>
  <c r="D685" i="1"/>
  <c r="C685" i="1" s="1"/>
  <c r="G684" i="1"/>
  <c r="E684" i="1"/>
  <c r="F684" i="1"/>
  <c r="H684" i="1"/>
  <c r="AC122" i="3"/>
  <c r="S122" i="3"/>
  <c r="E685" i="1" a="1"/>
  <c r="AD122" i="3" l="1"/>
  <c r="AE122" i="3" s="1"/>
  <c r="T122" i="3"/>
  <c r="U122" i="3" s="1"/>
  <c r="O123" i="3" s="1"/>
  <c r="L687" i="3"/>
  <c r="M688" i="3"/>
  <c r="D686" i="1"/>
  <c r="C686" i="1" s="1"/>
  <c r="H685" i="1"/>
  <c r="G685" i="1"/>
  <c r="F685" i="1"/>
  <c r="E685" i="1"/>
  <c r="I684" i="1"/>
  <c r="E686" i="1" a="1"/>
  <c r="I685" i="1" l="1"/>
  <c r="N123" i="3"/>
  <c r="B123" i="3"/>
  <c r="X123" i="3"/>
  <c r="Y123" i="3"/>
  <c r="L688" i="3"/>
  <c r="M689" i="3"/>
  <c r="D687" i="1"/>
  <c r="C687" i="1" s="1"/>
  <c r="H686" i="1"/>
  <c r="G686" i="1"/>
  <c r="F686" i="1"/>
  <c r="E686" i="1"/>
  <c r="P123" i="3"/>
  <c r="E687" i="1" a="1"/>
  <c r="I686" i="1" l="1"/>
  <c r="C123" i="3"/>
  <c r="L689" i="3"/>
  <c r="M690" i="3"/>
  <c r="D688" i="1"/>
  <c r="C688" i="1" s="1"/>
  <c r="H687" i="1"/>
  <c r="F687" i="1"/>
  <c r="E687" i="1"/>
  <c r="G687" i="1"/>
  <c r="Z123" i="3"/>
  <c r="AA123" i="3"/>
  <c r="E688" i="1" a="1"/>
  <c r="I687" i="1" l="1"/>
  <c r="M691" i="3"/>
  <c r="L690" i="3"/>
  <c r="D689" i="1"/>
  <c r="C689" i="1" s="1"/>
  <c r="F688" i="1"/>
  <c r="E688" i="1"/>
  <c r="H688" i="1"/>
  <c r="G688" i="1"/>
  <c r="Q123" i="3"/>
  <c r="E689" i="1" a="1"/>
  <c r="I688" i="1" l="1"/>
  <c r="L691" i="3"/>
  <c r="M692" i="3"/>
  <c r="D690" i="1"/>
  <c r="C690" i="1" s="1"/>
  <c r="H689" i="1"/>
  <c r="G689" i="1"/>
  <c r="F689" i="1"/>
  <c r="E689" i="1"/>
  <c r="AB123" i="3"/>
  <c r="R123" i="3"/>
  <c r="E690" i="1" a="1"/>
  <c r="I689" i="1" l="1"/>
  <c r="M693" i="3"/>
  <c r="L692" i="3"/>
  <c r="D691" i="1"/>
  <c r="C691" i="1" s="1"/>
  <c r="H690" i="1"/>
  <c r="G690" i="1"/>
  <c r="E690" i="1"/>
  <c r="F690" i="1"/>
  <c r="AC123" i="3"/>
  <c r="S123" i="3"/>
  <c r="E691" i="1" a="1"/>
  <c r="I690" i="1" l="1"/>
  <c r="AD123" i="3"/>
  <c r="AE123" i="3" s="1"/>
  <c r="T123" i="3"/>
  <c r="U123" i="3" s="1"/>
  <c r="O124" i="3" s="1"/>
  <c r="L693" i="3"/>
  <c r="M694" i="3"/>
  <c r="D692" i="1"/>
  <c r="C692" i="1" s="1"/>
  <c r="H691" i="1"/>
  <c r="F691" i="1"/>
  <c r="G691" i="1"/>
  <c r="E691" i="1"/>
  <c r="E692" i="1" a="1"/>
  <c r="I691" i="1" l="1"/>
  <c r="N124" i="3"/>
  <c r="B124" i="3"/>
  <c r="X124" i="3"/>
  <c r="Y124" i="3"/>
  <c r="L694" i="3"/>
  <c r="M695" i="3"/>
  <c r="D693" i="1"/>
  <c r="C693" i="1" s="1"/>
  <c r="G692" i="1"/>
  <c r="F692" i="1"/>
  <c r="E692" i="1"/>
  <c r="H692" i="1"/>
  <c r="P124" i="3"/>
  <c r="E693" i="1" a="1"/>
  <c r="C124" i="3" l="1"/>
  <c r="M696" i="3"/>
  <c r="L695" i="3"/>
  <c r="D694" i="1"/>
  <c r="C694" i="1" s="1"/>
  <c r="H693" i="1"/>
  <c r="G693" i="1"/>
  <c r="F693" i="1"/>
  <c r="E693" i="1"/>
  <c r="I692" i="1"/>
  <c r="Z124" i="3"/>
  <c r="AA124" i="3"/>
  <c r="E694" i="1" a="1"/>
  <c r="I693" i="1" l="1"/>
  <c r="L696" i="3"/>
  <c r="M697" i="3"/>
  <c r="D695" i="1"/>
  <c r="C695" i="1" s="1"/>
  <c r="G694" i="1"/>
  <c r="H694" i="1"/>
  <c r="F694" i="1"/>
  <c r="E694" i="1"/>
  <c r="Q124" i="3"/>
  <c r="E695" i="1" a="1"/>
  <c r="M698" i="3" l="1"/>
  <c r="L697" i="3"/>
  <c r="D696" i="1"/>
  <c r="C696" i="1" s="1"/>
  <c r="G695" i="1"/>
  <c r="H695" i="1"/>
  <c r="E695" i="1"/>
  <c r="F695" i="1"/>
  <c r="I694" i="1"/>
  <c r="AB124" i="3"/>
  <c r="R124" i="3"/>
  <c r="E696" i="1" a="1"/>
  <c r="M699" i="3" l="1"/>
  <c r="L698" i="3"/>
  <c r="D697" i="1"/>
  <c r="C697" i="1" s="1"/>
  <c r="H696" i="1"/>
  <c r="G696" i="1"/>
  <c r="F696" i="1"/>
  <c r="E696" i="1"/>
  <c r="I695" i="1"/>
  <c r="AC124" i="3"/>
  <c r="S124" i="3"/>
  <c r="E697" i="1" a="1"/>
  <c r="I696" i="1" l="1"/>
  <c r="AD124" i="3"/>
  <c r="AE124" i="3" s="1"/>
  <c r="T124" i="3"/>
  <c r="U124" i="3" s="1"/>
  <c r="O125" i="3" s="1"/>
  <c r="L699" i="3"/>
  <c r="M700" i="3"/>
  <c r="D698" i="1"/>
  <c r="C698" i="1" s="1"/>
  <c r="H697" i="1"/>
  <c r="F697" i="1"/>
  <c r="E697" i="1"/>
  <c r="G697" i="1"/>
  <c r="E698" i="1" a="1"/>
  <c r="N125" i="3" l="1"/>
  <c r="B125" i="3"/>
  <c r="X125" i="3"/>
  <c r="Y125" i="3"/>
  <c r="L700" i="3"/>
  <c r="M701" i="3"/>
  <c r="I697" i="1"/>
  <c r="D699" i="1"/>
  <c r="C699" i="1" s="1"/>
  <c r="H698" i="1"/>
  <c r="G698" i="1"/>
  <c r="F698" i="1"/>
  <c r="E698" i="1"/>
  <c r="P125" i="3"/>
  <c r="E699" i="1" a="1"/>
  <c r="I698" i="1" l="1"/>
  <c r="C125" i="3"/>
  <c r="L701" i="3"/>
  <c r="M702" i="3"/>
  <c r="D700" i="1"/>
  <c r="C700" i="1" s="1"/>
  <c r="E699" i="1"/>
  <c r="G699" i="1"/>
  <c r="H699" i="1"/>
  <c r="F699" i="1"/>
  <c r="Z125" i="3"/>
  <c r="AA125" i="3"/>
  <c r="E700" i="1" a="1"/>
  <c r="L702" i="3" l="1"/>
  <c r="M703" i="3"/>
  <c r="I699" i="1"/>
  <c r="D701" i="1"/>
  <c r="C701" i="1" s="1"/>
  <c r="F700" i="1"/>
  <c r="E700" i="1"/>
  <c r="G700" i="1"/>
  <c r="H700" i="1"/>
  <c r="Q125" i="3"/>
  <c r="E701" i="1" a="1"/>
  <c r="M704" i="3" l="1"/>
  <c r="L703" i="3"/>
  <c r="D702" i="1"/>
  <c r="C702" i="1" s="1"/>
  <c r="G701" i="1"/>
  <c r="E701" i="1"/>
  <c r="H701" i="1"/>
  <c r="F701" i="1"/>
  <c r="I700" i="1"/>
  <c r="AB125" i="3"/>
  <c r="R125" i="3"/>
  <c r="E702" i="1" a="1"/>
  <c r="L704" i="3" l="1"/>
  <c r="M705" i="3"/>
  <c r="D703" i="1"/>
  <c r="C703" i="1" s="1"/>
  <c r="I701" i="1"/>
  <c r="F702" i="1"/>
  <c r="E702" i="1"/>
  <c r="H702" i="1"/>
  <c r="G702" i="1"/>
  <c r="AC125" i="3"/>
  <c r="S125" i="3"/>
  <c r="E703" i="1" a="1"/>
  <c r="AD125" i="3" l="1"/>
  <c r="AE125" i="3" s="1"/>
  <c r="T125" i="3"/>
  <c r="U125" i="3" s="1"/>
  <c r="O126" i="3" s="1"/>
  <c r="I702" i="1"/>
  <c r="L705" i="3"/>
  <c r="M706" i="3"/>
  <c r="D704" i="1"/>
  <c r="C704" i="1" s="1"/>
  <c r="G703" i="1"/>
  <c r="F703" i="1"/>
  <c r="E703" i="1"/>
  <c r="H703" i="1"/>
  <c r="E704" i="1" a="1"/>
  <c r="N126" i="3" l="1"/>
  <c r="B126" i="3"/>
  <c r="X126" i="3"/>
  <c r="Y126" i="3"/>
  <c r="L706" i="3"/>
  <c r="M707" i="3"/>
  <c r="D705" i="1"/>
  <c r="C705" i="1" s="1"/>
  <c r="I703" i="1"/>
  <c r="G704" i="1"/>
  <c r="E704" i="1"/>
  <c r="H704" i="1"/>
  <c r="F704" i="1"/>
  <c r="P126" i="3"/>
  <c r="E705" i="1" a="1"/>
  <c r="C126" i="3" l="1"/>
  <c r="L707" i="3"/>
  <c r="M708" i="3"/>
  <c r="D706" i="1"/>
  <c r="C706" i="1" s="1"/>
  <c r="H705" i="1"/>
  <c r="F705" i="1"/>
  <c r="G705" i="1"/>
  <c r="E705" i="1"/>
  <c r="I704" i="1"/>
  <c r="Z126" i="3"/>
  <c r="AA126" i="3"/>
  <c r="E706" i="1" a="1"/>
  <c r="I705" i="1" l="1"/>
  <c r="M709" i="3"/>
  <c r="L708" i="3"/>
  <c r="D707" i="1"/>
  <c r="C707" i="1" s="1"/>
  <c r="H706" i="1"/>
  <c r="F706" i="1"/>
  <c r="E706" i="1"/>
  <c r="G706" i="1"/>
  <c r="Q126" i="3"/>
  <c r="E707" i="1" a="1"/>
  <c r="I706" i="1" l="1"/>
  <c r="M710" i="3"/>
  <c r="L709" i="3"/>
  <c r="D708" i="1"/>
  <c r="C708" i="1" s="1"/>
  <c r="E707" i="1"/>
  <c r="H707" i="1"/>
  <c r="G707" i="1"/>
  <c r="F707" i="1"/>
  <c r="AB126" i="3"/>
  <c r="R126" i="3"/>
  <c r="E708" i="1" a="1"/>
  <c r="I707" i="1" l="1"/>
  <c r="M711" i="3"/>
  <c r="L710" i="3"/>
  <c r="D709" i="1"/>
  <c r="C709" i="1" s="1"/>
  <c r="H708" i="1"/>
  <c r="G708" i="1"/>
  <c r="F708" i="1"/>
  <c r="E708" i="1"/>
  <c r="AC126" i="3"/>
  <c r="S126" i="3"/>
  <c r="E709" i="1" a="1"/>
  <c r="AD126" i="3" l="1"/>
  <c r="AE126" i="3" s="1"/>
  <c r="T126" i="3"/>
  <c r="U126" i="3" s="1"/>
  <c r="O127" i="3" s="1"/>
  <c r="I708" i="1"/>
  <c r="M712" i="3"/>
  <c r="L711" i="3"/>
  <c r="D710" i="1"/>
  <c r="C710" i="1" s="1"/>
  <c r="H709" i="1"/>
  <c r="G709" i="1"/>
  <c r="F709" i="1"/>
  <c r="E709" i="1"/>
  <c r="E710" i="1" a="1"/>
  <c r="I709" i="1" l="1"/>
  <c r="N127" i="3"/>
  <c r="B127" i="3"/>
  <c r="X127" i="3"/>
  <c r="Y127" i="3"/>
  <c r="M713" i="3"/>
  <c r="L712" i="3"/>
  <c r="D711" i="1"/>
  <c r="C711" i="1" s="1"/>
  <c r="E710" i="1"/>
  <c r="H710" i="1"/>
  <c r="G710" i="1"/>
  <c r="F710" i="1"/>
  <c r="P127" i="3"/>
  <c r="E711" i="1" a="1"/>
  <c r="I710" i="1" l="1"/>
  <c r="C127" i="3"/>
  <c r="L713" i="3"/>
  <c r="M714" i="3"/>
  <c r="D712" i="1"/>
  <c r="C712" i="1" s="1"/>
  <c r="E711" i="1"/>
  <c r="H711" i="1"/>
  <c r="G711" i="1"/>
  <c r="F711" i="1"/>
  <c r="Z127" i="3"/>
  <c r="AA127" i="3"/>
  <c r="E712" i="1" a="1"/>
  <c r="I711" i="1" l="1"/>
  <c r="M715" i="3"/>
  <c r="L714" i="3"/>
  <c r="D713" i="1"/>
  <c r="C713" i="1" s="1"/>
  <c r="G712" i="1"/>
  <c r="H712" i="1"/>
  <c r="F712" i="1"/>
  <c r="E712" i="1"/>
  <c r="Q127" i="3"/>
  <c r="E713" i="1" a="1"/>
  <c r="L715" i="3" l="1"/>
  <c r="M716" i="3"/>
  <c r="D714" i="1"/>
  <c r="C714" i="1" s="1"/>
  <c r="E713" i="1"/>
  <c r="G713" i="1"/>
  <c r="F713" i="1"/>
  <c r="H713" i="1"/>
  <c r="I712" i="1"/>
  <c r="AB127" i="3"/>
  <c r="R127" i="3"/>
  <c r="E714" i="1" a="1"/>
  <c r="M717" i="3" l="1"/>
  <c r="L716" i="3"/>
  <c r="D715" i="1"/>
  <c r="C715" i="1" s="1"/>
  <c r="G714" i="1"/>
  <c r="H714" i="1"/>
  <c r="E714" i="1"/>
  <c r="F714" i="1"/>
  <c r="I713" i="1"/>
  <c r="AC127" i="3"/>
  <c r="S127" i="3"/>
  <c r="E715" i="1" a="1"/>
  <c r="AD127" i="3" l="1"/>
  <c r="AE127" i="3" s="1"/>
  <c r="T127" i="3"/>
  <c r="U127" i="3" s="1"/>
  <c r="O128" i="3" s="1"/>
  <c r="M718" i="3"/>
  <c r="L717" i="3"/>
  <c r="D716" i="1"/>
  <c r="C716" i="1" s="1"/>
  <c r="I714" i="1"/>
  <c r="E715" i="1"/>
  <c r="H715" i="1"/>
  <c r="G715" i="1"/>
  <c r="F715" i="1"/>
  <c r="E716" i="1" a="1"/>
  <c r="N128" i="3" l="1"/>
  <c r="B128" i="3"/>
  <c r="X128" i="3"/>
  <c r="Y128" i="3"/>
  <c r="M719" i="3"/>
  <c r="L718" i="3"/>
  <c r="I715" i="1"/>
  <c r="D717" i="1"/>
  <c r="C717" i="1" s="1"/>
  <c r="F716" i="1"/>
  <c r="E716" i="1"/>
  <c r="H716" i="1"/>
  <c r="G716" i="1"/>
  <c r="I716" i="1" s="1"/>
  <c r="P128" i="3"/>
  <c r="E717" i="1" a="1"/>
  <c r="C128" i="3" l="1"/>
  <c r="L719" i="3"/>
  <c r="M720" i="3"/>
  <c r="D718" i="1"/>
  <c r="C718" i="1" s="1"/>
  <c r="G717" i="1"/>
  <c r="E717" i="1"/>
  <c r="H717" i="1"/>
  <c r="F717" i="1"/>
  <c r="Z128" i="3"/>
  <c r="AA128" i="3"/>
  <c r="E718" i="1" a="1"/>
  <c r="L720" i="3" l="1"/>
  <c r="M721" i="3"/>
  <c r="D719" i="1"/>
  <c r="C719" i="1" s="1"/>
  <c r="H718" i="1"/>
  <c r="G718" i="1"/>
  <c r="F718" i="1"/>
  <c r="E718" i="1"/>
  <c r="I717" i="1"/>
  <c r="Q128" i="3"/>
  <c r="E719" i="1" a="1"/>
  <c r="M722" i="3" l="1"/>
  <c r="L721" i="3"/>
  <c r="I718" i="1"/>
  <c r="D720" i="1"/>
  <c r="C720" i="1" s="1"/>
  <c r="H719" i="1"/>
  <c r="G719" i="1"/>
  <c r="E719" i="1"/>
  <c r="F719" i="1"/>
  <c r="AB128" i="3"/>
  <c r="R128" i="3"/>
  <c r="E720" i="1" a="1"/>
  <c r="L722" i="3" l="1"/>
  <c r="M723" i="3"/>
  <c r="D721" i="1"/>
  <c r="C721" i="1" s="1"/>
  <c r="F720" i="1"/>
  <c r="H720" i="1"/>
  <c r="G720" i="1"/>
  <c r="I720" i="1" s="1"/>
  <c r="E720" i="1"/>
  <c r="I719" i="1"/>
  <c r="AC128" i="3"/>
  <c r="S128" i="3"/>
  <c r="E721" i="1" a="1"/>
  <c r="AD128" i="3" l="1"/>
  <c r="AE128" i="3" s="1"/>
  <c r="T128" i="3"/>
  <c r="U128" i="3" s="1"/>
  <c r="O129" i="3" s="1"/>
  <c r="L723" i="3"/>
  <c r="M724" i="3"/>
  <c r="D722" i="1"/>
  <c r="C722" i="1" s="1"/>
  <c r="E721" i="1"/>
  <c r="F721" i="1"/>
  <c r="H721" i="1"/>
  <c r="G721" i="1"/>
  <c r="E722" i="1" a="1"/>
  <c r="I721" i="1" l="1"/>
  <c r="N129" i="3"/>
  <c r="B129" i="3"/>
  <c r="X129" i="3"/>
  <c r="Y129" i="3"/>
  <c r="L724" i="3"/>
  <c r="M725" i="3"/>
  <c r="D723" i="1"/>
  <c r="C723" i="1" s="1"/>
  <c r="H722" i="1"/>
  <c r="G722" i="1"/>
  <c r="F722" i="1"/>
  <c r="E722" i="1"/>
  <c r="P129" i="3"/>
  <c r="E723" i="1" a="1"/>
  <c r="I722" i="1" l="1"/>
  <c r="C129" i="3"/>
  <c r="M726" i="3"/>
  <c r="L725" i="3"/>
  <c r="D724" i="1"/>
  <c r="C724" i="1" s="1"/>
  <c r="H723" i="1"/>
  <c r="G723" i="1"/>
  <c r="I723" i="1" s="1"/>
  <c r="E723" i="1"/>
  <c r="F723" i="1"/>
  <c r="Z129" i="3"/>
  <c r="AA129" i="3"/>
  <c r="E724" i="1" a="1"/>
  <c r="M727" i="3" l="1"/>
  <c r="L726" i="3"/>
  <c r="D725" i="1"/>
  <c r="C725" i="1" s="1"/>
  <c r="H724" i="1"/>
  <c r="F724" i="1"/>
  <c r="E724" i="1"/>
  <c r="G724" i="1"/>
  <c r="Q129" i="3"/>
  <c r="E725" i="1" a="1"/>
  <c r="I724" i="1" l="1"/>
  <c r="L727" i="3"/>
  <c r="M728" i="3"/>
  <c r="L728" i="3" s="1"/>
  <c r="D726" i="1"/>
  <c r="C726" i="1" s="1"/>
  <c r="H725" i="1"/>
  <c r="G725" i="1"/>
  <c r="F725" i="1"/>
  <c r="E725" i="1"/>
  <c r="AB129" i="3"/>
  <c r="R129" i="3"/>
  <c r="E726" i="1" a="1"/>
  <c r="I725" i="1" l="1"/>
  <c r="D727" i="1"/>
  <c r="C727" i="1" s="1"/>
  <c r="G726" i="1"/>
  <c r="F726" i="1"/>
  <c r="H726" i="1"/>
  <c r="E726" i="1"/>
  <c r="AC129" i="3"/>
  <c r="S129" i="3"/>
  <c r="E727" i="1" a="1"/>
  <c r="AD129" i="3" l="1"/>
  <c r="AE129" i="3" s="1"/>
  <c r="T129" i="3"/>
  <c r="U129" i="3" s="1"/>
  <c r="O130" i="3" s="1"/>
  <c r="D728" i="1"/>
  <c r="C728" i="1" s="1"/>
  <c r="H727" i="1"/>
  <c r="G727" i="1"/>
  <c r="F727" i="1"/>
  <c r="E727" i="1"/>
  <c r="I726" i="1"/>
  <c r="E728" i="1" a="1"/>
  <c r="N130" i="3" l="1"/>
  <c r="I727" i="1"/>
  <c r="B130" i="3"/>
  <c r="X130" i="3"/>
  <c r="Y130" i="3"/>
  <c r="D729" i="1"/>
  <c r="G728" i="1"/>
  <c r="F728" i="1"/>
  <c r="H728" i="1"/>
  <c r="E728" i="1"/>
  <c r="P130" i="3"/>
  <c r="E729" i="1" a="1"/>
  <c r="C729" i="1" l="1"/>
  <c r="D730" i="1"/>
  <c r="C130" i="3"/>
  <c r="E729" i="1"/>
  <c r="H729" i="1"/>
  <c r="G729" i="1"/>
  <c r="F729" i="1"/>
  <c r="I728" i="1"/>
  <c r="E730" i="1" a="1"/>
  <c r="Z130" i="3"/>
  <c r="AA130" i="3"/>
  <c r="Q130" i="3"/>
  <c r="R130" i="3"/>
  <c r="AB130" i="3"/>
  <c r="S130" i="3" s="1"/>
  <c r="AC130" i="3"/>
  <c r="E730" i="1" l="1"/>
  <c r="H730" i="1"/>
  <c r="G730" i="1"/>
  <c r="I730" i="1" s="1"/>
  <c r="F730" i="1"/>
  <c r="I729" i="1"/>
  <c r="C730" i="1"/>
  <c r="T130" i="3"/>
  <c r="U130" i="3" s="1"/>
  <c r="O131" i="3" s="1"/>
  <c r="AD130" i="3"/>
  <c r="X131" i="3" s="1"/>
  <c r="N131" i="3"/>
  <c r="AE130" i="3" l="1"/>
  <c r="Y131" i="3" s="1"/>
  <c r="C131" i="3" s="1"/>
  <c r="B131" i="3"/>
  <c r="Z131" i="3"/>
  <c r="P131" i="3"/>
  <c r="Q131" i="3" s="1"/>
  <c r="AA131" i="3"/>
  <c r="R131" i="3"/>
  <c r="AB131" i="3"/>
  <c r="S131" i="3" s="1"/>
  <c r="AC131" i="3"/>
  <c r="T131" i="3" l="1"/>
  <c r="AD131" i="3"/>
  <c r="AE131" i="3" s="1"/>
  <c r="Y132" i="3" s="1"/>
  <c r="X132" i="3" l="1"/>
  <c r="U131" i="3"/>
  <c r="O132" i="3" s="1"/>
  <c r="N132" i="3"/>
  <c r="C132" i="3"/>
  <c r="Z132" i="3"/>
  <c r="P132" i="3"/>
  <c r="Q132" i="3" s="1"/>
  <c r="AA132" i="3"/>
  <c r="R132" i="3"/>
  <c r="B132" i="3" l="1"/>
  <c r="AB132" i="3"/>
  <c r="S132" i="3" s="1"/>
  <c r="AC132" i="3"/>
  <c r="T132" i="3" l="1"/>
  <c r="AD132" i="3"/>
  <c r="X133" i="3" s="1"/>
  <c r="AE132" i="3" l="1"/>
  <c r="Y133" i="3" s="1"/>
  <c r="C133" i="3" s="1"/>
  <c r="N133" i="3"/>
  <c r="U132" i="3"/>
  <c r="O133" i="3" s="1"/>
  <c r="P133" i="3"/>
  <c r="Z133" i="3"/>
  <c r="Q133" i="3"/>
  <c r="AA133" i="3"/>
  <c r="R133" i="3"/>
  <c r="B133" i="3" l="1"/>
  <c r="AB133" i="3"/>
  <c r="S133" i="3" s="1"/>
  <c r="AC133" i="3"/>
  <c r="T133" i="3" l="1"/>
  <c r="AD133" i="3"/>
  <c r="X134" i="3" s="1"/>
  <c r="AE133" i="3" l="1"/>
  <c r="Y134" i="3" s="1"/>
  <c r="C134" i="3" s="1"/>
  <c r="U133" i="3"/>
  <c r="O134" i="3" s="1"/>
  <c r="N134" i="3"/>
  <c r="P134" i="3"/>
  <c r="Z134" i="3"/>
  <c r="Q134" i="3"/>
  <c r="AA134" i="3"/>
  <c r="R134" i="3"/>
  <c r="B134" i="3" l="1"/>
  <c r="AB134" i="3"/>
  <c r="S134" i="3" s="1"/>
  <c r="AC134" i="3"/>
  <c r="T134" i="3" l="1"/>
  <c r="AD134" i="3"/>
  <c r="X135" i="3" s="1"/>
  <c r="N135" i="3" l="1"/>
  <c r="U134" i="3"/>
  <c r="O135" i="3" s="1"/>
  <c r="AE134" i="3"/>
  <c r="Y135" i="3" s="1"/>
  <c r="C135" i="3" s="1"/>
  <c r="Z135" i="3"/>
  <c r="P135" i="3"/>
  <c r="Q135" i="3" s="1"/>
  <c r="AA135" i="3"/>
  <c r="R135" i="3"/>
  <c r="B135" i="3" l="1"/>
  <c r="AB135" i="3"/>
  <c r="S135" i="3" s="1"/>
  <c r="AC135" i="3"/>
  <c r="T135" i="3" l="1"/>
  <c r="AD135" i="3"/>
  <c r="X136" i="3" s="1"/>
  <c r="AE135" i="3" l="1"/>
  <c r="Y136" i="3" s="1"/>
  <c r="C136" i="3" s="1"/>
  <c r="N136" i="3"/>
  <c r="U135" i="3"/>
  <c r="O136" i="3" s="1"/>
  <c r="P136" i="3"/>
  <c r="Z136" i="3"/>
  <c r="Q136" i="3" s="1"/>
  <c r="AA136" i="3"/>
  <c r="R136" i="3"/>
  <c r="B136" i="3" l="1"/>
  <c r="AB136" i="3"/>
  <c r="S136" i="3" s="1"/>
  <c r="AC136" i="3"/>
  <c r="T136" i="3" l="1"/>
  <c r="N137" i="3" s="1"/>
  <c r="AD136" i="3"/>
  <c r="X137" i="3" s="1"/>
  <c r="U136" i="3"/>
  <c r="O137" i="3" s="1"/>
  <c r="AE136" i="3" l="1"/>
  <c r="Y137" i="3" s="1"/>
  <c r="C137" i="3" s="1"/>
  <c r="B137" i="3"/>
  <c r="P137" i="3"/>
  <c r="Z137" i="3"/>
  <c r="Q137" i="3" s="1"/>
  <c r="AA137" i="3"/>
  <c r="R137" i="3"/>
  <c r="AB137" i="3"/>
  <c r="S137" i="3" s="1"/>
  <c r="AC137" i="3"/>
  <c r="T137" i="3" l="1"/>
  <c r="N138" i="3" s="1"/>
  <c r="AD137" i="3"/>
  <c r="X138" i="3" s="1"/>
  <c r="U137" i="3" l="1"/>
  <c r="O138" i="3" s="1"/>
  <c r="AE137" i="3"/>
  <c r="Y138" i="3" s="1"/>
  <c r="C138" i="3" s="1"/>
  <c r="Z138" i="3"/>
  <c r="P138" i="3"/>
  <c r="Q138" i="3" s="1"/>
  <c r="AA138" i="3"/>
  <c r="R138" i="3"/>
  <c r="AB138" i="3"/>
  <c r="S138" i="3" s="1"/>
  <c r="AC138" i="3"/>
  <c r="B138" i="3" l="1"/>
  <c r="T138" i="3"/>
  <c r="N139" i="3" s="1"/>
  <c r="AD138" i="3"/>
  <c r="X139" i="3" s="1"/>
  <c r="U138" i="3"/>
  <c r="O139" i="3" s="1"/>
  <c r="AE138" i="3" l="1"/>
  <c r="Y139" i="3" s="1"/>
  <c r="C139" i="3" s="1"/>
  <c r="B139" i="3"/>
  <c r="Z139" i="3"/>
  <c r="P139" i="3"/>
  <c r="Q139" i="3" s="1"/>
  <c r="AA139" i="3"/>
  <c r="R139" i="3"/>
  <c r="AB139" i="3"/>
  <c r="S139" i="3" s="1"/>
  <c r="AC139" i="3"/>
  <c r="T139" i="3" l="1"/>
  <c r="AD139" i="3"/>
  <c r="X140" i="3" s="1"/>
  <c r="AE139" i="3" l="1"/>
  <c r="Y140" i="3" s="1"/>
  <c r="C140" i="3" s="1"/>
  <c r="N140" i="3"/>
  <c r="U139" i="3"/>
  <c r="O140" i="3" s="1"/>
  <c r="Z140" i="3"/>
  <c r="P140" i="3"/>
  <c r="Q140" i="3" s="1"/>
  <c r="AA140" i="3"/>
  <c r="R140" i="3"/>
  <c r="B140" i="3" l="1"/>
  <c r="AB140" i="3"/>
  <c r="S140" i="3" s="1"/>
  <c r="AC140" i="3"/>
  <c r="T140" i="3" l="1"/>
  <c r="N141" i="3" s="1"/>
  <c r="AD140" i="3"/>
  <c r="X141" i="3" s="1"/>
  <c r="U140" i="3" l="1"/>
  <c r="O141" i="3" s="1"/>
  <c r="B141" i="3" s="1"/>
  <c r="AE140" i="3"/>
  <c r="Y141" i="3" s="1"/>
  <c r="C141" i="3" s="1"/>
  <c r="Z141" i="3"/>
  <c r="P141" i="3"/>
  <c r="Q141" i="3" s="1"/>
  <c r="AA141" i="3"/>
  <c r="R141" i="3"/>
  <c r="AB141" i="3"/>
  <c r="S141" i="3" s="1"/>
  <c r="AC141" i="3"/>
  <c r="T141" i="3" l="1"/>
  <c r="AD141" i="3"/>
  <c r="X142" i="3" s="1"/>
  <c r="AE141" i="3" l="1"/>
  <c r="Y142" i="3" s="1"/>
  <c r="U141" i="3"/>
  <c r="O142" i="3" s="1"/>
  <c r="N142" i="3"/>
  <c r="C142" i="3"/>
  <c r="Z142" i="3"/>
  <c r="P142" i="3"/>
  <c r="Q142" i="3" s="1"/>
  <c r="AA142" i="3"/>
  <c r="R142" i="3"/>
  <c r="B142" i="3" l="1"/>
  <c r="AB142" i="3"/>
  <c r="S142" i="3" s="1"/>
  <c r="AC142" i="3"/>
  <c r="T142" i="3" l="1"/>
  <c r="AD142" i="3"/>
  <c r="X143" i="3" s="1"/>
  <c r="N143" i="3" l="1"/>
  <c r="U142" i="3"/>
  <c r="O143" i="3" s="1"/>
  <c r="AE142" i="3"/>
  <c r="Y143" i="3" s="1"/>
  <c r="C143" i="3" s="1"/>
  <c r="P143" i="3"/>
  <c r="Z143" i="3"/>
  <c r="Q143" i="3" s="1"/>
  <c r="AA143" i="3"/>
  <c r="R143" i="3"/>
  <c r="B143" i="3" l="1"/>
  <c r="AB143" i="3"/>
  <c r="S143" i="3" s="1"/>
  <c r="AC143" i="3"/>
  <c r="T143" i="3" l="1"/>
  <c r="AD143" i="3"/>
  <c r="X144" i="3" s="1"/>
  <c r="AE143" i="3" l="1"/>
  <c r="Y144" i="3" s="1"/>
  <c r="C144" i="3" s="1"/>
  <c r="N144" i="3"/>
  <c r="U143" i="3"/>
  <c r="O144" i="3" s="1"/>
  <c r="P144" i="3"/>
  <c r="Z144" i="3"/>
  <c r="Q144" i="3" s="1"/>
  <c r="AA144" i="3"/>
  <c r="R144" i="3"/>
  <c r="B144" i="3" l="1"/>
  <c r="AB144" i="3"/>
  <c r="S144" i="3" s="1"/>
  <c r="AC144" i="3"/>
  <c r="T144" i="3" l="1"/>
  <c r="AD144" i="3"/>
  <c r="X145" i="3" s="1"/>
  <c r="AE144" i="3" l="1"/>
  <c r="Y145" i="3" s="1"/>
  <c r="N145" i="3"/>
  <c r="U144" i="3"/>
  <c r="O145" i="3" s="1"/>
  <c r="C145" i="3"/>
  <c r="P145" i="3"/>
  <c r="Z145" i="3"/>
  <c r="Q145" i="3"/>
  <c r="AA145" i="3"/>
  <c r="R145" i="3"/>
  <c r="B145" i="3" l="1"/>
  <c r="AB145" i="3"/>
  <c r="S145" i="3" s="1"/>
  <c r="AC145" i="3"/>
  <c r="T145" i="3" l="1"/>
  <c r="AD145" i="3"/>
  <c r="X146" i="3" s="1"/>
  <c r="AE145" i="3" l="1"/>
  <c r="Y146" i="3" s="1"/>
  <c r="N146" i="3"/>
  <c r="U145" i="3"/>
  <c r="O146" i="3" s="1"/>
  <c r="C146" i="3"/>
  <c r="Z146" i="3"/>
  <c r="P146" i="3"/>
  <c r="Q146" i="3" s="1"/>
  <c r="AA146" i="3"/>
  <c r="R146" i="3"/>
  <c r="B146" i="3" l="1"/>
  <c r="AB146" i="3"/>
  <c r="S146" i="3" s="1"/>
  <c r="AC146" i="3"/>
  <c r="T146" i="3" l="1"/>
  <c r="AD146" i="3"/>
  <c r="X147" i="3" s="1"/>
  <c r="AE146" i="3" l="1"/>
  <c r="Y147" i="3" s="1"/>
  <c r="C147" i="3" s="1"/>
  <c r="N147" i="3"/>
  <c r="U146" i="3"/>
  <c r="O147" i="3" s="1"/>
  <c r="Z147" i="3"/>
  <c r="P147" i="3"/>
  <c r="Q147" i="3" s="1"/>
  <c r="AA147" i="3"/>
  <c r="R147" i="3"/>
  <c r="B147" i="3" l="1"/>
  <c r="AB147" i="3"/>
  <c r="S147" i="3" s="1"/>
  <c r="AC147" i="3"/>
  <c r="T147" i="3" l="1"/>
  <c r="AD147" i="3"/>
  <c r="X148" i="3" s="1"/>
  <c r="AE147" i="3" l="1"/>
  <c r="Y148" i="3" s="1"/>
  <c r="C148" i="3" s="1"/>
  <c r="N148" i="3"/>
  <c r="U147" i="3"/>
  <c r="O148" i="3" s="1"/>
  <c r="Z148" i="3"/>
  <c r="P148" i="3"/>
  <c r="Q148" i="3" s="1"/>
  <c r="AA148" i="3"/>
  <c r="R148" i="3"/>
  <c r="B148" i="3" l="1"/>
  <c r="AB148" i="3"/>
  <c r="S148" i="3" s="1"/>
  <c r="AC148" i="3"/>
  <c r="T148" i="3" l="1"/>
  <c r="AD148" i="3"/>
  <c r="X149" i="3" s="1"/>
  <c r="AE148" i="3" l="1"/>
  <c r="Y149" i="3" s="1"/>
  <c r="C149" i="3" s="1"/>
  <c r="N149" i="3"/>
  <c r="U148" i="3"/>
  <c r="O149" i="3" s="1"/>
  <c r="Z149" i="3"/>
  <c r="P149" i="3"/>
  <c r="Q149" i="3" s="1"/>
  <c r="AA149" i="3"/>
  <c r="R149" i="3"/>
  <c r="B149" i="3" l="1"/>
  <c r="AB149" i="3"/>
  <c r="S149" i="3" s="1"/>
  <c r="AC149" i="3"/>
  <c r="T149" i="3" l="1"/>
  <c r="N150" i="3" s="1"/>
  <c r="AD149" i="3"/>
  <c r="X150" i="3" s="1"/>
  <c r="U149" i="3" l="1"/>
  <c r="O150" i="3" s="1"/>
  <c r="B150" i="3" s="1"/>
  <c r="AE149" i="3"/>
  <c r="Y150" i="3" s="1"/>
  <c r="C150" i="3" s="1"/>
  <c r="Z150" i="3"/>
  <c r="P150" i="3"/>
  <c r="Q150" i="3" s="1"/>
  <c r="AA150" i="3"/>
  <c r="R150" i="3"/>
  <c r="AB150" i="3"/>
  <c r="S150" i="3" s="1"/>
  <c r="AC150" i="3"/>
  <c r="T150" i="3" l="1"/>
  <c r="AD150" i="3"/>
  <c r="X151" i="3" s="1"/>
  <c r="AE150" i="3" l="1"/>
  <c r="Y151" i="3" s="1"/>
  <c r="C151" i="3" s="1"/>
  <c r="N151" i="3"/>
  <c r="U150" i="3"/>
  <c r="O151" i="3" s="1"/>
  <c r="Z151" i="3"/>
  <c r="P151" i="3"/>
  <c r="Q151" i="3" s="1"/>
  <c r="AA151" i="3"/>
  <c r="R151" i="3"/>
  <c r="B151" i="3" l="1"/>
  <c r="AB151" i="3"/>
  <c r="S151" i="3" s="1"/>
  <c r="AC151" i="3"/>
  <c r="T151" i="3" l="1"/>
  <c r="AD151" i="3"/>
  <c r="X152" i="3" s="1"/>
  <c r="AE151" i="3" l="1"/>
  <c r="Y152" i="3" s="1"/>
  <c r="N152" i="3"/>
  <c r="U151" i="3"/>
  <c r="O152" i="3" s="1"/>
  <c r="C152" i="3"/>
  <c r="P152" i="3"/>
  <c r="Z152" i="3"/>
  <c r="Q152" i="3" s="1"/>
  <c r="AA152" i="3"/>
  <c r="R152" i="3"/>
  <c r="B152" i="3" l="1"/>
  <c r="AB152" i="3"/>
  <c r="S152" i="3" s="1"/>
  <c r="AC152" i="3"/>
  <c r="T152" i="3" l="1"/>
  <c r="N153" i="3" s="1"/>
  <c r="AD152" i="3"/>
  <c r="X153" i="3" s="1"/>
  <c r="U152" i="3" l="1"/>
  <c r="O153" i="3" s="1"/>
  <c r="B153" i="3" s="1"/>
  <c r="AE152" i="3"/>
  <c r="Y153" i="3" s="1"/>
  <c r="Z153" i="3"/>
  <c r="P153" i="3"/>
  <c r="Q153" i="3" s="1"/>
  <c r="AA153" i="3"/>
  <c r="R153" i="3"/>
  <c r="C153" i="3" l="1"/>
  <c r="AB153" i="3"/>
  <c r="S153" i="3" s="1"/>
  <c r="AC153" i="3"/>
  <c r="T153" i="3" l="1"/>
  <c r="AD153" i="3"/>
  <c r="X154" i="3" s="1"/>
  <c r="AE153" i="3" l="1"/>
  <c r="Y154" i="3" s="1"/>
  <c r="C154" i="3" s="1"/>
  <c r="U153" i="3"/>
  <c r="O154" i="3" s="1"/>
  <c r="N154" i="3"/>
  <c r="P154" i="3"/>
  <c r="Z154" i="3"/>
  <c r="Q154" i="3" s="1"/>
  <c r="AA154" i="3"/>
  <c r="R154" i="3"/>
  <c r="B154" i="3" l="1"/>
  <c r="AB154" i="3"/>
  <c r="S154" i="3" s="1"/>
  <c r="AC154" i="3"/>
  <c r="T154" i="3" l="1"/>
  <c r="N155" i="3" s="1"/>
  <c r="AD154" i="3"/>
  <c r="X155" i="3" s="1"/>
  <c r="AE154" i="3"/>
  <c r="Y155" i="3" s="1"/>
  <c r="U154" i="3" l="1"/>
  <c r="O155" i="3" s="1"/>
  <c r="B155" i="3"/>
  <c r="C155" i="3"/>
  <c r="Z155" i="3"/>
  <c r="P155" i="3"/>
  <c r="Q155" i="3" s="1"/>
  <c r="AA155" i="3"/>
  <c r="R155" i="3"/>
  <c r="AB155" i="3"/>
  <c r="S155" i="3" s="1"/>
  <c r="AC155" i="3"/>
  <c r="T155" i="3" l="1"/>
  <c r="AD155" i="3"/>
  <c r="X156" i="3" s="1"/>
  <c r="AE155" i="3" l="1"/>
  <c r="Y156" i="3" s="1"/>
  <c r="N156" i="3"/>
  <c r="U155" i="3"/>
  <c r="O156" i="3" s="1"/>
  <c r="C156" i="3"/>
  <c r="P156" i="3"/>
  <c r="Z156" i="3"/>
  <c r="Q156" i="3" s="1"/>
  <c r="AA156" i="3"/>
  <c r="R156" i="3"/>
  <c r="B156" i="3" l="1"/>
  <c r="AB156" i="3"/>
  <c r="S156" i="3" s="1"/>
  <c r="AC156" i="3"/>
  <c r="T156" i="3" l="1"/>
  <c r="N157" i="3" s="1"/>
  <c r="AD156" i="3"/>
  <c r="X157" i="3" s="1"/>
  <c r="U156" i="3" l="1"/>
  <c r="O157" i="3" s="1"/>
  <c r="B157" i="3" s="1"/>
  <c r="AE156" i="3"/>
  <c r="Y157" i="3" s="1"/>
  <c r="C157" i="3" s="1"/>
  <c r="Z157" i="3"/>
  <c r="P157" i="3"/>
  <c r="Q157" i="3" s="1"/>
  <c r="AA157" i="3"/>
  <c r="R157" i="3"/>
  <c r="AB157" i="3"/>
  <c r="S157" i="3" s="1"/>
  <c r="AC157" i="3"/>
  <c r="T157" i="3" l="1"/>
  <c r="AD157" i="3"/>
  <c r="X158" i="3" s="1"/>
  <c r="AE157" i="3" l="1"/>
  <c r="Y158" i="3" s="1"/>
  <c r="N158" i="3"/>
  <c r="U157" i="3"/>
  <c r="O158" i="3" s="1"/>
  <c r="C158" i="3"/>
  <c r="Z158" i="3"/>
  <c r="P158" i="3"/>
  <c r="Q158" i="3" s="1"/>
  <c r="AA158" i="3"/>
  <c r="R158" i="3"/>
  <c r="B158" i="3" l="1"/>
  <c r="AB158" i="3"/>
  <c r="S158" i="3" s="1"/>
  <c r="AC158" i="3"/>
  <c r="T158" i="3" l="1"/>
  <c r="AD158" i="3"/>
  <c r="X159" i="3" s="1"/>
  <c r="AE158" i="3" l="1"/>
  <c r="Y159" i="3" s="1"/>
  <c r="N159" i="3"/>
  <c r="U158" i="3"/>
  <c r="O159" i="3" s="1"/>
  <c r="C159" i="3"/>
  <c r="Z159" i="3"/>
  <c r="P159" i="3"/>
  <c r="Q159" i="3" s="1"/>
  <c r="AA159" i="3"/>
  <c r="R159" i="3"/>
  <c r="B159" i="3" l="1"/>
  <c r="AB159" i="3"/>
  <c r="S159" i="3" s="1"/>
  <c r="AC159" i="3"/>
  <c r="T159" i="3" l="1"/>
  <c r="N160" i="3" s="1"/>
  <c r="AD159" i="3"/>
  <c r="X160" i="3" s="1"/>
  <c r="U159" i="3"/>
  <c r="O160" i="3" s="1"/>
  <c r="AE159" i="3" l="1"/>
  <c r="Y160" i="3" s="1"/>
  <c r="C160" i="3" s="1"/>
  <c r="B160" i="3"/>
  <c r="P160" i="3"/>
  <c r="Z160" i="3"/>
  <c r="Q160" i="3" s="1"/>
  <c r="AA160" i="3"/>
  <c r="R160" i="3"/>
  <c r="AB160" i="3"/>
  <c r="S160" i="3" s="1"/>
  <c r="AC160" i="3"/>
  <c r="T160" i="3" l="1"/>
  <c r="AD160" i="3"/>
  <c r="X161" i="3" s="1"/>
  <c r="AE160" i="3" l="1"/>
  <c r="Y161" i="3" s="1"/>
  <c r="C161" i="3" s="1"/>
  <c r="N161" i="3"/>
  <c r="U160" i="3"/>
  <c r="O161" i="3" s="1"/>
  <c r="Z161" i="3"/>
  <c r="P161" i="3"/>
  <c r="Q161" i="3" s="1"/>
  <c r="AA161" i="3"/>
  <c r="R161" i="3"/>
  <c r="B161" i="3" l="1"/>
  <c r="AB161" i="3"/>
  <c r="S161" i="3" s="1"/>
  <c r="AC161" i="3"/>
  <c r="T161" i="3" l="1"/>
  <c r="AD161" i="3"/>
  <c r="X162" i="3" s="1"/>
  <c r="AE161" i="3" l="1"/>
  <c r="Y162" i="3" s="1"/>
  <c r="C162" i="3" s="1"/>
  <c r="N162" i="3"/>
  <c r="U161" i="3"/>
  <c r="O162" i="3" s="1"/>
  <c r="Z162" i="3"/>
  <c r="P162" i="3"/>
  <c r="Q162" i="3" s="1"/>
  <c r="AA162" i="3"/>
  <c r="R162" i="3"/>
  <c r="B162" i="3" l="1"/>
  <c r="AB162" i="3"/>
  <c r="S162" i="3" s="1"/>
  <c r="AC162" i="3"/>
  <c r="T162" i="3" l="1"/>
  <c r="AD162" i="3"/>
  <c r="X163" i="3" s="1"/>
  <c r="AE162" i="3" l="1"/>
  <c r="Y163" i="3" s="1"/>
  <c r="C163" i="3" s="1"/>
  <c r="U162" i="3"/>
  <c r="O163" i="3" s="1"/>
  <c r="N163" i="3"/>
  <c r="Z163" i="3"/>
  <c r="P163" i="3"/>
  <c r="Q163" i="3" s="1"/>
  <c r="AA163" i="3"/>
  <c r="R163" i="3"/>
  <c r="B163" i="3" l="1"/>
  <c r="AB163" i="3"/>
  <c r="S163" i="3" s="1"/>
  <c r="AC163" i="3"/>
  <c r="T163" i="3" l="1"/>
  <c r="AD163" i="3"/>
  <c r="X164" i="3" s="1"/>
  <c r="AE163" i="3" l="1"/>
  <c r="Y164" i="3" s="1"/>
  <c r="C164" i="3" s="1"/>
  <c r="N164" i="3"/>
  <c r="U163" i="3"/>
  <c r="O164" i="3" s="1"/>
  <c r="P164" i="3"/>
  <c r="Z164" i="3"/>
  <c r="Q164" i="3" s="1"/>
  <c r="AA164" i="3"/>
  <c r="R164" i="3"/>
  <c r="B164" i="3" l="1"/>
  <c r="AB164" i="3"/>
  <c r="S164" i="3" s="1"/>
  <c r="AC164" i="3"/>
  <c r="T164" i="3" l="1"/>
  <c r="N165" i="3" s="1"/>
  <c r="AD164" i="3"/>
  <c r="X165" i="3" s="1"/>
  <c r="AE164" i="3" l="1"/>
  <c r="Y165" i="3" s="1"/>
  <c r="C165" i="3" s="1"/>
  <c r="U164" i="3"/>
  <c r="O165" i="3" s="1"/>
  <c r="Z165" i="3"/>
  <c r="P165" i="3"/>
  <c r="Q165" i="3"/>
  <c r="AA165" i="3"/>
  <c r="R165" i="3"/>
  <c r="B165" i="3" l="1"/>
  <c r="AB165" i="3"/>
  <c r="S165" i="3" s="1"/>
  <c r="AC165" i="3"/>
  <c r="T165" i="3" l="1"/>
  <c r="AD165" i="3"/>
  <c r="X166" i="3" s="1"/>
  <c r="AE165" i="3" l="1"/>
  <c r="Y166" i="3" s="1"/>
  <c r="C166" i="3" s="1"/>
  <c r="N166" i="3"/>
  <c r="U165" i="3"/>
  <c r="O166" i="3" s="1"/>
  <c r="P166" i="3"/>
  <c r="Z166" i="3"/>
  <c r="Q166" i="3"/>
  <c r="AA166" i="3"/>
  <c r="R166" i="3"/>
  <c r="B166" i="3" l="1"/>
  <c r="AB166" i="3"/>
  <c r="S166" i="3" s="1"/>
  <c r="AC166" i="3"/>
  <c r="T166" i="3" l="1"/>
  <c r="AD166" i="3"/>
  <c r="X167" i="3" s="1"/>
  <c r="AE166" i="3" l="1"/>
  <c r="Y167" i="3" s="1"/>
  <c r="C167" i="3" s="1"/>
  <c r="U166" i="3"/>
  <c r="O167" i="3" s="1"/>
  <c r="N167" i="3"/>
  <c r="P167" i="3"/>
  <c r="Z167" i="3"/>
  <c r="Q167" i="3"/>
  <c r="AA167" i="3"/>
  <c r="R167" i="3"/>
  <c r="B167" i="3" l="1"/>
  <c r="AB167" i="3"/>
  <c r="S167" i="3" s="1"/>
  <c r="AC167" i="3"/>
  <c r="T167" i="3" l="1"/>
  <c r="AD167" i="3"/>
  <c r="X168" i="3" s="1"/>
  <c r="AE167" i="3" l="1"/>
  <c r="Y168" i="3" s="1"/>
  <c r="C168" i="3" s="1"/>
  <c r="N168" i="3"/>
  <c r="U167" i="3"/>
  <c r="O168" i="3" s="1"/>
  <c r="P168" i="3"/>
  <c r="Z168" i="3"/>
  <c r="Q168" i="3" s="1"/>
  <c r="AA168" i="3"/>
  <c r="R168" i="3"/>
  <c r="B168" i="3" l="1"/>
  <c r="AB168" i="3"/>
  <c r="S168" i="3" s="1"/>
  <c r="AC168" i="3"/>
  <c r="T168" i="3" l="1"/>
  <c r="AD168" i="3"/>
  <c r="X169" i="3" s="1"/>
  <c r="AE168" i="3" l="1"/>
  <c r="Y169" i="3" s="1"/>
  <c r="N169" i="3"/>
  <c r="U168" i="3"/>
  <c r="O169" i="3" s="1"/>
  <c r="C169" i="3"/>
  <c r="Z169" i="3"/>
  <c r="P169" i="3"/>
  <c r="Q169" i="3"/>
  <c r="AA169" i="3"/>
  <c r="R169" i="3"/>
  <c r="B169" i="3" l="1"/>
  <c r="AB169" i="3"/>
  <c r="S169" i="3" s="1"/>
  <c r="AC169" i="3"/>
  <c r="T169" i="3" l="1"/>
  <c r="AD169" i="3"/>
  <c r="X170" i="3" s="1"/>
  <c r="AE169" i="3" l="1"/>
  <c r="Y170" i="3" s="1"/>
  <c r="C170" i="3" s="1"/>
  <c r="N170" i="3"/>
  <c r="U169" i="3"/>
  <c r="O170" i="3" s="1"/>
  <c r="Z170" i="3"/>
  <c r="P170" i="3"/>
  <c r="Q170" i="3" s="1"/>
  <c r="AA170" i="3"/>
  <c r="R170" i="3"/>
  <c r="B170" i="3" l="1"/>
  <c r="AB170" i="3"/>
  <c r="S170" i="3" s="1"/>
  <c r="AC170" i="3"/>
  <c r="T170" i="3" l="1"/>
  <c r="N171" i="3" s="1"/>
  <c r="AD170" i="3"/>
  <c r="X171" i="3" s="1"/>
  <c r="U170" i="3" l="1"/>
  <c r="O171" i="3" s="1"/>
  <c r="AE170" i="3"/>
  <c r="Y171" i="3" s="1"/>
  <c r="C171" i="3" s="1"/>
  <c r="B171" i="3"/>
  <c r="Z171" i="3"/>
  <c r="P171" i="3"/>
  <c r="Q171" i="3" s="1"/>
  <c r="AA171" i="3"/>
  <c r="R171" i="3"/>
  <c r="AB171" i="3"/>
  <c r="S171" i="3" s="1"/>
  <c r="AC171" i="3"/>
  <c r="T171" i="3" l="1"/>
  <c r="AD171" i="3"/>
  <c r="X172" i="3" s="1"/>
  <c r="AE171" i="3" l="1"/>
  <c r="Y172" i="3" s="1"/>
  <c r="C172" i="3" s="1"/>
  <c r="N172" i="3"/>
  <c r="U171" i="3"/>
  <c r="O172" i="3" s="1"/>
  <c r="Z172" i="3"/>
  <c r="P172" i="3"/>
  <c r="Q172" i="3" s="1"/>
  <c r="AA172" i="3"/>
  <c r="R172" i="3"/>
  <c r="B172" i="3" l="1"/>
  <c r="AB172" i="3"/>
  <c r="S172" i="3" s="1"/>
  <c r="AC172" i="3"/>
  <c r="T172" i="3" l="1"/>
  <c r="AD172" i="3"/>
  <c r="X173" i="3" s="1"/>
  <c r="AE172" i="3" l="1"/>
  <c r="Y173" i="3" s="1"/>
  <c r="C173" i="3" s="1"/>
  <c r="N173" i="3"/>
  <c r="U172" i="3"/>
  <c r="O173" i="3" s="1"/>
  <c r="P173" i="3"/>
  <c r="Z173" i="3"/>
  <c r="Q173" i="3" s="1"/>
  <c r="AA173" i="3"/>
  <c r="R173" i="3"/>
  <c r="B173" i="3" l="1"/>
  <c r="AB173" i="3"/>
  <c r="S173" i="3" s="1"/>
  <c r="AC173" i="3"/>
  <c r="T173" i="3" l="1"/>
  <c r="AD173" i="3"/>
  <c r="X174" i="3" s="1"/>
  <c r="AE173" i="3" l="1"/>
  <c r="Y174" i="3" s="1"/>
  <c r="C174" i="3" s="1"/>
  <c r="N174" i="3"/>
  <c r="U173" i="3"/>
  <c r="O174" i="3" s="1"/>
  <c r="Z174" i="3"/>
  <c r="P174" i="3"/>
  <c r="Q174" i="3"/>
  <c r="AA174" i="3"/>
  <c r="R174" i="3"/>
  <c r="B174" i="3" l="1"/>
  <c r="AB174" i="3"/>
  <c r="S174" i="3" s="1"/>
  <c r="AC174" i="3"/>
  <c r="T174" i="3" l="1"/>
  <c r="U174" i="3" s="1"/>
  <c r="O175" i="3" s="1"/>
  <c r="B175" i="3" s="1"/>
  <c r="AD174" i="3"/>
  <c r="AE174" i="3" s="1"/>
  <c r="Y175" i="3" s="1"/>
  <c r="Z175" i="3"/>
  <c r="P175" i="3"/>
  <c r="X175" i="3" l="1"/>
  <c r="N175" i="3"/>
  <c r="C175" i="3"/>
  <c r="Q175" i="3"/>
  <c r="AA175" i="3"/>
  <c r="R175" i="3"/>
  <c r="AB175" i="3"/>
  <c r="S175" i="3" s="1"/>
  <c r="AC175" i="3"/>
  <c r="T175" i="3" l="1"/>
  <c r="AD175" i="3"/>
  <c r="X176" i="3" s="1"/>
  <c r="AE175" i="3" l="1"/>
  <c r="Y176" i="3" s="1"/>
  <c r="C176" i="3" s="1"/>
  <c r="N176" i="3"/>
  <c r="U175" i="3"/>
  <c r="O176" i="3" s="1"/>
  <c r="P176" i="3"/>
  <c r="Z176" i="3"/>
  <c r="Q176" i="3"/>
  <c r="AA176" i="3"/>
  <c r="R176" i="3"/>
  <c r="B176" i="3" l="1"/>
  <c r="AB176" i="3"/>
  <c r="S176" i="3" s="1"/>
  <c r="AC176" i="3"/>
  <c r="T176" i="3" l="1"/>
  <c r="AD176" i="3"/>
  <c r="X177" i="3" s="1"/>
  <c r="AE176" i="3" l="1"/>
  <c r="Y177" i="3" s="1"/>
  <c r="N177" i="3"/>
  <c r="U176" i="3"/>
  <c r="O177" i="3" s="1"/>
  <c r="C177" i="3"/>
  <c r="P177" i="3"/>
  <c r="Z177" i="3"/>
  <c r="Q177" i="3"/>
  <c r="AA177" i="3"/>
  <c r="R177" i="3"/>
  <c r="B177" i="3" l="1"/>
  <c r="AB177" i="3"/>
  <c r="S177" i="3" s="1"/>
  <c r="AC177" i="3"/>
  <c r="T177" i="3" l="1"/>
  <c r="AD177" i="3"/>
  <c r="X178" i="3" s="1"/>
  <c r="AE177" i="3" l="1"/>
  <c r="Y178" i="3" s="1"/>
  <c r="C178" i="3" s="1"/>
  <c r="N178" i="3"/>
  <c r="U177" i="3"/>
  <c r="O178" i="3" s="1"/>
  <c r="Z178" i="3"/>
  <c r="P178" i="3"/>
  <c r="Q178" i="3"/>
  <c r="AA178" i="3"/>
  <c r="R178" i="3"/>
  <c r="B178" i="3" l="1"/>
  <c r="AB178" i="3"/>
  <c r="S178" i="3" s="1"/>
  <c r="AC178" i="3"/>
  <c r="T178" i="3" l="1"/>
  <c r="AD178" i="3"/>
  <c r="X179" i="3" s="1"/>
  <c r="AE178" i="3" l="1"/>
  <c r="Y179" i="3" s="1"/>
  <c r="C179" i="3" s="1"/>
  <c r="N179" i="3"/>
  <c r="U178" i="3"/>
  <c r="O179" i="3" s="1"/>
  <c r="P179" i="3"/>
  <c r="Z179" i="3"/>
  <c r="Q179" i="3" s="1"/>
  <c r="AA179" i="3"/>
  <c r="R179" i="3"/>
  <c r="B179" i="3" l="1"/>
  <c r="AB179" i="3"/>
  <c r="S179" i="3" s="1"/>
  <c r="AC179" i="3"/>
  <c r="T179" i="3" l="1"/>
  <c r="AD179" i="3"/>
  <c r="X180" i="3" s="1"/>
  <c r="AE179" i="3"/>
  <c r="Y180" i="3" s="1"/>
  <c r="N180" i="3" l="1"/>
  <c r="U179" i="3"/>
  <c r="O180" i="3" s="1"/>
  <c r="C180" i="3"/>
  <c r="Z180" i="3"/>
  <c r="P180" i="3"/>
  <c r="Q180" i="3" s="1"/>
  <c r="AA180" i="3"/>
  <c r="R180" i="3"/>
  <c r="B180" i="3" l="1"/>
  <c r="AB180" i="3"/>
  <c r="S180" i="3" s="1"/>
  <c r="AC180" i="3"/>
  <c r="T180" i="3" l="1"/>
  <c r="AD180" i="3"/>
  <c r="X181" i="3" s="1"/>
  <c r="AE180" i="3" l="1"/>
  <c r="Y181" i="3" s="1"/>
  <c r="C181" i="3" s="1"/>
  <c r="N181" i="3"/>
  <c r="U180" i="3"/>
  <c r="O181" i="3" s="1"/>
  <c r="Z181" i="3"/>
  <c r="P181" i="3"/>
  <c r="Q181" i="3" s="1"/>
  <c r="AA181" i="3"/>
  <c r="R181" i="3"/>
  <c r="B181" i="3" l="1"/>
  <c r="AB181" i="3"/>
  <c r="S181" i="3" s="1"/>
  <c r="AC181" i="3"/>
  <c r="T181" i="3" l="1"/>
  <c r="AD181" i="3"/>
  <c r="AE181" i="3" s="1"/>
  <c r="Y182" i="3" s="1"/>
  <c r="X182" i="3" l="1"/>
  <c r="N182" i="3"/>
  <c r="U181" i="3"/>
  <c r="O182" i="3" s="1"/>
  <c r="C182" i="3"/>
  <c r="Z182" i="3"/>
  <c r="P182" i="3"/>
  <c r="Q182" i="3" s="1"/>
  <c r="AA182" i="3"/>
  <c r="R182" i="3"/>
  <c r="B182" i="3" l="1"/>
  <c r="AB182" i="3"/>
  <c r="S182" i="3" s="1"/>
  <c r="AC182" i="3"/>
  <c r="T182" i="3" l="1"/>
  <c r="AD182" i="3"/>
  <c r="X183" i="3" s="1"/>
  <c r="AE182" i="3" l="1"/>
  <c r="Y183" i="3" s="1"/>
  <c r="C183" i="3" s="1"/>
  <c r="N183" i="3"/>
  <c r="U182" i="3"/>
  <c r="O183" i="3" s="1"/>
  <c r="P183" i="3"/>
  <c r="Z183" i="3"/>
  <c r="Q183" i="3" s="1"/>
  <c r="AA183" i="3"/>
  <c r="R183" i="3"/>
  <c r="B183" i="3" l="1"/>
  <c r="AB183" i="3"/>
  <c r="S183" i="3" s="1"/>
  <c r="AC183" i="3"/>
  <c r="T183" i="3" l="1"/>
  <c r="N184" i="3" s="1"/>
  <c r="AD183" i="3"/>
  <c r="X184" i="3" s="1"/>
  <c r="AE183" i="3" l="1"/>
  <c r="Y184" i="3" s="1"/>
  <c r="C184" i="3" s="1"/>
  <c r="U183" i="3"/>
  <c r="O184" i="3" s="1"/>
  <c r="Z184" i="3"/>
  <c r="P184" i="3"/>
  <c r="Q184" i="3" s="1"/>
  <c r="AA184" i="3"/>
  <c r="R184" i="3"/>
  <c r="B184" i="3" l="1"/>
  <c r="AB184" i="3"/>
  <c r="S184" i="3" s="1"/>
  <c r="AC184" i="3"/>
  <c r="T184" i="3" l="1"/>
  <c r="AD184" i="3"/>
  <c r="X185" i="3" s="1"/>
  <c r="AE184" i="3" l="1"/>
  <c r="Y185" i="3" s="1"/>
  <c r="C185" i="3" s="1"/>
  <c r="N185" i="3"/>
  <c r="U184" i="3"/>
  <c r="O185" i="3" s="1"/>
  <c r="Z185" i="3"/>
  <c r="P185" i="3"/>
  <c r="Q185" i="3" s="1"/>
  <c r="AA185" i="3"/>
  <c r="R185" i="3"/>
  <c r="B185" i="3" l="1"/>
  <c r="AB185" i="3"/>
  <c r="S185" i="3" s="1"/>
  <c r="AC185" i="3"/>
  <c r="T185" i="3" l="1"/>
  <c r="AD185" i="3"/>
  <c r="X186" i="3" s="1"/>
  <c r="AE185" i="3" l="1"/>
  <c r="Y186" i="3" s="1"/>
  <c r="C186" i="3" s="1"/>
  <c r="N186" i="3"/>
  <c r="U185" i="3"/>
  <c r="O186" i="3" s="1"/>
  <c r="P186" i="3"/>
  <c r="Z186" i="3"/>
  <c r="Q186" i="3"/>
  <c r="AA186" i="3"/>
  <c r="R186" i="3"/>
  <c r="B186" i="3" l="1"/>
  <c r="AB186" i="3"/>
  <c r="S186" i="3" s="1"/>
  <c r="AC186" i="3"/>
  <c r="T186" i="3" l="1"/>
  <c r="AD186" i="3"/>
  <c r="X187" i="3" s="1"/>
  <c r="N187" i="3" l="1"/>
  <c r="U186" i="3"/>
  <c r="O187" i="3" s="1"/>
  <c r="AE186" i="3"/>
  <c r="Y187" i="3" s="1"/>
  <c r="C187" i="3" s="1"/>
  <c r="P187" i="3"/>
  <c r="Z187" i="3"/>
  <c r="Q187" i="3" s="1"/>
  <c r="AA187" i="3"/>
  <c r="R187" i="3"/>
  <c r="B187" i="3" l="1"/>
  <c r="AB187" i="3"/>
  <c r="S187" i="3" s="1"/>
  <c r="AC187" i="3"/>
  <c r="T187" i="3" l="1"/>
  <c r="AD187" i="3"/>
  <c r="X188" i="3" s="1"/>
  <c r="N188" i="3" l="1"/>
  <c r="U187" i="3"/>
  <c r="O188" i="3" s="1"/>
  <c r="AE187" i="3"/>
  <c r="Y188" i="3" s="1"/>
  <c r="C188" i="3" s="1"/>
  <c r="Z188" i="3"/>
  <c r="P188" i="3"/>
  <c r="Q188" i="3" s="1"/>
  <c r="AA188" i="3"/>
  <c r="R188" i="3"/>
  <c r="B188" i="3" l="1"/>
  <c r="AB188" i="3"/>
  <c r="S188" i="3" s="1"/>
  <c r="AC188" i="3"/>
  <c r="T188" i="3" l="1"/>
  <c r="N189" i="3" s="1"/>
  <c r="AD188" i="3"/>
  <c r="X189" i="3" s="1"/>
  <c r="AE188" i="3" l="1"/>
  <c r="Y189" i="3" s="1"/>
  <c r="C189" i="3" s="1"/>
  <c r="U188" i="3"/>
  <c r="O189" i="3" s="1"/>
  <c r="B189" i="3" s="1"/>
  <c r="P189" i="3"/>
  <c r="Z189" i="3"/>
  <c r="Q189" i="3" s="1"/>
  <c r="AA189" i="3"/>
  <c r="R189" i="3"/>
  <c r="AB189" i="3"/>
  <c r="AC189" i="3"/>
  <c r="S189" i="3"/>
  <c r="T189" i="3" l="1"/>
  <c r="N190" i="3" s="1"/>
  <c r="AD189" i="3"/>
  <c r="X190" i="3" s="1"/>
  <c r="U189" i="3" l="1"/>
  <c r="O190" i="3" s="1"/>
  <c r="B190" i="3" s="1"/>
  <c r="AE189" i="3"/>
  <c r="Y190" i="3" s="1"/>
  <c r="C190" i="3" s="1"/>
  <c r="P190" i="3"/>
  <c r="Z190" i="3"/>
  <c r="Q190" i="3" s="1"/>
  <c r="AA190" i="3"/>
  <c r="R190" i="3"/>
  <c r="AB190" i="3"/>
  <c r="S190" i="3" s="1"/>
  <c r="AC190" i="3"/>
  <c r="T190" i="3" l="1"/>
  <c r="AD190" i="3"/>
  <c r="X191" i="3" s="1"/>
  <c r="AE190" i="3" l="1"/>
  <c r="Y191" i="3" s="1"/>
  <c r="C191" i="3" s="1"/>
  <c r="N191" i="3"/>
  <c r="U190" i="3"/>
  <c r="O191" i="3" s="1"/>
  <c r="P191" i="3"/>
  <c r="Z191" i="3"/>
  <c r="Q191" i="3" s="1"/>
  <c r="AA191" i="3"/>
  <c r="R191" i="3"/>
  <c r="B191" i="3" l="1"/>
  <c r="AB191" i="3"/>
  <c r="S191" i="3" s="1"/>
  <c r="AC191" i="3"/>
  <c r="T191" i="3" l="1"/>
  <c r="U191" i="3" s="1"/>
  <c r="O192" i="3" s="1"/>
  <c r="B192" i="3" s="1"/>
  <c r="AD191" i="3"/>
  <c r="X192" i="3" s="1"/>
  <c r="AE191" i="3"/>
  <c r="Y192" i="3" s="1"/>
  <c r="Z192" i="3"/>
  <c r="P192" i="3"/>
  <c r="N192" i="3" l="1"/>
  <c r="C192" i="3"/>
  <c r="Q192" i="3"/>
  <c r="AA192" i="3"/>
  <c r="R192" i="3"/>
  <c r="AB192" i="3"/>
  <c r="S192" i="3" s="1"/>
  <c r="AC192" i="3"/>
  <c r="T192" i="3" l="1"/>
  <c r="AD192" i="3"/>
  <c r="X193" i="3" s="1"/>
  <c r="AE192" i="3" l="1"/>
  <c r="Y193" i="3" s="1"/>
  <c r="C193" i="3" s="1"/>
  <c r="N193" i="3"/>
  <c r="U192" i="3"/>
  <c r="O193" i="3" s="1"/>
  <c r="Z193" i="3"/>
  <c r="P193" i="3"/>
  <c r="Q193" i="3" s="1"/>
  <c r="AA193" i="3"/>
  <c r="R193" i="3"/>
  <c r="B193" i="3" l="1"/>
  <c r="AB193" i="3"/>
  <c r="S193" i="3" s="1"/>
  <c r="AC193" i="3"/>
  <c r="T193" i="3" l="1"/>
  <c r="AD193" i="3"/>
  <c r="X194" i="3" s="1"/>
  <c r="AE193" i="3" l="1"/>
  <c r="Y194" i="3" s="1"/>
  <c r="C194" i="3" s="1"/>
  <c r="N194" i="3"/>
  <c r="U193" i="3"/>
  <c r="O194" i="3" s="1"/>
  <c r="Z194" i="3"/>
  <c r="P194" i="3"/>
  <c r="Q194" i="3" s="1"/>
  <c r="AA194" i="3"/>
  <c r="R194" i="3"/>
  <c r="B194" i="3" l="1"/>
  <c r="AB194" i="3"/>
  <c r="S194" i="3" s="1"/>
  <c r="AC194" i="3"/>
  <c r="T194" i="3" l="1"/>
  <c r="N195" i="3" s="1"/>
  <c r="AD194" i="3"/>
  <c r="X195" i="3" s="1"/>
  <c r="U194" i="3" l="1"/>
  <c r="O195" i="3" s="1"/>
  <c r="B195" i="3" s="1"/>
  <c r="AE194" i="3"/>
  <c r="Y195" i="3" s="1"/>
  <c r="C195" i="3" s="1"/>
  <c r="P195" i="3"/>
  <c r="Z195" i="3"/>
  <c r="Q195" i="3" s="1"/>
  <c r="AA195" i="3"/>
  <c r="R195" i="3"/>
  <c r="AB195" i="3"/>
  <c r="S195" i="3" s="1"/>
  <c r="AC195" i="3"/>
  <c r="T195" i="3" l="1"/>
  <c r="AD195" i="3"/>
  <c r="X196" i="3" s="1"/>
  <c r="AE195" i="3" l="1"/>
  <c r="Y196" i="3" s="1"/>
  <c r="C196" i="3" s="1"/>
  <c r="N196" i="3"/>
  <c r="U195" i="3"/>
  <c r="O196" i="3" s="1"/>
  <c r="Z196" i="3"/>
  <c r="P196" i="3"/>
  <c r="Q196" i="3" s="1"/>
  <c r="AA196" i="3"/>
  <c r="R196" i="3"/>
  <c r="B196" i="3" l="1"/>
  <c r="AB196" i="3"/>
  <c r="S196" i="3" s="1"/>
  <c r="AC196" i="3"/>
  <c r="T196" i="3" l="1"/>
  <c r="AD196" i="3"/>
  <c r="X197" i="3" s="1"/>
  <c r="N197" i="3" l="1"/>
  <c r="U196" i="3"/>
  <c r="O197" i="3" s="1"/>
  <c r="AE196" i="3"/>
  <c r="Y197" i="3" s="1"/>
  <c r="C197" i="3" s="1"/>
  <c r="P197" i="3"/>
  <c r="Z197" i="3"/>
  <c r="Q197" i="3" s="1"/>
  <c r="AA197" i="3"/>
  <c r="R197" i="3"/>
  <c r="B197" i="3" l="1"/>
  <c r="AB197" i="3"/>
  <c r="S197" i="3" s="1"/>
  <c r="AC197" i="3"/>
  <c r="T197" i="3" l="1"/>
  <c r="AD197" i="3"/>
  <c r="X198" i="3" s="1"/>
  <c r="AE197" i="3" l="1"/>
  <c r="Y198" i="3" s="1"/>
  <c r="N198" i="3"/>
  <c r="U197" i="3"/>
  <c r="O198" i="3" s="1"/>
  <c r="C198" i="3"/>
  <c r="Z198" i="3"/>
  <c r="P198" i="3"/>
  <c r="Q198" i="3" s="1"/>
  <c r="AA198" i="3"/>
  <c r="R198" i="3"/>
  <c r="B198" i="3" l="1"/>
  <c r="AB198" i="3"/>
  <c r="S198" i="3" s="1"/>
  <c r="AC198" i="3"/>
  <c r="T198" i="3" l="1"/>
  <c r="U198" i="3" s="1"/>
  <c r="O199" i="3" s="1"/>
  <c r="B199" i="3" s="1"/>
  <c r="AD198" i="3"/>
  <c r="X199" i="3" s="1"/>
  <c r="AE198" i="3" l="1"/>
  <c r="Y199" i="3" s="1"/>
  <c r="C199" i="3" s="1"/>
  <c r="N199" i="3"/>
  <c r="Z199" i="3"/>
  <c r="P199" i="3"/>
  <c r="Q199" i="3"/>
  <c r="AA199" i="3"/>
  <c r="R199" i="3"/>
  <c r="AB199" i="3"/>
  <c r="S199" i="3" s="1"/>
  <c r="AC199" i="3"/>
  <c r="T199" i="3" l="1"/>
  <c r="AD199" i="3"/>
  <c r="X200" i="3" s="1"/>
  <c r="AE199" i="3" l="1"/>
  <c r="Y200" i="3" s="1"/>
  <c r="C200" i="3" s="1"/>
  <c r="N200" i="3"/>
  <c r="U199" i="3"/>
  <c r="O200" i="3" s="1"/>
  <c r="Z200" i="3"/>
  <c r="P200" i="3"/>
  <c r="Q200" i="3" s="1"/>
  <c r="AA200" i="3"/>
  <c r="R200" i="3"/>
  <c r="B200" i="3" l="1"/>
  <c r="AB200" i="3"/>
  <c r="S200" i="3" s="1"/>
  <c r="AC200" i="3"/>
  <c r="T200" i="3" l="1"/>
  <c r="N201" i="3" s="1"/>
  <c r="AD200" i="3"/>
  <c r="X201" i="3" s="1"/>
  <c r="U200" i="3" l="1"/>
  <c r="O201" i="3" s="1"/>
  <c r="AE200" i="3"/>
  <c r="Y201" i="3" s="1"/>
  <c r="C201" i="3" s="1"/>
  <c r="B201" i="3"/>
  <c r="P201" i="3"/>
  <c r="Z201" i="3"/>
  <c r="Q201" i="3" s="1"/>
  <c r="AA201" i="3"/>
  <c r="R201" i="3"/>
  <c r="AB201" i="3"/>
  <c r="S201" i="3" s="1"/>
  <c r="AC201" i="3"/>
  <c r="T201" i="3" l="1"/>
  <c r="AD201" i="3"/>
  <c r="X202" i="3" s="1"/>
  <c r="AE201" i="3" l="1"/>
  <c r="Y202" i="3" s="1"/>
  <c r="C202" i="3" s="1"/>
  <c r="N202" i="3"/>
  <c r="U201" i="3"/>
  <c r="O202" i="3" s="1"/>
  <c r="P202" i="3"/>
  <c r="Z202" i="3"/>
  <c r="Q202" i="3" s="1"/>
  <c r="AA202" i="3"/>
  <c r="R202" i="3"/>
  <c r="B202" i="3" l="1"/>
  <c r="AB202" i="3"/>
  <c r="S202" i="3" s="1"/>
  <c r="AC202" i="3"/>
  <c r="T202" i="3" l="1"/>
  <c r="AD202" i="3"/>
  <c r="X203" i="3" s="1"/>
  <c r="N203" i="3" l="1"/>
  <c r="U202" i="3"/>
  <c r="O203" i="3" s="1"/>
  <c r="AE202" i="3"/>
  <c r="Y203" i="3" s="1"/>
  <c r="C203" i="3" s="1"/>
  <c r="P203" i="3"/>
  <c r="Z203" i="3"/>
  <c r="Q203" i="3" s="1"/>
  <c r="AA203" i="3"/>
  <c r="R203" i="3"/>
  <c r="B203" i="3" l="1"/>
  <c r="AB203" i="3"/>
  <c r="S203" i="3" s="1"/>
  <c r="AC203" i="3"/>
  <c r="T203" i="3" l="1"/>
  <c r="AD203" i="3"/>
  <c r="X204" i="3" s="1"/>
  <c r="AE203" i="3" l="1"/>
  <c r="Y204" i="3" s="1"/>
  <c r="C204" i="3" s="1"/>
  <c r="U203" i="3"/>
  <c r="O204" i="3" s="1"/>
  <c r="N204" i="3"/>
  <c r="P204" i="3"/>
  <c r="Z204" i="3"/>
  <c r="Q204" i="3" s="1"/>
  <c r="AA204" i="3"/>
  <c r="R204" i="3"/>
  <c r="B204" i="3" l="1"/>
  <c r="AB204" i="3"/>
  <c r="S204" i="3" s="1"/>
  <c r="AC204" i="3"/>
  <c r="T204" i="3" l="1"/>
  <c r="N205" i="3" s="1"/>
  <c r="AD204" i="3"/>
  <c r="X205" i="3" s="1"/>
  <c r="U204" i="3" l="1"/>
  <c r="O205" i="3" s="1"/>
  <c r="B205" i="3" s="1"/>
  <c r="AE204" i="3"/>
  <c r="Y205" i="3" s="1"/>
  <c r="C205" i="3" s="1"/>
  <c r="Z205" i="3"/>
  <c r="P205" i="3"/>
  <c r="Q205" i="3"/>
  <c r="AA205" i="3"/>
  <c r="R205" i="3"/>
  <c r="AB205" i="3"/>
  <c r="S205" i="3" s="1"/>
  <c r="AC205" i="3"/>
  <c r="T205" i="3" l="1"/>
  <c r="AD205" i="3"/>
  <c r="X206" i="3" s="1"/>
  <c r="AE205" i="3" l="1"/>
  <c r="Y206" i="3" s="1"/>
  <c r="N206" i="3"/>
  <c r="U205" i="3"/>
  <c r="O206" i="3" s="1"/>
  <c r="C206" i="3"/>
  <c r="Z206" i="3"/>
  <c r="P206" i="3"/>
  <c r="Q206" i="3" s="1"/>
  <c r="AA206" i="3"/>
  <c r="R206" i="3"/>
  <c r="B206" i="3" l="1"/>
  <c r="AB206" i="3"/>
  <c r="S206" i="3" s="1"/>
  <c r="AC206" i="3"/>
  <c r="T206" i="3" l="1"/>
  <c r="AD206" i="3"/>
  <c r="X207" i="3" s="1"/>
  <c r="AE206" i="3" l="1"/>
  <c r="Y207" i="3" s="1"/>
  <c r="C207" i="3" s="1"/>
  <c r="N207" i="3"/>
  <c r="U206" i="3"/>
  <c r="O207" i="3" s="1"/>
  <c r="Z207" i="3"/>
  <c r="P207" i="3"/>
  <c r="Q207" i="3"/>
  <c r="AA207" i="3"/>
  <c r="R207" i="3"/>
  <c r="B207" i="3" l="1"/>
  <c r="AB207" i="3"/>
  <c r="S207" i="3" s="1"/>
  <c r="AC207" i="3"/>
  <c r="T207" i="3" l="1"/>
  <c r="AD207" i="3"/>
  <c r="X208" i="3" s="1"/>
  <c r="AE207" i="3" l="1"/>
  <c r="Y208" i="3" s="1"/>
  <c r="C208" i="3" s="1"/>
  <c r="N208" i="3"/>
  <c r="U207" i="3"/>
  <c r="O208" i="3" s="1"/>
  <c r="P208" i="3"/>
  <c r="Z208" i="3"/>
  <c r="Q208" i="3"/>
  <c r="AA208" i="3"/>
  <c r="R208" i="3"/>
  <c r="B208" i="3" l="1"/>
  <c r="AB208" i="3"/>
  <c r="S208" i="3" s="1"/>
  <c r="AC208" i="3"/>
  <c r="T208" i="3" l="1"/>
  <c r="AD208" i="3"/>
  <c r="X209" i="3" s="1"/>
  <c r="AE208" i="3" l="1"/>
  <c r="Y209" i="3" s="1"/>
  <c r="C209" i="3" s="1"/>
  <c r="N209" i="3"/>
  <c r="U208" i="3"/>
  <c r="O209" i="3" s="1"/>
  <c r="P209" i="3"/>
  <c r="Z209" i="3"/>
  <c r="Q209" i="3"/>
  <c r="AA209" i="3"/>
  <c r="R209" i="3"/>
  <c r="B209" i="3" l="1"/>
  <c r="AB209" i="3"/>
  <c r="S209" i="3" s="1"/>
  <c r="AC209" i="3"/>
  <c r="T209" i="3" l="1"/>
  <c r="AD209" i="3"/>
  <c r="X210" i="3" s="1"/>
  <c r="AE209" i="3" l="1"/>
  <c r="Y210" i="3" s="1"/>
  <c r="C210" i="3" s="1"/>
  <c r="N210" i="3"/>
  <c r="U209" i="3"/>
  <c r="O210" i="3" s="1"/>
  <c r="P210" i="3"/>
  <c r="Z210" i="3"/>
  <c r="Q210" i="3" s="1"/>
  <c r="AA210" i="3"/>
  <c r="R210" i="3"/>
  <c r="B210" i="3" l="1"/>
  <c r="AB210" i="3"/>
  <c r="S210" i="3" s="1"/>
  <c r="AC210" i="3"/>
  <c r="T210" i="3" l="1"/>
  <c r="AD210" i="3"/>
  <c r="X211" i="3" s="1"/>
  <c r="AE210" i="3" l="1"/>
  <c r="Y211" i="3" s="1"/>
  <c r="C211" i="3" s="1"/>
  <c r="N211" i="3"/>
  <c r="U210" i="3"/>
  <c r="O211" i="3" s="1"/>
  <c r="Z211" i="3"/>
  <c r="P211" i="3"/>
  <c r="Q211" i="3"/>
  <c r="AA211" i="3"/>
  <c r="R211" i="3"/>
  <c r="B211" i="3" l="1"/>
  <c r="AB211" i="3"/>
  <c r="S211" i="3" s="1"/>
  <c r="AC211" i="3"/>
  <c r="T211" i="3" l="1"/>
  <c r="AD211" i="3"/>
  <c r="X212" i="3" s="1"/>
  <c r="AE211" i="3" l="1"/>
  <c r="Y212" i="3" s="1"/>
  <c r="C212" i="3" s="1"/>
  <c r="U211" i="3"/>
  <c r="O212" i="3" s="1"/>
  <c r="N212" i="3"/>
  <c r="P212" i="3"/>
  <c r="Z212" i="3"/>
  <c r="Q212" i="3"/>
  <c r="AA212" i="3"/>
  <c r="R212" i="3"/>
  <c r="B212" i="3" l="1"/>
  <c r="AB212" i="3"/>
  <c r="S212" i="3" s="1"/>
  <c r="AC212" i="3"/>
  <c r="T212" i="3" l="1"/>
  <c r="AD212" i="3"/>
  <c r="X213" i="3" s="1"/>
  <c r="AE212" i="3" l="1"/>
  <c r="Y213" i="3" s="1"/>
  <c r="C213" i="3" s="1"/>
  <c r="N213" i="3"/>
  <c r="U212" i="3"/>
  <c r="O213" i="3" s="1"/>
  <c r="Z213" i="3"/>
  <c r="P213" i="3"/>
  <c r="Q213" i="3" s="1"/>
  <c r="AA213" i="3"/>
  <c r="R213" i="3"/>
  <c r="B213" i="3" l="1"/>
  <c r="AB213" i="3"/>
  <c r="S213" i="3" s="1"/>
  <c r="AC213" i="3"/>
  <c r="T213" i="3" l="1"/>
  <c r="AD213" i="3"/>
  <c r="AE213" i="3" s="1"/>
  <c r="Y214" i="3" s="1"/>
  <c r="X214" i="3" l="1"/>
  <c r="N214" i="3"/>
  <c r="U213" i="3"/>
  <c r="O214" i="3" s="1"/>
  <c r="C214" i="3"/>
  <c r="P214" i="3"/>
  <c r="Z214" i="3"/>
  <c r="Q214" i="3" s="1"/>
  <c r="AA214" i="3"/>
  <c r="R214" i="3"/>
  <c r="B214" i="3" l="1"/>
  <c r="AB214" i="3"/>
  <c r="S214" i="3" s="1"/>
  <c r="AC214" i="3"/>
  <c r="T214" i="3" l="1"/>
  <c r="AD214" i="3"/>
  <c r="X215" i="3" s="1"/>
  <c r="AE214" i="3" l="1"/>
  <c r="Y215" i="3" s="1"/>
  <c r="C215" i="3" s="1"/>
  <c r="N215" i="3"/>
  <c r="U214" i="3"/>
  <c r="O215" i="3" s="1"/>
  <c r="P215" i="3"/>
  <c r="Z215" i="3"/>
  <c r="Q215" i="3" s="1"/>
  <c r="AA215" i="3"/>
  <c r="R215" i="3"/>
  <c r="B215" i="3" l="1"/>
  <c r="AB215" i="3"/>
  <c r="S215" i="3" s="1"/>
  <c r="AC215" i="3"/>
  <c r="T215" i="3" l="1"/>
  <c r="AD215" i="3"/>
  <c r="X216" i="3" s="1"/>
  <c r="AE215" i="3" l="1"/>
  <c r="Y216" i="3" s="1"/>
  <c r="N216" i="3"/>
  <c r="U215" i="3"/>
  <c r="O216" i="3" s="1"/>
  <c r="C216" i="3"/>
  <c r="P216" i="3"/>
  <c r="Z216" i="3"/>
  <c r="Q216" i="3"/>
  <c r="AA216" i="3"/>
  <c r="R216" i="3"/>
  <c r="B216" i="3" l="1"/>
  <c r="AB216" i="3"/>
  <c r="S216" i="3" s="1"/>
  <c r="AC216" i="3"/>
  <c r="T216" i="3" l="1"/>
  <c r="AD216" i="3"/>
  <c r="X217" i="3" s="1"/>
  <c r="AE216" i="3" l="1"/>
  <c r="Y217" i="3" s="1"/>
  <c r="C217" i="3" s="1"/>
  <c r="N217" i="3"/>
  <c r="U216" i="3"/>
  <c r="O217" i="3" s="1"/>
  <c r="P217" i="3"/>
  <c r="Z217" i="3"/>
  <c r="Q217" i="3" s="1"/>
  <c r="AA217" i="3"/>
  <c r="R217" i="3"/>
  <c r="B217" i="3" l="1"/>
  <c r="AB217" i="3"/>
  <c r="S217" i="3" s="1"/>
  <c r="AC217" i="3"/>
  <c r="T217" i="3" l="1"/>
  <c r="AD217" i="3"/>
  <c r="AE217" i="3" s="1"/>
  <c r="Y218" i="3" s="1"/>
  <c r="X218" i="3" l="1"/>
  <c r="N218" i="3"/>
  <c r="U217" i="3"/>
  <c r="O218" i="3" s="1"/>
  <c r="C218" i="3"/>
  <c r="P218" i="3"/>
  <c r="Z218" i="3"/>
  <c r="Q218" i="3" s="1"/>
  <c r="AA218" i="3"/>
  <c r="R218" i="3"/>
  <c r="B218" i="3" l="1"/>
  <c r="AB218" i="3"/>
  <c r="S218" i="3" s="1"/>
  <c r="AC218" i="3"/>
  <c r="T218" i="3" l="1"/>
  <c r="AD218" i="3"/>
  <c r="AE218" i="3" s="1"/>
  <c r="Y219" i="3" s="1"/>
  <c r="X219" i="3" l="1"/>
  <c r="U218" i="3"/>
  <c r="O219" i="3" s="1"/>
  <c r="N219" i="3"/>
  <c r="C219" i="3"/>
  <c r="Z219" i="3"/>
  <c r="P219" i="3"/>
  <c r="Q219" i="3" s="1"/>
  <c r="AA219" i="3"/>
  <c r="R219" i="3"/>
  <c r="B219" i="3" l="1"/>
  <c r="AB219" i="3"/>
  <c r="S219" i="3" s="1"/>
  <c r="AC219" i="3"/>
  <c r="T219" i="3" l="1"/>
  <c r="AD219" i="3"/>
  <c r="X220" i="3" s="1"/>
  <c r="AE219" i="3" l="1"/>
  <c r="Y220" i="3" s="1"/>
  <c r="C220" i="3" s="1"/>
  <c r="N220" i="3"/>
  <c r="U219" i="3"/>
  <c r="O220" i="3" s="1"/>
  <c r="P220" i="3"/>
  <c r="Z220" i="3"/>
  <c r="Q220" i="3" s="1"/>
  <c r="AA220" i="3"/>
  <c r="R220" i="3"/>
  <c r="B220" i="3" l="1"/>
  <c r="AB220" i="3"/>
  <c r="S220" i="3" s="1"/>
  <c r="AC220" i="3"/>
  <c r="T220" i="3" l="1"/>
  <c r="AD220" i="3"/>
  <c r="X221" i="3" s="1"/>
  <c r="AE220" i="3" l="1"/>
  <c r="Y221" i="3" s="1"/>
  <c r="C221" i="3" s="1"/>
  <c r="N221" i="3"/>
  <c r="U220" i="3"/>
  <c r="O221" i="3" s="1"/>
  <c r="P221" i="3"/>
  <c r="Z221" i="3"/>
  <c r="Q221" i="3" s="1"/>
  <c r="AA221" i="3"/>
  <c r="R221" i="3"/>
  <c r="B221" i="3" l="1"/>
  <c r="AB221" i="3"/>
  <c r="S221" i="3" s="1"/>
  <c r="AC221" i="3"/>
  <c r="T221" i="3" l="1"/>
  <c r="AD221" i="3"/>
  <c r="X222" i="3" s="1"/>
  <c r="U221" i="3" l="1"/>
  <c r="O222" i="3" s="1"/>
  <c r="N222" i="3"/>
  <c r="AE221" i="3"/>
  <c r="Y222" i="3" s="1"/>
  <c r="C222" i="3" s="1"/>
  <c r="P222" i="3"/>
  <c r="Z222" i="3"/>
  <c r="Q222" i="3" s="1"/>
  <c r="AA222" i="3"/>
  <c r="R222" i="3"/>
  <c r="B222" i="3" l="1"/>
  <c r="AB222" i="3"/>
  <c r="S222" i="3" s="1"/>
  <c r="AC222" i="3"/>
  <c r="T222" i="3" l="1"/>
  <c r="N223" i="3" s="1"/>
  <c r="AD222" i="3"/>
  <c r="AE222" i="3" s="1"/>
  <c r="Y223" i="3" s="1"/>
  <c r="X223" i="3" l="1"/>
  <c r="U222" i="3"/>
  <c r="O223" i="3" s="1"/>
  <c r="C223" i="3"/>
  <c r="P223" i="3"/>
  <c r="Z223" i="3"/>
  <c r="Q223" i="3" s="1"/>
  <c r="AA223" i="3"/>
  <c r="R223" i="3"/>
  <c r="AB223" i="3"/>
  <c r="S223" i="3" s="1"/>
  <c r="AC223" i="3"/>
  <c r="B223" i="3" l="1"/>
  <c r="T223" i="3"/>
  <c r="AD223" i="3"/>
  <c r="X224" i="3" s="1"/>
  <c r="AE223" i="3" l="1"/>
  <c r="Y224" i="3" s="1"/>
  <c r="C224" i="3" s="1"/>
  <c r="N224" i="3"/>
  <c r="U223" i="3"/>
  <c r="O224" i="3" s="1"/>
  <c r="P224" i="3"/>
  <c r="Z224" i="3"/>
  <c r="Q224" i="3" s="1"/>
  <c r="AA224" i="3"/>
  <c r="R224" i="3"/>
  <c r="B224" i="3" l="1"/>
  <c r="AB224" i="3"/>
  <c r="S224" i="3" s="1"/>
  <c r="AC224" i="3"/>
  <c r="T224" i="3" l="1"/>
  <c r="AD224" i="3"/>
  <c r="X225" i="3" s="1"/>
  <c r="AE224" i="3" l="1"/>
  <c r="Y225" i="3" s="1"/>
  <c r="U224" i="3"/>
  <c r="O225" i="3" s="1"/>
  <c r="N225" i="3"/>
  <c r="C225" i="3"/>
  <c r="Z225" i="3"/>
  <c r="P225" i="3"/>
  <c r="Q225" i="3" s="1"/>
  <c r="AA225" i="3"/>
  <c r="R225" i="3"/>
  <c r="B225" i="3" l="1"/>
  <c r="AB225" i="3"/>
  <c r="S225" i="3" s="1"/>
  <c r="AC225" i="3"/>
  <c r="T225" i="3" l="1"/>
  <c r="AD225" i="3"/>
  <c r="X226" i="3" s="1"/>
  <c r="AE225" i="3" l="1"/>
  <c r="Y226" i="3" s="1"/>
  <c r="C226" i="3" s="1"/>
  <c r="N226" i="3"/>
  <c r="U225" i="3"/>
  <c r="O226" i="3" s="1"/>
  <c r="P226" i="3"/>
  <c r="Z226" i="3"/>
  <c r="Q226" i="3" s="1"/>
  <c r="AA226" i="3"/>
  <c r="R226" i="3"/>
  <c r="B226" i="3" l="1"/>
  <c r="AB226" i="3"/>
  <c r="S226" i="3" s="1"/>
  <c r="AC226" i="3"/>
  <c r="T226" i="3" l="1"/>
  <c r="N227" i="3" s="1"/>
  <c r="AD226" i="3"/>
  <c r="X227" i="3" s="1"/>
  <c r="U226" i="3"/>
  <c r="O227" i="3" s="1"/>
  <c r="B227" i="3" s="1"/>
  <c r="AE226" i="3"/>
  <c r="Y227" i="3" s="1"/>
  <c r="P227" i="3"/>
  <c r="Z227" i="3"/>
  <c r="Q227" i="3"/>
  <c r="C227" i="3" l="1"/>
  <c r="AA227" i="3"/>
  <c r="R227" i="3"/>
  <c r="AB227" i="3"/>
  <c r="S227" i="3" s="1"/>
  <c r="AC227" i="3"/>
  <c r="T227" i="3" l="1"/>
  <c r="AD227" i="3"/>
  <c r="X228" i="3" s="1"/>
  <c r="AE227" i="3" l="1"/>
  <c r="Y228" i="3" s="1"/>
  <c r="C228" i="3" s="1"/>
  <c r="N228" i="3"/>
  <c r="U227" i="3"/>
  <c r="O228" i="3" s="1"/>
  <c r="Z228" i="3"/>
  <c r="P228" i="3"/>
  <c r="Q228" i="3" s="1"/>
  <c r="AA228" i="3"/>
  <c r="R228" i="3"/>
  <c r="B228" i="3" l="1"/>
  <c r="AB228" i="3"/>
  <c r="S228" i="3" s="1"/>
  <c r="AC228" i="3"/>
  <c r="T228" i="3" l="1"/>
  <c r="AD228" i="3"/>
  <c r="X229" i="3" s="1"/>
  <c r="AE228" i="3" l="1"/>
  <c r="Y229" i="3" s="1"/>
  <c r="C229" i="3" s="1"/>
  <c r="N229" i="3"/>
  <c r="U228" i="3"/>
  <c r="O229" i="3" s="1"/>
  <c r="P229" i="3"/>
  <c r="Z229" i="3"/>
  <c r="Q229" i="3" s="1"/>
  <c r="AA229" i="3"/>
  <c r="R229" i="3"/>
  <c r="B229" i="3" l="1"/>
  <c r="AB229" i="3"/>
  <c r="S229" i="3" s="1"/>
  <c r="AC229" i="3"/>
  <c r="T229" i="3" l="1"/>
  <c r="AD229" i="3"/>
  <c r="X230" i="3" s="1"/>
  <c r="AE229" i="3" l="1"/>
  <c r="Y230" i="3" s="1"/>
  <c r="C230" i="3" s="1"/>
  <c r="U229" i="3"/>
  <c r="O230" i="3" s="1"/>
  <c r="N230" i="3"/>
  <c r="Z230" i="3"/>
  <c r="P230" i="3"/>
  <c r="Q230" i="3" s="1"/>
  <c r="AA230" i="3"/>
  <c r="R230" i="3"/>
  <c r="B230" i="3" l="1"/>
  <c r="AB230" i="3"/>
  <c r="S230" i="3" s="1"/>
  <c r="AC230" i="3"/>
  <c r="T230" i="3" l="1"/>
  <c r="N231" i="3" s="1"/>
  <c r="AD230" i="3"/>
  <c r="X231" i="3" s="1"/>
  <c r="U230" i="3" l="1"/>
  <c r="O231" i="3" s="1"/>
  <c r="B231" i="3" s="1"/>
  <c r="AE230" i="3"/>
  <c r="Y231" i="3" s="1"/>
  <c r="Z231" i="3"/>
  <c r="P231" i="3"/>
  <c r="Q231" i="3" s="1"/>
  <c r="AA231" i="3"/>
  <c r="R231" i="3"/>
  <c r="C231" i="3" l="1"/>
  <c r="AB231" i="3"/>
  <c r="S231" i="3" s="1"/>
  <c r="AC231" i="3"/>
  <c r="T231" i="3" l="1"/>
  <c r="AD231" i="3"/>
  <c r="X232" i="3" s="1"/>
  <c r="AE231" i="3" l="1"/>
  <c r="Y232" i="3" s="1"/>
  <c r="C232" i="3" s="1"/>
  <c r="N232" i="3"/>
  <c r="U231" i="3"/>
  <c r="O232" i="3" s="1"/>
  <c r="Z232" i="3"/>
  <c r="P232" i="3"/>
  <c r="Q232" i="3" s="1"/>
  <c r="AA232" i="3"/>
  <c r="R232" i="3"/>
  <c r="B232" i="3" l="1"/>
  <c r="AB232" i="3"/>
  <c r="S232" i="3" s="1"/>
  <c r="AC232" i="3"/>
  <c r="T232" i="3" l="1"/>
  <c r="N233" i="3" s="1"/>
  <c r="AD232" i="3"/>
  <c r="X233" i="3" s="1"/>
  <c r="U232" i="3" l="1"/>
  <c r="O233" i="3" s="1"/>
  <c r="B233" i="3" s="1"/>
  <c r="AE232" i="3"/>
  <c r="Y233" i="3" s="1"/>
  <c r="C233" i="3" s="1"/>
  <c r="Z233" i="3"/>
  <c r="P233" i="3"/>
  <c r="Q233" i="3" s="1"/>
  <c r="AA233" i="3"/>
  <c r="R233" i="3"/>
  <c r="AB233" i="3"/>
  <c r="S233" i="3" s="1"/>
  <c r="AC233" i="3"/>
  <c r="T233" i="3" l="1"/>
  <c r="N234" i="3" s="1"/>
  <c r="AD233" i="3"/>
  <c r="X234" i="3" s="1"/>
  <c r="U233" i="3" l="1"/>
  <c r="O234" i="3" s="1"/>
  <c r="B234" i="3" s="1"/>
  <c r="AE233" i="3"/>
  <c r="Y234" i="3" s="1"/>
  <c r="C234" i="3" s="1"/>
  <c r="Z234" i="3"/>
  <c r="P234" i="3"/>
  <c r="Q234" i="3" s="1"/>
  <c r="AA234" i="3"/>
  <c r="R234" i="3"/>
  <c r="AB234" i="3"/>
  <c r="S234" i="3" s="1"/>
  <c r="AC234" i="3"/>
  <c r="T234" i="3" l="1"/>
  <c r="AD234" i="3"/>
  <c r="X235" i="3" s="1"/>
  <c r="AE234" i="3" l="1"/>
  <c r="Y235" i="3" s="1"/>
  <c r="C235" i="3" s="1"/>
  <c r="N235" i="3"/>
  <c r="U234" i="3"/>
  <c r="O235" i="3" s="1"/>
  <c r="P235" i="3"/>
  <c r="Z235" i="3"/>
  <c r="Q235" i="3" s="1"/>
  <c r="AA235" i="3"/>
  <c r="R235" i="3"/>
  <c r="B235" i="3" l="1"/>
  <c r="AB235" i="3"/>
  <c r="S235" i="3" s="1"/>
  <c r="AC235" i="3"/>
  <c r="T235" i="3" l="1"/>
  <c r="N236" i="3" s="1"/>
  <c r="AD235" i="3"/>
  <c r="X236" i="3" s="1"/>
  <c r="AE235" i="3" l="1"/>
  <c r="Y236" i="3" s="1"/>
  <c r="C236" i="3" s="1"/>
  <c r="U235" i="3"/>
  <c r="O236" i="3" s="1"/>
  <c r="B236" i="3"/>
  <c r="P236" i="3"/>
  <c r="Z236" i="3"/>
  <c r="Q236" i="3" s="1"/>
  <c r="AA236" i="3"/>
  <c r="R236" i="3"/>
  <c r="AB236" i="3"/>
  <c r="S236" i="3" s="1"/>
  <c r="AC236" i="3"/>
  <c r="T236" i="3" l="1"/>
  <c r="AD236" i="3"/>
  <c r="X237" i="3" s="1"/>
  <c r="N237" i="3" l="1"/>
  <c r="U236" i="3"/>
  <c r="O237" i="3" s="1"/>
  <c r="AE236" i="3"/>
  <c r="Y237" i="3" s="1"/>
  <c r="C237" i="3" s="1"/>
  <c r="P237" i="3"/>
  <c r="Z237" i="3"/>
  <c r="Q237" i="3" s="1"/>
  <c r="AA237" i="3"/>
  <c r="R237" i="3"/>
  <c r="B237" i="3" l="1"/>
  <c r="AB237" i="3"/>
  <c r="S237" i="3" s="1"/>
  <c r="AC237" i="3"/>
  <c r="T237" i="3" l="1"/>
  <c r="N238" i="3" s="1"/>
  <c r="AD237" i="3"/>
  <c r="AE237" i="3" s="1"/>
  <c r="Y238" i="3" s="1"/>
  <c r="U237" i="3" l="1"/>
  <c r="O238" i="3" s="1"/>
  <c r="B238" i="3" s="1"/>
  <c r="X238" i="3"/>
  <c r="C238" i="3"/>
  <c r="Z238" i="3"/>
  <c r="P238" i="3"/>
  <c r="Q238" i="3"/>
  <c r="AA238" i="3"/>
  <c r="R238" i="3"/>
  <c r="AB238" i="3"/>
  <c r="S238" i="3" s="1"/>
  <c r="AC238" i="3"/>
  <c r="T238" i="3" l="1"/>
  <c r="N239" i="3" s="1"/>
  <c r="AD238" i="3"/>
  <c r="X239" i="3" s="1"/>
  <c r="U238" i="3"/>
  <c r="O239" i="3" s="1"/>
  <c r="AE238" i="3"/>
  <c r="Y239" i="3" s="1"/>
  <c r="Z239" i="3"/>
  <c r="P239" i="3"/>
  <c r="Q239" i="3"/>
  <c r="B239" i="3" l="1"/>
  <c r="C239" i="3"/>
  <c r="AA239" i="3"/>
  <c r="R239" i="3"/>
  <c r="AB239" i="3"/>
  <c r="S239" i="3" s="1"/>
  <c r="AC239" i="3"/>
  <c r="T239" i="3" l="1"/>
  <c r="AD239" i="3"/>
  <c r="X240" i="3" s="1"/>
  <c r="AE239" i="3" l="1"/>
  <c r="Y240" i="3" s="1"/>
  <c r="C240" i="3" s="1"/>
  <c r="N240" i="3"/>
  <c r="U239" i="3"/>
  <c r="O240" i="3" s="1"/>
  <c r="Z240" i="3"/>
  <c r="P240" i="3"/>
  <c r="Q240" i="3" s="1"/>
  <c r="AA240" i="3"/>
  <c r="R240" i="3"/>
  <c r="B240" i="3" l="1"/>
  <c r="AB240" i="3"/>
  <c r="S240" i="3" s="1"/>
  <c r="AC240" i="3"/>
  <c r="T240" i="3" l="1"/>
  <c r="N241" i="3" s="1"/>
  <c r="AD240" i="3"/>
  <c r="X241" i="3" s="1"/>
  <c r="AE240" i="3" l="1"/>
  <c r="Y241" i="3" s="1"/>
  <c r="C241" i="3" s="1"/>
  <c r="U240" i="3"/>
  <c r="O241" i="3" s="1"/>
  <c r="B241" i="3" s="1"/>
  <c r="P241" i="3"/>
  <c r="Z241" i="3"/>
  <c r="Q241" i="3"/>
  <c r="AA241" i="3"/>
  <c r="R241" i="3"/>
  <c r="AB241" i="3"/>
  <c r="S241" i="3" s="1"/>
  <c r="AC241" i="3"/>
  <c r="T241" i="3" l="1"/>
  <c r="AD241" i="3"/>
  <c r="X242" i="3" s="1"/>
  <c r="AE241" i="3" l="1"/>
  <c r="Y242" i="3" s="1"/>
  <c r="C242" i="3" s="1"/>
  <c r="U241" i="3"/>
  <c r="O242" i="3" s="1"/>
  <c r="N242" i="3"/>
  <c r="Z242" i="3"/>
  <c r="P242" i="3"/>
  <c r="Q242" i="3" s="1"/>
  <c r="AA242" i="3"/>
  <c r="R242" i="3"/>
  <c r="B242" i="3" l="1"/>
  <c r="AB242" i="3"/>
  <c r="S242" i="3" s="1"/>
  <c r="AC242" i="3"/>
  <c r="T242" i="3" l="1"/>
  <c r="AD242" i="3"/>
  <c r="X243" i="3" s="1"/>
  <c r="AE242" i="3" l="1"/>
  <c r="Y243" i="3" s="1"/>
  <c r="C243" i="3" s="1"/>
  <c r="N243" i="3"/>
  <c r="U242" i="3"/>
  <c r="O243" i="3" s="1"/>
  <c r="P243" i="3"/>
  <c r="Z243" i="3"/>
  <c r="Q243" i="3" s="1"/>
  <c r="AA243" i="3"/>
  <c r="R243" i="3"/>
  <c r="B243" i="3" l="1"/>
  <c r="AB243" i="3"/>
  <c r="S243" i="3" s="1"/>
  <c r="AC243" i="3"/>
  <c r="T243" i="3" l="1"/>
  <c r="AD243" i="3"/>
  <c r="X244" i="3" s="1"/>
  <c r="AE243" i="3" l="1"/>
  <c r="Y244" i="3" s="1"/>
  <c r="U243" i="3"/>
  <c r="O244" i="3" s="1"/>
  <c r="N244" i="3"/>
  <c r="C244" i="3"/>
  <c r="Z244" i="3"/>
  <c r="P244" i="3"/>
  <c r="Q244" i="3"/>
  <c r="AA244" i="3"/>
  <c r="R244" i="3"/>
  <c r="B244" i="3" l="1"/>
  <c r="AB244" i="3"/>
  <c r="S244" i="3" s="1"/>
  <c r="AC244" i="3"/>
  <c r="T244" i="3" l="1"/>
  <c r="N245" i="3" s="1"/>
  <c r="AD244" i="3"/>
  <c r="X245" i="3" s="1"/>
  <c r="U244" i="3" l="1"/>
  <c r="O245" i="3" s="1"/>
  <c r="B245" i="3" s="1"/>
  <c r="AE244" i="3"/>
  <c r="Y245" i="3" s="1"/>
  <c r="C245" i="3" s="1"/>
  <c r="P245" i="3"/>
  <c r="Z245" i="3"/>
  <c r="Q245" i="3" s="1"/>
  <c r="AA245" i="3"/>
  <c r="R245" i="3"/>
  <c r="AB245" i="3"/>
  <c r="S245" i="3" s="1"/>
  <c r="AC245" i="3"/>
  <c r="T245" i="3" l="1"/>
  <c r="AD245" i="3"/>
  <c r="X246" i="3" s="1"/>
  <c r="AE245" i="3" l="1"/>
  <c r="Y246" i="3" s="1"/>
  <c r="C246" i="3" s="1"/>
  <c r="N246" i="3"/>
  <c r="U245" i="3"/>
  <c r="O246" i="3" s="1"/>
  <c r="Z246" i="3"/>
  <c r="P246" i="3"/>
  <c r="Q246" i="3" s="1"/>
  <c r="AA246" i="3"/>
  <c r="R246" i="3"/>
  <c r="B246" i="3" l="1"/>
  <c r="AB246" i="3"/>
  <c r="S246" i="3" s="1"/>
  <c r="AC246" i="3"/>
  <c r="T246" i="3" l="1"/>
  <c r="AD246" i="3"/>
  <c r="X247" i="3" s="1"/>
  <c r="AE246" i="3" l="1"/>
  <c r="Y247" i="3" s="1"/>
  <c r="C247" i="3" s="1"/>
  <c r="N247" i="3"/>
  <c r="U246" i="3"/>
  <c r="O247" i="3" s="1"/>
  <c r="P247" i="3"/>
  <c r="Z247" i="3"/>
  <c r="Q247" i="3" s="1"/>
  <c r="AA247" i="3"/>
  <c r="R247" i="3"/>
  <c r="B247" i="3" l="1"/>
  <c r="AB247" i="3"/>
  <c r="S247" i="3" s="1"/>
  <c r="AC247" i="3"/>
  <c r="T247" i="3" l="1"/>
  <c r="N248" i="3" s="1"/>
  <c r="AD247" i="3"/>
  <c r="X248" i="3" s="1"/>
  <c r="AE247" i="3" l="1"/>
  <c r="Y248" i="3" s="1"/>
  <c r="U247" i="3"/>
  <c r="O248" i="3" s="1"/>
  <c r="C248" i="3"/>
  <c r="Z248" i="3"/>
  <c r="P248" i="3"/>
  <c r="Q248" i="3" s="1"/>
  <c r="AA248" i="3"/>
  <c r="R248" i="3"/>
  <c r="B248" i="3" l="1"/>
  <c r="AB248" i="3"/>
  <c r="S248" i="3" s="1"/>
  <c r="AC248" i="3"/>
  <c r="T248" i="3" l="1"/>
  <c r="AD248" i="3"/>
  <c r="X249" i="3" s="1"/>
  <c r="AE248" i="3" l="1"/>
  <c r="Y249" i="3" s="1"/>
  <c r="C249" i="3" s="1"/>
  <c r="N249" i="3"/>
  <c r="U248" i="3"/>
  <c r="O249" i="3" s="1"/>
  <c r="P249" i="3"/>
  <c r="Z249" i="3"/>
  <c r="Q249" i="3" s="1"/>
  <c r="AA249" i="3"/>
  <c r="R249" i="3"/>
  <c r="B249" i="3" l="1"/>
  <c r="AB249" i="3"/>
  <c r="S249" i="3" s="1"/>
  <c r="AC249" i="3"/>
  <c r="T249" i="3" l="1"/>
  <c r="N250" i="3" s="1"/>
  <c r="AD249" i="3"/>
  <c r="X250" i="3" s="1"/>
  <c r="AE249" i="3" l="1"/>
  <c r="Y250" i="3" s="1"/>
  <c r="U249" i="3"/>
  <c r="O250" i="3" s="1"/>
  <c r="B250" i="3" s="1"/>
  <c r="C250" i="3"/>
  <c r="Z250" i="3"/>
  <c r="P250" i="3"/>
  <c r="Q250" i="3" s="1"/>
  <c r="AA250" i="3"/>
  <c r="R250" i="3"/>
  <c r="AB250" i="3"/>
  <c r="S250" i="3" s="1"/>
  <c r="AC250" i="3"/>
  <c r="T250" i="3" l="1"/>
  <c r="AD250" i="3"/>
  <c r="X251" i="3" s="1"/>
  <c r="AE250" i="3" l="1"/>
  <c r="Y251" i="3" s="1"/>
  <c r="N251" i="3"/>
  <c r="U250" i="3"/>
  <c r="O251" i="3" s="1"/>
  <c r="C251" i="3"/>
  <c r="P251" i="3"/>
  <c r="Z251" i="3"/>
  <c r="Q251" i="3" s="1"/>
  <c r="AA251" i="3"/>
  <c r="R251" i="3"/>
  <c r="B251" i="3" l="1"/>
  <c r="AB251" i="3"/>
  <c r="S251" i="3" s="1"/>
  <c r="AC251" i="3"/>
  <c r="T251" i="3" l="1"/>
  <c r="AD251" i="3"/>
  <c r="X252" i="3" s="1"/>
  <c r="AE251" i="3" l="1"/>
  <c r="Y252" i="3" s="1"/>
  <c r="C252" i="3" s="1"/>
  <c r="U251" i="3"/>
  <c r="O252" i="3" s="1"/>
  <c r="N252" i="3"/>
  <c r="Z252" i="3"/>
  <c r="P252" i="3"/>
  <c r="Q252" i="3" s="1"/>
  <c r="AA252" i="3"/>
  <c r="R252" i="3"/>
  <c r="B252" i="3" l="1"/>
  <c r="AB252" i="3"/>
  <c r="S252" i="3" s="1"/>
  <c r="AC252" i="3"/>
  <c r="T252" i="3" l="1"/>
  <c r="AD252" i="3"/>
  <c r="X253" i="3" s="1"/>
  <c r="AE252" i="3" l="1"/>
  <c r="Y253" i="3" s="1"/>
  <c r="N253" i="3"/>
  <c r="U252" i="3"/>
  <c r="O253" i="3" s="1"/>
  <c r="C253" i="3"/>
  <c r="Z253" i="3"/>
  <c r="P253" i="3"/>
  <c r="Q253" i="3" s="1"/>
  <c r="AA253" i="3"/>
  <c r="R253" i="3"/>
  <c r="B253" i="3" l="1"/>
  <c r="AB253" i="3"/>
  <c r="S253" i="3" s="1"/>
  <c r="AC253" i="3"/>
  <c r="T253" i="3" l="1"/>
  <c r="AD253" i="3"/>
  <c r="X254" i="3" s="1"/>
  <c r="AE253" i="3" l="1"/>
  <c r="Y254" i="3" s="1"/>
  <c r="C254" i="3" s="1"/>
  <c r="N254" i="3"/>
  <c r="U253" i="3"/>
  <c r="O254" i="3" s="1"/>
  <c r="Z254" i="3"/>
  <c r="P254" i="3"/>
  <c r="Q254" i="3" s="1"/>
  <c r="AA254" i="3"/>
  <c r="R254" i="3"/>
  <c r="B254" i="3" l="1"/>
  <c r="AB254" i="3"/>
  <c r="S254" i="3" s="1"/>
  <c r="AC254" i="3"/>
  <c r="T254" i="3" l="1"/>
  <c r="AD254" i="3"/>
  <c r="X255" i="3" s="1"/>
  <c r="AE254" i="3" l="1"/>
  <c r="Y255" i="3" s="1"/>
  <c r="C255" i="3" s="1"/>
  <c r="U254" i="3"/>
  <c r="O255" i="3" s="1"/>
  <c r="N255" i="3"/>
  <c r="Z255" i="3"/>
  <c r="P255" i="3"/>
  <c r="Q255" i="3" s="1"/>
  <c r="AA255" i="3"/>
  <c r="R255" i="3"/>
  <c r="B255" i="3" l="1"/>
  <c r="AB255" i="3"/>
  <c r="S255" i="3" s="1"/>
  <c r="AC255" i="3"/>
  <c r="T255" i="3" l="1"/>
  <c r="AD255" i="3"/>
  <c r="X256" i="3" s="1"/>
  <c r="AE255" i="3" l="1"/>
  <c r="Y256" i="3" s="1"/>
  <c r="C256" i="3" s="1"/>
  <c r="N256" i="3"/>
  <c r="U255" i="3"/>
  <c r="O256" i="3" s="1"/>
  <c r="Z256" i="3"/>
  <c r="P256" i="3"/>
  <c r="Q256" i="3"/>
  <c r="AA256" i="3"/>
  <c r="R256" i="3"/>
  <c r="B256" i="3" l="1"/>
  <c r="AB256" i="3"/>
  <c r="S256" i="3" s="1"/>
  <c r="AC256" i="3"/>
  <c r="T256" i="3" l="1"/>
  <c r="AD256" i="3"/>
  <c r="X257" i="3" s="1"/>
  <c r="AE256" i="3" l="1"/>
  <c r="Y257" i="3" s="1"/>
  <c r="C257" i="3" s="1"/>
  <c r="N257" i="3"/>
  <c r="U256" i="3"/>
  <c r="O257" i="3" s="1"/>
  <c r="Z257" i="3"/>
  <c r="P257" i="3"/>
  <c r="Q257" i="3" s="1"/>
  <c r="AA257" i="3"/>
  <c r="R257" i="3"/>
  <c r="B257" i="3" l="1"/>
  <c r="AB257" i="3"/>
  <c r="S257" i="3" s="1"/>
  <c r="AC257" i="3"/>
  <c r="T257" i="3" l="1"/>
  <c r="N258" i="3" s="1"/>
  <c r="AD257" i="3"/>
  <c r="X258" i="3" s="1"/>
  <c r="U257" i="3" l="1"/>
  <c r="O258" i="3" s="1"/>
  <c r="B258" i="3" s="1"/>
  <c r="AE257" i="3"/>
  <c r="Y258" i="3" s="1"/>
  <c r="C258" i="3" s="1"/>
  <c r="Z258" i="3"/>
  <c r="P258" i="3"/>
  <c r="Q258" i="3" s="1"/>
  <c r="AA258" i="3"/>
  <c r="R258" i="3"/>
  <c r="AB258" i="3"/>
  <c r="S258" i="3" s="1"/>
  <c r="AC258" i="3"/>
  <c r="T258" i="3" l="1"/>
  <c r="U258" i="3" s="1"/>
  <c r="O259" i="3" s="1"/>
  <c r="B259" i="3" s="1"/>
  <c r="AD258" i="3"/>
  <c r="X259" i="3" s="1"/>
  <c r="AE258" i="3" l="1"/>
  <c r="Y259" i="3" s="1"/>
  <c r="C259" i="3" s="1"/>
  <c r="N259" i="3"/>
  <c r="Z259" i="3"/>
  <c r="P259" i="3"/>
  <c r="Q259" i="3"/>
  <c r="AA259" i="3"/>
  <c r="R259" i="3"/>
  <c r="AB259" i="3"/>
  <c r="S259" i="3" s="1"/>
  <c r="AC259" i="3"/>
  <c r="T259" i="3" l="1"/>
  <c r="AD259" i="3"/>
  <c r="AE259" i="3" s="1"/>
  <c r="Y260" i="3" s="1"/>
  <c r="X260" i="3" l="1"/>
  <c r="N260" i="3"/>
  <c r="U259" i="3"/>
  <c r="O260" i="3" s="1"/>
  <c r="C260" i="3"/>
  <c r="Z260" i="3"/>
  <c r="P260" i="3"/>
  <c r="Q260" i="3" s="1"/>
  <c r="AA260" i="3"/>
  <c r="R260" i="3"/>
  <c r="B260" i="3" l="1"/>
  <c r="AB260" i="3"/>
  <c r="S260" i="3" s="1"/>
  <c r="AC260" i="3"/>
  <c r="T260" i="3" l="1"/>
  <c r="AD260" i="3"/>
  <c r="AE260" i="3" s="1"/>
  <c r="Y261" i="3" s="1"/>
  <c r="X261" i="3" l="1"/>
  <c r="U260" i="3"/>
  <c r="O261" i="3" s="1"/>
  <c r="N261" i="3"/>
  <c r="C261" i="3"/>
  <c r="Z261" i="3"/>
  <c r="P261" i="3"/>
  <c r="Q261" i="3" s="1"/>
  <c r="AA261" i="3"/>
  <c r="R261" i="3"/>
  <c r="B261" i="3" l="1"/>
  <c r="AB261" i="3"/>
  <c r="S261" i="3" s="1"/>
  <c r="AC261" i="3"/>
  <c r="T261" i="3" l="1"/>
  <c r="AD261" i="3"/>
  <c r="X262" i="3" s="1"/>
  <c r="AE261" i="3" l="1"/>
  <c r="Y262" i="3" s="1"/>
  <c r="U261" i="3"/>
  <c r="O262" i="3" s="1"/>
  <c r="N262" i="3"/>
  <c r="C262" i="3"/>
  <c r="Z262" i="3"/>
  <c r="P262" i="3"/>
  <c r="Q262" i="3" s="1"/>
  <c r="AA262" i="3"/>
  <c r="R262" i="3"/>
  <c r="B262" i="3" l="1"/>
  <c r="AB262" i="3"/>
  <c r="S262" i="3" s="1"/>
  <c r="AC262" i="3"/>
  <c r="T262" i="3" l="1"/>
  <c r="AD262" i="3"/>
  <c r="X263" i="3" s="1"/>
  <c r="AE262" i="3" l="1"/>
  <c r="Y263" i="3" s="1"/>
  <c r="C263" i="3" s="1"/>
  <c r="N263" i="3"/>
  <c r="U262" i="3"/>
  <c r="O263" i="3" s="1"/>
  <c r="Z263" i="3"/>
  <c r="P263" i="3"/>
  <c r="Q263" i="3" s="1"/>
  <c r="AA263" i="3"/>
  <c r="R263" i="3"/>
  <c r="B263" i="3" l="1"/>
  <c r="AB263" i="3"/>
  <c r="S263" i="3" s="1"/>
  <c r="AC263" i="3"/>
  <c r="T263" i="3" l="1"/>
  <c r="AD263" i="3"/>
  <c r="AE263" i="3" s="1"/>
  <c r="Y264" i="3" s="1"/>
  <c r="X264" i="3" l="1"/>
  <c r="N264" i="3"/>
  <c r="U263" i="3"/>
  <c r="O264" i="3" s="1"/>
  <c r="C264" i="3"/>
  <c r="Z264" i="3"/>
  <c r="P264" i="3"/>
  <c r="Q264" i="3" s="1"/>
  <c r="AA264" i="3"/>
  <c r="R264" i="3"/>
  <c r="B264" i="3" l="1"/>
  <c r="AB264" i="3"/>
  <c r="S264" i="3" s="1"/>
  <c r="AC264" i="3"/>
  <c r="T264" i="3" l="1"/>
  <c r="AD264" i="3"/>
  <c r="X265" i="3" s="1"/>
  <c r="AE264" i="3" l="1"/>
  <c r="Y265" i="3" s="1"/>
  <c r="C265" i="3" s="1"/>
  <c r="U264" i="3"/>
  <c r="O265" i="3" s="1"/>
  <c r="N265" i="3"/>
  <c r="Z265" i="3"/>
  <c r="P265" i="3"/>
  <c r="Q265" i="3" s="1"/>
  <c r="AA265" i="3"/>
  <c r="R265" i="3"/>
  <c r="B265" i="3" l="1"/>
  <c r="AB265" i="3"/>
  <c r="S265" i="3" s="1"/>
  <c r="AC265" i="3"/>
  <c r="T265" i="3" l="1"/>
  <c r="AD265" i="3"/>
  <c r="X266" i="3" s="1"/>
  <c r="AE265" i="3" l="1"/>
  <c r="Y266" i="3" s="1"/>
  <c r="C266" i="3" s="1"/>
  <c r="N266" i="3"/>
  <c r="U265" i="3"/>
  <c r="O266" i="3" s="1"/>
  <c r="Z266" i="3"/>
  <c r="P266" i="3"/>
  <c r="Q266" i="3" s="1"/>
  <c r="AA266" i="3"/>
  <c r="R266" i="3"/>
  <c r="B266" i="3" l="1"/>
  <c r="AB266" i="3"/>
  <c r="S266" i="3" s="1"/>
  <c r="AC266" i="3"/>
  <c r="T266" i="3" l="1"/>
  <c r="N267" i="3" s="1"/>
  <c r="AD266" i="3"/>
  <c r="X267" i="3" s="1"/>
  <c r="AE266" i="3" l="1"/>
  <c r="Y267" i="3" s="1"/>
  <c r="C267" i="3" s="1"/>
  <c r="U266" i="3"/>
  <c r="O267" i="3" s="1"/>
  <c r="B267" i="3" s="1"/>
  <c r="Z267" i="3"/>
  <c r="P267" i="3"/>
  <c r="Q267" i="3"/>
  <c r="AA267" i="3"/>
  <c r="R267" i="3"/>
  <c r="AB267" i="3"/>
  <c r="S267" i="3" s="1"/>
  <c r="AC267" i="3"/>
  <c r="T267" i="3" l="1"/>
  <c r="AD267" i="3"/>
  <c r="X268" i="3" s="1"/>
  <c r="AE267" i="3" l="1"/>
  <c r="Y268" i="3" s="1"/>
  <c r="N268" i="3"/>
  <c r="U267" i="3"/>
  <c r="O268" i="3" s="1"/>
  <c r="C268" i="3"/>
  <c r="Z268" i="3"/>
  <c r="P268" i="3"/>
  <c r="Q268" i="3" s="1"/>
  <c r="AA268" i="3"/>
  <c r="R268" i="3"/>
  <c r="B268" i="3" l="1"/>
  <c r="AB268" i="3"/>
  <c r="S268" i="3" s="1"/>
  <c r="AC268" i="3"/>
  <c r="T268" i="3" l="1"/>
  <c r="AD268" i="3"/>
  <c r="X269" i="3" s="1"/>
  <c r="AE268" i="3" l="1"/>
  <c r="Y269" i="3" s="1"/>
  <c r="C269" i="3" s="1"/>
  <c r="N269" i="3"/>
  <c r="U268" i="3"/>
  <c r="O269" i="3" s="1"/>
  <c r="Z269" i="3"/>
  <c r="P269" i="3"/>
  <c r="Q269" i="3" s="1"/>
  <c r="AA269" i="3"/>
  <c r="R269" i="3"/>
  <c r="B269" i="3" l="1"/>
  <c r="AB269" i="3"/>
  <c r="S269" i="3" s="1"/>
  <c r="AC269" i="3"/>
  <c r="T269" i="3" l="1"/>
  <c r="AD269" i="3"/>
  <c r="X270" i="3" s="1"/>
  <c r="AE269" i="3" l="1"/>
  <c r="Y270" i="3" s="1"/>
  <c r="C270" i="3" s="1"/>
  <c r="N270" i="3"/>
  <c r="U269" i="3"/>
  <c r="O270" i="3" s="1"/>
  <c r="Z270" i="3"/>
  <c r="P270" i="3"/>
  <c r="Q270" i="3" s="1"/>
  <c r="AA270" i="3"/>
  <c r="R270" i="3"/>
  <c r="B270" i="3" l="1"/>
  <c r="AB270" i="3"/>
  <c r="S270" i="3" s="1"/>
  <c r="AC270" i="3"/>
  <c r="T270" i="3" l="1"/>
  <c r="N271" i="3" s="1"/>
  <c r="AD270" i="3"/>
  <c r="X271" i="3" s="1"/>
  <c r="U270" i="3" l="1"/>
  <c r="O271" i="3" s="1"/>
  <c r="B271" i="3"/>
  <c r="AE270" i="3"/>
  <c r="Y271" i="3" s="1"/>
  <c r="C271" i="3" s="1"/>
  <c r="Z271" i="3"/>
  <c r="P271" i="3"/>
  <c r="Q271" i="3" s="1"/>
  <c r="AA271" i="3"/>
  <c r="R271" i="3"/>
  <c r="AB271" i="3"/>
  <c r="S271" i="3" s="1"/>
  <c r="AC271" i="3"/>
  <c r="T271" i="3" l="1"/>
  <c r="AD271" i="3"/>
  <c r="X272" i="3" s="1"/>
  <c r="AE271" i="3" l="1"/>
  <c r="Y272" i="3" s="1"/>
  <c r="C272" i="3" s="1"/>
  <c r="U271" i="3"/>
  <c r="O272" i="3" s="1"/>
  <c r="N272" i="3"/>
  <c r="Z272" i="3"/>
  <c r="P272" i="3"/>
  <c r="Q272" i="3" s="1"/>
  <c r="AA272" i="3"/>
  <c r="R272" i="3"/>
  <c r="B272" i="3" l="1"/>
  <c r="AB272" i="3"/>
  <c r="S272" i="3" s="1"/>
  <c r="AC272" i="3"/>
  <c r="T272" i="3" l="1"/>
  <c r="AD272" i="3"/>
  <c r="X273" i="3" s="1"/>
  <c r="AE272" i="3" l="1"/>
  <c r="Y273" i="3" s="1"/>
  <c r="C273" i="3" s="1"/>
  <c r="N273" i="3"/>
  <c r="U272" i="3"/>
  <c r="O273" i="3" s="1"/>
  <c r="Z273" i="3"/>
  <c r="P273" i="3"/>
  <c r="Q273" i="3" s="1"/>
  <c r="AA273" i="3"/>
  <c r="R273" i="3"/>
  <c r="B273" i="3" l="1"/>
  <c r="AB273" i="3"/>
  <c r="S273" i="3" s="1"/>
  <c r="AC273" i="3"/>
  <c r="T273" i="3" l="1"/>
  <c r="AD273" i="3"/>
  <c r="AE273" i="3" s="1"/>
  <c r="Y274" i="3" s="1"/>
  <c r="X274" i="3" l="1"/>
  <c r="N274" i="3"/>
  <c r="U273" i="3"/>
  <c r="O274" i="3" s="1"/>
  <c r="C274" i="3"/>
  <c r="Z274" i="3"/>
  <c r="P274" i="3"/>
  <c r="Q274" i="3" s="1"/>
  <c r="AA274" i="3"/>
  <c r="R274" i="3"/>
  <c r="B274" i="3" l="1"/>
  <c r="AB274" i="3"/>
  <c r="S274" i="3" s="1"/>
  <c r="AC274" i="3"/>
  <c r="T274" i="3" l="1"/>
  <c r="AD274" i="3"/>
  <c r="X275" i="3" s="1"/>
  <c r="AE274" i="3"/>
  <c r="Y275" i="3" s="1"/>
  <c r="N275" i="3" l="1"/>
  <c r="U274" i="3"/>
  <c r="O275" i="3" s="1"/>
  <c r="C275" i="3"/>
  <c r="Z275" i="3"/>
  <c r="P275" i="3"/>
  <c r="Q275" i="3" s="1"/>
  <c r="AA275" i="3"/>
  <c r="R275" i="3"/>
  <c r="B275" i="3" l="1"/>
  <c r="AB275" i="3"/>
  <c r="S275" i="3" s="1"/>
  <c r="AC275" i="3"/>
  <c r="T275" i="3" l="1"/>
  <c r="AD275" i="3"/>
  <c r="X276" i="3" s="1"/>
  <c r="AE275" i="3" l="1"/>
  <c r="Y276" i="3" s="1"/>
  <c r="C276" i="3" s="1"/>
  <c r="N276" i="3"/>
  <c r="U275" i="3"/>
  <c r="O276" i="3" s="1"/>
  <c r="Z276" i="3"/>
  <c r="P276" i="3"/>
  <c r="Q276" i="3" s="1"/>
  <c r="AA276" i="3"/>
  <c r="R276" i="3"/>
  <c r="B276" i="3" l="1"/>
  <c r="AB276" i="3"/>
  <c r="S276" i="3" s="1"/>
  <c r="AC276" i="3"/>
  <c r="T276" i="3" l="1"/>
  <c r="AD276" i="3"/>
  <c r="AE276" i="3" s="1"/>
  <c r="Y277" i="3" s="1"/>
  <c r="X277" i="3" l="1"/>
  <c r="U276" i="3"/>
  <c r="O277" i="3" s="1"/>
  <c r="N277" i="3"/>
  <c r="C277" i="3"/>
  <c r="Z277" i="3"/>
  <c r="P277" i="3"/>
  <c r="Q277" i="3" s="1"/>
  <c r="AA277" i="3"/>
  <c r="R277" i="3"/>
  <c r="B277" i="3" l="1"/>
  <c r="AB277" i="3"/>
  <c r="S277" i="3" s="1"/>
  <c r="AC277" i="3"/>
  <c r="T277" i="3" l="1"/>
  <c r="AD277" i="3"/>
  <c r="X278" i="3" s="1"/>
  <c r="AE277" i="3" l="1"/>
  <c r="Y278" i="3" s="1"/>
  <c r="C278" i="3" s="1"/>
  <c r="N278" i="3"/>
  <c r="U277" i="3"/>
  <c r="O278" i="3" s="1"/>
  <c r="Z278" i="3"/>
  <c r="P278" i="3"/>
  <c r="Q278" i="3" s="1"/>
  <c r="AA278" i="3"/>
  <c r="R278" i="3"/>
  <c r="B278" i="3" l="1"/>
  <c r="AB278" i="3"/>
  <c r="S278" i="3" s="1"/>
  <c r="AC278" i="3"/>
  <c r="T278" i="3" l="1"/>
  <c r="AD278" i="3"/>
  <c r="X279" i="3" s="1"/>
  <c r="AE278" i="3" l="1"/>
  <c r="Y279" i="3" s="1"/>
  <c r="C279" i="3" s="1"/>
  <c r="N279" i="3"/>
  <c r="U278" i="3"/>
  <c r="O279" i="3" s="1"/>
  <c r="Z279" i="3"/>
  <c r="P279" i="3"/>
  <c r="Q279" i="3" s="1"/>
  <c r="AA279" i="3"/>
  <c r="R279" i="3"/>
  <c r="B279" i="3" l="1"/>
  <c r="AB279" i="3"/>
  <c r="S279" i="3" s="1"/>
  <c r="AC279" i="3"/>
  <c r="T279" i="3" l="1"/>
  <c r="AD279" i="3"/>
  <c r="AE279" i="3" s="1"/>
  <c r="Y280" i="3" s="1"/>
  <c r="X280" i="3" l="1"/>
  <c r="U279" i="3"/>
  <c r="O280" i="3" s="1"/>
  <c r="N280" i="3"/>
  <c r="C280" i="3"/>
  <c r="Z280" i="3"/>
  <c r="P280" i="3"/>
  <c r="Q280" i="3" s="1"/>
  <c r="AA280" i="3"/>
  <c r="R280" i="3"/>
  <c r="B280" i="3" l="1"/>
  <c r="AB280" i="3"/>
  <c r="S280" i="3" s="1"/>
  <c r="AC280" i="3"/>
  <c r="T280" i="3" l="1"/>
  <c r="AD280" i="3"/>
  <c r="X281" i="3" s="1"/>
  <c r="N281" i="3" l="1"/>
  <c r="U280" i="3"/>
  <c r="O281" i="3" s="1"/>
  <c r="AE280" i="3"/>
  <c r="Y281" i="3" s="1"/>
  <c r="C281" i="3" s="1"/>
  <c r="Z281" i="3"/>
  <c r="P281" i="3"/>
  <c r="Q281" i="3" s="1"/>
  <c r="AA281" i="3"/>
  <c r="R281" i="3"/>
  <c r="B281" i="3" l="1"/>
  <c r="AB281" i="3"/>
  <c r="S281" i="3" s="1"/>
  <c r="AC281" i="3"/>
  <c r="T281" i="3" l="1"/>
  <c r="AD281" i="3"/>
  <c r="X282" i="3" s="1"/>
  <c r="AE281" i="3" l="1"/>
  <c r="Y282" i="3" s="1"/>
  <c r="U281" i="3"/>
  <c r="O282" i="3" s="1"/>
  <c r="N282" i="3"/>
  <c r="C282" i="3"/>
  <c r="Z282" i="3"/>
  <c r="P282" i="3"/>
  <c r="Q282" i="3" s="1"/>
  <c r="AA282" i="3"/>
  <c r="R282" i="3"/>
  <c r="B282" i="3" l="1"/>
  <c r="AB282" i="3"/>
  <c r="S282" i="3" s="1"/>
  <c r="AC282" i="3"/>
  <c r="T282" i="3" l="1"/>
  <c r="AD282" i="3"/>
  <c r="X283" i="3" s="1"/>
  <c r="AE282" i="3" l="1"/>
  <c r="Y283" i="3" s="1"/>
  <c r="U282" i="3"/>
  <c r="O283" i="3" s="1"/>
  <c r="N283" i="3"/>
  <c r="C283" i="3"/>
  <c r="Z283" i="3"/>
  <c r="P283" i="3"/>
  <c r="Q283" i="3" s="1"/>
  <c r="AA283" i="3"/>
  <c r="R283" i="3"/>
  <c r="B283" i="3" l="1"/>
  <c r="AB283" i="3"/>
  <c r="S283" i="3" s="1"/>
  <c r="AC283" i="3"/>
  <c r="T283" i="3" l="1"/>
  <c r="AD283" i="3"/>
  <c r="X284" i="3" s="1"/>
  <c r="AE283" i="3" l="1"/>
  <c r="Y284" i="3" s="1"/>
  <c r="C284" i="3" s="1"/>
  <c r="N284" i="3"/>
  <c r="U283" i="3"/>
  <c r="O284" i="3" s="1"/>
  <c r="Z284" i="3"/>
  <c r="P284" i="3"/>
  <c r="Q284" i="3"/>
  <c r="AA284" i="3"/>
  <c r="R284" i="3"/>
  <c r="B284" i="3" l="1"/>
  <c r="AB284" i="3"/>
  <c r="S284" i="3" s="1"/>
  <c r="AC284" i="3"/>
  <c r="T284" i="3" l="1"/>
  <c r="AD284" i="3"/>
  <c r="X285" i="3" s="1"/>
  <c r="AE284" i="3" l="1"/>
  <c r="Y285" i="3" s="1"/>
  <c r="N285" i="3"/>
  <c r="U284" i="3"/>
  <c r="O285" i="3" s="1"/>
  <c r="C285" i="3"/>
  <c r="Z285" i="3"/>
  <c r="P285" i="3"/>
  <c r="Q285" i="3" s="1"/>
  <c r="AA285" i="3"/>
  <c r="R285" i="3"/>
  <c r="B285" i="3" l="1"/>
  <c r="AB285" i="3"/>
  <c r="S285" i="3" s="1"/>
  <c r="AC285" i="3"/>
  <c r="T285" i="3" l="1"/>
  <c r="AD285" i="3"/>
  <c r="AE285" i="3" s="1"/>
  <c r="Y286" i="3" s="1"/>
  <c r="X286" i="3" l="1"/>
  <c r="N286" i="3"/>
  <c r="U285" i="3"/>
  <c r="O286" i="3" s="1"/>
  <c r="C286" i="3"/>
  <c r="Z286" i="3"/>
  <c r="P286" i="3"/>
  <c r="Q286" i="3" s="1"/>
  <c r="AA286" i="3"/>
  <c r="R286" i="3"/>
  <c r="B286" i="3" l="1"/>
  <c r="AB286" i="3"/>
  <c r="S286" i="3" s="1"/>
  <c r="AC286" i="3"/>
  <c r="T286" i="3" l="1"/>
  <c r="N287" i="3" s="1"/>
  <c r="AD286" i="3"/>
  <c r="X287" i="3" s="1"/>
  <c r="AE286" i="3" l="1"/>
  <c r="Y287" i="3" s="1"/>
  <c r="U286" i="3"/>
  <c r="O287" i="3" s="1"/>
  <c r="C287" i="3"/>
  <c r="Z287" i="3"/>
  <c r="P287" i="3"/>
  <c r="Q287" i="3" s="1"/>
  <c r="AA287" i="3"/>
  <c r="R287" i="3"/>
  <c r="AB287" i="3"/>
  <c r="S287" i="3" s="1"/>
  <c r="AC287" i="3"/>
  <c r="B287" i="3" l="1"/>
  <c r="T287" i="3"/>
  <c r="AD287" i="3"/>
  <c r="X288" i="3" s="1"/>
  <c r="AE287" i="3" l="1"/>
  <c r="Y288" i="3" s="1"/>
  <c r="C288" i="3" s="1"/>
  <c r="N288" i="3"/>
  <c r="U287" i="3"/>
  <c r="O288" i="3" s="1"/>
  <c r="Z288" i="3"/>
  <c r="P288" i="3"/>
  <c r="Q288" i="3" s="1"/>
  <c r="AA288" i="3"/>
  <c r="R288" i="3"/>
  <c r="B288" i="3" l="1"/>
  <c r="AB288" i="3"/>
  <c r="S288" i="3" s="1"/>
  <c r="AC288" i="3"/>
  <c r="T288" i="3" l="1"/>
  <c r="AD288" i="3"/>
  <c r="X289" i="3" s="1"/>
  <c r="AE288" i="3" l="1"/>
  <c r="Y289" i="3" s="1"/>
  <c r="N289" i="3"/>
  <c r="U288" i="3"/>
  <c r="O289" i="3" s="1"/>
  <c r="C289" i="3"/>
  <c r="Z289" i="3"/>
  <c r="P289" i="3"/>
  <c r="Q289" i="3" s="1"/>
  <c r="AA289" i="3"/>
  <c r="R289" i="3"/>
  <c r="B289" i="3" l="1"/>
  <c r="AB289" i="3"/>
  <c r="S289" i="3" s="1"/>
  <c r="AC289" i="3"/>
  <c r="T289" i="3" l="1"/>
  <c r="AD289" i="3"/>
  <c r="X290" i="3" s="1"/>
  <c r="AE289" i="3" l="1"/>
  <c r="Y290" i="3" s="1"/>
  <c r="C290" i="3" s="1"/>
  <c r="U289" i="3"/>
  <c r="O290" i="3" s="1"/>
  <c r="N290" i="3"/>
  <c r="Z290" i="3"/>
  <c r="P290" i="3"/>
  <c r="Q290" i="3" s="1"/>
  <c r="AA290" i="3"/>
  <c r="R290" i="3"/>
  <c r="B290" i="3" l="1"/>
  <c r="AB290" i="3"/>
  <c r="S290" i="3" s="1"/>
  <c r="AC290" i="3"/>
  <c r="T290" i="3" l="1"/>
  <c r="AD290" i="3"/>
  <c r="X291" i="3" s="1"/>
  <c r="AE290" i="3" l="1"/>
  <c r="Y291" i="3" s="1"/>
  <c r="C291" i="3" s="1"/>
  <c r="N291" i="3"/>
  <c r="U290" i="3"/>
  <c r="O291" i="3" s="1"/>
  <c r="Z291" i="3"/>
  <c r="P291" i="3"/>
  <c r="Q291" i="3" s="1"/>
  <c r="AA291" i="3"/>
  <c r="R291" i="3"/>
  <c r="B291" i="3" l="1"/>
  <c r="AB291" i="3"/>
  <c r="S291" i="3" s="1"/>
  <c r="AC291" i="3"/>
  <c r="T291" i="3" l="1"/>
  <c r="AD291" i="3"/>
  <c r="X292" i="3" s="1"/>
  <c r="AE291" i="3" l="1"/>
  <c r="Y292" i="3" s="1"/>
  <c r="N292" i="3"/>
  <c r="U291" i="3"/>
  <c r="O292" i="3" s="1"/>
  <c r="C292" i="3"/>
  <c r="Z292" i="3"/>
  <c r="P292" i="3"/>
  <c r="Q292" i="3" s="1"/>
  <c r="AA292" i="3"/>
  <c r="R292" i="3"/>
  <c r="B292" i="3" l="1"/>
  <c r="AB292" i="3"/>
  <c r="S292" i="3" s="1"/>
  <c r="AC292" i="3"/>
  <c r="T292" i="3" l="1"/>
  <c r="AD292" i="3"/>
  <c r="X293" i="3" s="1"/>
  <c r="AE292" i="3" l="1"/>
  <c r="Y293" i="3" s="1"/>
  <c r="C293" i="3" s="1"/>
  <c r="N293" i="3"/>
  <c r="U292" i="3"/>
  <c r="O293" i="3" s="1"/>
  <c r="Z293" i="3"/>
  <c r="P293" i="3"/>
  <c r="Q293" i="3" s="1"/>
  <c r="AA293" i="3"/>
  <c r="R293" i="3"/>
  <c r="B293" i="3" l="1"/>
  <c r="AB293" i="3"/>
  <c r="S293" i="3" s="1"/>
  <c r="AC293" i="3"/>
  <c r="T293" i="3" l="1"/>
  <c r="AD293" i="3"/>
  <c r="X294" i="3" s="1"/>
  <c r="AE293" i="3" l="1"/>
  <c r="Y294" i="3" s="1"/>
  <c r="C294" i="3" s="1"/>
  <c r="N294" i="3"/>
  <c r="U293" i="3"/>
  <c r="O294" i="3" s="1"/>
  <c r="Z294" i="3"/>
  <c r="P294" i="3"/>
  <c r="Q294" i="3" s="1"/>
  <c r="AA294" i="3"/>
  <c r="R294" i="3"/>
  <c r="B294" i="3" l="1"/>
  <c r="AB294" i="3"/>
  <c r="S294" i="3" s="1"/>
  <c r="AC294" i="3"/>
  <c r="T294" i="3" l="1"/>
  <c r="AD294" i="3"/>
  <c r="X295" i="3" s="1"/>
  <c r="AE294" i="3" l="1"/>
  <c r="Y295" i="3" s="1"/>
  <c r="C295" i="3" s="1"/>
  <c r="N295" i="3"/>
  <c r="U294" i="3"/>
  <c r="O295" i="3" s="1"/>
  <c r="Z295" i="3"/>
  <c r="P295" i="3"/>
  <c r="Q295" i="3" s="1"/>
  <c r="AA295" i="3"/>
  <c r="R295" i="3"/>
  <c r="B295" i="3" l="1"/>
  <c r="AB295" i="3"/>
  <c r="S295" i="3" s="1"/>
  <c r="AC295" i="3"/>
  <c r="T295" i="3" l="1"/>
  <c r="AD295" i="3"/>
  <c r="X296" i="3" s="1"/>
  <c r="AE295" i="3" l="1"/>
  <c r="Y296" i="3" s="1"/>
  <c r="C296" i="3" s="1"/>
  <c r="N296" i="3"/>
  <c r="U295" i="3"/>
  <c r="O296" i="3" s="1"/>
  <c r="Z296" i="3"/>
  <c r="P296" i="3"/>
  <c r="Q296" i="3" s="1"/>
  <c r="AA296" i="3"/>
  <c r="R296" i="3"/>
  <c r="B296" i="3" l="1"/>
  <c r="AB296" i="3"/>
  <c r="S296" i="3" s="1"/>
  <c r="AC296" i="3"/>
  <c r="T296" i="3" l="1"/>
  <c r="N297" i="3" s="1"/>
  <c r="AD296" i="3"/>
  <c r="X297" i="3" s="1"/>
  <c r="AE296" i="3" l="1"/>
  <c r="Y297" i="3" s="1"/>
  <c r="U296" i="3"/>
  <c r="O297" i="3" s="1"/>
  <c r="C297" i="3"/>
  <c r="Z297" i="3"/>
  <c r="P297" i="3"/>
  <c r="Q297" i="3" s="1"/>
  <c r="AA297" i="3"/>
  <c r="R297" i="3"/>
  <c r="AB297" i="3"/>
  <c r="S297" i="3" s="1"/>
  <c r="AC297" i="3"/>
  <c r="B297" i="3" l="1"/>
  <c r="T297" i="3"/>
  <c r="AD297" i="3"/>
  <c r="X298" i="3" s="1"/>
  <c r="AE297" i="3" l="1"/>
  <c r="Y298" i="3" s="1"/>
  <c r="C298" i="3" s="1"/>
  <c r="N298" i="3"/>
  <c r="U297" i="3"/>
  <c r="O298" i="3" s="1"/>
  <c r="Z298" i="3"/>
  <c r="P298" i="3"/>
  <c r="Q298" i="3" s="1"/>
  <c r="AA298" i="3"/>
  <c r="R298" i="3"/>
  <c r="B298" i="3" l="1"/>
  <c r="AB298" i="3"/>
  <c r="S298" i="3" s="1"/>
  <c r="AC298" i="3"/>
  <c r="T298" i="3" l="1"/>
  <c r="AD298" i="3"/>
  <c r="X299" i="3" s="1"/>
  <c r="AE298" i="3" l="1"/>
  <c r="Y299" i="3" s="1"/>
  <c r="N299" i="3"/>
  <c r="U298" i="3"/>
  <c r="O299" i="3" s="1"/>
  <c r="C299" i="3"/>
  <c r="Z299" i="3"/>
  <c r="P299" i="3"/>
  <c r="Q299" i="3" s="1"/>
  <c r="AA299" i="3"/>
  <c r="R299" i="3"/>
  <c r="B299" i="3" l="1"/>
  <c r="AB299" i="3"/>
  <c r="S299" i="3" s="1"/>
  <c r="AC299" i="3"/>
  <c r="T299" i="3" l="1"/>
  <c r="AD299" i="3"/>
  <c r="X300" i="3" s="1"/>
  <c r="AE299" i="3" l="1"/>
  <c r="Y300" i="3" s="1"/>
  <c r="N300" i="3"/>
  <c r="U299" i="3"/>
  <c r="O300" i="3" s="1"/>
  <c r="C300" i="3"/>
  <c r="Z300" i="3"/>
  <c r="P300" i="3"/>
  <c r="Q300" i="3" s="1"/>
  <c r="AA300" i="3"/>
  <c r="R300" i="3"/>
  <c r="B300" i="3" l="1"/>
  <c r="AB300" i="3"/>
  <c r="S300" i="3" s="1"/>
  <c r="AC300" i="3"/>
  <c r="T300" i="3" l="1"/>
  <c r="AD300" i="3"/>
  <c r="X301" i="3" s="1"/>
  <c r="AE300" i="3" l="1"/>
  <c r="Y301" i="3" s="1"/>
  <c r="N301" i="3"/>
  <c r="U300" i="3"/>
  <c r="O301" i="3" s="1"/>
  <c r="C301" i="3"/>
  <c r="Z301" i="3"/>
  <c r="P301" i="3"/>
  <c r="Q301" i="3"/>
  <c r="AA301" i="3"/>
  <c r="R301" i="3"/>
  <c r="B301" i="3" l="1"/>
  <c r="AB301" i="3"/>
  <c r="S301" i="3" s="1"/>
  <c r="AC301" i="3"/>
  <c r="T301" i="3" l="1"/>
  <c r="AD301" i="3"/>
  <c r="X302" i="3" s="1"/>
  <c r="AE301" i="3" l="1"/>
  <c r="Y302" i="3" s="1"/>
  <c r="C302" i="3" s="1"/>
  <c r="N302" i="3"/>
  <c r="U301" i="3"/>
  <c r="O302" i="3" s="1"/>
  <c r="Z302" i="3"/>
  <c r="P302" i="3"/>
  <c r="Q302" i="3" s="1"/>
  <c r="AA302" i="3"/>
  <c r="R302" i="3"/>
  <c r="B302" i="3" l="1"/>
  <c r="AB302" i="3"/>
  <c r="S302" i="3" s="1"/>
  <c r="AC302" i="3"/>
  <c r="T302" i="3" l="1"/>
  <c r="AD302" i="3"/>
  <c r="X303" i="3" s="1"/>
  <c r="AE302" i="3" l="1"/>
  <c r="Y303" i="3" s="1"/>
  <c r="C303" i="3" s="1"/>
  <c r="N303" i="3"/>
  <c r="U302" i="3"/>
  <c r="O303" i="3" s="1"/>
  <c r="Z303" i="3"/>
  <c r="P303" i="3"/>
  <c r="Q303" i="3" s="1"/>
  <c r="AA303" i="3"/>
  <c r="R303" i="3"/>
  <c r="B303" i="3" l="1"/>
  <c r="AB303" i="3"/>
  <c r="S303" i="3" s="1"/>
  <c r="AC303" i="3"/>
  <c r="T303" i="3" l="1"/>
  <c r="AD303" i="3"/>
  <c r="X304" i="3" s="1"/>
  <c r="AE303" i="3" l="1"/>
  <c r="Y304" i="3" s="1"/>
  <c r="C304" i="3" s="1"/>
  <c r="N304" i="3"/>
  <c r="U303" i="3"/>
  <c r="O304" i="3" s="1"/>
  <c r="Z304" i="3"/>
  <c r="P304" i="3"/>
  <c r="Q304" i="3" s="1"/>
  <c r="AA304" i="3"/>
  <c r="R304" i="3"/>
  <c r="B304" i="3" l="1"/>
  <c r="AB304" i="3"/>
  <c r="S304" i="3" s="1"/>
  <c r="AC304" i="3"/>
  <c r="T304" i="3" l="1"/>
  <c r="AD304" i="3"/>
  <c r="X305" i="3" s="1"/>
  <c r="AE304" i="3" l="1"/>
  <c r="Y305" i="3" s="1"/>
  <c r="C305" i="3" s="1"/>
  <c r="N305" i="3"/>
  <c r="U304" i="3"/>
  <c r="O305" i="3" s="1"/>
  <c r="Z305" i="3"/>
  <c r="P305" i="3"/>
  <c r="Q305" i="3" s="1"/>
  <c r="AA305" i="3"/>
  <c r="R305" i="3"/>
  <c r="B305" i="3" l="1"/>
  <c r="AB305" i="3"/>
  <c r="S305" i="3" s="1"/>
  <c r="AC305" i="3"/>
  <c r="T305" i="3" l="1"/>
  <c r="AD305" i="3"/>
  <c r="X306" i="3" s="1"/>
  <c r="AE305" i="3" l="1"/>
  <c r="Y306" i="3" s="1"/>
  <c r="C306" i="3" s="1"/>
  <c r="U305" i="3"/>
  <c r="O306" i="3" s="1"/>
  <c r="N306" i="3"/>
  <c r="Z306" i="3"/>
  <c r="P306" i="3"/>
  <c r="Q306" i="3" s="1"/>
  <c r="AA306" i="3"/>
  <c r="R306" i="3"/>
  <c r="B306" i="3" l="1"/>
  <c r="AB306" i="3"/>
  <c r="S306" i="3" s="1"/>
  <c r="AC306" i="3"/>
  <c r="T306" i="3" l="1"/>
  <c r="AD306" i="3"/>
  <c r="X307" i="3" s="1"/>
  <c r="AE306" i="3" l="1"/>
  <c r="Y307" i="3" s="1"/>
  <c r="C307" i="3" s="1"/>
  <c r="N307" i="3"/>
  <c r="U306" i="3"/>
  <c r="O307" i="3" s="1"/>
  <c r="Z307" i="3"/>
  <c r="P307" i="3"/>
  <c r="Q307" i="3" s="1"/>
  <c r="AA307" i="3"/>
  <c r="R307" i="3"/>
  <c r="B307" i="3" l="1"/>
  <c r="AB307" i="3"/>
  <c r="S307" i="3" s="1"/>
  <c r="AC307" i="3"/>
  <c r="T307" i="3" l="1"/>
  <c r="N308" i="3" s="1"/>
  <c r="AD307" i="3"/>
  <c r="AE307" i="3" s="1"/>
  <c r="Y308" i="3" s="1"/>
  <c r="U307" i="3" l="1"/>
  <c r="O308" i="3" s="1"/>
  <c r="X308" i="3"/>
  <c r="B308" i="3"/>
  <c r="C308" i="3"/>
  <c r="Z308" i="3"/>
  <c r="P308" i="3"/>
  <c r="Q308" i="3"/>
  <c r="AA308" i="3"/>
  <c r="R308" i="3"/>
  <c r="AB308" i="3"/>
  <c r="S308" i="3" s="1"/>
  <c r="AC308" i="3"/>
  <c r="T308" i="3" l="1"/>
  <c r="AD308" i="3"/>
  <c r="X309" i="3" s="1"/>
  <c r="AE308" i="3" l="1"/>
  <c r="Y309" i="3" s="1"/>
  <c r="C309" i="3" s="1"/>
  <c r="N309" i="3"/>
  <c r="U308" i="3"/>
  <c r="O309" i="3" s="1"/>
  <c r="Z309" i="3"/>
  <c r="P309" i="3"/>
  <c r="Q309" i="3" s="1"/>
  <c r="AA309" i="3"/>
  <c r="R309" i="3"/>
  <c r="B309" i="3" l="1"/>
  <c r="AB309" i="3"/>
  <c r="S309" i="3" s="1"/>
  <c r="AC309" i="3"/>
  <c r="T309" i="3" l="1"/>
  <c r="AD309" i="3"/>
  <c r="X310" i="3" s="1"/>
  <c r="AE309" i="3"/>
  <c r="Y310" i="3" s="1"/>
  <c r="N310" i="3" l="1"/>
  <c r="U309" i="3"/>
  <c r="O310" i="3" s="1"/>
  <c r="C310" i="3"/>
  <c r="Z310" i="3"/>
  <c r="P310" i="3"/>
  <c r="Q310" i="3" s="1"/>
  <c r="AA310" i="3"/>
  <c r="R310" i="3"/>
  <c r="B310" i="3" l="1"/>
  <c r="AB310" i="3"/>
  <c r="S310" i="3" s="1"/>
  <c r="AC310" i="3"/>
  <c r="T310" i="3" l="1"/>
  <c r="AD310" i="3"/>
  <c r="X311" i="3" s="1"/>
  <c r="AE310" i="3" l="1"/>
  <c r="Y311" i="3" s="1"/>
  <c r="C311" i="3" s="1"/>
  <c r="N311" i="3"/>
  <c r="U310" i="3"/>
  <c r="O311" i="3" s="1"/>
  <c r="Z311" i="3"/>
  <c r="P311" i="3"/>
  <c r="Q311" i="3" s="1"/>
  <c r="AA311" i="3"/>
  <c r="R311" i="3"/>
  <c r="B311" i="3" l="1"/>
  <c r="AB311" i="3"/>
  <c r="S311" i="3" s="1"/>
  <c r="AC311" i="3"/>
  <c r="T311" i="3" l="1"/>
  <c r="AD311" i="3"/>
  <c r="X312" i="3" s="1"/>
  <c r="AE311" i="3" l="1"/>
  <c r="Y312" i="3" s="1"/>
  <c r="C312" i="3" s="1"/>
  <c r="N312" i="3"/>
  <c r="U311" i="3"/>
  <c r="O312" i="3" s="1"/>
  <c r="Z312" i="3"/>
  <c r="P312" i="3"/>
  <c r="Q312" i="3" s="1"/>
  <c r="AA312" i="3"/>
  <c r="R312" i="3"/>
  <c r="B312" i="3" l="1"/>
  <c r="AB312" i="3"/>
  <c r="S312" i="3" s="1"/>
  <c r="AC312" i="3"/>
  <c r="T312" i="3" l="1"/>
  <c r="AD312" i="3"/>
  <c r="X313" i="3" s="1"/>
  <c r="AE312" i="3" l="1"/>
  <c r="Y313" i="3" s="1"/>
  <c r="C313" i="3" s="1"/>
  <c r="N313" i="3"/>
  <c r="U312" i="3"/>
  <c r="O313" i="3" s="1"/>
  <c r="Z313" i="3"/>
  <c r="P313" i="3"/>
  <c r="Q313" i="3" s="1"/>
  <c r="AA313" i="3"/>
  <c r="R313" i="3"/>
  <c r="B313" i="3" l="1"/>
  <c r="AB313" i="3"/>
  <c r="S313" i="3" s="1"/>
  <c r="AC313" i="3"/>
  <c r="T313" i="3" l="1"/>
  <c r="AD313" i="3"/>
  <c r="X314" i="3" s="1"/>
  <c r="AE313" i="3" l="1"/>
  <c r="Y314" i="3" s="1"/>
  <c r="U313" i="3"/>
  <c r="O314" i="3" s="1"/>
  <c r="N314" i="3"/>
  <c r="C314" i="3"/>
  <c r="Z314" i="3"/>
  <c r="P314" i="3"/>
  <c r="Q314" i="3" s="1"/>
  <c r="AA314" i="3"/>
  <c r="R314" i="3"/>
  <c r="B314" i="3" l="1"/>
  <c r="AB314" i="3"/>
  <c r="S314" i="3" s="1"/>
  <c r="AC314" i="3"/>
  <c r="T314" i="3" l="1"/>
  <c r="AD314" i="3"/>
  <c r="X315" i="3" s="1"/>
  <c r="N315" i="3" l="1"/>
  <c r="U314" i="3"/>
  <c r="O315" i="3" s="1"/>
  <c r="AE314" i="3"/>
  <c r="Y315" i="3" s="1"/>
  <c r="C315" i="3" s="1"/>
  <c r="Z315" i="3"/>
  <c r="P315" i="3"/>
  <c r="Q315" i="3" s="1"/>
  <c r="AA315" i="3"/>
  <c r="R315" i="3"/>
  <c r="B315" i="3" l="1"/>
  <c r="AB315" i="3"/>
  <c r="S315" i="3" s="1"/>
  <c r="AC315" i="3"/>
  <c r="T315" i="3" l="1"/>
  <c r="N316" i="3" s="1"/>
  <c r="AD315" i="3"/>
  <c r="U315" i="3"/>
  <c r="O316" i="3" s="1"/>
  <c r="X316" i="3"/>
  <c r="AE315" i="3"/>
  <c r="Y316" i="3" s="1"/>
  <c r="P316" i="3"/>
  <c r="Z316" i="3"/>
  <c r="Q316" i="3"/>
  <c r="B316" i="3" l="1"/>
  <c r="C316" i="3"/>
  <c r="AA316" i="3"/>
  <c r="R316" i="3"/>
  <c r="AB316" i="3"/>
  <c r="S316" i="3" s="1"/>
  <c r="AC316" i="3"/>
  <c r="T316" i="3" l="1"/>
  <c r="AD316" i="3"/>
  <c r="X317" i="3" s="1"/>
  <c r="N317" i="3" l="1"/>
  <c r="U316" i="3"/>
  <c r="O317" i="3" s="1"/>
  <c r="AE316" i="3"/>
  <c r="Y317" i="3" s="1"/>
  <c r="C317" i="3" s="1"/>
  <c r="Z317" i="3"/>
  <c r="P317" i="3"/>
  <c r="Q317" i="3" s="1"/>
  <c r="AA317" i="3"/>
  <c r="R317" i="3"/>
  <c r="B317" i="3" l="1"/>
  <c r="AB317" i="3"/>
  <c r="S317" i="3" s="1"/>
  <c r="AC317" i="3"/>
  <c r="T317" i="3" l="1"/>
  <c r="AD317" i="3"/>
  <c r="X318" i="3" s="1"/>
  <c r="AE317" i="3" l="1"/>
  <c r="Y318" i="3" s="1"/>
  <c r="U317" i="3"/>
  <c r="O318" i="3" s="1"/>
  <c r="N318" i="3"/>
  <c r="C318" i="3"/>
  <c r="Z318" i="3"/>
  <c r="P318" i="3"/>
  <c r="Q318" i="3" s="1"/>
  <c r="AA318" i="3"/>
  <c r="R318" i="3"/>
  <c r="B318" i="3" l="1"/>
  <c r="AB318" i="3"/>
  <c r="S318" i="3" s="1"/>
  <c r="AC318" i="3"/>
  <c r="T318" i="3" l="1"/>
  <c r="AD318" i="3"/>
  <c r="X319" i="3" s="1"/>
  <c r="N319" i="3" l="1"/>
  <c r="U318" i="3"/>
  <c r="O319" i="3" s="1"/>
  <c r="AE318" i="3"/>
  <c r="Y319" i="3" s="1"/>
  <c r="C319" i="3" s="1"/>
  <c r="Z319" i="3"/>
  <c r="P319" i="3"/>
  <c r="Q319" i="3" s="1"/>
  <c r="AA319" i="3"/>
  <c r="R319" i="3"/>
  <c r="B319" i="3" l="1"/>
  <c r="AB319" i="3"/>
  <c r="S319" i="3" s="1"/>
  <c r="AC319" i="3"/>
  <c r="T319" i="3" l="1"/>
  <c r="AD319" i="3"/>
  <c r="X320" i="3" s="1"/>
  <c r="AE319" i="3" l="1"/>
  <c r="Y320" i="3" s="1"/>
  <c r="C320" i="3" s="1"/>
  <c r="N320" i="3"/>
  <c r="U319" i="3"/>
  <c r="O320" i="3" s="1"/>
  <c r="Z320" i="3"/>
  <c r="P320" i="3"/>
  <c r="Q320" i="3" s="1"/>
  <c r="AA320" i="3"/>
  <c r="R320" i="3"/>
  <c r="B320" i="3" l="1"/>
  <c r="AB320" i="3"/>
  <c r="S320" i="3" s="1"/>
  <c r="AC320" i="3"/>
  <c r="T320" i="3" l="1"/>
  <c r="AD320" i="3"/>
  <c r="X321" i="3" s="1"/>
  <c r="AE320" i="3" l="1"/>
  <c r="Y321" i="3" s="1"/>
  <c r="C321" i="3" s="1"/>
  <c r="N321" i="3"/>
  <c r="U320" i="3"/>
  <c r="O321" i="3" s="1"/>
  <c r="Z321" i="3"/>
  <c r="P321" i="3"/>
  <c r="Q321" i="3" s="1"/>
  <c r="AA321" i="3"/>
  <c r="R321" i="3"/>
  <c r="B321" i="3" l="1"/>
  <c r="AB321" i="3"/>
  <c r="S321" i="3" s="1"/>
  <c r="AC321" i="3"/>
  <c r="T321" i="3" l="1"/>
  <c r="AD321" i="3"/>
  <c r="X322" i="3" s="1"/>
  <c r="AE321" i="3" l="1"/>
  <c r="Y322" i="3" s="1"/>
  <c r="C322" i="3" s="1"/>
  <c r="N322" i="3"/>
  <c r="U321" i="3"/>
  <c r="O322" i="3" s="1"/>
  <c r="Z322" i="3"/>
  <c r="P322" i="3"/>
  <c r="Q322" i="3" s="1"/>
  <c r="AA322" i="3"/>
  <c r="R322" i="3"/>
  <c r="B322" i="3" l="1"/>
  <c r="AB322" i="3"/>
  <c r="S322" i="3" s="1"/>
  <c r="AC322" i="3"/>
  <c r="T322" i="3" l="1"/>
  <c r="N323" i="3" s="1"/>
  <c r="AD322" i="3"/>
  <c r="X323" i="3" s="1"/>
  <c r="U322" i="3" l="1"/>
  <c r="O323" i="3" s="1"/>
  <c r="B323" i="3" s="1"/>
  <c r="AE322" i="3"/>
  <c r="Y323" i="3" s="1"/>
  <c r="C323" i="3" s="1"/>
  <c r="Z323" i="3"/>
  <c r="P323" i="3"/>
  <c r="Q323" i="3" s="1"/>
  <c r="AA323" i="3"/>
  <c r="R323" i="3"/>
  <c r="AB323" i="3"/>
  <c r="S323" i="3" s="1"/>
  <c r="AC323" i="3"/>
  <c r="T323" i="3" l="1"/>
  <c r="AD323" i="3"/>
  <c r="X324" i="3" s="1"/>
  <c r="AE323" i="3" l="1"/>
  <c r="Y324" i="3" s="1"/>
  <c r="C324" i="3" s="1"/>
  <c r="N324" i="3"/>
  <c r="U323" i="3"/>
  <c r="O324" i="3" s="1"/>
  <c r="Z324" i="3"/>
  <c r="P324" i="3"/>
  <c r="Q324" i="3" s="1"/>
  <c r="AA324" i="3"/>
  <c r="R324" i="3"/>
  <c r="B324" i="3" l="1"/>
  <c r="AB324" i="3"/>
  <c r="S324" i="3" s="1"/>
  <c r="AC324" i="3"/>
  <c r="T324" i="3" l="1"/>
  <c r="AD324" i="3"/>
  <c r="X325" i="3" s="1"/>
  <c r="AE324" i="3" l="1"/>
  <c r="Y325" i="3" s="1"/>
  <c r="C325" i="3" s="1"/>
  <c r="N325" i="3"/>
  <c r="U324" i="3"/>
  <c r="O325" i="3" s="1"/>
  <c r="Z325" i="3"/>
  <c r="P325" i="3"/>
  <c r="Q325" i="3" s="1"/>
  <c r="AA325" i="3"/>
  <c r="R325" i="3"/>
  <c r="B325" i="3" l="1"/>
  <c r="AB325" i="3"/>
  <c r="S325" i="3" s="1"/>
  <c r="AC325" i="3"/>
  <c r="T325" i="3" l="1"/>
  <c r="AD325" i="3"/>
  <c r="X326" i="3" s="1"/>
  <c r="AE325" i="3" l="1"/>
  <c r="Y326" i="3" s="1"/>
  <c r="C326" i="3" s="1"/>
  <c r="N326" i="3"/>
  <c r="U325" i="3"/>
  <c r="O326" i="3" s="1"/>
  <c r="Z326" i="3"/>
  <c r="P326" i="3"/>
  <c r="Q326" i="3" s="1"/>
  <c r="AA326" i="3"/>
  <c r="R326" i="3"/>
  <c r="B326" i="3" l="1"/>
  <c r="AB326" i="3"/>
  <c r="S326" i="3" s="1"/>
  <c r="AC326" i="3"/>
  <c r="T326" i="3" l="1"/>
  <c r="AD326" i="3"/>
  <c r="X327" i="3" s="1"/>
  <c r="AE326" i="3" l="1"/>
  <c r="Y327" i="3" s="1"/>
  <c r="C327" i="3" s="1"/>
  <c r="N327" i="3"/>
  <c r="U326" i="3"/>
  <c r="O327" i="3" s="1"/>
  <c r="Z327" i="3"/>
  <c r="P327" i="3"/>
  <c r="Q327" i="3" s="1"/>
  <c r="AA327" i="3"/>
  <c r="R327" i="3"/>
  <c r="B327" i="3" l="1"/>
  <c r="AB327" i="3"/>
  <c r="S327" i="3" s="1"/>
  <c r="AC327" i="3"/>
  <c r="T327" i="3" l="1"/>
  <c r="AD327" i="3"/>
  <c r="X328" i="3" s="1"/>
  <c r="AE327" i="3" l="1"/>
  <c r="Y328" i="3" s="1"/>
  <c r="N328" i="3"/>
  <c r="U327" i="3"/>
  <c r="O328" i="3" s="1"/>
  <c r="C328" i="3"/>
  <c r="Z328" i="3"/>
  <c r="P328" i="3"/>
  <c r="Q328" i="3" s="1"/>
  <c r="AA328" i="3"/>
  <c r="R328" i="3"/>
  <c r="B328" i="3" l="1"/>
  <c r="AB328" i="3"/>
  <c r="S328" i="3" s="1"/>
  <c r="AC328" i="3"/>
  <c r="T328" i="3" l="1"/>
  <c r="AD328" i="3"/>
  <c r="X329" i="3" s="1"/>
  <c r="AE328" i="3" l="1"/>
  <c r="Y329" i="3" s="1"/>
  <c r="N329" i="3"/>
  <c r="U328" i="3"/>
  <c r="O329" i="3" s="1"/>
  <c r="C329" i="3"/>
  <c r="Z329" i="3"/>
  <c r="P329" i="3"/>
  <c r="Q329" i="3" s="1"/>
  <c r="AA329" i="3"/>
  <c r="R329" i="3"/>
  <c r="B329" i="3" l="1"/>
  <c r="AB329" i="3"/>
  <c r="S329" i="3" s="1"/>
  <c r="AC329" i="3"/>
  <c r="T329" i="3" l="1"/>
  <c r="AD329" i="3"/>
  <c r="X330" i="3" s="1"/>
  <c r="AE329" i="3" l="1"/>
  <c r="Y330" i="3" s="1"/>
  <c r="C330" i="3" s="1"/>
  <c r="N330" i="3"/>
  <c r="U329" i="3"/>
  <c r="O330" i="3" s="1"/>
  <c r="Z330" i="3"/>
  <c r="P330" i="3"/>
  <c r="Q330" i="3" s="1"/>
  <c r="AA330" i="3"/>
  <c r="R330" i="3"/>
  <c r="B330" i="3" l="1"/>
  <c r="AB330" i="3"/>
  <c r="S330" i="3" s="1"/>
  <c r="AC330" i="3"/>
  <c r="T330" i="3" l="1"/>
  <c r="AD330" i="3"/>
  <c r="AE330" i="3" s="1"/>
  <c r="Y331" i="3" s="1"/>
  <c r="X331" i="3" l="1"/>
  <c r="N331" i="3"/>
  <c r="U330" i="3"/>
  <c r="O331" i="3" s="1"/>
  <c r="C331" i="3"/>
  <c r="Z331" i="3"/>
  <c r="P331" i="3"/>
  <c r="Q331" i="3" s="1"/>
  <c r="AA331" i="3"/>
  <c r="R331" i="3"/>
  <c r="B331" i="3" l="1"/>
  <c r="AB331" i="3"/>
  <c r="S331" i="3" s="1"/>
  <c r="AC331" i="3"/>
  <c r="T331" i="3" l="1"/>
  <c r="AD331" i="3"/>
  <c r="X332" i="3" s="1"/>
  <c r="AE331" i="3" l="1"/>
  <c r="Y332" i="3" s="1"/>
  <c r="C332" i="3" s="1"/>
  <c r="N332" i="3"/>
  <c r="U331" i="3"/>
  <c r="O332" i="3" s="1"/>
  <c r="Z332" i="3"/>
  <c r="P332" i="3"/>
  <c r="Q332" i="3" s="1"/>
  <c r="AA332" i="3"/>
  <c r="R332" i="3"/>
  <c r="B332" i="3" l="1"/>
  <c r="AB332" i="3"/>
  <c r="S332" i="3" s="1"/>
  <c r="AC332" i="3"/>
  <c r="T332" i="3" l="1"/>
  <c r="AD332" i="3"/>
  <c r="X333" i="3" s="1"/>
  <c r="AE332" i="3" l="1"/>
  <c r="Y333" i="3" s="1"/>
  <c r="N333" i="3"/>
  <c r="U332" i="3"/>
  <c r="O333" i="3" s="1"/>
  <c r="C333" i="3"/>
  <c r="Z333" i="3"/>
  <c r="P333" i="3"/>
  <c r="Q333" i="3"/>
  <c r="AA333" i="3"/>
  <c r="R333" i="3"/>
  <c r="B333" i="3" l="1"/>
  <c r="AB333" i="3"/>
  <c r="S333" i="3" s="1"/>
  <c r="AC333" i="3"/>
  <c r="T333" i="3" l="1"/>
  <c r="N334" i="3" s="1"/>
  <c r="AD333" i="3"/>
  <c r="X334" i="3" s="1"/>
  <c r="U333" i="3" l="1"/>
  <c r="O334" i="3" s="1"/>
  <c r="AE333" i="3"/>
  <c r="Y334" i="3" s="1"/>
  <c r="C334" i="3" s="1"/>
  <c r="B334" i="3"/>
  <c r="Z334" i="3"/>
  <c r="P334" i="3"/>
  <c r="Q334" i="3" s="1"/>
  <c r="AA334" i="3"/>
  <c r="R334" i="3"/>
  <c r="AB334" i="3"/>
  <c r="S334" i="3" s="1"/>
  <c r="AC334" i="3"/>
  <c r="T334" i="3" l="1"/>
  <c r="AD334" i="3"/>
  <c r="X335" i="3" s="1"/>
  <c r="AE334" i="3" l="1"/>
  <c r="Y335" i="3" s="1"/>
  <c r="C335" i="3" s="1"/>
  <c r="U334" i="3"/>
  <c r="O335" i="3" s="1"/>
  <c r="N335" i="3"/>
  <c r="Z335" i="3"/>
  <c r="P335" i="3"/>
  <c r="Q335" i="3" s="1"/>
  <c r="AA335" i="3"/>
  <c r="R335" i="3"/>
  <c r="B335" i="3" l="1"/>
  <c r="AB335" i="3"/>
  <c r="S335" i="3" s="1"/>
  <c r="AC335" i="3"/>
  <c r="T335" i="3" l="1"/>
  <c r="AD335" i="3"/>
  <c r="X336" i="3" s="1"/>
  <c r="AE335" i="3" l="1"/>
  <c r="Y336" i="3" s="1"/>
  <c r="U335" i="3"/>
  <c r="O336" i="3" s="1"/>
  <c r="N336" i="3"/>
  <c r="C336" i="3"/>
  <c r="Z336" i="3"/>
  <c r="P336" i="3"/>
  <c r="Q336" i="3" s="1"/>
  <c r="AA336" i="3"/>
  <c r="R336" i="3"/>
  <c r="B336" i="3" l="1"/>
  <c r="AB336" i="3"/>
  <c r="S336" i="3" s="1"/>
  <c r="AC336" i="3"/>
  <c r="T336" i="3" l="1"/>
  <c r="AD336" i="3"/>
  <c r="X337" i="3" s="1"/>
  <c r="AE336" i="3" l="1"/>
  <c r="Y337" i="3" s="1"/>
  <c r="C337" i="3" s="1"/>
  <c r="U336" i="3"/>
  <c r="O337" i="3" s="1"/>
  <c r="N337" i="3"/>
  <c r="Z337" i="3"/>
  <c r="P337" i="3"/>
  <c r="Q337" i="3" s="1"/>
  <c r="AA337" i="3"/>
  <c r="R337" i="3"/>
  <c r="B337" i="3" l="1"/>
  <c r="AB337" i="3"/>
  <c r="S337" i="3" s="1"/>
  <c r="AC337" i="3"/>
  <c r="T337" i="3" l="1"/>
  <c r="N338" i="3" s="1"/>
  <c r="AD337" i="3"/>
  <c r="X338" i="3" s="1"/>
  <c r="AE337" i="3" l="1"/>
  <c r="Y338" i="3" s="1"/>
  <c r="C338" i="3" s="1"/>
  <c r="U337" i="3"/>
  <c r="O338" i="3" s="1"/>
  <c r="B338" i="3" s="1"/>
  <c r="Z338" i="3"/>
  <c r="P338" i="3"/>
  <c r="Q338" i="3" s="1"/>
  <c r="AA338" i="3"/>
  <c r="R338" i="3"/>
  <c r="AB338" i="3"/>
  <c r="S338" i="3" s="1"/>
  <c r="AC338" i="3"/>
  <c r="T338" i="3" l="1"/>
  <c r="AD338" i="3"/>
  <c r="AE338" i="3" s="1"/>
  <c r="Y339" i="3" s="1"/>
  <c r="X339" i="3" l="1"/>
  <c r="N339" i="3"/>
  <c r="U338" i="3"/>
  <c r="O339" i="3" s="1"/>
  <c r="C339" i="3"/>
  <c r="Z339" i="3"/>
  <c r="P339" i="3"/>
  <c r="Q339" i="3" s="1"/>
  <c r="AA339" i="3"/>
  <c r="R339" i="3"/>
  <c r="B339" i="3" l="1"/>
  <c r="AB339" i="3"/>
  <c r="S339" i="3" s="1"/>
  <c r="AC339" i="3"/>
  <c r="T339" i="3" l="1"/>
  <c r="AD339" i="3"/>
  <c r="X340" i="3" s="1"/>
  <c r="AE339" i="3" l="1"/>
  <c r="Y340" i="3" s="1"/>
  <c r="N340" i="3"/>
  <c r="U339" i="3"/>
  <c r="O340" i="3" s="1"/>
  <c r="C340" i="3"/>
  <c r="Z340" i="3"/>
  <c r="P340" i="3"/>
  <c r="Q340" i="3" s="1"/>
  <c r="AA340" i="3"/>
  <c r="R340" i="3"/>
  <c r="B340" i="3" l="1"/>
  <c r="AB340" i="3"/>
  <c r="S340" i="3" s="1"/>
  <c r="AC340" i="3"/>
  <c r="T340" i="3" l="1"/>
  <c r="AD340" i="3"/>
  <c r="X341" i="3" s="1"/>
  <c r="AE340" i="3" l="1"/>
  <c r="Y341" i="3" s="1"/>
  <c r="C341" i="3" s="1"/>
  <c r="N341" i="3"/>
  <c r="U340" i="3"/>
  <c r="O341" i="3" s="1"/>
  <c r="Z341" i="3"/>
  <c r="P341" i="3"/>
  <c r="Q341" i="3" s="1"/>
  <c r="AA341" i="3"/>
  <c r="R341" i="3"/>
  <c r="B341" i="3" l="1"/>
  <c r="AB341" i="3"/>
  <c r="S341" i="3" s="1"/>
  <c r="AC341" i="3"/>
  <c r="T341" i="3" l="1"/>
  <c r="N342" i="3" s="1"/>
  <c r="AD341" i="3"/>
  <c r="X342" i="3" s="1"/>
  <c r="U341" i="3" l="1"/>
  <c r="O342" i="3" s="1"/>
  <c r="AE341" i="3"/>
  <c r="Y342" i="3" s="1"/>
  <c r="B342" i="3"/>
  <c r="Z342" i="3"/>
  <c r="P342" i="3"/>
  <c r="Q342" i="3" s="1"/>
  <c r="AA342" i="3"/>
  <c r="R342" i="3"/>
  <c r="AB342" i="3"/>
  <c r="S342" i="3" s="1"/>
  <c r="AC342" i="3"/>
  <c r="C342" i="3" l="1"/>
  <c r="T342" i="3"/>
  <c r="AD342" i="3"/>
  <c r="X343" i="3" s="1"/>
  <c r="AE342" i="3" l="1"/>
  <c r="Y343" i="3" s="1"/>
  <c r="C343" i="3" s="1"/>
  <c r="N343" i="3"/>
  <c r="U342" i="3"/>
  <c r="O343" i="3" s="1"/>
  <c r="Z343" i="3"/>
  <c r="P343" i="3"/>
  <c r="Q343" i="3" s="1"/>
  <c r="AA343" i="3"/>
  <c r="R343" i="3"/>
  <c r="B343" i="3" l="1"/>
  <c r="AB343" i="3"/>
  <c r="S343" i="3" s="1"/>
  <c r="AC343" i="3"/>
  <c r="T343" i="3" l="1"/>
  <c r="AD343" i="3"/>
  <c r="AE343" i="3" s="1"/>
  <c r="Y344" i="3" s="1"/>
  <c r="X344" i="3" l="1"/>
  <c r="N344" i="3"/>
  <c r="U343" i="3"/>
  <c r="O344" i="3" s="1"/>
  <c r="C344" i="3"/>
  <c r="Z344" i="3"/>
  <c r="P344" i="3"/>
  <c r="Q344" i="3" s="1"/>
  <c r="AA344" i="3"/>
  <c r="R344" i="3"/>
  <c r="B344" i="3" l="1"/>
  <c r="AB344" i="3"/>
  <c r="S344" i="3" s="1"/>
  <c r="AC344" i="3"/>
  <c r="T344" i="3" l="1"/>
  <c r="AD344" i="3"/>
  <c r="X345" i="3" s="1"/>
  <c r="AE344" i="3" l="1"/>
  <c r="Y345" i="3" s="1"/>
  <c r="C345" i="3" s="1"/>
  <c r="N345" i="3"/>
  <c r="U344" i="3"/>
  <c r="O345" i="3" s="1"/>
  <c r="Z345" i="3"/>
  <c r="P345" i="3"/>
  <c r="Q345" i="3" s="1"/>
  <c r="AA345" i="3"/>
  <c r="R345" i="3"/>
  <c r="B345" i="3" l="1"/>
  <c r="AB345" i="3"/>
  <c r="S345" i="3" s="1"/>
  <c r="AC345" i="3"/>
  <c r="T345" i="3" l="1"/>
  <c r="AD345" i="3"/>
  <c r="X346" i="3" s="1"/>
  <c r="AE345" i="3" l="1"/>
  <c r="Y346" i="3" s="1"/>
  <c r="C346" i="3" s="1"/>
  <c r="N346" i="3"/>
  <c r="U345" i="3"/>
  <c r="O346" i="3" s="1"/>
  <c r="Z346" i="3"/>
  <c r="P346" i="3"/>
  <c r="Q346" i="3" s="1"/>
  <c r="AA346" i="3"/>
  <c r="R346" i="3"/>
  <c r="B346" i="3" l="1"/>
  <c r="AB346" i="3"/>
  <c r="S346" i="3" s="1"/>
  <c r="AC346" i="3"/>
  <c r="T346" i="3" l="1"/>
  <c r="AD346" i="3"/>
  <c r="X347" i="3" s="1"/>
  <c r="N347" i="3" l="1"/>
  <c r="U346" i="3"/>
  <c r="O347" i="3" s="1"/>
  <c r="AE346" i="3"/>
  <c r="Y347" i="3" s="1"/>
  <c r="C347" i="3" s="1"/>
  <c r="Z347" i="3"/>
  <c r="P347" i="3"/>
  <c r="Q347" i="3" s="1"/>
  <c r="AA347" i="3"/>
  <c r="R347" i="3"/>
  <c r="B347" i="3" l="1"/>
  <c r="AB347" i="3"/>
  <c r="S347" i="3" s="1"/>
  <c r="AC347" i="3"/>
  <c r="T347" i="3" l="1"/>
  <c r="N348" i="3" s="1"/>
  <c r="AD347" i="3"/>
  <c r="X348" i="3" s="1"/>
  <c r="U347" i="3" l="1"/>
  <c r="O348" i="3" s="1"/>
  <c r="AE347" i="3"/>
  <c r="Y348" i="3" s="1"/>
  <c r="C348" i="3" s="1"/>
  <c r="B348" i="3"/>
  <c r="Z348" i="3"/>
  <c r="P348" i="3"/>
  <c r="Q348" i="3" s="1"/>
  <c r="AA348" i="3"/>
  <c r="R348" i="3"/>
  <c r="AB348" i="3"/>
  <c r="S348" i="3" s="1"/>
  <c r="AC348" i="3"/>
  <c r="T348" i="3" l="1"/>
  <c r="AD348" i="3"/>
  <c r="X349" i="3" s="1"/>
  <c r="AE348" i="3" l="1"/>
  <c r="Y349" i="3" s="1"/>
  <c r="C349" i="3" s="1"/>
  <c r="U348" i="3"/>
  <c r="O349" i="3" s="1"/>
  <c r="N349" i="3"/>
  <c r="Z349" i="3"/>
  <c r="P349" i="3"/>
  <c r="Q349" i="3" s="1"/>
  <c r="AA349" i="3"/>
  <c r="R349" i="3"/>
  <c r="B349" i="3" l="1"/>
  <c r="AB349" i="3"/>
  <c r="S349" i="3" s="1"/>
  <c r="AC349" i="3"/>
  <c r="T349" i="3" l="1"/>
  <c r="N350" i="3" s="1"/>
  <c r="AD349" i="3"/>
  <c r="AE349" i="3" s="1"/>
  <c r="Y350" i="3" s="1"/>
  <c r="U349" i="3" l="1"/>
  <c r="O350" i="3" s="1"/>
  <c r="X350" i="3"/>
  <c r="C350" i="3"/>
  <c r="Z350" i="3"/>
  <c r="P350" i="3"/>
  <c r="Q350" i="3"/>
  <c r="AA350" i="3"/>
  <c r="R350" i="3"/>
  <c r="B350" i="3" l="1"/>
  <c r="AB350" i="3"/>
  <c r="S350" i="3" s="1"/>
  <c r="AC350" i="3"/>
  <c r="T350" i="3" l="1"/>
  <c r="AD350" i="3"/>
  <c r="X351" i="3" s="1"/>
  <c r="AE350" i="3" l="1"/>
  <c r="Y351" i="3" s="1"/>
  <c r="C351" i="3" s="1"/>
  <c r="N351" i="3"/>
  <c r="U350" i="3"/>
  <c r="O351" i="3" s="1"/>
  <c r="Z351" i="3"/>
  <c r="P351" i="3"/>
  <c r="Q351" i="3" s="1"/>
  <c r="AA351" i="3"/>
  <c r="R351" i="3"/>
  <c r="B351" i="3" l="1"/>
  <c r="AB351" i="3"/>
  <c r="S351" i="3" s="1"/>
  <c r="AC351" i="3"/>
  <c r="T351" i="3" l="1"/>
  <c r="AD351" i="3"/>
  <c r="X352" i="3" s="1"/>
  <c r="AE351" i="3" l="1"/>
  <c r="Y352" i="3" s="1"/>
  <c r="C352" i="3" s="1"/>
  <c r="N352" i="3"/>
  <c r="U351" i="3"/>
  <c r="O352" i="3" s="1"/>
  <c r="Z352" i="3"/>
  <c r="P352" i="3"/>
  <c r="Q352" i="3" s="1"/>
  <c r="AA352" i="3"/>
  <c r="R352" i="3"/>
  <c r="B352" i="3" l="1"/>
  <c r="AB352" i="3"/>
  <c r="S352" i="3" s="1"/>
  <c r="AC352" i="3"/>
  <c r="T352" i="3" l="1"/>
  <c r="AD352" i="3"/>
  <c r="X353" i="3" s="1"/>
  <c r="AE352" i="3" l="1"/>
  <c r="Y353" i="3" s="1"/>
  <c r="C353" i="3" s="1"/>
  <c r="N353" i="3"/>
  <c r="U352" i="3"/>
  <c r="O353" i="3" s="1"/>
  <c r="Z353" i="3"/>
  <c r="P353" i="3"/>
  <c r="Q353" i="3" s="1"/>
  <c r="AA353" i="3"/>
  <c r="R353" i="3"/>
  <c r="B353" i="3" l="1"/>
  <c r="AB353" i="3"/>
  <c r="S353" i="3" s="1"/>
  <c r="AC353" i="3"/>
  <c r="T353" i="3" l="1"/>
  <c r="AD353" i="3"/>
  <c r="X354" i="3" s="1"/>
  <c r="AE353" i="3" l="1"/>
  <c r="Y354" i="3" s="1"/>
  <c r="C354" i="3" s="1"/>
  <c r="N354" i="3"/>
  <c r="U353" i="3"/>
  <c r="O354" i="3" s="1"/>
  <c r="Z354" i="3"/>
  <c r="P354" i="3"/>
  <c r="Q354" i="3" s="1"/>
  <c r="AA354" i="3"/>
  <c r="R354" i="3"/>
  <c r="B354" i="3" l="1"/>
  <c r="AB354" i="3"/>
  <c r="S354" i="3" s="1"/>
  <c r="AC354" i="3"/>
  <c r="T354" i="3" l="1"/>
  <c r="AD354" i="3"/>
  <c r="X355" i="3" s="1"/>
  <c r="AE354" i="3" l="1"/>
  <c r="Y355" i="3" s="1"/>
  <c r="C355" i="3" s="1"/>
  <c r="N355" i="3"/>
  <c r="U354" i="3"/>
  <c r="O355" i="3" s="1"/>
  <c r="Z355" i="3"/>
  <c r="P355" i="3"/>
  <c r="Q355" i="3"/>
  <c r="AA355" i="3"/>
  <c r="R355" i="3"/>
  <c r="B355" i="3" l="1"/>
  <c r="AB355" i="3"/>
  <c r="S355" i="3" s="1"/>
  <c r="AC355" i="3"/>
  <c r="T355" i="3" l="1"/>
  <c r="AD355" i="3"/>
  <c r="X356" i="3" s="1"/>
  <c r="AE355" i="3" l="1"/>
  <c r="Y356" i="3" s="1"/>
  <c r="C356" i="3" s="1"/>
  <c r="U355" i="3"/>
  <c r="O356" i="3" s="1"/>
  <c r="N356" i="3"/>
  <c r="Z356" i="3"/>
  <c r="P356" i="3"/>
  <c r="Q356" i="3" s="1"/>
  <c r="AA356" i="3"/>
  <c r="R356" i="3"/>
  <c r="B356" i="3" l="1"/>
  <c r="AB356" i="3"/>
  <c r="S356" i="3" s="1"/>
  <c r="AC356" i="3"/>
  <c r="T356" i="3" l="1"/>
  <c r="AD356" i="3"/>
  <c r="X357" i="3" s="1"/>
  <c r="AE356" i="3" l="1"/>
  <c r="Y357" i="3" s="1"/>
  <c r="C357" i="3" s="1"/>
  <c r="N357" i="3"/>
  <c r="U356" i="3"/>
  <c r="O357" i="3" s="1"/>
  <c r="Z357" i="3"/>
  <c r="P357" i="3"/>
  <c r="Q357" i="3" s="1"/>
  <c r="AA357" i="3"/>
  <c r="R357" i="3"/>
  <c r="B357" i="3" l="1"/>
  <c r="AB357" i="3"/>
  <c r="S357" i="3" s="1"/>
  <c r="AC357" i="3"/>
  <c r="T357" i="3" l="1"/>
  <c r="AD357" i="3"/>
  <c r="X358" i="3" s="1"/>
  <c r="AE357" i="3" l="1"/>
  <c r="Y358" i="3" s="1"/>
  <c r="N358" i="3"/>
  <c r="U357" i="3"/>
  <c r="O358" i="3" s="1"/>
  <c r="C358" i="3"/>
  <c r="Z358" i="3"/>
  <c r="P358" i="3"/>
  <c r="Q358" i="3" s="1"/>
  <c r="AA358" i="3"/>
  <c r="R358" i="3"/>
  <c r="B358" i="3" l="1"/>
  <c r="AB358" i="3"/>
  <c r="S358" i="3" s="1"/>
  <c r="AC358" i="3"/>
  <c r="T358" i="3" l="1"/>
  <c r="AD358" i="3"/>
  <c r="X359" i="3" s="1"/>
  <c r="AE358" i="3" l="1"/>
  <c r="Y359" i="3" s="1"/>
  <c r="C359" i="3" s="1"/>
  <c r="N359" i="3"/>
  <c r="U358" i="3"/>
  <c r="O359" i="3" s="1"/>
  <c r="Z359" i="3"/>
  <c r="P359" i="3"/>
  <c r="Q359" i="3" s="1"/>
  <c r="AA359" i="3"/>
  <c r="R359" i="3"/>
  <c r="B359" i="3" l="1"/>
  <c r="AB359" i="3"/>
  <c r="S359" i="3" s="1"/>
  <c r="AC359" i="3"/>
  <c r="T359" i="3" l="1"/>
  <c r="AD359" i="3"/>
  <c r="X360" i="3" s="1"/>
  <c r="AE359" i="3" l="1"/>
  <c r="Y360" i="3" s="1"/>
  <c r="C360" i="3" s="1"/>
  <c r="N360" i="3"/>
  <c r="U359" i="3"/>
  <c r="O360" i="3" s="1"/>
  <c r="Z360" i="3"/>
  <c r="P360" i="3"/>
  <c r="Q360" i="3" s="1"/>
  <c r="AA360" i="3"/>
  <c r="R360" i="3"/>
  <c r="B360" i="3" l="1"/>
  <c r="AB360" i="3"/>
  <c r="S360" i="3" s="1"/>
  <c r="AC360" i="3"/>
  <c r="T360" i="3" l="1"/>
  <c r="AD360" i="3"/>
  <c r="X361" i="3" s="1"/>
  <c r="AE360" i="3" l="1"/>
  <c r="Y361" i="3" s="1"/>
  <c r="C361" i="3" s="1"/>
  <c r="N361" i="3"/>
  <c r="U360" i="3"/>
  <c r="O361" i="3" s="1"/>
  <c r="Z361" i="3"/>
  <c r="P361" i="3"/>
  <c r="Q361" i="3" s="1"/>
  <c r="AA361" i="3"/>
  <c r="R361" i="3"/>
  <c r="B361" i="3" l="1"/>
  <c r="AB361" i="3"/>
  <c r="S361" i="3" s="1"/>
  <c r="AC361" i="3"/>
  <c r="T361" i="3" l="1"/>
  <c r="AD361" i="3"/>
  <c r="X362" i="3" s="1"/>
  <c r="AE361" i="3" l="1"/>
  <c r="Y362" i="3" s="1"/>
  <c r="N362" i="3"/>
  <c r="U361" i="3"/>
  <c r="O362" i="3" s="1"/>
  <c r="C362" i="3"/>
  <c r="Z362" i="3"/>
  <c r="P362" i="3"/>
  <c r="Q362" i="3" s="1"/>
  <c r="AA362" i="3"/>
  <c r="R362" i="3"/>
  <c r="B362" i="3" l="1"/>
  <c r="AB362" i="3"/>
  <c r="S362" i="3" s="1"/>
  <c r="AC362" i="3"/>
  <c r="T362" i="3" l="1"/>
  <c r="AD362" i="3"/>
  <c r="X363" i="3" s="1"/>
  <c r="AE362" i="3" l="1"/>
  <c r="Y363" i="3" s="1"/>
  <c r="C363" i="3" s="1"/>
  <c r="N363" i="3"/>
  <c r="U362" i="3"/>
  <c r="O363" i="3" s="1"/>
  <c r="Z363" i="3"/>
  <c r="P363" i="3"/>
  <c r="Q363" i="3"/>
  <c r="AA363" i="3"/>
  <c r="R363" i="3"/>
  <c r="B363" i="3" l="1"/>
  <c r="AB363" i="3"/>
  <c r="S363" i="3" s="1"/>
  <c r="AC363" i="3"/>
  <c r="T363" i="3" l="1"/>
  <c r="AD363" i="3"/>
  <c r="X364" i="3" s="1"/>
  <c r="AE363" i="3" l="1"/>
  <c r="Y364" i="3" s="1"/>
  <c r="N364" i="3"/>
  <c r="U363" i="3"/>
  <c r="O364" i="3" s="1"/>
  <c r="C364" i="3"/>
  <c r="Z364" i="3"/>
  <c r="P364" i="3"/>
  <c r="Q364" i="3" s="1"/>
  <c r="AA364" i="3"/>
  <c r="R364" i="3"/>
  <c r="B364" i="3" l="1"/>
  <c r="AB364" i="3"/>
  <c r="S364" i="3" s="1"/>
  <c r="AC364" i="3"/>
  <c r="T364" i="3" l="1"/>
  <c r="AD364" i="3"/>
  <c r="X365" i="3" s="1"/>
  <c r="AE364" i="3" l="1"/>
  <c r="Y365" i="3" s="1"/>
  <c r="C365" i="3" s="1"/>
  <c r="N365" i="3"/>
  <c r="U364" i="3"/>
  <c r="O365" i="3" s="1"/>
  <c r="Z365" i="3"/>
  <c r="P365" i="3"/>
  <c r="Q365" i="3" s="1"/>
  <c r="AA365" i="3"/>
  <c r="R365" i="3"/>
  <c r="B365" i="3" l="1"/>
  <c r="AB365" i="3"/>
  <c r="S365" i="3" s="1"/>
  <c r="AC365" i="3"/>
  <c r="T365" i="3" l="1"/>
  <c r="N366" i="3" s="1"/>
  <c r="AD365" i="3"/>
  <c r="X366" i="3" s="1"/>
  <c r="U365" i="3" l="1"/>
  <c r="O366" i="3" s="1"/>
  <c r="AE365" i="3"/>
  <c r="Y366" i="3" s="1"/>
  <c r="C366" i="3" s="1"/>
  <c r="Z366" i="3"/>
  <c r="P366" i="3"/>
  <c r="Q366" i="3" s="1"/>
  <c r="AA366" i="3"/>
  <c r="R366" i="3"/>
  <c r="AB366" i="3"/>
  <c r="S366" i="3" s="1"/>
  <c r="AC366" i="3"/>
  <c r="B366" i="3" l="1"/>
  <c r="T366" i="3"/>
  <c r="AD366" i="3"/>
  <c r="X367" i="3" s="1"/>
  <c r="AE366" i="3" l="1"/>
  <c r="Y367" i="3" s="1"/>
  <c r="C367" i="3" s="1"/>
  <c r="N367" i="3"/>
  <c r="U366" i="3"/>
  <c r="O367" i="3" s="1"/>
  <c r="Z367" i="3"/>
  <c r="P367" i="3"/>
  <c r="Q367" i="3" s="1"/>
  <c r="AA367" i="3"/>
  <c r="R367" i="3"/>
  <c r="B367" i="3" l="1"/>
  <c r="AB367" i="3"/>
  <c r="S367" i="3" s="1"/>
  <c r="AC367" i="3"/>
  <c r="T367" i="3" l="1"/>
  <c r="AD367" i="3"/>
  <c r="X368" i="3" s="1"/>
  <c r="AE367" i="3" l="1"/>
  <c r="Y368" i="3" s="1"/>
  <c r="N368" i="3"/>
  <c r="U367" i="3"/>
  <c r="O368" i="3" s="1"/>
  <c r="C368" i="3"/>
  <c r="Z368" i="3"/>
  <c r="P368" i="3"/>
  <c r="Q368" i="3" s="1"/>
  <c r="AA368" i="3"/>
  <c r="R368" i="3"/>
  <c r="B368" i="3" l="1"/>
  <c r="AB368" i="3"/>
  <c r="S368" i="3" s="1"/>
  <c r="AC368" i="3"/>
  <c r="T368" i="3" l="1"/>
  <c r="AD368" i="3"/>
  <c r="AE368" i="3" s="1"/>
  <c r="Y369" i="3" s="1"/>
  <c r="X369" i="3" l="1"/>
  <c r="N369" i="3"/>
  <c r="U368" i="3"/>
  <c r="O369" i="3" s="1"/>
  <c r="C369" i="3"/>
  <c r="Z369" i="3"/>
  <c r="P369" i="3"/>
  <c r="Q369" i="3" s="1"/>
  <c r="AA369" i="3"/>
  <c r="R369" i="3"/>
  <c r="B369" i="3" l="1"/>
  <c r="AB369" i="3"/>
  <c r="S369" i="3" s="1"/>
  <c r="AC369" i="3"/>
  <c r="T369" i="3" l="1"/>
  <c r="N370" i="3" s="1"/>
  <c r="AD369" i="3"/>
  <c r="X370" i="3"/>
  <c r="AE369" i="3"/>
  <c r="Y370" i="3" s="1"/>
  <c r="U369" i="3" l="1"/>
  <c r="O370" i="3" s="1"/>
  <c r="B370" i="3"/>
  <c r="C370" i="3"/>
  <c r="Z370" i="3"/>
  <c r="P370" i="3"/>
  <c r="Q370" i="3" s="1"/>
  <c r="AA370" i="3"/>
  <c r="R370" i="3"/>
  <c r="AB370" i="3"/>
  <c r="S370" i="3" s="1"/>
  <c r="AC370" i="3"/>
  <c r="T370" i="3" l="1"/>
  <c r="AD370" i="3"/>
  <c r="X371" i="3" s="1"/>
  <c r="AE370" i="3" l="1"/>
  <c r="Y371" i="3" s="1"/>
  <c r="C371" i="3" s="1"/>
  <c r="N371" i="3"/>
  <c r="U370" i="3"/>
  <c r="O371" i="3" s="1"/>
  <c r="Z371" i="3"/>
  <c r="P371" i="3"/>
  <c r="Q371" i="3" s="1"/>
  <c r="AA371" i="3"/>
  <c r="R371" i="3"/>
  <c r="B371" i="3" l="1"/>
  <c r="AB371" i="3"/>
  <c r="S371" i="3" s="1"/>
  <c r="AC371" i="3"/>
  <c r="T371" i="3" l="1"/>
  <c r="AD371" i="3"/>
  <c r="X372" i="3" s="1"/>
  <c r="AE371" i="3" l="1"/>
  <c r="Y372" i="3" s="1"/>
  <c r="C372" i="3" s="1"/>
  <c r="N372" i="3"/>
  <c r="U371" i="3"/>
  <c r="O372" i="3" s="1"/>
  <c r="Z372" i="3"/>
  <c r="P372" i="3"/>
  <c r="Q372" i="3" s="1"/>
  <c r="AA372" i="3"/>
  <c r="R372" i="3"/>
  <c r="B372" i="3" l="1"/>
  <c r="AB372" i="3"/>
  <c r="S372" i="3" s="1"/>
  <c r="AC372" i="3"/>
  <c r="T372" i="3" l="1"/>
  <c r="AD372" i="3"/>
  <c r="AE372" i="3" s="1"/>
  <c r="Y373" i="3" s="1"/>
  <c r="X373" i="3" l="1"/>
  <c r="N373" i="3"/>
  <c r="U372" i="3"/>
  <c r="O373" i="3" s="1"/>
  <c r="C373" i="3"/>
  <c r="Z373" i="3"/>
  <c r="P373" i="3"/>
  <c r="Q373" i="3" s="1"/>
  <c r="AA373" i="3"/>
  <c r="R373" i="3"/>
  <c r="B373" i="3" l="1"/>
  <c r="AB373" i="3"/>
  <c r="S373" i="3" s="1"/>
  <c r="AC373" i="3"/>
  <c r="T373" i="3" l="1"/>
  <c r="AD373" i="3"/>
  <c r="X374" i="3" s="1"/>
  <c r="AE373" i="3" l="1"/>
  <c r="Y374" i="3" s="1"/>
  <c r="U373" i="3"/>
  <c r="O374" i="3" s="1"/>
  <c r="N374" i="3"/>
  <c r="C374" i="3"/>
  <c r="Z374" i="3"/>
  <c r="P374" i="3"/>
  <c r="Q374" i="3" s="1"/>
  <c r="AA374" i="3"/>
  <c r="R374" i="3"/>
  <c r="B374" i="3" l="1"/>
  <c r="AB374" i="3"/>
  <c r="S374" i="3" s="1"/>
  <c r="AC374" i="3"/>
  <c r="T374" i="3" l="1"/>
  <c r="AD374" i="3"/>
  <c r="X375" i="3" s="1"/>
  <c r="AE374" i="3" l="1"/>
  <c r="Y375" i="3" s="1"/>
  <c r="N375" i="3"/>
  <c r="U374" i="3"/>
  <c r="O375" i="3" s="1"/>
  <c r="C375" i="3"/>
  <c r="Z375" i="3"/>
  <c r="P375" i="3"/>
  <c r="Q375" i="3" s="1"/>
  <c r="AA375" i="3"/>
  <c r="R375" i="3"/>
  <c r="B375" i="3" l="1"/>
  <c r="AB375" i="3"/>
  <c r="S375" i="3" s="1"/>
  <c r="AC375" i="3"/>
  <c r="T375" i="3" l="1"/>
  <c r="AD375" i="3"/>
  <c r="X376" i="3" s="1"/>
  <c r="AE375" i="3" l="1"/>
  <c r="Y376" i="3" s="1"/>
  <c r="C376" i="3" s="1"/>
  <c r="N376" i="3"/>
  <c r="U375" i="3"/>
  <c r="O376" i="3" s="1"/>
  <c r="Z376" i="3"/>
  <c r="P376" i="3"/>
  <c r="Q376" i="3" s="1"/>
  <c r="AA376" i="3"/>
  <c r="R376" i="3"/>
  <c r="B376" i="3" l="1"/>
  <c r="AB376" i="3"/>
  <c r="S376" i="3" s="1"/>
  <c r="AC376" i="3"/>
  <c r="T376" i="3" l="1"/>
  <c r="AD376" i="3"/>
  <c r="AE376" i="3" s="1"/>
  <c r="Y377" i="3" s="1"/>
  <c r="X377" i="3" l="1"/>
  <c r="N377" i="3"/>
  <c r="U376" i="3"/>
  <c r="O377" i="3" s="1"/>
  <c r="C377" i="3"/>
  <c r="Z377" i="3"/>
  <c r="P377" i="3"/>
  <c r="Q377" i="3" s="1"/>
  <c r="AA377" i="3"/>
  <c r="R377" i="3"/>
  <c r="B377" i="3" l="1"/>
  <c r="AB377" i="3"/>
  <c r="S377" i="3" s="1"/>
  <c r="AC377" i="3"/>
  <c r="T377" i="3" l="1"/>
  <c r="AD377" i="3"/>
  <c r="X378" i="3" s="1"/>
  <c r="AE377" i="3" l="1"/>
  <c r="Y378" i="3" s="1"/>
  <c r="C378" i="3" s="1"/>
  <c r="U377" i="3"/>
  <c r="O378" i="3" s="1"/>
  <c r="N378" i="3"/>
  <c r="Z378" i="3"/>
  <c r="P378" i="3"/>
  <c r="Q378" i="3" s="1"/>
  <c r="AA378" i="3"/>
  <c r="R378" i="3"/>
  <c r="B378" i="3" l="1"/>
  <c r="AB378" i="3"/>
  <c r="S378" i="3" s="1"/>
  <c r="AC378" i="3"/>
  <c r="T378" i="3" l="1"/>
  <c r="AD378" i="3"/>
  <c r="X379" i="3" s="1"/>
  <c r="AE378" i="3" l="1"/>
  <c r="Y379" i="3" s="1"/>
  <c r="N379" i="3"/>
  <c r="U378" i="3"/>
  <c r="O379" i="3" s="1"/>
  <c r="C379" i="3"/>
  <c r="Z379" i="3"/>
  <c r="P379" i="3"/>
  <c r="Q379" i="3" s="1"/>
  <c r="AA379" i="3"/>
  <c r="R379" i="3"/>
  <c r="B379" i="3" l="1"/>
  <c r="AB379" i="3"/>
  <c r="S379" i="3" s="1"/>
  <c r="AC379" i="3"/>
  <c r="T379" i="3" l="1"/>
  <c r="AD379" i="3"/>
  <c r="X380" i="3" s="1"/>
  <c r="AE379" i="3"/>
  <c r="Y380" i="3" s="1"/>
  <c r="N380" i="3" l="1"/>
  <c r="U379" i="3"/>
  <c r="O380" i="3" s="1"/>
  <c r="C380" i="3"/>
  <c r="Z380" i="3"/>
  <c r="P380" i="3"/>
  <c r="Q380" i="3" s="1"/>
  <c r="AA380" i="3"/>
  <c r="R380" i="3"/>
  <c r="B380" i="3" l="1"/>
  <c r="AB380" i="3"/>
  <c r="S380" i="3" s="1"/>
  <c r="AC380" i="3"/>
  <c r="T380" i="3" l="1"/>
  <c r="AD380" i="3"/>
  <c r="X381" i="3" s="1"/>
  <c r="AE380" i="3" l="1"/>
  <c r="Y381" i="3" s="1"/>
  <c r="C381" i="3" s="1"/>
  <c r="N381" i="3"/>
  <c r="U380" i="3"/>
  <c r="O381" i="3" s="1"/>
  <c r="Z381" i="3"/>
  <c r="P381" i="3"/>
  <c r="Q381" i="3" s="1"/>
  <c r="AA381" i="3"/>
  <c r="R381" i="3"/>
  <c r="B381" i="3" l="1"/>
  <c r="AB381" i="3"/>
  <c r="S381" i="3" s="1"/>
  <c r="AC381" i="3"/>
  <c r="T381" i="3" l="1"/>
  <c r="AD381" i="3"/>
  <c r="AE381" i="3" s="1"/>
  <c r="Y382" i="3" s="1"/>
  <c r="X382" i="3" l="1"/>
  <c r="N382" i="3"/>
  <c r="U381" i="3"/>
  <c r="O382" i="3" s="1"/>
  <c r="C382" i="3"/>
  <c r="Z382" i="3"/>
  <c r="P382" i="3"/>
  <c r="Q382" i="3" s="1"/>
  <c r="AA382" i="3"/>
  <c r="R382" i="3"/>
  <c r="B382" i="3" l="1"/>
  <c r="AB382" i="3"/>
  <c r="S382" i="3" s="1"/>
  <c r="AC382" i="3"/>
  <c r="T382" i="3" l="1"/>
  <c r="AD382" i="3"/>
  <c r="X383" i="3" s="1"/>
  <c r="AE382" i="3" l="1"/>
  <c r="Y383" i="3" s="1"/>
  <c r="N383" i="3"/>
  <c r="U382" i="3"/>
  <c r="O383" i="3" s="1"/>
  <c r="C383" i="3"/>
  <c r="Z383" i="3"/>
  <c r="P383" i="3"/>
  <c r="Q383" i="3" s="1"/>
  <c r="AA383" i="3"/>
  <c r="R383" i="3"/>
  <c r="B383" i="3" l="1"/>
  <c r="AB383" i="3"/>
  <c r="S383" i="3" s="1"/>
  <c r="AC383" i="3"/>
  <c r="T383" i="3" l="1"/>
  <c r="AD383" i="3"/>
  <c r="X384" i="3" s="1"/>
  <c r="AE383" i="3" l="1"/>
  <c r="Y384" i="3" s="1"/>
  <c r="C384" i="3" s="1"/>
  <c r="U383" i="3"/>
  <c r="O384" i="3" s="1"/>
  <c r="N384" i="3"/>
  <c r="Z384" i="3"/>
  <c r="P384" i="3"/>
  <c r="Q384" i="3" s="1"/>
  <c r="AA384" i="3"/>
  <c r="R384" i="3"/>
  <c r="B384" i="3" l="1"/>
  <c r="AB384" i="3"/>
  <c r="S384" i="3" s="1"/>
  <c r="AC384" i="3"/>
  <c r="T384" i="3" l="1"/>
  <c r="AD384" i="3"/>
  <c r="X385" i="3" s="1"/>
  <c r="AE384" i="3" l="1"/>
  <c r="Y385" i="3" s="1"/>
  <c r="C385" i="3" s="1"/>
  <c r="N385" i="3"/>
  <c r="U384" i="3"/>
  <c r="O385" i="3" s="1"/>
  <c r="Z385" i="3"/>
  <c r="P385" i="3"/>
  <c r="Q385" i="3" s="1"/>
  <c r="AA385" i="3"/>
  <c r="R385" i="3"/>
  <c r="B385" i="3" l="1"/>
  <c r="AB385" i="3"/>
  <c r="S385" i="3" s="1"/>
  <c r="AC385" i="3"/>
  <c r="T385" i="3" l="1"/>
  <c r="AD385" i="3"/>
  <c r="X386" i="3" s="1"/>
  <c r="N386" i="3" l="1"/>
  <c r="U385" i="3"/>
  <c r="O386" i="3" s="1"/>
  <c r="AE385" i="3"/>
  <c r="Y386" i="3" s="1"/>
  <c r="C386" i="3" s="1"/>
  <c r="Z386" i="3"/>
  <c r="P386" i="3"/>
  <c r="Q386" i="3" s="1"/>
  <c r="AA386" i="3"/>
  <c r="R386" i="3"/>
  <c r="B386" i="3" l="1"/>
  <c r="AB386" i="3"/>
  <c r="S386" i="3" s="1"/>
  <c r="AC386" i="3"/>
  <c r="T386" i="3" l="1"/>
  <c r="AD386" i="3"/>
  <c r="X387" i="3" s="1"/>
  <c r="AE386" i="3" l="1"/>
  <c r="Y387" i="3" s="1"/>
  <c r="C387" i="3" s="1"/>
  <c r="U386" i="3"/>
  <c r="O387" i="3" s="1"/>
  <c r="N387" i="3"/>
  <c r="Z387" i="3"/>
  <c r="P387" i="3"/>
  <c r="Q387" i="3" s="1"/>
  <c r="AA387" i="3"/>
  <c r="R387" i="3"/>
  <c r="B387" i="3" l="1"/>
  <c r="AB387" i="3"/>
  <c r="S387" i="3" s="1"/>
  <c r="AC387" i="3"/>
  <c r="T387" i="3" l="1"/>
  <c r="AD387" i="3"/>
  <c r="X388" i="3" s="1"/>
  <c r="AE387" i="3" l="1"/>
  <c r="Y388" i="3" s="1"/>
  <c r="C388" i="3" s="1"/>
  <c r="N388" i="3"/>
  <c r="U387" i="3"/>
  <c r="O388" i="3" s="1"/>
  <c r="Z388" i="3"/>
  <c r="P388" i="3"/>
  <c r="Q388" i="3" s="1"/>
  <c r="AA388" i="3"/>
  <c r="R388" i="3"/>
  <c r="B388" i="3" l="1"/>
  <c r="AB388" i="3"/>
  <c r="S388" i="3" s="1"/>
  <c r="AC388" i="3"/>
  <c r="T388" i="3" l="1"/>
  <c r="N389" i="3" s="1"/>
  <c r="AD388" i="3"/>
  <c r="X389" i="3" s="1"/>
  <c r="U388" i="3"/>
  <c r="O389" i="3" s="1"/>
  <c r="AE388" i="3" l="1"/>
  <c r="Y389" i="3" s="1"/>
  <c r="C389" i="3" s="1"/>
  <c r="B389" i="3"/>
  <c r="Z389" i="3"/>
  <c r="P389" i="3"/>
  <c r="Q389" i="3" s="1"/>
  <c r="AA389" i="3"/>
  <c r="R389" i="3"/>
  <c r="AB389" i="3"/>
  <c r="S389" i="3" s="1"/>
  <c r="AC389" i="3"/>
  <c r="T389" i="3" l="1"/>
  <c r="AD389" i="3"/>
  <c r="X390" i="3" s="1"/>
  <c r="AE389" i="3" l="1"/>
  <c r="Y390" i="3" s="1"/>
  <c r="N390" i="3"/>
  <c r="U389" i="3"/>
  <c r="O390" i="3" s="1"/>
  <c r="C390" i="3"/>
  <c r="Z390" i="3"/>
  <c r="P390" i="3"/>
  <c r="Q390" i="3" s="1"/>
  <c r="AA390" i="3"/>
  <c r="R390" i="3"/>
  <c r="B390" i="3" l="1"/>
  <c r="AB390" i="3"/>
  <c r="S390" i="3" s="1"/>
  <c r="AC390" i="3"/>
  <c r="T390" i="3" l="1"/>
  <c r="AD390" i="3"/>
  <c r="X391" i="3" s="1"/>
  <c r="AE390" i="3" l="1"/>
  <c r="Y391" i="3" s="1"/>
  <c r="N391" i="3"/>
  <c r="U390" i="3"/>
  <c r="O391" i="3" s="1"/>
  <c r="C391" i="3"/>
  <c r="Z391" i="3"/>
  <c r="P391" i="3"/>
  <c r="Q391" i="3" s="1"/>
  <c r="AA391" i="3"/>
  <c r="R391" i="3"/>
  <c r="B391" i="3" l="1"/>
  <c r="AB391" i="3"/>
  <c r="S391" i="3" s="1"/>
  <c r="AC391" i="3"/>
  <c r="T391" i="3" l="1"/>
  <c r="AD391" i="3"/>
  <c r="AE391" i="3" s="1"/>
  <c r="Y392" i="3" s="1"/>
  <c r="X392" i="3" l="1"/>
  <c r="N392" i="3"/>
  <c r="U391" i="3"/>
  <c r="O392" i="3" s="1"/>
  <c r="C392" i="3"/>
  <c r="Z392" i="3"/>
  <c r="P392" i="3"/>
  <c r="Q392" i="3" s="1"/>
  <c r="AA392" i="3"/>
  <c r="R392" i="3"/>
  <c r="B392" i="3" l="1"/>
  <c r="AB392" i="3"/>
  <c r="S392" i="3" s="1"/>
  <c r="AC392" i="3"/>
  <c r="T392" i="3" l="1"/>
  <c r="AD392" i="3"/>
  <c r="X393" i="3" s="1"/>
  <c r="AE392" i="3" l="1"/>
  <c r="Y393" i="3" s="1"/>
  <c r="C393" i="3" s="1"/>
  <c r="N393" i="3"/>
  <c r="U392" i="3"/>
  <c r="O393" i="3" s="1"/>
  <c r="Z393" i="3"/>
  <c r="P393" i="3"/>
  <c r="Q393" i="3" s="1"/>
  <c r="AA393" i="3"/>
  <c r="R393" i="3"/>
  <c r="B393" i="3" l="1"/>
  <c r="AB393" i="3"/>
  <c r="S393" i="3" s="1"/>
  <c r="AC393" i="3"/>
  <c r="T393" i="3" l="1"/>
  <c r="AD393" i="3"/>
  <c r="X394" i="3" s="1"/>
  <c r="AE393" i="3" l="1"/>
  <c r="Y394" i="3" s="1"/>
  <c r="C394" i="3" s="1"/>
  <c r="N394" i="3"/>
  <c r="U393" i="3"/>
  <c r="O394" i="3" s="1"/>
  <c r="Z394" i="3"/>
  <c r="P394" i="3"/>
  <c r="Q394" i="3" s="1"/>
  <c r="AA394" i="3"/>
  <c r="R394" i="3"/>
  <c r="B394" i="3" l="1"/>
  <c r="AB394" i="3"/>
  <c r="S394" i="3" s="1"/>
  <c r="AC394" i="3"/>
  <c r="T394" i="3" l="1"/>
  <c r="AD394" i="3"/>
  <c r="X395" i="3" s="1"/>
  <c r="AE394" i="3" l="1"/>
  <c r="Y395" i="3" s="1"/>
  <c r="C395" i="3" s="1"/>
  <c r="N395" i="3"/>
  <c r="U394" i="3"/>
  <c r="O395" i="3" s="1"/>
  <c r="Z395" i="3"/>
  <c r="P395" i="3"/>
  <c r="Q395" i="3" s="1"/>
  <c r="AA395" i="3"/>
  <c r="R395" i="3"/>
  <c r="B395" i="3" l="1"/>
  <c r="AB395" i="3"/>
  <c r="S395" i="3" s="1"/>
  <c r="AC395" i="3"/>
  <c r="T395" i="3" l="1"/>
  <c r="AD395" i="3"/>
  <c r="X396" i="3" s="1"/>
  <c r="AE395" i="3" l="1"/>
  <c r="Y396" i="3" s="1"/>
  <c r="C396" i="3" s="1"/>
  <c r="N396" i="3"/>
  <c r="U395" i="3"/>
  <c r="O396" i="3" s="1"/>
  <c r="Z396" i="3"/>
  <c r="P396" i="3"/>
  <c r="Q396" i="3" s="1"/>
  <c r="AA396" i="3"/>
  <c r="R396" i="3"/>
  <c r="B396" i="3" l="1"/>
  <c r="AB396" i="3"/>
  <c r="S396" i="3" s="1"/>
  <c r="AC396" i="3"/>
  <c r="T396" i="3" l="1"/>
  <c r="AD396" i="3"/>
  <c r="X397" i="3" s="1"/>
  <c r="AE396" i="3" l="1"/>
  <c r="Y397" i="3" s="1"/>
  <c r="C397" i="3" s="1"/>
  <c r="N397" i="3"/>
  <c r="U396" i="3"/>
  <c r="O397" i="3" s="1"/>
  <c r="Z397" i="3"/>
  <c r="P397" i="3"/>
  <c r="Q397" i="3"/>
  <c r="AA397" i="3"/>
  <c r="R397" i="3"/>
  <c r="B397" i="3" l="1"/>
  <c r="AB397" i="3"/>
  <c r="S397" i="3" s="1"/>
  <c r="AC397" i="3"/>
  <c r="T397" i="3" l="1"/>
  <c r="N398" i="3" s="1"/>
  <c r="AD397" i="3"/>
  <c r="X398" i="3" s="1"/>
  <c r="U397" i="3" l="1"/>
  <c r="O398" i="3" s="1"/>
  <c r="B398" i="3" s="1"/>
  <c r="AE397" i="3"/>
  <c r="Y398" i="3" s="1"/>
  <c r="C398" i="3" s="1"/>
  <c r="Z398" i="3"/>
  <c r="P398" i="3"/>
  <c r="Q398" i="3" s="1"/>
  <c r="AA398" i="3"/>
  <c r="R398" i="3"/>
  <c r="AB398" i="3"/>
  <c r="S398" i="3" s="1"/>
  <c r="AC398" i="3"/>
  <c r="T398" i="3" l="1"/>
  <c r="AD398" i="3"/>
  <c r="X399" i="3" s="1"/>
  <c r="AE398" i="3" l="1"/>
  <c r="Y399" i="3" s="1"/>
  <c r="C399" i="3" s="1"/>
  <c r="N399" i="3"/>
  <c r="U398" i="3"/>
  <c r="O399" i="3" s="1"/>
  <c r="Z399" i="3"/>
  <c r="P399" i="3"/>
  <c r="Q399" i="3" s="1"/>
  <c r="AA399" i="3"/>
  <c r="R399" i="3"/>
  <c r="B399" i="3" l="1"/>
  <c r="AB399" i="3"/>
  <c r="S399" i="3" s="1"/>
  <c r="AC399" i="3"/>
  <c r="T399" i="3" l="1"/>
  <c r="AD399" i="3"/>
  <c r="X400" i="3" s="1"/>
  <c r="AE399" i="3" l="1"/>
  <c r="Y400" i="3" s="1"/>
  <c r="C400" i="3" s="1"/>
  <c r="N400" i="3"/>
  <c r="U399" i="3"/>
  <c r="O400" i="3" s="1"/>
  <c r="Z400" i="3"/>
  <c r="P400" i="3"/>
  <c r="Q400" i="3" s="1"/>
  <c r="AA400" i="3"/>
  <c r="R400" i="3"/>
  <c r="B400" i="3" l="1"/>
  <c r="AB400" i="3"/>
  <c r="S400" i="3" s="1"/>
  <c r="AC400" i="3"/>
  <c r="T400" i="3" l="1"/>
  <c r="AD400" i="3"/>
  <c r="X401" i="3" s="1"/>
  <c r="AE400" i="3" l="1"/>
  <c r="Y401" i="3" s="1"/>
  <c r="C401" i="3" s="1"/>
  <c r="N401" i="3"/>
  <c r="U400" i="3"/>
  <c r="O401" i="3" s="1"/>
  <c r="Z401" i="3"/>
  <c r="P401" i="3"/>
  <c r="Q401" i="3" s="1"/>
  <c r="AA401" i="3"/>
  <c r="R401" i="3"/>
  <c r="B401" i="3" l="1"/>
  <c r="AB401" i="3"/>
  <c r="S401" i="3" s="1"/>
  <c r="AC401" i="3"/>
  <c r="T401" i="3" l="1"/>
  <c r="AD401" i="3"/>
  <c r="X402" i="3" s="1"/>
  <c r="AE401" i="3" l="1"/>
  <c r="Y402" i="3" s="1"/>
  <c r="C402" i="3" s="1"/>
  <c r="N402" i="3"/>
  <c r="U401" i="3"/>
  <c r="O402" i="3" s="1"/>
  <c r="Z402" i="3"/>
  <c r="P402" i="3"/>
  <c r="Q402" i="3" s="1"/>
  <c r="AA402" i="3"/>
  <c r="R402" i="3"/>
  <c r="B402" i="3" l="1"/>
  <c r="AB402" i="3"/>
  <c r="S402" i="3" s="1"/>
  <c r="AC402" i="3"/>
  <c r="T402" i="3" l="1"/>
  <c r="AD402" i="3"/>
  <c r="X403" i="3" s="1"/>
  <c r="AE402" i="3" l="1"/>
  <c r="Y403" i="3" s="1"/>
  <c r="C403" i="3" s="1"/>
  <c r="U402" i="3"/>
  <c r="O403" i="3" s="1"/>
  <c r="N403" i="3"/>
  <c r="Z403" i="3"/>
  <c r="P403" i="3"/>
  <c r="Q403" i="3" s="1"/>
  <c r="AA403" i="3"/>
  <c r="R403" i="3"/>
  <c r="B403" i="3" l="1"/>
  <c r="AB403" i="3"/>
  <c r="S403" i="3" s="1"/>
  <c r="AC403" i="3"/>
  <c r="T403" i="3" l="1"/>
  <c r="AD403" i="3"/>
  <c r="X404" i="3" s="1"/>
  <c r="N404" i="3" l="1"/>
  <c r="U403" i="3"/>
  <c r="O404" i="3" s="1"/>
  <c r="AE403" i="3"/>
  <c r="Y404" i="3" s="1"/>
  <c r="C404" i="3" s="1"/>
  <c r="Z404" i="3"/>
  <c r="P404" i="3"/>
  <c r="Q404" i="3" s="1"/>
  <c r="AA404" i="3"/>
  <c r="R404" i="3"/>
  <c r="B404" i="3" l="1"/>
  <c r="AB404" i="3"/>
  <c r="S404" i="3" s="1"/>
  <c r="AC404" i="3"/>
  <c r="T404" i="3" l="1"/>
  <c r="AD404" i="3"/>
  <c r="AE404" i="3" s="1"/>
  <c r="Y405" i="3" s="1"/>
  <c r="X405" i="3" l="1"/>
  <c r="N405" i="3"/>
  <c r="U404" i="3"/>
  <c r="O405" i="3" s="1"/>
  <c r="C405" i="3"/>
  <c r="Z405" i="3"/>
  <c r="P405" i="3"/>
  <c r="Q405" i="3" s="1"/>
  <c r="AA405" i="3"/>
  <c r="R405" i="3"/>
  <c r="B405" i="3" l="1"/>
  <c r="AB405" i="3"/>
  <c r="S405" i="3" s="1"/>
  <c r="AC405" i="3"/>
  <c r="T405" i="3" l="1"/>
  <c r="AD405" i="3"/>
  <c r="X406" i="3" s="1"/>
  <c r="AE405" i="3" l="1"/>
  <c r="Y406" i="3" s="1"/>
  <c r="N406" i="3"/>
  <c r="U405" i="3"/>
  <c r="O406" i="3" s="1"/>
  <c r="C406" i="3"/>
  <c r="Z406" i="3"/>
  <c r="P406" i="3"/>
  <c r="Q406" i="3" s="1"/>
  <c r="AA406" i="3"/>
  <c r="R406" i="3"/>
  <c r="B406" i="3" l="1"/>
  <c r="AB406" i="3"/>
  <c r="S406" i="3" s="1"/>
  <c r="AC406" i="3"/>
  <c r="T406" i="3" l="1"/>
  <c r="AD406" i="3"/>
  <c r="X407" i="3" s="1"/>
  <c r="AE406" i="3" l="1"/>
  <c r="Y407" i="3" s="1"/>
  <c r="C407" i="3" s="1"/>
  <c r="N407" i="3"/>
  <c r="U406" i="3"/>
  <c r="O407" i="3" s="1"/>
  <c r="Z407" i="3"/>
  <c r="P407" i="3"/>
  <c r="Q407" i="3" s="1"/>
  <c r="AA407" i="3"/>
  <c r="R407" i="3"/>
  <c r="B407" i="3" l="1"/>
  <c r="AB407" i="3"/>
  <c r="S407" i="3" s="1"/>
  <c r="AC407" i="3"/>
  <c r="T407" i="3" l="1"/>
  <c r="AD407" i="3"/>
  <c r="X408" i="3" s="1"/>
  <c r="AE407" i="3" l="1"/>
  <c r="Y408" i="3" s="1"/>
  <c r="C408" i="3" s="1"/>
  <c r="U407" i="3"/>
  <c r="O408" i="3" s="1"/>
  <c r="N408" i="3"/>
  <c r="Z408" i="3"/>
  <c r="P408" i="3"/>
  <c r="Q408" i="3" s="1"/>
  <c r="AA408" i="3"/>
  <c r="R408" i="3"/>
  <c r="B408" i="3" l="1"/>
  <c r="AB408" i="3"/>
  <c r="S408" i="3" s="1"/>
  <c r="AC408" i="3"/>
  <c r="T408" i="3" l="1"/>
  <c r="AD408" i="3"/>
  <c r="X409" i="3" s="1"/>
  <c r="AE408" i="3" l="1"/>
  <c r="Y409" i="3" s="1"/>
  <c r="C409" i="3" s="1"/>
  <c r="N409" i="3"/>
  <c r="U408" i="3"/>
  <c r="O409" i="3" s="1"/>
  <c r="Z409" i="3"/>
  <c r="P409" i="3"/>
  <c r="Q409" i="3"/>
  <c r="AA409" i="3"/>
  <c r="R409" i="3"/>
  <c r="B409" i="3" l="1"/>
  <c r="AB409" i="3"/>
  <c r="S409" i="3" s="1"/>
  <c r="AC409" i="3"/>
  <c r="T409" i="3" l="1"/>
  <c r="AD409" i="3"/>
  <c r="X410" i="3" s="1"/>
  <c r="AE409" i="3"/>
  <c r="Y410" i="3" s="1"/>
  <c r="N410" i="3" l="1"/>
  <c r="U409" i="3"/>
  <c r="O410" i="3" s="1"/>
  <c r="C410" i="3"/>
  <c r="Z410" i="3"/>
  <c r="P410" i="3"/>
  <c r="Q410" i="3" s="1"/>
  <c r="AA410" i="3"/>
  <c r="R410" i="3"/>
  <c r="B410" i="3" l="1"/>
  <c r="AB410" i="3"/>
  <c r="S410" i="3" s="1"/>
  <c r="AC410" i="3"/>
  <c r="T410" i="3" l="1"/>
  <c r="AD410" i="3"/>
  <c r="AE410" i="3" s="1"/>
  <c r="Y411" i="3" s="1"/>
  <c r="X411" i="3" l="1"/>
  <c r="N411" i="3"/>
  <c r="U410" i="3"/>
  <c r="O411" i="3" s="1"/>
  <c r="C411" i="3"/>
  <c r="Z411" i="3"/>
  <c r="P411" i="3"/>
  <c r="Q411" i="3" s="1"/>
  <c r="AA411" i="3"/>
  <c r="R411" i="3"/>
  <c r="B411" i="3" l="1"/>
  <c r="AB411" i="3"/>
  <c r="S411" i="3" s="1"/>
  <c r="AC411" i="3"/>
  <c r="T411" i="3" l="1"/>
  <c r="AD411" i="3"/>
  <c r="X412" i="3" s="1"/>
  <c r="AE411" i="3" l="1"/>
  <c r="Y412" i="3" s="1"/>
  <c r="N412" i="3"/>
  <c r="U411" i="3"/>
  <c r="O412" i="3" s="1"/>
  <c r="C412" i="3"/>
  <c r="Z412" i="3"/>
  <c r="P412" i="3"/>
  <c r="Q412" i="3" s="1"/>
  <c r="AA412" i="3"/>
  <c r="R412" i="3"/>
  <c r="B412" i="3" l="1"/>
  <c r="AB412" i="3"/>
  <c r="S412" i="3" s="1"/>
  <c r="AC412" i="3"/>
  <c r="T412" i="3" l="1"/>
  <c r="AD412" i="3"/>
  <c r="X413" i="3" s="1"/>
  <c r="AE412" i="3" l="1"/>
  <c r="Y413" i="3" s="1"/>
  <c r="N413" i="3"/>
  <c r="U412" i="3"/>
  <c r="O413" i="3" s="1"/>
  <c r="C413" i="3"/>
  <c r="Z413" i="3"/>
  <c r="P413" i="3"/>
  <c r="Q413" i="3" s="1"/>
  <c r="AA413" i="3"/>
  <c r="R413" i="3"/>
  <c r="B413" i="3" l="1"/>
  <c r="AB413" i="3"/>
  <c r="S413" i="3" s="1"/>
  <c r="AC413" i="3"/>
  <c r="T413" i="3" l="1"/>
  <c r="AD413" i="3"/>
  <c r="X414" i="3" s="1"/>
  <c r="AE413" i="3" l="1"/>
  <c r="Y414" i="3" s="1"/>
  <c r="C414" i="3" s="1"/>
  <c r="N414" i="3"/>
  <c r="U413" i="3"/>
  <c r="O414" i="3" s="1"/>
  <c r="Z414" i="3"/>
  <c r="P414" i="3"/>
  <c r="Q414" i="3" s="1"/>
  <c r="AA414" i="3"/>
  <c r="R414" i="3"/>
  <c r="B414" i="3" l="1"/>
  <c r="AB414" i="3"/>
  <c r="S414" i="3" s="1"/>
  <c r="AC414" i="3"/>
  <c r="T414" i="3" l="1"/>
  <c r="AD414" i="3"/>
  <c r="AE414" i="3" s="1"/>
  <c r="Y415" i="3" s="1"/>
  <c r="X415" i="3" l="1"/>
  <c r="N415" i="3"/>
  <c r="U414" i="3"/>
  <c r="O415" i="3" s="1"/>
  <c r="C415" i="3"/>
  <c r="Z415" i="3"/>
  <c r="P415" i="3"/>
  <c r="Q415" i="3" s="1"/>
  <c r="AA415" i="3"/>
  <c r="R415" i="3"/>
  <c r="B415" i="3" l="1"/>
  <c r="AB415" i="3"/>
  <c r="S415" i="3" s="1"/>
  <c r="AC415" i="3"/>
  <c r="T415" i="3" l="1"/>
  <c r="AD415" i="3"/>
  <c r="X416" i="3" s="1"/>
  <c r="AE415" i="3" l="1"/>
  <c r="Y416" i="3" s="1"/>
  <c r="C416" i="3" s="1"/>
  <c r="N416" i="3"/>
  <c r="U415" i="3"/>
  <c r="O416" i="3" s="1"/>
  <c r="Z416" i="3"/>
  <c r="P416" i="3"/>
  <c r="Q416" i="3" s="1"/>
  <c r="AA416" i="3"/>
  <c r="R416" i="3"/>
  <c r="B416" i="3" l="1"/>
  <c r="AB416" i="3"/>
  <c r="S416" i="3" s="1"/>
  <c r="AC416" i="3"/>
  <c r="T416" i="3" l="1"/>
  <c r="N417" i="3" s="1"/>
  <c r="AD416" i="3"/>
  <c r="AE416" i="3" s="1"/>
  <c r="Y417" i="3" s="1"/>
  <c r="X417" i="3" l="1"/>
  <c r="U416" i="3"/>
  <c r="O417" i="3" s="1"/>
  <c r="C417" i="3"/>
  <c r="Z417" i="3"/>
  <c r="P417" i="3"/>
  <c r="Q417" i="3" s="1"/>
  <c r="AA417" i="3"/>
  <c r="R417" i="3"/>
  <c r="AB417" i="3"/>
  <c r="S417" i="3" s="1"/>
  <c r="AC417" i="3"/>
  <c r="B417" i="3" l="1"/>
  <c r="T417" i="3"/>
  <c r="AD417" i="3"/>
  <c r="X418" i="3" s="1"/>
  <c r="N418" i="3" l="1"/>
  <c r="U417" i="3"/>
  <c r="O418" i="3" s="1"/>
  <c r="AE417" i="3"/>
  <c r="Y418" i="3" s="1"/>
  <c r="C418" i="3" s="1"/>
  <c r="Z418" i="3"/>
  <c r="P418" i="3"/>
  <c r="Q418" i="3" s="1"/>
  <c r="AA418" i="3"/>
  <c r="R418" i="3"/>
  <c r="B418" i="3" l="1"/>
  <c r="AB418" i="3"/>
  <c r="S418" i="3" s="1"/>
  <c r="AC418" i="3"/>
  <c r="T418" i="3" l="1"/>
  <c r="AD418" i="3"/>
  <c r="X419" i="3" s="1"/>
  <c r="N419" i="3" l="1"/>
  <c r="U418" i="3"/>
  <c r="O419" i="3" s="1"/>
  <c r="AE418" i="3"/>
  <c r="Y419" i="3" s="1"/>
  <c r="C419" i="3" s="1"/>
  <c r="Z419" i="3"/>
  <c r="P419" i="3"/>
  <c r="Q419" i="3" s="1"/>
  <c r="AA419" i="3"/>
  <c r="R419" i="3"/>
  <c r="B419" i="3" l="1"/>
  <c r="AB419" i="3"/>
  <c r="S419" i="3" s="1"/>
  <c r="AC419" i="3"/>
  <c r="T419" i="3" l="1"/>
  <c r="AD419" i="3"/>
  <c r="AE419" i="3" s="1"/>
  <c r="Y420" i="3" s="1"/>
  <c r="X420" i="3" l="1"/>
  <c r="N420" i="3"/>
  <c r="U419" i="3"/>
  <c r="O420" i="3" s="1"/>
  <c r="C420" i="3"/>
  <c r="Z420" i="3"/>
  <c r="P420" i="3"/>
  <c r="Q420" i="3" s="1"/>
  <c r="AA420" i="3"/>
  <c r="R420" i="3"/>
  <c r="B420" i="3" l="1"/>
  <c r="AB420" i="3"/>
  <c r="S420" i="3" s="1"/>
  <c r="AC420" i="3"/>
  <c r="T420" i="3" l="1"/>
  <c r="AD420" i="3"/>
  <c r="AE420" i="3" s="1"/>
  <c r="Y421" i="3" s="1"/>
  <c r="X421" i="3" l="1"/>
  <c r="N421" i="3"/>
  <c r="U420" i="3"/>
  <c r="O421" i="3" s="1"/>
  <c r="C421" i="3"/>
  <c r="Z421" i="3"/>
  <c r="P421" i="3"/>
  <c r="Q421" i="3" s="1"/>
  <c r="AA421" i="3"/>
  <c r="R421" i="3"/>
  <c r="B421" i="3" l="1"/>
  <c r="AB421" i="3"/>
  <c r="S421" i="3" s="1"/>
  <c r="AC421" i="3"/>
  <c r="T421" i="3" l="1"/>
  <c r="N422" i="3" s="1"/>
  <c r="AD421" i="3"/>
  <c r="X422" i="3" s="1"/>
  <c r="U421" i="3"/>
  <c r="O422" i="3" s="1"/>
  <c r="AE421" i="3" l="1"/>
  <c r="Y422" i="3" s="1"/>
  <c r="C422" i="3" s="1"/>
  <c r="B422" i="3"/>
  <c r="Z422" i="3"/>
  <c r="P422" i="3"/>
  <c r="Q422" i="3" s="1"/>
  <c r="AA422" i="3"/>
  <c r="R422" i="3"/>
  <c r="AB422" i="3"/>
  <c r="S422" i="3" s="1"/>
  <c r="AC422" i="3"/>
  <c r="T422" i="3" l="1"/>
  <c r="AD422" i="3"/>
  <c r="X423" i="3" s="1"/>
  <c r="AE422" i="3" l="1"/>
  <c r="Y423" i="3" s="1"/>
  <c r="N423" i="3"/>
  <c r="U422" i="3"/>
  <c r="O423" i="3" s="1"/>
  <c r="C423" i="3"/>
  <c r="Z423" i="3"/>
  <c r="P423" i="3"/>
  <c r="Q423" i="3" s="1"/>
  <c r="AA423" i="3"/>
  <c r="R423" i="3"/>
  <c r="B423" i="3" l="1"/>
  <c r="AB423" i="3"/>
  <c r="S423" i="3" s="1"/>
  <c r="AC423" i="3"/>
  <c r="T423" i="3" l="1"/>
  <c r="AD423" i="3"/>
  <c r="X424" i="3" s="1"/>
  <c r="AE423" i="3" l="1"/>
  <c r="Y424" i="3" s="1"/>
  <c r="C424" i="3" s="1"/>
  <c r="N424" i="3"/>
  <c r="U423" i="3"/>
  <c r="O424" i="3" s="1"/>
  <c r="Z424" i="3"/>
  <c r="P424" i="3"/>
  <c r="Q424" i="3" s="1"/>
  <c r="AA424" i="3"/>
  <c r="R424" i="3"/>
  <c r="B424" i="3" l="1"/>
  <c r="AB424" i="3"/>
  <c r="S424" i="3" s="1"/>
  <c r="AC424" i="3"/>
  <c r="T424" i="3" l="1"/>
  <c r="AD424" i="3"/>
  <c r="X425" i="3" s="1"/>
  <c r="AE424" i="3" l="1"/>
  <c r="Y425" i="3" s="1"/>
  <c r="N425" i="3"/>
  <c r="U424" i="3"/>
  <c r="O425" i="3" s="1"/>
  <c r="C425" i="3"/>
  <c r="Z425" i="3"/>
  <c r="P425" i="3"/>
  <c r="Q425" i="3" s="1"/>
  <c r="AA425" i="3"/>
  <c r="R425" i="3"/>
  <c r="B425" i="3" l="1"/>
  <c r="AB425" i="3"/>
  <c r="S425" i="3" s="1"/>
  <c r="AC425" i="3"/>
  <c r="T425" i="3" l="1"/>
  <c r="AD425" i="3"/>
  <c r="X426" i="3" s="1"/>
  <c r="AE425" i="3" l="1"/>
  <c r="Y426" i="3" s="1"/>
  <c r="N426" i="3"/>
  <c r="U425" i="3"/>
  <c r="O426" i="3" s="1"/>
  <c r="C426" i="3"/>
  <c r="Z426" i="3"/>
  <c r="P426" i="3"/>
  <c r="Q426" i="3" s="1"/>
  <c r="AA426" i="3"/>
  <c r="R426" i="3"/>
  <c r="B426" i="3" l="1"/>
  <c r="AB426" i="3"/>
  <c r="S426" i="3" s="1"/>
  <c r="AC426" i="3"/>
  <c r="T426" i="3" l="1"/>
  <c r="N427" i="3" s="1"/>
  <c r="AD426" i="3"/>
  <c r="AE426" i="3" s="1"/>
  <c r="Y427" i="3" s="1"/>
  <c r="U426" i="3" l="1"/>
  <c r="O427" i="3" s="1"/>
  <c r="X427" i="3"/>
  <c r="C427" i="3"/>
  <c r="Z427" i="3"/>
  <c r="P427" i="3"/>
  <c r="Q427" i="3"/>
  <c r="AA427" i="3"/>
  <c r="R427" i="3"/>
  <c r="AB427" i="3"/>
  <c r="S427" i="3" s="1"/>
  <c r="AC427" i="3"/>
  <c r="B427" i="3" l="1"/>
  <c r="T427" i="3"/>
  <c r="AD427" i="3"/>
  <c r="X428" i="3" s="1"/>
  <c r="AE427" i="3" l="1"/>
  <c r="Y428" i="3" s="1"/>
  <c r="N428" i="3"/>
  <c r="U427" i="3"/>
  <c r="O428" i="3" s="1"/>
  <c r="C428" i="3"/>
  <c r="Z428" i="3"/>
  <c r="P428" i="3"/>
  <c r="Q428" i="3" s="1"/>
  <c r="AA428" i="3"/>
  <c r="R428" i="3"/>
  <c r="B428" i="3" l="1"/>
  <c r="AB428" i="3"/>
  <c r="S428" i="3" s="1"/>
  <c r="AC428" i="3"/>
  <c r="T428" i="3" l="1"/>
  <c r="AD428" i="3"/>
  <c r="X429" i="3" s="1"/>
  <c r="AE428" i="3" l="1"/>
  <c r="Y429" i="3" s="1"/>
  <c r="C429" i="3" s="1"/>
  <c r="N429" i="3"/>
  <c r="U428" i="3"/>
  <c r="O429" i="3" s="1"/>
  <c r="Z429" i="3"/>
  <c r="P429" i="3"/>
  <c r="Q429" i="3" s="1"/>
  <c r="AA429" i="3"/>
  <c r="R429" i="3"/>
  <c r="B429" i="3" l="1"/>
  <c r="AB429" i="3"/>
  <c r="S429" i="3" s="1"/>
  <c r="AC429" i="3"/>
  <c r="T429" i="3" l="1"/>
  <c r="AD429" i="3"/>
  <c r="AE429" i="3" s="1"/>
  <c r="Y430" i="3" s="1"/>
  <c r="X430" i="3" l="1"/>
  <c r="N430" i="3"/>
  <c r="U429" i="3"/>
  <c r="O430" i="3" s="1"/>
  <c r="C430" i="3"/>
  <c r="Z430" i="3"/>
  <c r="P430" i="3"/>
  <c r="Q430" i="3" s="1"/>
  <c r="AA430" i="3"/>
  <c r="R430" i="3"/>
  <c r="B430" i="3" l="1"/>
  <c r="AB430" i="3"/>
  <c r="S430" i="3" s="1"/>
  <c r="AC430" i="3"/>
  <c r="T430" i="3" l="1"/>
  <c r="AD430" i="3"/>
  <c r="X431" i="3" s="1"/>
  <c r="AE430" i="3" l="1"/>
  <c r="Y431" i="3" s="1"/>
  <c r="C431" i="3" s="1"/>
  <c r="N431" i="3"/>
  <c r="U430" i="3"/>
  <c r="O431" i="3" s="1"/>
  <c r="Z431" i="3"/>
  <c r="P431" i="3"/>
  <c r="Q431" i="3"/>
  <c r="AA431" i="3"/>
  <c r="R431" i="3"/>
  <c r="B431" i="3" l="1"/>
  <c r="AB431" i="3"/>
  <c r="S431" i="3" s="1"/>
  <c r="AC431" i="3"/>
  <c r="T431" i="3" l="1"/>
  <c r="AD431" i="3"/>
  <c r="X432" i="3" s="1"/>
  <c r="AE431" i="3" l="1"/>
  <c r="Y432" i="3" s="1"/>
  <c r="N432" i="3"/>
  <c r="U431" i="3"/>
  <c r="O432" i="3" s="1"/>
  <c r="C432" i="3"/>
  <c r="Z432" i="3"/>
  <c r="P432" i="3"/>
  <c r="Q432" i="3" s="1"/>
  <c r="AA432" i="3"/>
  <c r="R432" i="3"/>
  <c r="B432" i="3" l="1"/>
  <c r="AB432" i="3"/>
  <c r="S432" i="3" s="1"/>
  <c r="AC432" i="3"/>
  <c r="T432" i="3" l="1"/>
  <c r="AD432" i="3"/>
  <c r="X433" i="3" s="1"/>
  <c r="AE432" i="3" l="1"/>
  <c r="Y433" i="3" s="1"/>
  <c r="C433" i="3" s="1"/>
  <c r="N433" i="3"/>
  <c r="U432" i="3"/>
  <c r="O433" i="3" s="1"/>
  <c r="Z433" i="3"/>
  <c r="P433" i="3"/>
  <c r="Q433" i="3" s="1"/>
  <c r="AA433" i="3"/>
  <c r="R433" i="3"/>
  <c r="B433" i="3" l="1"/>
  <c r="AB433" i="3"/>
  <c r="S433" i="3" s="1"/>
  <c r="AC433" i="3"/>
  <c r="T433" i="3" l="1"/>
  <c r="N434" i="3" s="1"/>
  <c r="AD433" i="3"/>
  <c r="X434" i="3" s="1"/>
  <c r="U433" i="3" l="1"/>
  <c r="O434" i="3" s="1"/>
  <c r="B434" i="3" s="1"/>
  <c r="AE433" i="3"/>
  <c r="Y434" i="3" s="1"/>
  <c r="Z434" i="3"/>
  <c r="P434" i="3"/>
  <c r="Q434" i="3" s="1"/>
  <c r="AA434" i="3"/>
  <c r="R434" i="3"/>
  <c r="C434" i="3" l="1"/>
  <c r="AB434" i="3"/>
  <c r="S434" i="3" s="1"/>
  <c r="AC434" i="3"/>
  <c r="T434" i="3" l="1"/>
  <c r="AD434" i="3"/>
  <c r="X435" i="3" s="1"/>
  <c r="AE434" i="3" l="1"/>
  <c r="Y435" i="3" s="1"/>
  <c r="C435" i="3" s="1"/>
  <c r="N435" i="3"/>
  <c r="U434" i="3"/>
  <c r="O435" i="3" s="1"/>
  <c r="Z435" i="3"/>
  <c r="P435" i="3"/>
  <c r="Q435" i="3" s="1"/>
  <c r="AA435" i="3"/>
  <c r="R435" i="3"/>
  <c r="B435" i="3" l="1"/>
  <c r="AB435" i="3"/>
  <c r="S435" i="3" s="1"/>
  <c r="AC435" i="3"/>
  <c r="T435" i="3" l="1"/>
  <c r="AD435" i="3"/>
  <c r="X436" i="3" s="1"/>
  <c r="AE435" i="3" l="1"/>
  <c r="Y436" i="3" s="1"/>
  <c r="U435" i="3"/>
  <c r="O436" i="3" s="1"/>
  <c r="N436" i="3"/>
  <c r="C436" i="3"/>
  <c r="Z436" i="3"/>
  <c r="P436" i="3"/>
  <c r="Q436" i="3" s="1"/>
  <c r="AA436" i="3"/>
  <c r="R436" i="3"/>
  <c r="B436" i="3" l="1"/>
  <c r="AB436" i="3"/>
  <c r="S436" i="3" s="1"/>
  <c r="AC436" i="3"/>
  <c r="T436" i="3" l="1"/>
  <c r="AD436" i="3"/>
  <c r="X437" i="3" s="1"/>
  <c r="N437" i="3" l="1"/>
  <c r="U436" i="3"/>
  <c r="O437" i="3" s="1"/>
  <c r="AE436" i="3"/>
  <c r="Y437" i="3" s="1"/>
  <c r="C437" i="3" s="1"/>
  <c r="Z437" i="3"/>
  <c r="P437" i="3"/>
  <c r="Q437" i="3" s="1"/>
  <c r="AA437" i="3"/>
  <c r="R437" i="3"/>
  <c r="B437" i="3" l="1"/>
  <c r="AB437" i="3"/>
  <c r="S437" i="3" s="1"/>
  <c r="AC437" i="3"/>
  <c r="T437" i="3" l="1"/>
  <c r="AD437" i="3"/>
  <c r="X438" i="3" s="1"/>
  <c r="AE437" i="3" l="1"/>
  <c r="Y438" i="3" s="1"/>
  <c r="C438" i="3" s="1"/>
  <c r="N438" i="3"/>
  <c r="U437" i="3"/>
  <c r="O438" i="3" s="1"/>
  <c r="Z438" i="3"/>
  <c r="P438" i="3"/>
  <c r="Q438" i="3" s="1"/>
  <c r="AA438" i="3"/>
  <c r="R438" i="3"/>
  <c r="B438" i="3" l="1"/>
  <c r="AB438" i="3"/>
  <c r="S438" i="3" s="1"/>
  <c r="AC438" i="3"/>
  <c r="T438" i="3" l="1"/>
  <c r="AD438" i="3"/>
  <c r="X439" i="3" s="1"/>
  <c r="N439" i="3" l="1"/>
  <c r="U438" i="3"/>
  <c r="O439" i="3" s="1"/>
  <c r="AE438" i="3"/>
  <c r="Y439" i="3" s="1"/>
  <c r="C439" i="3" s="1"/>
  <c r="Z439" i="3"/>
  <c r="P439" i="3"/>
  <c r="Q439" i="3" s="1"/>
  <c r="AA439" i="3"/>
  <c r="R439" i="3"/>
  <c r="B439" i="3" l="1"/>
  <c r="AB439" i="3"/>
  <c r="S439" i="3" s="1"/>
  <c r="AC439" i="3"/>
  <c r="T439" i="3" l="1"/>
  <c r="AD439" i="3"/>
  <c r="X440" i="3" s="1"/>
  <c r="AE439" i="3" l="1"/>
  <c r="Y440" i="3" s="1"/>
  <c r="C440" i="3" s="1"/>
  <c r="N440" i="3"/>
  <c r="U439" i="3"/>
  <c r="O440" i="3" s="1"/>
  <c r="Z440" i="3"/>
  <c r="P440" i="3"/>
  <c r="Q440" i="3" s="1"/>
  <c r="AA440" i="3"/>
  <c r="R440" i="3"/>
  <c r="B440" i="3" l="1"/>
  <c r="AB440" i="3"/>
  <c r="S440" i="3" s="1"/>
  <c r="AC440" i="3"/>
  <c r="T440" i="3" l="1"/>
  <c r="AD440" i="3"/>
  <c r="X441" i="3" s="1"/>
  <c r="AE440" i="3" l="1"/>
  <c r="Y441" i="3" s="1"/>
  <c r="C441" i="3" s="1"/>
  <c r="N441" i="3"/>
  <c r="U440" i="3"/>
  <c r="O441" i="3" s="1"/>
  <c r="Z441" i="3"/>
  <c r="P441" i="3"/>
  <c r="Q441" i="3" s="1"/>
  <c r="AA441" i="3"/>
  <c r="R441" i="3"/>
  <c r="B441" i="3" l="1"/>
  <c r="AB441" i="3"/>
  <c r="S441" i="3" s="1"/>
  <c r="AC441" i="3"/>
  <c r="T441" i="3" l="1"/>
  <c r="N442" i="3" s="1"/>
  <c r="AD441" i="3"/>
  <c r="X442" i="3" s="1"/>
  <c r="U441" i="3" l="1"/>
  <c r="O442" i="3" s="1"/>
  <c r="B442" i="3" s="1"/>
  <c r="AE441" i="3"/>
  <c r="Y442" i="3" s="1"/>
  <c r="C442" i="3" s="1"/>
  <c r="Z442" i="3"/>
  <c r="P442" i="3"/>
  <c r="Q442" i="3" s="1"/>
  <c r="AA442" i="3"/>
  <c r="R442" i="3"/>
  <c r="AB442" i="3"/>
  <c r="S442" i="3" s="1"/>
  <c r="AC442" i="3"/>
  <c r="T442" i="3" l="1"/>
  <c r="N443" i="3" s="1"/>
  <c r="AD442" i="3"/>
  <c r="X443" i="3" s="1"/>
  <c r="AE442" i="3" l="1"/>
  <c r="Y443" i="3" s="1"/>
  <c r="C443" i="3" s="1"/>
  <c r="U442" i="3"/>
  <c r="O443" i="3" s="1"/>
  <c r="B443" i="3" s="1"/>
  <c r="Z443" i="3"/>
  <c r="P443" i="3"/>
  <c r="Q443" i="3"/>
  <c r="AA443" i="3"/>
  <c r="R443" i="3"/>
  <c r="AB443" i="3"/>
  <c r="S443" i="3" s="1"/>
  <c r="AC443" i="3"/>
  <c r="T443" i="3" l="1"/>
  <c r="AD443" i="3"/>
  <c r="X444" i="3" s="1"/>
  <c r="AE443" i="3" l="1"/>
  <c r="Y444" i="3" s="1"/>
  <c r="C444" i="3" s="1"/>
  <c r="U443" i="3"/>
  <c r="O444" i="3" s="1"/>
  <c r="N444" i="3"/>
  <c r="P444" i="3"/>
  <c r="Z444" i="3"/>
  <c r="Q444" i="3" s="1"/>
  <c r="AA444" i="3"/>
  <c r="R444" i="3"/>
  <c r="B444" i="3" l="1"/>
  <c r="AB444" i="3"/>
  <c r="S444" i="3" s="1"/>
  <c r="AC444" i="3"/>
  <c r="T444" i="3" l="1"/>
  <c r="AD444" i="3"/>
  <c r="X445" i="3" s="1"/>
  <c r="AE444" i="3" l="1"/>
  <c r="Y445" i="3" s="1"/>
  <c r="N445" i="3"/>
  <c r="U444" i="3"/>
  <c r="O445" i="3" s="1"/>
  <c r="C445" i="3"/>
  <c r="P445" i="3"/>
  <c r="Z445" i="3"/>
  <c r="Q445" i="3" s="1"/>
  <c r="AA445" i="3"/>
  <c r="R445" i="3"/>
  <c r="B445" i="3" l="1"/>
  <c r="AB445" i="3"/>
  <c r="S445" i="3" s="1"/>
  <c r="AC445" i="3"/>
  <c r="T445" i="3" l="1"/>
  <c r="AD445" i="3"/>
  <c r="X446" i="3" s="1"/>
  <c r="AE445" i="3" l="1"/>
  <c r="Y446" i="3" s="1"/>
  <c r="C446" i="3" s="1"/>
  <c r="N446" i="3"/>
  <c r="U445" i="3"/>
  <c r="O446" i="3" s="1"/>
  <c r="P446" i="3"/>
  <c r="Z446" i="3"/>
  <c r="Q446" i="3" s="1"/>
  <c r="AA446" i="3"/>
  <c r="R446" i="3"/>
  <c r="B446" i="3" l="1"/>
  <c r="AB446" i="3"/>
  <c r="S446" i="3" s="1"/>
  <c r="AC446" i="3"/>
  <c r="T446" i="3" l="1"/>
  <c r="AD446" i="3"/>
  <c r="X447" i="3" s="1"/>
  <c r="AE446" i="3" l="1"/>
  <c r="Y447" i="3" s="1"/>
  <c r="N447" i="3"/>
  <c r="U446" i="3"/>
  <c r="O447" i="3" s="1"/>
  <c r="C447" i="3"/>
  <c r="P447" i="3"/>
  <c r="Z447" i="3"/>
  <c r="Q447" i="3"/>
  <c r="AA447" i="3"/>
  <c r="R447" i="3"/>
  <c r="B447" i="3" l="1"/>
  <c r="AB447" i="3"/>
  <c r="S447" i="3" s="1"/>
  <c r="AC447" i="3"/>
  <c r="T447" i="3" l="1"/>
  <c r="AD447" i="3"/>
  <c r="X448" i="3" s="1"/>
  <c r="AE447" i="3" l="1"/>
  <c r="Y448" i="3" s="1"/>
  <c r="N448" i="3"/>
  <c r="U447" i="3"/>
  <c r="O448" i="3" s="1"/>
  <c r="C448" i="3"/>
  <c r="P448" i="3"/>
  <c r="Z448" i="3"/>
  <c r="Q448" i="3" s="1"/>
  <c r="AA448" i="3"/>
  <c r="R448" i="3"/>
  <c r="B448" i="3" l="1"/>
  <c r="AB448" i="3"/>
  <c r="S448" i="3" s="1"/>
  <c r="AC448" i="3"/>
  <c r="T448" i="3" l="1"/>
  <c r="AD448" i="3"/>
  <c r="X449" i="3" s="1"/>
  <c r="AE448" i="3" l="1"/>
  <c r="Y449" i="3" s="1"/>
  <c r="C449" i="3" s="1"/>
  <c r="N449" i="3"/>
  <c r="U448" i="3"/>
  <c r="O449" i="3" s="1"/>
  <c r="P449" i="3"/>
  <c r="Z449" i="3"/>
  <c r="Q449" i="3" s="1"/>
  <c r="AA449" i="3"/>
  <c r="R449" i="3"/>
  <c r="B449" i="3" l="1"/>
  <c r="AB449" i="3"/>
  <c r="S449" i="3" s="1"/>
  <c r="AC449" i="3"/>
  <c r="T449" i="3" l="1"/>
  <c r="AD449" i="3"/>
  <c r="X450" i="3" s="1"/>
  <c r="AE449" i="3" l="1"/>
  <c r="Y450" i="3" s="1"/>
  <c r="C450" i="3" s="1"/>
  <c r="N450" i="3"/>
  <c r="U449" i="3"/>
  <c r="O450" i="3" s="1"/>
  <c r="P450" i="3"/>
  <c r="Z450" i="3"/>
  <c r="Q450" i="3" s="1"/>
  <c r="AA450" i="3"/>
  <c r="R450" i="3"/>
  <c r="B450" i="3" l="1"/>
  <c r="AB450" i="3"/>
  <c r="S450" i="3" s="1"/>
  <c r="AC450" i="3"/>
  <c r="T450" i="3" l="1"/>
  <c r="N451" i="3" s="1"/>
  <c r="U450" i="3"/>
  <c r="O451" i="3" s="1"/>
  <c r="AD450" i="3"/>
  <c r="X451" i="3" s="1"/>
  <c r="AE450" i="3" l="1"/>
  <c r="Y451" i="3" s="1"/>
  <c r="C451" i="3" s="1"/>
  <c r="B451" i="3"/>
  <c r="P451" i="3"/>
  <c r="Z451" i="3"/>
  <c r="Q451" i="3" s="1"/>
  <c r="AA451" i="3"/>
  <c r="R451" i="3"/>
  <c r="AB451" i="3"/>
  <c r="S451" i="3" s="1"/>
  <c r="AC451" i="3"/>
  <c r="T451" i="3" l="1"/>
  <c r="AD451" i="3"/>
  <c r="AE451" i="3" s="1"/>
  <c r="Y452" i="3" s="1"/>
  <c r="X452" i="3" l="1"/>
  <c r="N452" i="3"/>
  <c r="U451" i="3"/>
  <c r="O452" i="3" s="1"/>
  <c r="C452" i="3"/>
  <c r="P452" i="3"/>
  <c r="Z452" i="3"/>
  <c r="Q452" i="3" s="1"/>
  <c r="AA452" i="3"/>
  <c r="R452" i="3"/>
  <c r="B452" i="3" l="1"/>
  <c r="AB452" i="3"/>
  <c r="S452" i="3" s="1"/>
  <c r="AC452" i="3"/>
  <c r="T452" i="3" l="1"/>
  <c r="N453" i="3" s="1"/>
  <c r="U452" i="3"/>
  <c r="O453" i="3" s="1"/>
  <c r="AD452" i="3"/>
  <c r="X453" i="3" s="1"/>
  <c r="AE452" i="3" l="1"/>
  <c r="Y453" i="3" s="1"/>
  <c r="C453" i="3" s="1"/>
  <c r="B453" i="3"/>
  <c r="P453" i="3"/>
  <c r="Z453" i="3"/>
  <c r="Q453" i="3" s="1"/>
  <c r="AA453" i="3"/>
  <c r="R453" i="3"/>
  <c r="AB453" i="3"/>
  <c r="S453" i="3" s="1"/>
  <c r="AC453" i="3"/>
  <c r="T453" i="3" l="1"/>
  <c r="AD453" i="3"/>
  <c r="X454" i="3" s="1"/>
  <c r="AE453" i="3" l="1"/>
  <c r="Y454" i="3" s="1"/>
  <c r="U453" i="3"/>
  <c r="O454" i="3" s="1"/>
  <c r="N454" i="3"/>
  <c r="C454" i="3"/>
  <c r="P454" i="3"/>
  <c r="Z454" i="3"/>
  <c r="Q454" i="3" s="1"/>
  <c r="AA454" i="3"/>
  <c r="R454" i="3"/>
  <c r="B454" i="3" l="1"/>
  <c r="AB454" i="3"/>
  <c r="S454" i="3" s="1"/>
  <c r="AC454" i="3"/>
  <c r="T454" i="3" l="1"/>
  <c r="AD454" i="3"/>
  <c r="X455" i="3" s="1"/>
  <c r="AE454" i="3" l="1"/>
  <c r="Y455" i="3" s="1"/>
  <c r="C455" i="3" s="1"/>
  <c r="N455" i="3"/>
  <c r="U454" i="3"/>
  <c r="O455" i="3" s="1"/>
  <c r="P455" i="3"/>
  <c r="Z455" i="3"/>
  <c r="Q455" i="3" s="1"/>
  <c r="AA455" i="3"/>
  <c r="R455" i="3"/>
  <c r="B455" i="3" l="1"/>
  <c r="AB455" i="3"/>
  <c r="S455" i="3" s="1"/>
  <c r="AC455" i="3"/>
  <c r="T455" i="3" l="1"/>
  <c r="AD455" i="3"/>
  <c r="X456" i="3" s="1"/>
  <c r="AE455" i="3" l="1"/>
  <c r="Y456" i="3" s="1"/>
  <c r="C456" i="3" s="1"/>
  <c r="U455" i="3"/>
  <c r="O456" i="3" s="1"/>
  <c r="N456" i="3"/>
  <c r="P456" i="3"/>
  <c r="Z456" i="3"/>
  <c r="Q456" i="3" s="1"/>
  <c r="AA456" i="3"/>
  <c r="R456" i="3"/>
  <c r="B456" i="3" l="1"/>
  <c r="AB456" i="3"/>
  <c r="S456" i="3" s="1"/>
  <c r="AC456" i="3"/>
  <c r="T456" i="3" l="1"/>
  <c r="AD456" i="3"/>
  <c r="AE456" i="3" s="1"/>
  <c r="Y457" i="3" s="1"/>
  <c r="X457" i="3" l="1"/>
  <c r="N457" i="3"/>
  <c r="U456" i="3"/>
  <c r="O457" i="3" s="1"/>
  <c r="C457" i="3"/>
  <c r="P457" i="3"/>
  <c r="Z457" i="3"/>
  <c r="Q457" i="3" s="1"/>
  <c r="AA457" i="3"/>
  <c r="R457" i="3"/>
  <c r="B457" i="3" l="1"/>
  <c r="AB457" i="3"/>
  <c r="S457" i="3" s="1"/>
  <c r="AC457" i="3"/>
  <c r="T457" i="3" l="1"/>
  <c r="N458" i="3" s="1"/>
  <c r="AD457" i="3"/>
  <c r="X458" i="3" s="1"/>
  <c r="AE457" i="3" l="1"/>
  <c r="Y458" i="3" s="1"/>
  <c r="C458" i="3" s="1"/>
  <c r="U457" i="3"/>
  <c r="O458" i="3" s="1"/>
  <c r="P458" i="3"/>
  <c r="Z458" i="3"/>
  <c r="Q458" i="3" s="1"/>
  <c r="AA458" i="3"/>
  <c r="R458" i="3"/>
  <c r="B458" i="3" l="1"/>
  <c r="AB458" i="3"/>
  <c r="S458" i="3" s="1"/>
  <c r="AC458" i="3"/>
  <c r="T458" i="3" l="1"/>
  <c r="N459" i="3" s="1"/>
  <c r="AD458" i="3"/>
  <c r="X459" i="3" s="1"/>
  <c r="U458" i="3" l="1"/>
  <c r="O459" i="3" s="1"/>
  <c r="B459" i="3" s="1"/>
  <c r="AE458" i="3"/>
  <c r="Y459" i="3" s="1"/>
  <c r="C459" i="3" s="1"/>
  <c r="P459" i="3"/>
  <c r="Z459" i="3"/>
  <c r="Q459" i="3" s="1"/>
  <c r="AA459" i="3"/>
  <c r="R459" i="3"/>
  <c r="AB459" i="3"/>
  <c r="S459" i="3" s="1"/>
  <c r="AC459" i="3"/>
  <c r="T459" i="3" l="1"/>
  <c r="N460" i="3" s="1"/>
  <c r="AD459" i="3"/>
  <c r="X460" i="3" s="1"/>
  <c r="AE459" i="3"/>
  <c r="Y460" i="3" s="1"/>
  <c r="U459" i="3" l="1"/>
  <c r="O460" i="3" s="1"/>
  <c r="B460" i="3"/>
  <c r="C460" i="3"/>
  <c r="P460" i="3"/>
  <c r="Z460" i="3"/>
  <c r="Q460" i="3" s="1"/>
  <c r="AA460" i="3"/>
  <c r="R460" i="3"/>
  <c r="AB460" i="3"/>
  <c r="S460" i="3" s="1"/>
  <c r="AC460" i="3"/>
  <c r="T460" i="3" l="1"/>
  <c r="AD460" i="3"/>
  <c r="X461" i="3" s="1"/>
  <c r="AE460" i="3" l="1"/>
  <c r="Y461" i="3" s="1"/>
  <c r="C461" i="3" s="1"/>
  <c r="N461" i="3"/>
  <c r="U460" i="3"/>
  <c r="O461" i="3" s="1"/>
  <c r="P461" i="3"/>
  <c r="Z461" i="3"/>
  <c r="Q461" i="3" s="1"/>
  <c r="AA461" i="3"/>
  <c r="R461" i="3"/>
  <c r="B461" i="3" l="1"/>
  <c r="AB461" i="3"/>
  <c r="S461" i="3" s="1"/>
  <c r="AC461" i="3"/>
  <c r="T461" i="3" l="1"/>
  <c r="AD461" i="3"/>
  <c r="X462" i="3" s="1"/>
  <c r="AE461" i="3" l="1"/>
  <c r="Y462" i="3" s="1"/>
  <c r="C462" i="3" s="1"/>
  <c r="N462" i="3"/>
  <c r="U461" i="3"/>
  <c r="O462" i="3" s="1"/>
  <c r="P462" i="3"/>
  <c r="Z462" i="3"/>
  <c r="Q462" i="3" s="1"/>
  <c r="AA462" i="3"/>
  <c r="R462" i="3"/>
  <c r="B462" i="3" l="1"/>
  <c r="AB462" i="3"/>
  <c r="S462" i="3" s="1"/>
  <c r="AC462" i="3"/>
  <c r="T462" i="3" l="1"/>
  <c r="N463" i="3" s="1"/>
  <c r="AD462" i="3"/>
  <c r="X463" i="3" s="1"/>
  <c r="AE462" i="3" l="1"/>
  <c r="Y463" i="3" s="1"/>
  <c r="C463" i="3" s="1"/>
  <c r="U462" i="3"/>
  <c r="O463" i="3" s="1"/>
  <c r="P463" i="3"/>
  <c r="Z463" i="3"/>
  <c r="Q463" i="3"/>
  <c r="AA463" i="3"/>
  <c r="R463" i="3"/>
  <c r="B463" i="3" l="1"/>
  <c r="AB463" i="3"/>
  <c r="S463" i="3" s="1"/>
  <c r="AC463" i="3"/>
  <c r="T463" i="3" l="1"/>
  <c r="AD463" i="3"/>
  <c r="AE463" i="3" s="1"/>
  <c r="Y464" i="3" s="1"/>
  <c r="X464" i="3" l="1"/>
  <c r="N464" i="3"/>
  <c r="U463" i="3"/>
  <c r="O464" i="3" s="1"/>
  <c r="C464" i="3"/>
  <c r="P464" i="3"/>
  <c r="Z464" i="3"/>
  <c r="Q464" i="3" s="1"/>
  <c r="AA464" i="3"/>
  <c r="R464" i="3"/>
  <c r="B464" i="3" l="1"/>
  <c r="AB464" i="3"/>
  <c r="S464" i="3" s="1"/>
  <c r="AC464" i="3"/>
  <c r="T464" i="3" l="1"/>
  <c r="AD464" i="3"/>
  <c r="X465" i="3" s="1"/>
  <c r="AE464" i="3" l="1"/>
  <c r="Y465" i="3" s="1"/>
  <c r="C465" i="3" s="1"/>
  <c r="N465" i="3"/>
  <c r="U464" i="3"/>
  <c r="O465" i="3" s="1"/>
  <c r="P465" i="3"/>
  <c r="Z465" i="3"/>
  <c r="Q465" i="3" s="1"/>
  <c r="AA465" i="3"/>
  <c r="R465" i="3"/>
  <c r="B465" i="3" l="1"/>
  <c r="AB465" i="3"/>
  <c r="S465" i="3" s="1"/>
  <c r="AC465" i="3"/>
  <c r="T465" i="3" l="1"/>
  <c r="AD465" i="3"/>
  <c r="AE465" i="3" s="1"/>
  <c r="Y466" i="3" s="1"/>
  <c r="X466" i="3" l="1"/>
  <c r="N466" i="3"/>
  <c r="U465" i="3"/>
  <c r="O466" i="3" s="1"/>
  <c r="C466" i="3"/>
  <c r="P466" i="3"/>
  <c r="Z466" i="3"/>
  <c r="Q466" i="3" s="1"/>
  <c r="AA466" i="3"/>
  <c r="R466" i="3"/>
  <c r="B466" i="3" l="1"/>
  <c r="AB466" i="3"/>
  <c r="S466" i="3" s="1"/>
  <c r="AC466" i="3"/>
  <c r="T466" i="3" l="1"/>
  <c r="N467" i="3" s="1"/>
  <c r="AD466" i="3"/>
  <c r="X467" i="3" s="1"/>
  <c r="AE466" i="3" l="1"/>
  <c r="Y467" i="3" s="1"/>
  <c r="C467" i="3" s="1"/>
  <c r="U466" i="3"/>
  <c r="O467" i="3" s="1"/>
  <c r="P467" i="3"/>
  <c r="Z467" i="3"/>
  <c r="Q467" i="3" s="1"/>
  <c r="AA467" i="3"/>
  <c r="R467" i="3"/>
  <c r="B467" i="3" l="1"/>
  <c r="AB467" i="3"/>
  <c r="S467" i="3" s="1"/>
  <c r="AC467" i="3"/>
  <c r="T467" i="3" l="1"/>
  <c r="N468" i="3" s="1"/>
  <c r="AD467" i="3"/>
  <c r="X468" i="3" s="1"/>
  <c r="AE467" i="3" l="1"/>
  <c r="Y468" i="3" s="1"/>
  <c r="C468" i="3" s="1"/>
  <c r="U467" i="3"/>
  <c r="O468" i="3" s="1"/>
  <c r="B468" i="3" s="1"/>
  <c r="P468" i="3"/>
  <c r="Z468" i="3"/>
  <c r="Q468" i="3" s="1"/>
  <c r="AA468" i="3"/>
  <c r="R468" i="3"/>
  <c r="AB468" i="3"/>
  <c r="S468" i="3" s="1"/>
  <c r="AC468" i="3"/>
  <c r="T468" i="3" l="1"/>
  <c r="AD468" i="3"/>
  <c r="X469" i="3" s="1"/>
  <c r="N469" i="3" l="1"/>
  <c r="U468" i="3"/>
  <c r="O469" i="3" s="1"/>
  <c r="AE468" i="3"/>
  <c r="Y469" i="3" s="1"/>
  <c r="C469" i="3" s="1"/>
  <c r="P469" i="3"/>
  <c r="Z469" i="3"/>
  <c r="Q469" i="3" s="1"/>
  <c r="AA469" i="3"/>
  <c r="R469" i="3"/>
  <c r="B469" i="3" l="1"/>
  <c r="AB469" i="3"/>
  <c r="S469" i="3" s="1"/>
  <c r="AC469" i="3"/>
  <c r="T469" i="3" l="1"/>
  <c r="AD469" i="3"/>
  <c r="X470" i="3" s="1"/>
  <c r="AE469" i="3" l="1"/>
  <c r="Y470" i="3" s="1"/>
  <c r="U469" i="3"/>
  <c r="O470" i="3" s="1"/>
  <c r="N470" i="3"/>
  <c r="C470" i="3"/>
  <c r="P470" i="3"/>
  <c r="Z470" i="3"/>
  <c r="Q470" i="3" s="1"/>
  <c r="AA470" i="3"/>
  <c r="R470" i="3"/>
  <c r="B470" i="3" l="1"/>
  <c r="AB470" i="3"/>
  <c r="S470" i="3" s="1"/>
  <c r="AC470" i="3"/>
  <c r="T470" i="3" l="1"/>
  <c r="AD470" i="3"/>
  <c r="AE470" i="3" s="1"/>
  <c r="Y471" i="3" s="1"/>
  <c r="X471" i="3" l="1"/>
  <c r="N471" i="3"/>
  <c r="U470" i="3"/>
  <c r="O471" i="3" s="1"/>
  <c r="C471" i="3"/>
  <c r="P471" i="3"/>
  <c r="Z471" i="3"/>
  <c r="Q471" i="3" s="1"/>
  <c r="AA471" i="3"/>
  <c r="R471" i="3"/>
  <c r="B471" i="3" l="1"/>
  <c r="AB471" i="3"/>
  <c r="S471" i="3" s="1"/>
  <c r="AC471" i="3"/>
  <c r="T471" i="3" l="1"/>
  <c r="AD471" i="3"/>
  <c r="AE471" i="3" s="1"/>
  <c r="Y472" i="3" s="1"/>
  <c r="U471" i="3" l="1"/>
  <c r="O472" i="3" s="1"/>
  <c r="N472" i="3"/>
  <c r="X472" i="3"/>
  <c r="C472" i="3"/>
  <c r="P472" i="3"/>
  <c r="Z472" i="3"/>
  <c r="Q472" i="3"/>
  <c r="AA472" i="3"/>
  <c r="R472" i="3"/>
  <c r="B472" i="3" l="1"/>
  <c r="AB472" i="3"/>
  <c r="S472" i="3" s="1"/>
  <c r="AC472" i="3"/>
  <c r="T472" i="3" l="1"/>
  <c r="AD472" i="3"/>
  <c r="X473" i="3" s="1"/>
  <c r="AE472" i="3" l="1"/>
  <c r="Y473" i="3" s="1"/>
  <c r="C473" i="3" s="1"/>
  <c r="N473" i="3"/>
  <c r="U472" i="3"/>
  <c r="O473" i="3" s="1"/>
  <c r="P473" i="3"/>
  <c r="Z473" i="3"/>
  <c r="Q473" i="3" s="1"/>
  <c r="AA473" i="3"/>
  <c r="R473" i="3"/>
  <c r="B473" i="3" l="1"/>
  <c r="AB473" i="3"/>
  <c r="S473" i="3" s="1"/>
  <c r="AC473" i="3"/>
  <c r="T473" i="3" l="1"/>
  <c r="AD473" i="3"/>
  <c r="AE473" i="3" s="1"/>
  <c r="Y474" i="3" s="1"/>
  <c r="X474" i="3" l="1"/>
  <c r="N474" i="3"/>
  <c r="U473" i="3"/>
  <c r="O474" i="3" s="1"/>
  <c r="C474" i="3"/>
  <c r="P474" i="3"/>
  <c r="Z474" i="3"/>
  <c r="Q474" i="3" s="1"/>
  <c r="AA474" i="3"/>
  <c r="R474" i="3"/>
  <c r="B474" i="3" l="1"/>
  <c r="AB474" i="3"/>
  <c r="S474" i="3" s="1"/>
  <c r="AC474" i="3"/>
  <c r="T474" i="3" l="1"/>
  <c r="AD474" i="3"/>
  <c r="X475" i="3" s="1"/>
  <c r="AE474" i="3" l="1"/>
  <c r="Y475" i="3" s="1"/>
  <c r="C475" i="3" s="1"/>
  <c r="N475" i="3"/>
  <c r="U474" i="3"/>
  <c r="O475" i="3" s="1"/>
  <c r="P475" i="3"/>
  <c r="Z475" i="3"/>
  <c r="Q475" i="3" s="1"/>
  <c r="AA475" i="3"/>
  <c r="R475" i="3"/>
  <c r="B475" i="3" l="1"/>
  <c r="AB475" i="3"/>
  <c r="S475" i="3" s="1"/>
  <c r="AC475" i="3"/>
  <c r="T475" i="3" l="1"/>
  <c r="AD475" i="3"/>
  <c r="X476" i="3" s="1"/>
  <c r="AE475" i="3" l="1"/>
  <c r="Y476" i="3" s="1"/>
  <c r="C476" i="3" s="1"/>
  <c r="N476" i="3"/>
  <c r="U475" i="3"/>
  <c r="O476" i="3" s="1"/>
  <c r="P476" i="3"/>
  <c r="Z476" i="3"/>
  <c r="Q476" i="3" s="1"/>
  <c r="AA476" i="3"/>
  <c r="R476" i="3"/>
  <c r="B476" i="3" l="1"/>
  <c r="AB476" i="3"/>
  <c r="S476" i="3" s="1"/>
  <c r="AC476" i="3"/>
  <c r="T476" i="3" l="1"/>
  <c r="AD476" i="3"/>
  <c r="X477" i="3" s="1"/>
  <c r="AE476" i="3" l="1"/>
  <c r="Y477" i="3" s="1"/>
  <c r="N477" i="3"/>
  <c r="U476" i="3"/>
  <c r="O477" i="3" s="1"/>
  <c r="C477" i="3"/>
  <c r="P477" i="3"/>
  <c r="Z477" i="3"/>
  <c r="Q477" i="3" s="1"/>
  <c r="AA477" i="3"/>
  <c r="R477" i="3"/>
  <c r="B477" i="3" l="1"/>
  <c r="AB477" i="3"/>
  <c r="S477" i="3" s="1"/>
  <c r="AC477" i="3"/>
  <c r="T477" i="3" l="1"/>
  <c r="N478" i="3" s="1"/>
  <c r="AD477" i="3"/>
  <c r="X478" i="3" s="1"/>
  <c r="U477" i="3" l="1"/>
  <c r="O478" i="3" s="1"/>
  <c r="B478" i="3" s="1"/>
  <c r="AE477" i="3"/>
  <c r="Y478" i="3" s="1"/>
  <c r="C478" i="3" s="1"/>
  <c r="P478" i="3"/>
  <c r="Z478" i="3"/>
  <c r="Q478" i="3" s="1"/>
  <c r="AA478" i="3"/>
  <c r="R478" i="3"/>
  <c r="AB478" i="3"/>
  <c r="S478" i="3" s="1"/>
  <c r="AC478" i="3"/>
  <c r="T478" i="3" l="1"/>
  <c r="AD478" i="3"/>
  <c r="X479" i="3" s="1"/>
  <c r="AE478" i="3" l="1"/>
  <c r="Y479" i="3" s="1"/>
  <c r="C479" i="3" s="1"/>
  <c r="N479" i="3"/>
  <c r="U478" i="3"/>
  <c r="O479" i="3" s="1"/>
  <c r="P479" i="3"/>
  <c r="Z479" i="3"/>
  <c r="Q479" i="3" s="1"/>
  <c r="AA479" i="3"/>
  <c r="R479" i="3"/>
  <c r="B479" i="3" l="1"/>
  <c r="AB479" i="3"/>
  <c r="S479" i="3" s="1"/>
  <c r="AC479" i="3"/>
  <c r="T479" i="3" l="1"/>
  <c r="AD479" i="3"/>
  <c r="X480" i="3" s="1"/>
  <c r="AE479" i="3" l="1"/>
  <c r="Y480" i="3" s="1"/>
  <c r="N480" i="3"/>
  <c r="U479" i="3"/>
  <c r="O480" i="3" s="1"/>
  <c r="C480" i="3"/>
  <c r="P480" i="3"/>
  <c r="Z480" i="3"/>
  <c r="Q480" i="3" s="1"/>
  <c r="AA480" i="3"/>
  <c r="R480" i="3"/>
  <c r="B480" i="3" l="1"/>
  <c r="AB480" i="3"/>
  <c r="S480" i="3" s="1"/>
  <c r="AC480" i="3"/>
  <c r="T480" i="3" l="1"/>
  <c r="N481" i="3" s="1"/>
  <c r="AD480" i="3"/>
  <c r="X481" i="3" s="1"/>
  <c r="AE480" i="3"/>
  <c r="Y481" i="3" s="1"/>
  <c r="U480" i="3" l="1"/>
  <c r="O481" i="3" s="1"/>
  <c r="B481" i="3"/>
  <c r="C481" i="3"/>
  <c r="P481" i="3"/>
  <c r="Z481" i="3"/>
  <c r="Q481" i="3" s="1"/>
  <c r="AA481" i="3"/>
  <c r="R481" i="3"/>
  <c r="AB481" i="3"/>
  <c r="S481" i="3" s="1"/>
  <c r="AC481" i="3"/>
  <c r="T481" i="3" l="1"/>
  <c r="AD481" i="3"/>
  <c r="X482" i="3" s="1"/>
  <c r="AE481" i="3" l="1"/>
  <c r="Y482" i="3" s="1"/>
  <c r="C482" i="3" s="1"/>
  <c r="N482" i="3"/>
  <c r="U481" i="3"/>
  <c r="O482" i="3" s="1"/>
  <c r="P482" i="3"/>
  <c r="Z482" i="3"/>
  <c r="Q482" i="3" s="1"/>
  <c r="AA482" i="3"/>
  <c r="R482" i="3"/>
  <c r="B482" i="3" l="1"/>
  <c r="AB482" i="3"/>
  <c r="S482" i="3" s="1"/>
  <c r="AC482" i="3"/>
  <c r="T482" i="3" l="1"/>
  <c r="AD482" i="3"/>
  <c r="X483" i="3" s="1"/>
  <c r="AE482" i="3" l="1"/>
  <c r="Y483" i="3" s="1"/>
  <c r="C483" i="3" s="1"/>
  <c r="N483" i="3"/>
  <c r="U482" i="3"/>
  <c r="O483" i="3" s="1"/>
  <c r="P483" i="3"/>
  <c r="Z483" i="3"/>
  <c r="Q483" i="3" s="1"/>
  <c r="AA483" i="3"/>
  <c r="R483" i="3"/>
  <c r="B483" i="3" l="1"/>
  <c r="AB483" i="3"/>
  <c r="S483" i="3" s="1"/>
  <c r="AC483" i="3"/>
  <c r="T483" i="3" l="1"/>
  <c r="AD483" i="3"/>
  <c r="AE483" i="3" s="1"/>
  <c r="Y484" i="3" s="1"/>
  <c r="N484" i="3" l="1"/>
  <c r="U483" i="3"/>
  <c r="O484" i="3" s="1"/>
  <c r="X484" i="3"/>
  <c r="C484" i="3"/>
  <c r="P484" i="3"/>
  <c r="Z484" i="3"/>
  <c r="Q484" i="3"/>
  <c r="AA484" i="3"/>
  <c r="R484" i="3"/>
  <c r="B484" i="3" l="1"/>
  <c r="AB484" i="3"/>
  <c r="S484" i="3" s="1"/>
  <c r="AC484" i="3"/>
  <c r="T484" i="3" l="1"/>
  <c r="N485" i="3" s="1"/>
  <c r="AD484" i="3"/>
  <c r="AE484" i="3" s="1"/>
  <c r="Y485" i="3" s="1"/>
  <c r="U484" i="3" l="1"/>
  <c r="O485" i="3" s="1"/>
  <c r="X485" i="3"/>
  <c r="C485" i="3"/>
  <c r="P485" i="3"/>
  <c r="Z485" i="3"/>
  <c r="Q485" i="3"/>
  <c r="AA485" i="3"/>
  <c r="R485" i="3"/>
  <c r="AB485" i="3"/>
  <c r="S485" i="3" s="1"/>
  <c r="AC485" i="3"/>
  <c r="B485" i="3" l="1"/>
  <c r="T485" i="3"/>
  <c r="N486" i="3" s="1"/>
  <c r="AD485" i="3"/>
  <c r="X486" i="3" s="1"/>
  <c r="AE485" i="3" l="1"/>
  <c r="Y486" i="3" s="1"/>
  <c r="C486" i="3" s="1"/>
  <c r="U485" i="3"/>
  <c r="O486" i="3" s="1"/>
  <c r="P486" i="3"/>
  <c r="Z486" i="3"/>
  <c r="Q486" i="3" s="1"/>
  <c r="AA486" i="3"/>
  <c r="R486" i="3"/>
  <c r="AB486" i="3"/>
  <c r="S486" i="3" s="1"/>
  <c r="AC486" i="3"/>
  <c r="B486" i="3" l="1"/>
  <c r="T486" i="3"/>
  <c r="AD486" i="3"/>
  <c r="X487" i="3" s="1"/>
  <c r="AE486" i="3" l="1"/>
  <c r="Y487" i="3" s="1"/>
  <c r="C487" i="3" s="1"/>
  <c r="N487" i="3"/>
  <c r="U486" i="3"/>
  <c r="O487" i="3" s="1"/>
  <c r="P487" i="3"/>
  <c r="Z487" i="3"/>
  <c r="Q487" i="3" s="1"/>
  <c r="AA487" i="3"/>
  <c r="R487" i="3"/>
  <c r="B487" i="3" l="1"/>
  <c r="AB487" i="3"/>
  <c r="S487" i="3" s="1"/>
  <c r="AC487" i="3"/>
  <c r="T487" i="3" l="1"/>
  <c r="AD487" i="3"/>
  <c r="X488" i="3" s="1"/>
  <c r="AE487" i="3" l="1"/>
  <c r="Y488" i="3" s="1"/>
  <c r="C488" i="3" s="1"/>
  <c r="U487" i="3"/>
  <c r="O488" i="3" s="1"/>
  <c r="N488" i="3"/>
  <c r="P488" i="3"/>
  <c r="Z488" i="3"/>
  <c r="Q488" i="3" s="1"/>
  <c r="AA488" i="3"/>
  <c r="R488" i="3"/>
  <c r="B488" i="3" l="1"/>
  <c r="AB488" i="3"/>
  <c r="S488" i="3" s="1"/>
  <c r="AC488" i="3"/>
  <c r="T488" i="3" l="1"/>
  <c r="AD488" i="3"/>
  <c r="AE488" i="3" s="1"/>
  <c r="Y489" i="3" s="1"/>
  <c r="X489" i="3" l="1"/>
  <c r="N489" i="3"/>
  <c r="U488" i="3"/>
  <c r="O489" i="3" s="1"/>
  <c r="C489" i="3"/>
  <c r="P489" i="3"/>
  <c r="Z489" i="3"/>
  <c r="Q489" i="3" s="1"/>
  <c r="AA489" i="3"/>
  <c r="R489" i="3"/>
  <c r="B489" i="3" l="1"/>
  <c r="AB489" i="3"/>
  <c r="S489" i="3" s="1"/>
  <c r="AC489" i="3"/>
  <c r="T489" i="3" l="1"/>
  <c r="AD489" i="3"/>
  <c r="X490" i="3" s="1"/>
  <c r="AE489" i="3" l="1"/>
  <c r="Y490" i="3" s="1"/>
  <c r="C490" i="3" s="1"/>
  <c r="U489" i="3"/>
  <c r="O490" i="3" s="1"/>
  <c r="N490" i="3"/>
  <c r="P490" i="3"/>
  <c r="Z490" i="3"/>
  <c r="Q490" i="3" s="1"/>
  <c r="AA490" i="3"/>
  <c r="R490" i="3"/>
  <c r="B490" i="3" l="1"/>
  <c r="AB490" i="3"/>
  <c r="S490" i="3" s="1"/>
  <c r="AC490" i="3"/>
  <c r="T490" i="3" l="1"/>
  <c r="AD490" i="3"/>
  <c r="X491" i="3" s="1"/>
  <c r="AE490" i="3" l="1"/>
  <c r="Y491" i="3" s="1"/>
  <c r="N491" i="3"/>
  <c r="U490" i="3"/>
  <c r="O491" i="3" s="1"/>
  <c r="C491" i="3"/>
  <c r="P491" i="3"/>
  <c r="Z491" i="3"/>
  <c r="Q491" i="3" s="1"/>
  <c r="AA491" i="3"/>
  <c r="R491" i="3"/>
  <c r="B491" i="3" l="1"/>
  <c r="AB491" i="3"/>
  <c r="S491" i="3" s="1"/>
  <c r="AC491" i="3"/>
  <c r="T491" i="3" l="1"/>
  <c r="AD491" i="3"/>
  <c r="X492" i="3" s="1"/>
  <c r="AE491" i="3" l="1"/>
  <c r="Y492" i="3" s="1"/>
  <c r="C492" i="3" s="1"/>
  <c r="N492" i="3"/>
  <c r="U491" i="3"/>
  <c r="O492" i="3" s="1"/>
  <c r="P492" i="3"/>
  <c r="Z492" i="3"/>
  <c r="Q492" i="3" s="1"/>
  <c r="AA492" i="3"/>
  <c r="R492" i="3"/>
  <c r="B492" i="3" l="1"/>
  <c r="AB492" i="3"/>
  <c r="S492" i="3" s="1"/>
  <c r="AC492" i="3"/>
  <c r="T492" i="3" l="1"/>
  <c r="U492" i="3" s="1"/>
  <c r="O493" i="3" s="1"/>
  <c r="B493" i="3" s="1"/>
  <c r="AD492" i="3"/>
  <c r="X493" i="3" s="1"/>
  <c r="AE492" i="3" l="1"/>
  <c r="Y493" i="3" s="1"/>
  <c r="C493" i="3" s="1"/>
  <c r="N493" i="3"/>
  <c r="P493" i="3"/>
  <c r="Z493" i="3"/>
  <c r="Q493" i="3"/>
  <c r="AA493" i="3"/>
  <c r="R493" i="3"/>
  <c r="AB493" i="3"/>
  <c r="S493" i="3" s="1"/>
  <c r="AC493" i="3"/>
  <c r="T493" i="3" l="1"/>
  <c r="AD493" i="3"/>
  <c r="X494" i="3" s="1"/>
  <c r="AE493" i="3" l="1"/>
  <c r="Y494" i="3" s="1"/>
  <c r="N494" i="3"/>
  <c r="U493" i="3"/>
  <c r="O494" i="3" s="1"/>
  <c r="C494" i="3"/>
  <c r="P494" i="3"/>
  <c r="Z494" i="3"/>
  <c r="Q494" i="3" s="1"/>
  <c r="AA494" i="3"/>
  <c r="R494" i="3"/>
  <c r="B494" i="3" l="1"/>
  <c r="AB494" i="3"/>
  <c r="S494" i="3" s="1"/>
  <c r="AC494" i="3"/>
  <c r="T494" i="3" l="1"/>
  <c r="N495" i="3" s="1"/>
  <c r="AD494" i="3"/>
  <c r="X495" i="3" s="1"/>
  <c r="AE494" i="3" l="1"/>
  <c r="Y495" i="3" s="1"/>
  <c r="C495" i="3" s="1"/>
  <c r="U494" i="3"/>
  <c r="O495" i="3" s="1"/>
  <c r="P495" i="3"/>
  <c r="Z495" i="3"/>
  <c r="Q495" i="3" s="1"/>
  <c r="AA495" i="3"/>
  <c r="R495" i="3"/>
  <c r="AB495" i="3"/>
  <c r="S495" i="3" s="1"/>
  <c r="AC495" i="3"/>
  <c r="B495" i="3" l="1"/>
  <c r="T495" i="3"/>
  <c r="N496" i="3" s="1"/>
  <c r="AD495" i="3"/>
  <c r="X496" i="3" s="1"/>
  <c r="AE495" i="3" l="1"/>
  <c r="Y496" i="3" s="1"/>
  <c r="C496" i="3" s="1"/>
  <c r="U495" i="3"/>
  <c r="O496" i="3" s="1"/>
  <c r="P496" i="3"/>
  <c r="Z496" i="3"/>
  <c r="Q496" i="3" s="1"/>
  <c r="AA496" i="3"/>
  <c r="R496" i="3"/>
  <c r="B496" i="3" l="1"/>
  <c r="AB496" i="3"/>
  <c r="S496" i="3" s="1"/>
  <c r="AC496" i="3"/>
  <c r="T496" i="3" l="1"/>
  <c r="AD496" i="3"/>
  <c r="AE496" i="3" s="1"/>
  <c r="Y497" i="3" s="1"/>
  <c r="X497" i="3" l="1"/>
  <c r="N497" i="3"/>
  <c r="U496" i="3"/>
  <c r="O497" i="3" s="1"/>
  <c r="C497" i="3"/>
  <c r="P497" i="3"/>
  <c r="Z497" i="3"/>
  <c r="Q497" i="3" s="1"/>
  <c r="AA497" i="3"/>
  <c r="R497" i="3"/>
  <c r="B497" i="3" l="1"/>
  <c r="AB497" i="3"/>
  <c r="S497" i="3" s="1"/>
  <c r="AC497" i="3"/>
  <c r="T497" i="3" l="1"/>
  <c r="AD497" i="3"/>
  <c r="X498" i="3" s="1"/>
  <c r="AE497" i="3" l="1"/>
  <c r="Y498" i="3" s="1"/>
  <c r="C498" i="3" s="1"/>
  <c r="N498" i="3"/>
  <c r="U497" i="3"/>
  <c r="O498" i="3" s="1"/>
  <c r="P498" i="3"/>
  <c r="Z498" i="3"/>
  <c r="Q498" i="3" s="1"/>
  <c r="AA498" i="3"/>
  <c r="R498" i="3"/>
  <c r="B498" i="3" l="1"/>
  <c r="AB498" i="3"/>
  <c r="S498" i="3" s="1"/>
  <c r="AC498" i="3"/>
  <c r="T498" i="3" l="1"/>
  <c r="AD498" i="3"/>
  <c r="X499" i="3" s="1"/>
  <c r="AE498" i="3" l="1"/>
  <c r="Y499" i="3" s="1"/>
  <c r="C499" i="3" s="1"/>
  <c r="N499" i="3"/>
  <c r="U498" i="3"/>
  <c r="O499" i="3" s="1"/>
  <c r="P499" i="3"/>
  <c r="Z499" i="3"/>
  <c r="Q499" i="3" s="1"/>
  <c r="AA499" i="3"/>
  <c r="R499" i="3"/>
  <c r="B499" i="3" l="1"/>
  <c r="AB499" i="3"/>
  <c r="S499" i="3" s="1"/>
  <c r="AC499" i="3"/>
  <c r="T499" i="3" l="1"/>
  <c r="N500" i="3" s="1"/>
  <c r="AD499" i="3"/>
  <c r="X500" i="3" s="1"/>
  <c r="AE499" i="3" l="1"/>
  <c r="Y500" i="3" s="1"/>
  <c r="C500" i="3" s="1"/>
  <c r="U499" i="3"/>
  <c r="O500" i="3" s="1"/>
  <c r="B500" i="3" s="1"/>
  <c r="P500" i="3"/>
  <c r="Z500" i="3"/>
  <c r="Q500" i="3" s="1"/>
  <c r="AA500" i="3"/>
  <c r="R500" i="3"/>
  <c r="AB500" i="3"/>
  <c r="S500" i="3" s="1"/>
  <c r="AC500" i="3"/>
  <c r="T500" i="3" l="1"/>
  <c r="AD500" i="3"/>
  <c r="X501" i="3" s="1"/>
  <c r="AE500" i="3" l="1"/>
  <c r="Y501" i="3" s="1"/>
  <c r="C501" i="3" s="1"/>
  <c r="N501" i="3"/>
  <c r="U500" i="3"/>
  <c r="O501" i="3" s="1"/>
  <c r="P501" i="3"/>
  <c r="Z501" i="3"/>
  <c r="Q501" i="3" s="1"/>
  <c r="AA501" i="3"/>
  <c r="R501" i="3"/>
  <c r="B501" i="3" l="1"/>
  <c r="AB501" i="3"/>
  <c r="S501" i="3" s="1"/>
  <c r="AC501" i="3"/>
  <c r="T501" i="3" l="1"/>
  <c r="AD501" i="3"/>
  <c r="X502" i="3" s="1"/>
  <c r="AE501" i="3" l="1"/>
  <c r="Y502" i="3" s="1"/>
  <c r="C502" i="3" s="1"/>
  <c r="N502" i="3"/>
  <c r="U501" i="3"/>
  <c r="O502" i="3" s="1"/>
  <c r="P502" i="3"/>
  <c r="Z502" i="3"/>
  <c r="Q502" i="3" s="1"/>
  <c r="AA502" i="3"/>
  <c r="R502" i="3"/>
  <c r="B502" i="3" l="1"/>
  <c r="AB502" i="3"/>
  <c r="S502" i="3" s="1"/>
  <c r="AC502" i="3"/>
  <c r="T502" i="3" l="1"/>
  <c r="AD502" i="3"/>
  <c r="X503" i="3" s="1"/>
  <c r="AE502" i="3" l="1"/>
  <c r="Y503" i="3" s="1"/>
  <c r="C503" i="3" s="1"/>
  <c r="N503" i="3"/>
  <c r="U502" i="3"/>
  <c r="O503" i="3" s="1"/>
  <c r="P503" i="3"/>
  <c r="Z503" i="3"/>
  <c r="Q503" i="3" s="1"/>
  <c r="AA503" i="3"/>
  <c r="R503" i="3"/>
  <c r="B503" i="3" l="1"/>
  <c r="AB503" i="3"/>
  <c r="S503" i="3" s="1"/>
  <c r="AC503" i="3"/>
  <c r="T503" i="3" l="1"/>
  <c r="AD503" i="3"/>
  <c r="X504" i="3" s="1"/>
  <c r="AE503" i="3" l="1"/>
  <c r="Y504" i="3" s="1"/>
  <c r="U503" i="3"/>
  <c r="O504" i="3" s="1"/>
  <c r="N504" i="3"/>
  <c r="C504" i="3"/>
  <c r="P504" i="3"/>
  <c r="Z504" i="3"/>
  <c r="Q504" i="3" s="1"/>
  <c r="AA504" i="3"/>
  <c r="R504" i="3"/>
  <c r="B504" i="3" l="1"/>
  <c r="AB504" i="3"/>
  <c r="S504" i="3" s="1"/>
  <c r="AC504" i="3"/>
  <c r="T504" i="3" l="1"/>
  <c r="AD504" i="3"/>
  <c r="AE504" i="3" s="1"/>
  <c r="Y505" i="3" s="1"/>
  <c r="X505" i="3" l="1"/>
  <c r="N505" i="3"/>
  <c r="U504" i="3"/>
  <c r="O505" i="3" s="1"/>
  <c r="C505" i="3"/>
  <c r="P505" i="3"/>
  <c r="Z505" i="3"/>
  <c r="Q505" i="3" s="1"/>
  <c r="AA505" i="3"/>
  <c r="R505" i="3"/>
  <c r="B505" i="3" l="1"/>
  <c r="AB505" i="3"/>
  <c r="S505" i="3" s="1"/>
  <c r="AC505" i="3"/>
  <c r="T505" i="3" l="1"/>
  <c r="AD505" i="3"/>
  <c r="X506" i="3" s="1"/>
  <c r="AE505" i="3" l="1"/>
  <c r="Y506" i="3" s="1"/>
  <c r="C506" i="3" s="1"/>
  <c r="U505" i="3"/>
  <c r="O506" i="3" s="1"/>
  <c r="N506" i="3"/>
  <c r="P506" i="3"/>
  <c r="Z506" i="3"/>
  <c r="Q506" i="3" s="1"/>
  <c r="AA506" i="3"/>
  <c r="R506" i="3"/>
  <c r="B506" i="3" l="1"/>
  <c r="AB506" i="3"/>
  <c r="S506" i="3" s="1"/>
  <c r="AC506" i="3"/>
  <c r="T506" i="3" l="1"/>
  <c r="AD506" i="3"/>
  <c r="X507" i="3" s="1"/>
  <c r="AE506" i="3" l="1"/>
  <c r="Y507" i="3" s="1"/>
  <c r="C507" i="3" s="1"/>
  <c r="N507" i="3"/>
  <c r="U506" i="3"/>
  <c r="O507" i="3" s="1"/>
  <c r="P507" i="3"/>
  <c r="Z507" i="3"/>
  <c r="Q507" i="3" s="1"/>
  <c r="AA507" i="3"/>
  <c r="R507" i="3"/>
  <c r="B507" i="3" l="1"/>
  <c r="AB507" i="3"/>
  <c r="S507" i="3" s="1"/>
  <c r="AC507" i="3"/>
  <c r="T507" i="3" l="1"/>
  <c r="AD507" i="3"/>
  <c r="AE507" i="3" s="1"/>
  <c r="Y508" i="3" s="1"/>
  <c r="X508" i="3" l="1"/>
  <c r="N508" i="3"/>
  <c r="U507" i="3"/>
  <c r="O508" i="3" s="1"/>
  <c r="C508" i="3"/>
  <c r="P508" i="3"/>
  <c r="Z508" i="3"/>
  <c r="Q508" i="3" s="1"/>
  <c r="AA508" i="3"/>
  <c r="R508" i="3"/>
  <c r="B508" i="3" l="1"/>
  <c r="AB508" i="3"/>
  <c r="S508" i="3" s="1"/>
  <c r="AC508" i="3"/>
  <c r="T508" i="3" l="1"/>
  <c r="AD508" i="3"/>
  <c r="X509" i="3" s="1"/>
  <c r="N509" i="3" l="1"/>
  <c r="U508" i="3"/>
  <c r="O509" i="3" s="1"/>
  <c r="AE508" i="3"/>
  <c r="Y509" i="3" s="1"/>
  <c r="C509" i="3" s="1"/>
  <c r="P509" i="3"/>
  <c r="Z509" i="3"/>
  <c r="Q509" i="3" s="1"/>
  <c r="AA509" i="3"/>
  <c r="R509" i="3"/>
  <c r="B509" i="3" l="1"/>
  <c r="AB509" i="3"/>
  <c r="S509" i="3" s="1"/>
  <c r="AC509" i="3"/>
  <c r="T509" i="3" l="1"/>
  <c r="AD509" i="3"/>
  <c r="X510" i="3" s="1"/>
  <c r="N510" i="3" l="1"/>
  <c r="U509" i="3"/>
  <c r="O510" i="3" s="1"/>
  <c r="AE509" i="3"/>
  <c r="Y510" i="3" s="1"/>
  <c r="C510" i="3" s="1"/>
  <c r="P510" i="3"/>
  <c r="Z510" i="3"/>
  <c r="Q510" i="3" s="1"/>
  <c r="AA510" i="3"/>
  <c r="R510" i="3"/>
  <c r="B510" i="3" l="1"/>
  <c r="AB510" i="3"/>
  <c r="S510" i="3" s="1"/>
  <c r="AC510" i="3"/>
  <c r="T510" i="3" l="1"/>
  <c r="AD510" i="3"/>
  <c r="X511" i="3" s="1"/>
  <c r="AE510" i="3" l="1"/>
  <c r="Y511" i="3" s="1"/>
  <c r="N511" i="3"/>
  <c r="U510" i="3"/>
  <c r="O511" i="3" s="1"/>
  <c r="C511" i="3"/>
  <c r="P511" i="3"/>
  <c r="Z511" i="3"/>
  <c r="Q511" i="3" s="1"/>
  <c r="AA511" i="3"/>
  <c r="R511" i="3"/>
  <c r="B511" i="3" l="1"/>
  <c r="AB511" i="3"/>
  <c r="S511" i="3" s="1"/>
  <c r="AC511" i="3"/>
  <c r="T511" i="3" l="1"/>
  <c r="AD511" i="3"/>
  <c r="AE511" i="3" s="1"/>
  <c r="Y512" i="3" s="1"/>
  <c r="N512" i="3" l="1"/>
  <c r="U511" i="3"/>
  <c r="O512" i="3" s="1"/>
  <c r="X512" i="3"/>
  <c r="C512" i="3"/>
  <c r="P512" i="3"/>
  <c r="Z512" i="3"/>
  <c r="Q512" i="3"/>
  <c r="AA512" i="3"/>
  <c r="R512" i="3"/>
  <c r="B512" i="3" l="1"/>
  <c r="AB512" i="3"/>
  <c r="S512" i="3" s="1"/>
  <c r="AC512" i="3"/>
  <c r="T512" i="3" l="1"/>
  <c r="AD512" i="3"/>
  <c r="AE512" i="3" s="1"/>
  <c r="Y513" i="3" s="1"/>
  <c r="X513" i="3" l="1"/>
  <c r="N513" i="3"/>
  <c r="U512" i="3"/>
  <c r="O513" i="3" s="1"/>
  <c r="C513" i="3"/>
  <c r="P513" i="3"/>
  <c r="Z513" i="3"/>
  <c r="Q513" i="3" s="1"/>
  <c r="AA513" i="3"/>
  <c r="R513" i="3"/>
  <c r="B513" i="3" l="1"/>
  <c r="AB513" i="3"/>
  <c r="S513" i="3" s="1"/>
  <c r="AC513" i="3"/>
  <c r="T513" i="3" l="1"/>
  <c r="AD513" i="3"/>
  <c r="X514" i="3" s="1"/>
  <c r="AE513" i="3" l="1"/>
  <c r="Y514" i="3" s="1"/>
  <c r="C514" i="3" s="1"/>
  <c r="U513" i="3"/>
  <c r="O514" i="3" s="1"/>
  <c r="N514" i="3"/>
  <c r="P514" i="3"/>
  <c r="Z514" i="3"/>
  <c r="Q514" i="3" s="1"/>
  <c r="AA514" i="3"/>
  <c r="R514" i="3"/>
  <c r="B514" i="3" l="1"/>
  <c r="AB514" i="3"/>
  <c r="S514" i="3" s="1"/>
  <c r="AC514" i="3"/>
  <c r="T514" i="3" l="1"/>
  <c r="AD514" i="3"/>
  <c r="X515" i="3" s="1"/>
  <c r="N515" i="3" l="1"/>
  <c r="U514" i="3"/>
  <c r="O515" i="3" s="1"/>
  <c r="AE514" i="3"/>
  <c r="Y515" i="3" s="1"/>
  <c r="C515" i="3" s="1"/>
  <c r="P515" i="3"/>
  <c r="Z515" i="3"/>
  <c r="Q515" i="3" s="1"/>
  <c r="AA515" i="3"/>
  <c r="R515" i="3"/>
  <c r="B515" i="3" l="1"/>
  <c r="AB515" i="3"/>
  <c r="S515" i="3" s="1"/>
  <c r="AC515" i="3"/>
  <c r="T515" i="3" l="1"/>
  <c r="AD515" i="3"/>
  <c r="AE515" i="3" s="1"/>
  <c r="Y516" i="3" s="1"/>
  <c r="X516" i="3" l="1"/>
  <c r="N516" i="3"/>
  <c r="U515" i="3"/>
  <c r="O516" i="3" s="1"/>
  <c r="C516" i="3"/>
  <c r="P516" i="3"/>
  <c r="Z516" i="3"/>
  <c r="Q516" i="3" s="1"/>
  <c r="AA516" i="3"/>
  <c r="R516" i="3"/>
  <c r="B516" i="3" l="1"/>
  <c r="AB516" i="3"/>
  <c r="S516" i="3" s="1"/>
  <c r="AC516" i="3"/>
  <c r="T516" i="3" l="1"/>
  <c r="AD516" i="3"/>
  <c r="X517" i="3" s="1"/>
  <c r="AE516" i="3" l="1"/>
  <c r="Y517" i="3" s="1"/>
  <c r="C517" i="3" s="1"/>
  <c r="N517" i="3"/>
  <c r="U516" i="3"/>
  <c r="O517" i="3" s="1"/>
  <c r="P517" i="3"/>
  <c r="Z517" i="3"/>
  <c r="Q517" i="3"/>
  <c r="AA517" i="3"/>
  <c r="R517" i="3"/>
  <c r="B517" i="3" l="1"/>
  <c r="AB517" i="3"/>
  <c r="S517" i="3" s="1"/>
  <c r="AC517" i="3"/>
  <c r="T517" i="3" l="1"/>
  <c r="AD517" i="3"/>
  <c r="X518" i="3" s="1"/>
  <c r="AE517" i="3" l="1"/>
  <c r="Y518" i="3" s="1"/>
  <c r="C518" i="3" s="1"/>
  <c r="N518" i="3"/>
  <c r="U517" i="3"/>
  <c r="O518" i="3" s="1"/>
  <c r="P518" i="3"/>
  <c r="Z518" i="3"/>
  <c r="Q518" i="3" s="1"/>
  <c r="AA518" i="3"/>
  <c r="R518" i="3"/>
  <c r="B518" i="3" l="1"/>
  <c r="AB518" i="3"/>
  <c r="S518" i="3" s="1"/>
  <c r="AC518" i="3"/>
  <c r="T518" i="3" l="1"/>
  <c r="AD518" i="3"/>
  <c r="X519" i="3" s="1"/>
  <c r="N519" i="3" l="1"/>
  <c r="U518" i="3"/>
  <c r="O519" i="3" s="1"/>
  <c r="AE518" i="3"/>
  <c r="Y519" i="3" s="1"/>
  <c r="C519" i="3" s="1"/>
  <c r="P519" i="3"/>
  <c r="Z519" i="3"/>
  <c r="Q519" i="3" s="1"/>
  <c r="AA519" i="3"/>
  <c r="R519" i="3"/>
  <c r="B519" i="3" l="1"/>
  <c r="AB519" i="3"/>
  <c r="S519" i="3" s="1"/>
  <c r="AC519" i="3"/>
  <c r="T519" i="3" l="1"/>
  <c r="AD519" i="3"/>
  <c r="X520" i="3" s="1"/>
  <c r="AE519" i="3" l="1"/>
  <c r="Y520" i="3" s="1"/>
  <c r="N520" i="3"/>
  <c r="U519" i="3"/>
  <c r="O520" i="3" s="1"/>
  <c r="C520" i="3"/>
  <c r="P520" i="3"/>
  <c r="Z520" i="3"/>
  <c r="Q520" i="3" s="1"/>
  <c r="AA520" i="3"/>
  <c r="R520" i="3"/>
  <c r="B520" i="3" l="1"/>
  <c r="AB520" i="3"/>
  <c r="S520" i="3" s="1"/>
  <c r="AC520" i="3"/>
  <c r="T520" i="3" l="1"/>
  <c r="AD520" i="3"/>
  <c r="X521" i="3" s="1"/>
  <c r="N521" i="3" l="1"/>
  <c r="U520" i="3"/>
  <c r="O521" i="3" s="1"/>
  <c r="AE520" i="3"/>
  <c r="Y521" i="3" s="1"/>
  <c r="C521" i="3" s="1"/>
  <c r="P521" i="3"/>
  <c r="Z521" i="3"/>
  <c r="Q521" i="3" s="1"/>
  <c r="AA521" i="3"/>
  <c r="R521" i="3"/>
  <c r="B521" i="3" l="1"/>
  <c r="AB521" i="3"/>
  <c r="S521" i="3" s="1"/>
  <c r="AC521" i="3"/>
  <c r="T521" i="3" l="1"/>
  <c r="AD521" i="3"/>
  <c r="X522" i="3" s="1"/>
  <c r="AE521" i="3" l="1"/>
  <c r="Y522" i="3" s="1"/>
  <c r="C522" i="3" s="1"/>
  <c r="N522" i="3"/>
  <c r="U521" i="3"/>
  <c r="O522" i="3" s="1"/>
  <c r="P522" i="3"/>
  <c r="Z522" i="3"/>
  <c r="Q522" i="3" s="1"/>
  <c r="AA522" i="3"/>
  <c r="R522" i="3"/>
  <c r="B522" i="3" l="1"/>
  <c r="AB522" i="3"/>
  <c r="S522" i="3" s="1"/>
  <c r="AC522" i="3"/>
  <c r="T522" i="3" l="1"/>
  <c r="N523" i="3" s="1"/>
  <c r="AD522" i="3"/>
  <c r="X523" i="3" s="1"/>
  <c r="U522" i="3" l="1"/>
  <c r="O523" i="3" s="1"/>
  <c r="B523" i="3" s="1"/>
  <c r="AE522" i="3"/>
  <c r="Y523" i="3" s="1"/>
  <c r="C523" i="3" s="1"/>
  <c r="P523" i="3"/>
  <c r="Z523" i="3"/>
  <c r="Q523" i="3" s="1"/>
  <c r="AA523" i="3"/>
  <c r="R523" i="3"/>
  <c r="AB523" i="3"/>
  <c r="S523" i="3" s="1"/>
  <c r="AC523" i="3"/>
  <c r="T523" i="3" l="1"/>
  <c r="AD523" i="3"/>
  <c r="X524" i="3" s="1"/>
  <c r="AE523" i="3" l="1"/>
  <c r="Y524" i="3" s="1"/>
  <c r="N524" i="3"/>
  <c r="U523" i="3"/>
  <c r="O524" i="3" s="1"/>
  <c r="C524" i="3"/>
  <c r="P524" i="3"/>
  <c r="Z524" i="3"/>
  <c r="Q524" i="3" s="1"/>
  <c r="AA524" i="3"/>
  <c r="R524" i="3"/>
  <c r="B524" i="3" l="1"/>
  <c r="AB524" i="3"/>
  <c r="S524" i="3" s="1"/>
  <c r="AC524" i="3"/>
  <c r="T524" i="3" l="1"/>
  <c r="AD524" i="3"/>
  <c r="X525" i="3" s="1"/>
  <c r="AE524" i="3" l="1"/>
  <c r="Y525" i="3" s="1"/>
  <c r="C525" i="3" s="1"/>
  <c r="N525" i="3"/>
  <c r="U524" i="3"/>
  <c r="O525" i="3" s="1"/>
  <c r="P525" i="3"/>
  <c r="Z525" i="3"/>
  <c r="Q525" i="3" s="1"/>
  <c r="AA525" i="3"/>
  <c r="R525" i="3"/>
  <c r="B525" i="3" l="1"/>
  <c r="AB525" i="3"/>
  <c r="S525" i="3" s="1"/>
  <c r="AC525" i="3"/>
  <c r="T525" i="3" l="1"/>
  <c r="AD525" i="3"/>
  <c r="X526" i="3" s="1"/>
  <c r="AE525" i="3" l="1"/>
  <c r="Y526" i="3" s="1"/>
  <c r="C526" i="3" s="1"/>
  <c r="N526" i="3"/>
  <c r="U525" i="3"/>
  <c r="O526" i="3" s="1"/>
  <c r="P526" i="3"/>
  <c r="Z526" i="3"/>
  <c r="Q526" i="3" s="1"/>
  <c r="AA526" i="3"/>
  <c r="R526" i="3"/>
  <c r="B526" i="3" l="1"/>
  <c r="AB526" i="3"/>
  <c r="S526" i="3" s="1"/>
  <c r="AC526" i="3"/>
  <c r="T526" i="3" l="1"/>
  <c r="AD526" i="3"/>
  <c r="X527" i="3" s="1"/>
  <c r="AE526" i="3" l="1"/>
  <c r="Y527" i="3" s="1"/>
  <c r="C527" i="3" s="1"/>
  <c r="N527" i="3"/>
  <c r="U526" i="3"/>
  <c r="O527" i="3" s="1"/>
  <c r="P527" i="3"/>
  <c r="Z527" i="3"/>
  <c r="Q527" i="3" s="1"/>
  <c r="AA527" i="3"/>
  <c r="R527" i="3"/>
  <c r="B527" i="3" l="1"/>
  <c r="AB527" i="3"/>
  <c r="S527" i="3" s="1"/>
  <c r="AC527" i="3"/>
  <c r="T527" i="3" l="1"/>
  <c r="AD527" i="3"/>
  <c r="X528" i="3" s="1"/>
  <c r="AE527" i="3" l="1"/>
  <c r="Y528" i="3" s="1"/>
  <c r="N528" i="3"/>
  <c r="U527" i="3"/>
  <c r="O528" i="3" s="1"/>
  <c r="C528" i="3"/>
  <c r="P528" i="3"/>
  <c r="Z528" i="3"/>
  <c r="Q528" i="3" s="1"/>
  <c r="AA528" i="3"/>
  <c r="R528" i="3"/>
  <c r="B528" i="3" l="1"/>
  <c r="AB528" i="3"/>
  <c r="S528" i="3" s="1"/>
  <c r="AC528" i="3"/>
  <c r="T528" i="3" l="1"/>
  <c r="AD528" i="3"/>
  <c r="X529" i="3" s="1"/>
  <c r="AE528" i="3" l="1"/>
  <c r="Y529" i="3" s="1"/>
  <c r="N529" i="3"/>
  <c r="U528" i="3"/>
  <c r="O529" i="3" s="1"/>
  <c r="C529" i="3"/>
  <c r="P529" i="3"/>
  <c r="Z529" i="3"/>
  <c r="Q529" i="3" s="1"/>
  <c r="AA529" i="3"/>
  <c r="R529" i="3"/>
  <c r="B529" i="3" l="1"/>
  <c r="AB529" i="3"/>
  <c r="S529" i="3" s="1"/>
  <c r="AC529" i="3"/>
  <c r="T529" i="3" l="1"/>
  <c r="AD529" i="3"/>
  <c r="X530" i="3" s="1"/>
  <c r="AE529" i="3" l="1"/>
  <c r="Y530" i="3" s="1"/>
  <c r="C530" i="3" s="1"/>
  <c r="N530" i="3"/>
  <c r="U529" i="3"/>
  <c r="O530" i="3" s="1"/>
  <c r="P530" i="3"/>
  <c r="Z530" i="3"/>
  <c r="Q530" i="3" s="1"/>
  <c r="AA530" i="3"/>
  <c r="R530" i="3"/>
  <c r="B530" i="3" l="1"/>
  <c r="AB530" i="3"/>
  <c r="S530" i="3" s="1"/>
  <c r="AC530" i="3"/>
  <c r="T530" i="3" l="1"/>
  <c r="AD530" i="3"/>
  <c r="X531" i="3" s="1"/>
  <c r="AE530" i="3" l="1"/>
  <c r="Y531" i="3" s="1"/>
  <c r="C531" i="3" s="1"/>
  <c r="N531" i="3"/>
  <c r="U530" i="3"/>
  <c r="O531" i="3" s="1"/>
  <c r="P531" i="3"/>
  <c r="Z531" i="3"/>
  <c r="Q531" i="3" s="1"/>
  <c r="AA531" i="3"/>
  <c r="R531" i="3"/>
  <c r="B531" i="3" l="1"/>
  <c r="AB531" i="3"/>
  <c r="S531" i="3" s="1"/>
  <c r="AC531" i="3"/>
  <c r="T531" i="3" l="1"/>
  <c r="AD531" i="3"/>
  <c r="X532" i="3" s="1"/>
  <c r="AE531" i="3" l="1"/>
  <c r="Y532" i="3" s="1"/>
  <c r="C532" i="3" s="1"/>
  <c r="N532" i="3"/>
  <c r="U531" i="3"/>
  <c r="O532" i="3" s="1"/>
  <c r="P532" i="3"/>
  <c r="Z532" i="3"/>
  <c r="Q532" i="3" s="1"/>
  <c r="AA532" i="3"/>
  <c r="R532" i="3"/>
  <c r="B532" i="3" l="1"/>
  <c r="AB532" i="3"/>
  <c r="S532" i="3" s="1"/>
  <c r="AC532" i="3"/>
  <c r="T532" i="3" l="1"/>
  <c r="AD532" i="3"/>
  <c r="AE532" i="3" s="1"/>
  <c r="Y533" i="3" s="1"/>
  <c r="X533" i="3" l="1"/>
  <c r="U532" i="3"/>
  <c r="O533" i="3" s="1"/>
  <c r="N533" i="3"/>
  <c r="C533" i="3"/>
  <c r="P533" i="3"/>
  <c r="Z533" i="3"/>
  <c r="Q533" i="3" s="1"/>
  <c r="AA533" i="3"/>
  <c r="R533" i="3"/>
  <c r="B533" i="3" l="1"/>
  <c r="AB533" i="3"/>
  <c r="S533" i="3" s="1"/>
  <c r="AC533" i="3"/>
  <c r="T533" i="3" l="1"/>
  <c r="AD533" i="3"/>
  <c r="X534" i="3" s="1"/>
  <c r="AE533" i="3" l="1"/>
  <c r="Y534" i="3" s="1"/>
  <c r="C534" i="3" s="1"/>
  <c r="U533" i="3"/>
  <c r="O534" i="3" s="1"/>
  <c r="N534" i="3"/>
  <c r="P534" i="3"/>
  <c r="Z534" i="3"/>
  <c r="Q534" i="3" s="1"/>
  <c r="AA534" i="3"/>
  <c r="R534" i="3"/>
  <c r="B534" i="3" l="1"/>
  <c r="AB534" i="3"/>
  <c r="S534" i="3" s="1"/>
  <c r="AC534" i="3"/>
  <c r="T534" i="3" l="1"/>
  <c r="AD534" i="3"/>
  <c r="X535" i="3" s="1"/>
  <c r="AE534" i="3" l="1"/>
  <c r="Y535" i="3" s="1"/>
  <c r="C535" i="3" s="1"/>
  <c r="N535" i="3"/>
  <c r="U534" i="3"/>
  <c r="O535" i="3" s="1"/>
  <c r="P535" i="3"/>
  <c r="Z535" i="3"/>
  <c r="Q535" i="3" s="1"/>
  <c r="AA535" i="3"/>
  <c r="R535" i="3"/>
  <c r="B535" i="3" l="1"/>
  <c r="AB535" i="3"/>
  <c r="S535" i="3" s="1"/>
  <c r="AC535" i="3"/>
  <c r="T535" i="3" l="1"/>
  <c r="AD535" i="3"/>
  <c r="X536" i="3" s="1"/>
  <c r="AE535" i="3" l="1"/>
  <c r="Y536" i="3" s="1"/>
  <c r="N536" i="3"/>
  <c r="U535" i="3"/>
  <c r="O536" i="3" s="1"/>
  <c r="C536" i="3"/>
  <c r="P536" i="3"/>
  <c r="Z536" i="3"/>
  <c r="Q536" i="3" s="1"/>
  <c r="AA536" i="3"/>
  <c r="R536" i="3"/>
  <c r="B536" i="3" l="1"/>
  <c r="AB536" i="3"/>
  <c r="S536" i="3" s="1"/>
  <c r="AC536" i="3"/>
  <c r="T536" i="3" l="1"/>
  <c r="AD536" i="3"/>
  <c r="X537" i="3" s="1"/>
  <c r="AE536" i="3" l="1"/>
  <c r="Y537" i="3" s="1"/>
  <c r="C537" i="3" s="1"/>
  <c r="N537" i="3"/>
  <c r="U536" i="3"/>
  <c r="O537" i="3" s="1"/>
  <c r="P537" i="3"/>
  <c r="Z537" i="3"/>
  <c r="Q537" i="3"/>
  <c r="AA537" i="3"/>
  <c r="R537" i="3"/>
  <c r="B537" i="3" l="1"/>
  <c r="AB537" i="3"/>
  <c r="S537" i="3" s="1"/>
  <c r="AC537" i="3"/>
  <c r="T537" i="3" l="1"/>
  <c r="AD537" i="3"/>
  <c r="X538" i="3" s="1"/>
  <c r="AE537" i="3" l="1"/>
  <c r="Y538" i="3" s="1"/>
  <c r="C538" i="3" s="1"/>
  <c r="N538" i="3"/>
  <c r="U537" i="3"/>
  <c r="O538" i="3" s="1"/>
  <c r="P538" i="3"/>
  <c r="Z538" i="3"/>
  <c r="Q538" i="3" s="1"/>
  <c r="AA538" i="3"/>
  <c r="R538" i="3"/>
  <c r="B538" i="3" l="1"/>
  <c r="AB538" i="3"/>
  <c r="S538" i="3" s="1"/>
  <c r="AC538" i="3"/>
  <c r="T538" i="3" l="1"/>
  <c r="AD538" i="3"/>
  <c r="X539" i="3" s="1"/>
  <c r="AE538" i="3" l="1"/>
  <c r="Y539" i="3" s="1"/>
  <c r="C539" i="3" s="1"/>
  <c r="U538" i="3"/>
  <c r="O539" i="3" s="1"/>
  <c r="N539" i="3"/>
  <c r="P539" i="3"/>
  <c r="Z539" i="3"/>
  <c r="Q539" i="3" s="1"/>
  <c r="AA539" i="3"/>
  <c r="R539" i="3"/>
  <c r="B539" i="3" l="1"/>
  <c r="AB539" i="3"/>
  <c r="S539" i="3" s="1"/>
  <c r="AC539" i="3"/>
  <c r="T539" i="3" l="1"/>
  <c r="U539" i="3" s="1"/>
  <c r="O540" i="3" s="1"/>
  <c r="B540" i="3" s="1"/>
  <c r="AD539" i="3"/>
  <c r="X540" i="3" s="1"/>
  <c r="AE539" i="3" l="1"/>
  <c r="Y540" i="3" s="1"/>
  <c r="C540" i="3" s="1"/>
  <c r="N540" i="3"/>
  <c r="P540" i="3"/>
  <c r="Z540" i="3"/>
  <c r="Q540" i="3"/>
  <c r="AA540" i="3"/>
  <c r="R540" i="3"/>
  <c r="AB540" i="3"/>
  <c r="S540" i="3" s="1"/>
  <c r="AC540" i="3"/>
  <c r="T540" i="3" l="1"/>
  <c r="AD540" i="3"/>
  <c r="X541" i="3" s="1"/>
  <c r="AE540" i="3" l="1"/>
  <c r="Y541" i="3" s="1"/>
  <c r="N541" i="3"/>
  <c r="U540" i="3"/>
  <c r="O541" i="3" s="1"/>
  <c r="C541" i="3"/>
  <c r="P541" i="3"/>
  <c r="Z541" i="3"/>
  <c r="Q541" i="3" s="1"/>
  <c r="AA541" i="3"/>
  <c r="R541" i="3"/>
  <c r="B541" i="3" l="1"/>
  <c r="AB541" i="3"/>
  <c r="S541" i="3" s="1"/>
  <c r="AC541" i="3"/>
  <c r="T541" i="3" l="1"/>
  <c r="N542" i="3" s="1"/>
  <c r="AD541" i="3"/>
  <c r="AE541" i="3" s="1"/>
  <c r="Y542" i="3" s="1"/>
  <c r="X542" i="3" l="1"/>
  <c r="U541" i="3"/>
  <c r="O542" i="3" s="1"/>
  <c r="C542" i="3"/>
  <c r="P542" i="3"/>
  <c r="Z542" i="3"/>
  <c r="Q542" i="3" s="1"/>
  <c r="AA542" i="3"/>
  <c r="R542" i="3"/>
  <c r="B542" i="3" l="1"/>
  <c r="AB542" i="3"/>
  <c r="S542" i="3" s="1"/>
  <c r="AC542" i="3"/>
  <c r="T542" i="3" l="1"/>
  <c r="AD542" i="3"/>
  <c r="X543" i="3" s="1"/>
  <c r="AE542" i="3" l="1"/>
  <c r="Y543" i="3" s="1"/>
  <c r="C543" i="3" s="1"/>
  <c r="N543" i="3"/>
  <c r="U542" i="3"/>
  <c r="O543" i="3" s="1"/>
  <c r="P543" i="3"/>
  <c r="Z543" i="3"/>
  <c r="Q543" i="3" s="1"/>
  <c r="AA543" i="3"/>
  <c r="R543" i="3"/>
  <c r="B543" i="3" l="1"/>
  <c r="AB543" i="3"/>
  <c r="S543" i="3" s="1"/>
  <c r="AC543" i="3"/>
  <c r="T543" i="3" l="1"/>
  <c r="AD543" i="3"/>
  <c r="X544" i="3" s="1"/>
  <c r="N544" i="3" l="1"/>
  <c r="U543" i="3"/>
  <c r="O544" i="3" s="1"/>
  <c r="AE543" i="3"/>
  <c r="Y544" i="3" s="1"/>
  <c r="C544" i="3" s="1"/>
  <c r="P544" i="3"/>
  <c r="Z544" i="3"/>
  <c r="Q544" i="3" s="1"/>
  <c r="AA544" i="3"/>
  <c r="R544" i="3"/>
  <c r="B544" i="3" l="1"/>
  <c r="AB544" i="3"/>
  <c r="S544" i="3" s="1"/>
  <c r="AC544" i="3"/>
  <c r="T544" i="3" l="1"/>
  <c r="AD544" i="3"/>
  <c r="X545" i="3" s="1"/>
  <c r="AE544" i="3" l="1"/>
  <c r="Y545" i="3" s="1"/>
  <c r="C545" i="3" s="1"/>
  <c r="U544" i="3"/>
  <c r="O545" i="3" s="1"/>
  <c r="N545" i="3"/>
  <c r="P545" i="3"/>
  <c r="Z545" i="3"/>
  <c r="Q545" i="3" s="1"/>
  <c r="AA545" i="3"/>
  <c r="R545" i="3"/>
  <c r="B545" i="3" l="1"/>
  <c r="AB545" i="3"/>
  <c r="S545" i="3" s="1"/>
  <c r="AC545" i="3"/>
  <c r="T545" i="3" l="1"/>
  <c r="N546" i="3" s="1"/>
  <c r="AD545" i="3"/>
  <c r="AE545" i="3" s="1"/>
  <c r="Y546" i="3" s="1"/>
  <c r="U545" i="3" l="1"/>
  <c r="O546" i="3" s="1"/>
  <c r="X546" i="3"/>
  <c r="B546" i="3"/>
  <c r="C546" i="3"/>
  <c r="P546" i="3"/>
  <c r="Z546" i="3"/>
  <c r="Q546" i="3"/>
  <c r="AA546" i="3"/>
  <c r="R546" i="3"/>
  <c r="AB546" i="3"/>
  <c r="S546" i="3" s="1"/>
  <c r="AC546" i="3"/>
  <c r="T546" i="3" l="1"/>
  <c r="AD546" i="3"/>
  <c r="X547" i="3" s="1"/>
  <c r="N547" i="3" l="1"/>
  <c r="U546" i="3"/>
  <c r="O547" i="3" s="1"/>
  <c r="AE546" i="3"/>
  <c r="Y547" i="3" s="1"/>
  <c r="C547" i="3" s="1"/>
  <c r="P547" i="3"/>
  <c r="Z547" i="3"/>
  <c r="Q547" i="3" s="1"/>
  <c r="AA547" i="3"/>
  <c r="R547" i="3"/>
  <c r="B547" i="3" l="1"/>
  <c r="AB547" i="3"/>
  <c r="S547" i="3" s="1"/>
  <c r="AC547" i="3"/>
  <c r="T547" i="3" l="1"/>
  <c r="AD547" i="3"/>
  <c r="X548" i="3" s="1"/>
  <c r="AE547" i="3" l="1"/>
  <c r="Y548" i="3" s="1"/>
  <c r="C548" i="3" s="1"/>
  <c r="N548" i="3"/>
  <c r="U547" i="3"/>
  <c r="O548" i="3" s="1"/>
  <c r="P548" i="3"/>
  <c r="Z548" i="3"/>
  <c r="Q548" i="3" s="1"/>
  <c r="AA548" i="3"/>
  <c r="R548" i="3"/>
  <c r="B548" i="3" l="1"/>
  <c r="AB548" i="3"/>
  <c r="S548" i="3" s="1"/>
  <c r="AC548" i="3"/>
  <c r="T548" i="3" l="1"/>
  <c r="N549" i="3" s="1"/>
  <c r="AD548" i="3"/>
  <c r="X549" i="3" s="1"/>
  <c r="U548" i="3" l="1"/>
  <c r="O549" i="3" s="1"/>
  <c r="AE548" i="3"/>
  <c r="Y549" i="3" s="1"/>
  <c r="C549" i="3" s="1"/>
  <c r="B549" i="3"/>
  <c r="P549" i="3"/>
  <c r="Z549" i="3"/>
  <c r="Q549" i="3" s="1"/>
  <c r="AA549" i="3"/>
  <c r="R549" i="3"/>
  <c r="AB549" i="3"/>
  <c r="S549" i="3" s="1"/>
  <c r="AC549" i="3"/>
  <c r="T549" i="3" l="1"/>
  <c r="AD549" i="3"/>
  <c r="X550" i="3" s="1"/>
  <c r="AE549" i="3" l="1"/>
  <c r="Y550" i="3" s="1"/>
  <c r="U549" i="3"/>
  <c r="O550" i="3" s="1"/>
  <c r="N550" i="3"/>
  <c r="C550" i="3"/>
  <c r="P550" i="3"/>
  <c r="Z550" i="3"/>
  <c r="Q550" i="3" s="1"/>
  <c r="AA550" i="3"/>
  <c r="R550" i="3"/>
  <c r="B550" i="3" l="1"/>
  <c r="AB550" i="3"/>
  <c r="S550" i="3" s="1"/>
  <c r="AC550" i="3"/>
  <c r="T550" i="3" l="1"/>
  <c r="N551" i="3" s="1"/>
  <c r="AD550" i="3"/>
  <c r="AE550" i="3" s="1"/>
  <c r="Y551" i="3" s="1"/>
  <c r="U550" i="3" l="1"/>
  <c r="O551" i="3" s="1"/>
  <c r="B551" i="3" s="1"/>
  <c r="X551" i="3"/>
  <c r="C551" i="3"/>
  <c r="P551" i="3"/>
  <c r="Z551" i="3"/>
  <c r="Q551" i="3"/>
  <c r="AA551" i="3"/>
  <c r="R551" i="3"/>
  <c r="AB551" i="3"/>
  <c r="S551" i="3" s="1"/>
  <c r="AC551" i="3"/>
  <c r="T551" i="3" l="1"/>
  <c r="AD551" i="3"/>
  <c r="X552" i="3" s="1"/>
  <c r="AE551" i="3" l="1"/>
  <c r="Y552" i="3" s="1"/>
  <c r="N552" i="3"/>
  <c r="U551" i="3"/>
  <c r="O552" i="3" s="1"/>
  <c r="C552" i="3"/>
  <c r="P552" i="3"/>
  <c r="Z552" i="3"/>
  <c r="Q552" i="3" s="1"/>
  <c r="AA552" i="3"/>
  <c r="R552" i="3"/>
  <c r="B552" i="3" l="1"/>
  <c r="AB552" i="3"/>
  <c r="S552" i="3" s="1"/>
  <c r="AC552" i="3"/>
  <c r="T552" i="3" l="1"/>
  <c r="AD552" i="3"/>
  <c r="X553" i="3" s="1"/>
  <c r="AE552" i="3" l="1"/>
  <c r="Y553" i="3" s="1"/>
  <c r="C553" i="3" s="1"/>
  <c r="U552" i="3"/>
  <c r="O553" i="3" s="1"/>
  <c r="N553" i="3"/>
  <c r="P553" i="3"/>
  <c r="Z553" i="3"/>
  <c r="Q553" i="3" s="1"/>
  <c r="AA553" i="3"/>
  <c r="R553" i="3"/>
  <c r="B553" i="3" l="1"/>
  <c r="AB553" i="3"/>
  <c r="S553" i="3" s="1"/>
  <c r="AC553" i="3"/>
  <c r="T553" i="3" l="1"/>
  <c r="N554" i="3" s="1"/>
  <c r="AD553" i="3"/>
  <c r="AE553" i="3" s="1"/>
  <c r="Y554" i="3" s="1"/>
  <c r="U553" i="3" l="1"/>
  <c r="O554" i="3" s="1"/>
  <c r="X554" i="3"/>
  <c r="C554" i="3"/>
  <c r="P554" i="3"/>
  <c r="Z554" i="3"/>
  <c r="Q554" i="3"/>
  <c r="AA554" i="3"/>
  <c r="R554" i="3"/>
  <c r="AB554" i="3"/>
  <c r="S554" i="3" s="1"/>
  <c r="AC554" i="3"/>
  <c r="B554" i="3" l="1"/>
  <c r="T554" i="3"/>
  <c r="AD554" i="3"/>
  <c r="X555" i="3" s="1"/>
  <c r="AE554" i="3" l="1"/>
  <c r="Y555" i="3" s="1"/>
  <c r="N555" i="3"/>
  <c r="U554" i="3"/>
  <c r="O555" i="3" s="1"/>
  <c r="C555" i="3"/>
  <c r="P555" i="3"/>
  <c r="Z555" i="3"/>
  <c r="Q555" i="3" s="1"/>
  <c r="AA555" i="3"/>
  <c r="R555" i="3"/>
  <c r="B555" i="3" l="1"/>
  <c r="AB555" i="3"/>
  <c r="S555" i="3" s="1"/>
  <c r="AC555" i="3"/>
  <c r="T555" i="3" l="1"/>
  <c r="AD555" i="3"/>
  <c r="X556" i="3" s="1"/>
  <c r="AE555" i="3" l="1"/>
  <c r="Y556" i="3" s="1"/>
  <c r="N556" i="3"/>
  <c r="U555" i="3"/>
  <c r="O556" i="3" s="1"/>
  <c r="C556" i="3"/>
  <c r="P556" i="3"/>
  <c r="Z556" i="3"/>
  <c r="Q556" i="3" s="1"/>
  <c r="AA556" i="3"/>
  <c r="R556" i="3"/>
  <c r="B556" i="3" l="1"/>
  <c r="AB556" i="3"/>
  <c r="S556" i="3" s="1"/>
  <c r="AC556" i="3"/>
  <c r="T556" i="3" l="1"/>
  <c r="N557" i="3" s="1"/>
  <c r="AD556" i="3"/>
  <c r="X557" i="3" s="1"/>
  <c r="U556" i="3" l="1"/>
  <c r="O557" i="3" s="1"/>
  <c r="AE556" i="3"/>
  <c r="Y557" i="3" s="1"/>
  <c r="C557" i="3" s="1"/>
  <c r="P557" i="3"/>
  <c r="Z557" i="3"/>
  <c r="Q557" i="3" s="1"/>
  <c r="AA557" i="3"/>
  <c r="R557" i="3"/>
  <c r="AB557" i="3"/>
  <c r="S557" i="3" s="1"/>
  <c r="AC557" i="3"/>
  <c r="B557" i="3" l="1"/>
  <c r="T557" i="3"/>
  <c r="AD557" i="3"/>
  <c r="X558" i="3" s="1"/>
  <c r="AE557" i="3" l="1"/>
  <c r="Y558" i="3" s="1"/>
  <c r="N558" i="3"/>
  <c r="U557" i="3"/>
  <c r="O558" i="3" s="1"/>
  <c r="C558" i="3"/>
  <c r="P558" i="3"/>
  <c r="Z558" i="3"/>
  <c r="Q558" i="3" s="1"/>
  <c r="AA558" i="3"/>
  <c r="R558" i="3"/>
  <c r="B558" i="3" l="1"/>
  <c r="AB558" i="3"/>
  <c r="S558" i="3" s="1"/>
  <c r="AC558" i="3"/>
  <c r="T558" i="3" l="1"/>
  <c r="AD558" i="3"/>
  <c r="X559" i="3" s="1"/>
  <c r="AE558" i="3" l="1"/>
  <c r="Y559" i="3" s="1"/>
  <c r="C559" i="3" s="1"/>
  <c r="N559" i="3"/>
  <c r="U558" i="3"/>
  <c r="O559" i="3" s="1"/>
  <c r="P559" i="3"/>
  <c r="Z559" i="3"/>
  <c r="Q559" i="3" s="1"/>
  <c r="AA559" i="3"/>
  <c r="R559" i="3"/>
  <c r="B559" i="3" l="1"/>
  <c r="AB559" i="3"/>
  <c r="S559" i="3" s="1"/>
  <c r="AC559" i="3"/>
  <c r="T559" i="3" l="1"/>
  <c r="AD559" i="3"/>
  <c r="AE559" i="3" s="1"/>
  <c r="Y560" i="3" s="1"/>
  <c r="X560" i="3" l="1"/>
  <c r="N560" i="3"/>
  <c r="U559" i="3"/>
  <c r="O560" i="3" s="1"/>
  <c r="C560" i="3"/>
  <c r="P560" i="3"/>
  <c r="Z560" i="3"/>
  <c r="Q560" i="3" s="1"/>
  <c r="AA560" i="3"/>
  <c r="R560" i="3"/>
  <c r="B560" i="3" l="1"/>
  <c r="AB560" i="3"/>
  <c r="S560" i="3" s="1"/>
  <c r="AC560" i="3"/>
  <c r="T560" i="3" l="1"/>
  <c r="AD560" i="3"/>
  <c r="X561" i="3" s="1"/>
  <c r="AE560" i="3" l="1"/>
  <c r="Y561" i="3" s="1"/>
  <c r="N561" i="3"/>
  <c r="U560" i="3"/>
  <c r="O561" i="3" s="1"/>
  <c r="C561" i="3"/>
  <c r="P561" i="3"/>
  <c r="Z561" i="3"/>
  <c r="Q561" i="3" s="1"/>
  <c r="AA561" i="3"/>
  <c r="R561" i="3"/>
  <c r="B561" i="3" l="1"/>
  <c r="AB561" i="3"/>
  <c r="S561" i="3" s="1"/>
  <c r="AC561" i="3"/>
  <c r="T561" i="3" l="1"/>
  <c r="AD561" i="3"/>
  <c r="X562" i="3" s="1"/>
  <c r="AE561" i="3" l="1"/>
  <c r="Y562" i="3" s="1"/>
  <c r="C562" i="3" s="1"/>
  <c r="N562" i="3"/>
  <c r="U561" i="3"/>
  <c r="O562" i="3" s="1"/>
  <c r="P562" i="3"/>
  <c r="Z562" i="3"/>
  <c r="Q562" i="3" s="1"/>
  <c r="AA562" i="3"/>
  <c r="R562" i="3"/>
  <c r="B562" i="3" l="1"/>
  <c r="AB562" i="3"/>
  <c r="S562" i="3" s="1"/>
  <c r="AC562" i="3"/>
  <c r="T562" i="3" l="1"/>
  <c r="AD562" i="3"/>
  <c r="X563" i="3" s="1"/>
  <c r="AE562" i="3" l="1"/>
  <c r="Y563" i="3" s="1"/>
  <c r="C563" i="3" s="1"/>
  <c r="N563" i="3"/>
  <c r="U562" i="3"/>
  <c r="O563" i="3" s="1"/>
  <c r="P563" i="3"/>
  <c r="Z563" i="3"/>
  <c r="Q563" i="3" s="1"/>
  <c r="AA563" i="3"/>
  <c r="R563" i="3"/>
  <c r="B563" i="3" l="1"/>
  <c r="AB563" i="3"/>
  <c r="S563" i="3" s="1"/>
  <c r="AC563" i="3"/>
  <c r="T563" i="3" l="1"/>
  <c r="AD563" i="3"/>
  <c r="X564" i="3" s="1"/>
  <c r="AE563" i="3" l="1"/>
  <c r="Y564" i="3" s="1"/>
  <c r="C564" i="3" s="1"/>
  <c r="N564" i="3"/>
  <c r="U563" i="3"/>
  <c r="O564" i="3" s="1"/>
  <c r="P564" i="3"/>
  <c r="Z564" i="3"/>
  <c r="Q564" i="3" s="1"/>
  <c r="AA564" i="3"/>
  <c r="R564" i="3"/>
  <c r="B564" i="3" l="1"/>
  <c r="AB564" i="3"/>
  <c r="S564" i="3" s="1"/>
  <c r="AC564" i="3"/>
  <c r="T564" i="3" l="1"/>
  <c r="AD564" i="3"/>
  <c r="X565" i="3" s="1"/>
  <c r="AE564" i="3" l="1"/>
  <c r="Y565" i="3" s="1"/>
  <c r="C565" i="3" s="1"/>
  <c r="N565" i="3"/>
  <c r="U564" i="3"/>
  <c r="O565" i="3" s="1"/>
  <c r="P565" i="3"/>
  <c r="Z565" i="3"/>
  <c r="Q565" i="3" s="1"/>
  <c r="AA565" i="3"/>
  <c r="R565" i="3"/>
  <c r="B565" i="3" l="1"/>
  <c r="AB565" i="3"/>
  <c r="S565" i="3" s="1"/>
  <c r="AC565" i="3"/>
  <c r="T565" i="3" l="1"/>
  <c r="AD565" i="3"/>
  <c r="X566" i="3" s="1"/>
  <c r="AE565" i="3" l="1"/>
  <c r="Y566" i="3" s="1"/>
  <c r="C566" i="3" s="1"/>
  <c r="U565" i="3"/>
  <c r="O566" i="3" s="1"/>
  <c r="N566" i="3"/>
  <c r="P566" i="3"/>
  <c r="Z566" i="3"/>
  <c r="Q566" i="3" s="1"/>
  <c r="AA566" i="3"/>
  <c r="R566" i="3"/>
  <c r="B566" i="3" l="1"/>
  <c r="AB566" i="3"/>
  <c r="S566" i="3" s="1"/>
  <c r="AC566" i="3"/>
  <c r="T566" i="3" l="1"/>
  <c r="AD566" i="3"/>
  <c r="X567" i="3" s="1"/>
  <c r="N567" i="3" l="1"/>
  <c r="U566" i="3"/>
  <c r="O567" i="3" s="1"/>
  <c r="AE566" i="3"/>
  <c r="Y567" i="3" s="1"/>
  <c r="C567" i="3" s="1"/>
  <c r="P567" i="3"/>
  <c r="Z567" i="3"/>
  <c r="Q567" i="3" s="1"/>
  <c r="AA567" i="3"/>
  <c r="R567" i="3"/>
  <c r="B567" i="3" l="1"/>
  <c r="AB567" i="3"/>
  <c r="S567" i="3" s="1"/>
  <c r="AC567" i="3"/>
  <c r="T567" i="3" l="1"/>
  <c r="AD567" i="3"/>
  <c r="X568" i="3" s="1"/>
  <c r="AE567" i="3" l="1"/>
  <c r="Y568" i="3" s="1"/>
  <c r="C568" i="3" s="1"/>
  <c r="N568" i="3"/>
  <c r="U567" i="3"/>
  <c r="O568" i="3" s="1"/>
  <c r="P568" i="3"/>
  <c r="Z568" i="3"/>
  <c r="Q568" i="3" s="1"/>
  <c r="AA568" i="3"/>
  <c r="R568" i="3"/>
  <c r="B568" i="3" l="1"/>
  <c r="AB568" i="3"/>
  <c r="S568" i="3" s="1"/>
  <c r="AC568" i="3"/>
  <c r="T568" i="3" l="1"/>
  <c r="AD568" i="3"/>
  <c r="X569" i="3" s="1"/>
  <c r="AE568" i="3" l="1"/>
  <c r="Y569" i="3" s="1"/>
  <c r="C569" i="3" s="1"/>
  <c r="N569" i="3"/>
  <c r="U568" i="3"/>
  <c r="O569" i="3" s="1"/>
  <c r="P569" i="3"/>
  <c r="Z569" i="3"/>
  <c r="Q569" i="3" s="1"/>
  <c r="AA569" i="3"/>
  <c r="R569" i="3"/>
  <c r="B569" i="3" l="1"/>
  <c r="AB569" i="3"/>
  <c r="S569" i="3" s="1"/>
  <c r="AC569" i="3"/>
  <c r="T569" i="3" l="1"/>
  <c r="AD569" i="3"/>
  <c r="X570" i="3" s="1"/>
  <c r="AE569" i="3" l="1"/>
  <c r="Y570" i="3" s="1"/>
  <c r="C570" i="3" s="1"/>
  <c r="N570" i="3"/>
  <c r="U569" i="3"/>
  <c r="O570" i="3" s="1"/>
  <c r="P570" i="3"/>
  <c r="Z570" i="3"/>
  <c r="Q570" i="3" s="1"/>
  <c r="AA570" i="3"/>
  <c r="R570" i="3"/>
  <c r="B570" i="3" l="1"/>
  <c r="AB570" i="3"/>
  <c r="S570" i="3" s="1"/>
  <c r="AC570" i="3"/>
  <c r="T570" i="3" l="1"/>
  <c r="AD570" i="3"/>
  <c r="X571" i="3" s="1"/>
  <c r="AE570" i="3" l="1"/>
  <c r="Y571" i="3" s="1"/>
  <c r="C571" i="3" s="1"/>
  <c r="N571" i="3"/>
  <c r="U570" i="3"/>
  <c r="O571" i="3" s="1"/>
  <c r="P571" i="3"/>
  <c r="Z571" i="3"/>
  <c r="Q571" i="3"/>
  <c r="AA571" i="3"/>
  <c r="R571" i="3"/>
  <c r="B571" i="3" l="1"/>
  <c r="AB571" i="3"/>
  <c r="S571" i="3" s="1"/>
  <c r="AC571" i="3"/>
  <c r="T571" i="3" l="1"/>
  <c r="AD571" i="3"/>
  <c r="X572" i="3" s="1"/>
  <c r="AE571" i="3" l="1"/>
  <c r="Y572" i="3" s="1"/>
  <c r="C572" i="3" s="1"/>
  <c r="N572" i="3"/>
  <c r="U571" i="3"/>
  <c r="O572" i="3" s="1"/>
  <c r="P572" i="3"/>
  <c r="Z572" i="3"/>
  <c r="Q572" i="3" s="1"/>
  <c r="AA572" i="3"/>
  <c r="R572" i="3"/>
  <c r="B572" i="3" l="1"/>
  <c r="AB572" i="3"/>
  <c r="S572" i="3" s="1"/>
  <c r="AC572" i="3"/>
  <c r="T572" i="3" l="1"/>
  <c r="AD572" i="3"/>
  <c r="X573" i="3" s="1"/>
  <c r="AE572" i="3" l="1"/>
  <c r="Y573" i="3" s="1"/>
  <c r="C573" i="3" s="1"/>
  <c r="N573" i="3"/>
  <c r="U572" i="3"/>
  <c r="O573" i="3" s="1"/>
  <c r="P573" i="3"/>
  <c r="Z573" i="3"/>
  <c r="Q573" i="3" s="1"/>
  <c r="AA573" i="3"/>
  <c r="R573" i="3"/>
  <c r="B573" i="3" l="1"/>
  <c r="AB573" i="3"/>
  <c r="S573" i="3" s="1"/>
  <c r="AC573" i="3"/>
  <c r="T573" i="3" l="1"/>
  <c r="AD573" i="3"/>
  <c r="X574" i="3" s="1"/>
  <c r="AE573" i="3" l="1"/>
  <c r="Y574" i="3" s="1"/>
  <c r="C574" i="3" s="1"/>
  <c r="N574" i="3"/>
  <c r="U573" i="3"/>
  <c r="O574" i="3" s="1"/>
  <c r="P574" i="3"/>
  <c r="Z574" i="3"/>
  <c r="Q574" i="3" s="1"/>
  <c r="AA574" i="3"/>
  <c r="R574" i="3"/>
  <c r="B574" i="3" l="1"/>
  <c r="AB574" i="3"/>
  <c r="S574" i="3" s="1"/>
  <c r="AC574" i="3"/>
  <c r="T574" i="3" l="1"/>
  <c r="AD574" i="3"/>
  <c r="X575" i="3" s="1"/>
  <c r="AE574" i="3" l="1"/>
  <c r="Y575" i="3" s="1"/>
  <c r="C575" i="3" s="1"/>
  <c r="N575" i="3"/>
  <c r="U574" i="3"/>
  <c r="O575" i="3" s="1"/>
  <c r="P575" i="3"/>
  <c r="Z575" i="3"/>
  <c r="Q575" i="3" s="1"/>
  <c r="AA575" i="3"/>
  <c r="R575" i="3"/>
  <c r="B575" i="3" l="1"/>
  <c r="AB575" i="3"/>
  <c r="S575" i="3" s="1"/>
  <c r="AC575" i="3"/>
  <c r="T575" i="3" l="1"/>
  <c r="AD575" i="3"/>
  <c r="X576" i="3" s="1"/>
  <c r="AE575" i="3" l="1"/>
  <c r="Y576" i="3" s="1"/>
  <c r="C576" i="3" s="1"/>
  <c r="N576" i="3"/>
  <c r="U575" i="3"/>
  <c r="O576" i="3" s="1"/>
  <c r="P576" i="3"/>
  <c r="Z576" i="3"/>
  <c r="Q576" i="3" s="1"/>
  <c r="AA576" i="3"/>
  <c r="R576" i="3"/>
  <c r="B576" i="3" l="1"/>
  <c r="AB576" i="3"/>
  <c r="S576" i="3" s="1"/>
  <c r="AC576" i="3"/>
  <c r="T576" i="3" l="1"/>
  <c r="AD576" i="3"/>
  <c r="X577" i="3" s="1"/>
  <c r="AE576" i="3" l="1"/>
  <c r="Y577" i="3" s="1"/>
  <c r="C577" i="3" s="1"/>
  <c r="N577" i="3"/>
  <c r="U576" i="3"/>
  <c r="O577" i="3" s="1"/>
  <c r="P577" i="3"/>
  <c r="Z577" i="3"/>
  <c r="Q577" i="3" s="1"/>
  <c r="AA577" i="3"/>
  <c r="R577" i="3"/>
  <c r="B577" i="3" l="1"/>
  <c r="AB577" i="3"/>
  <c r="S577" i="3" s="1"/>
  <c r="AC577" i="3"/>
  <c r="T577" i="3" l="1"/>
  <c r="AD577" i="3"/>
  <c r="X578" i="3" s="1"/>
  <c r="AE577" i="3" l="1"/>
  <c r="Y578" i="3" s="1"/>
  <c r="C578" i="3" s="1"/>
  <c r="N578" i="3"/>
  <c r="U577" i="3"/>
  <c r="O578" i="3" s="1"/>
  <c r="P578" i="3"/>
  <c r="Z578" i="3"/>
  <c r="Q578" i="3" s="1"/>
  <c r="AA578" i="3"/>
  <c r="R578" i="3"/>
  <c r="B578" i="3" l="1"/>
  <c r="AB578" i="3"/>
  <c r="S578" i="3" s="1"/>
  <c r="AC578" i="3"/>
  <c r="T578" i="3" l="1"/>
  <c r="AD578" i="3"/>
  <c r="AE578" i="3" s="1"/>
  <c r="Y579" i="3" s="1"/>
  <c r="X579" i="3" l="1"/>
  <c r="N579" i="3"/>
  <c r="U578" i="3"/>
  <c r="O579" i="3" s="1"/>
  <c r="C579" i="3"/>
  <c r="P579" i="3"/>
  <c r="Z579" i="3"/>
  <c r="Q579" i="3" s="1"/>
  <c r="AA579" i="3"/>
  <c r="R579" i="3"/>
  <c r="B579" i="3" l="1"/>
  <c r="AB579" i="3"/>
  <c r="S579" i="3" s="1"/>
  <c r="AC579" i="3"/>
  <c r="T579" i="3" l="1"/>
  <c r="AD579" i="3"/>
  <c r="AE579" i="3" s="1"/>
  <c r="Y580" i="3" s="1"/>
  <c r="X580" i="3" l="1"/>
  <c r="N580" i="3"/>
  <c r="U579" i="3"/>
  <c r="O580" i="3" s="1"/>
  <c r="C580" i="3"/>
  <c r="P580" i="3"/>
  <c r="Z580" i="3"/>
  <c r="Q580" i="3" s="1"/>
  <c r="AA580" i="3"/>
  <c r="R580" i="3"/>
  <c r="B580" i="3" l="1"/>
  <c r="AB580" i="3"/>
  <c r="S580" i="3" s="1"/>
  <c r="AC580" i="3"/>
  <c r="T580" i="3" l="1"/>
  <c r="AD580" i="3"/>
  <c r="X581" i="3" s="1"/>
  <c r="N581" i="3" l="1"/>
  <c r="U580" i="3"/>
  <c r="O581" i="3" s="1"/>
  <c r="AE580" i="3"/>
  <c r="Y581" i="3" s="1"/>
  <c r="C581" i="3" s="1"/>
  <c r="P581" i="3"/>
  <c r="Z581" i="3"/>
  <c r="Q581" i="3" s="1"/>
  <c r="AA581" i="3"/>
  <c r="R581" i="3"/>
  <c r="B581" i="3" l="1"/>
  <c r="AB581" i="3"/>
  <c r="S581" i="3" s="1"/>
  <c r="AC581" i="3"/>
  <c r="T581" i="3" l="1"/>
  <c r="N582" i="3" s="1"/>
  <c r="AD581" i="3"/>
  <c r="X582" i="3" s="1"/>
  <c r="U581" i="3" l="1"/>
  <c r="O582" i="3" s="1"/>
  <c r="B582" i="3" s="1"/>
  <c r="AE581" i="3"/>
  <c r="Y582" i="3" s="1"/>
  <c r="C582" i="3" s="1"/>
  <c r="P582" i="3"/>
  <c r="Z582" i="3"/>
  <c r="Q582" i="3" s="1"/>
  <c r="AA582" i="3"/>
  <c r="R582" i="3"/>
  <c r="AB582" i="3"/>
  <c r="S582" i="3" s="1"/>
  <c r="AC582" i="3"/>
  <c r="T582" i="3" l="1"/>
  <c r="N583" i="3" s="1"/>
  <c r="AD582" i="3"/>
  <c r="X583" i="3" s="1"/>
  <c r="U582" i="3" l="1"/>
  <c r="O583" i="3" s="1"/>
  <c r="B583" i="3" s="1"/>
  <c r="AE582" i="3"/>
  <c r="Y583" i="3" s="1"/>
  <c r="C583" i="3" s="1"/>
  <c r="P583" i="3"/>
  <c r="Z583" i="3"/>
  <c r="Q583" i="3" s="1"/>
  <c r="AA583" i="3"/>
  <c r="R583" i="3"/>
  <c r="AB583" i="3"/>
  <c r="S583" i="3" s="1"/>
  <c r="AC583" i="3"/>
  <c r="T583" i="3" l="1"/>
  <c r="N584" i="3" s="1"/>
  <c r="AD583" i="3"/>
  <c r="X584" i="3" s="1"/>
  <c r="AE583" i="3" l="1"/>
  <c r="Y584" i="3" s="1"/>
  <c r="C584" i="3" s="1"/>
  <c r="U583" i="3"/>
  <c r="O584" i="3" s="1"/>
  <c r="P584" i="3"/>
  <c r="Z584" i="3"/>
  <c r="Q584" i="3"/>
  <c r="AA584" i="3"/>
  <c r="R584" i="3"/>
  <c r="AB584" i="3"/>
  <c r="S584" i="3" s="1"/>
  <c r="AC584" i="3"/>
  <c r="B584" i="3" l="1"/>
  <c r="T584" i="3"/>
  <c r="N585" i="3" s="1"/>
  <c r="AD584" i="3"/>
  <c r="X585" i="3" s="1"/>
  <c r="U584" i="3" l="1"/>
  <c r="O585" i="3" s="1"/>
  <c r="B585" i="3" s="1"/>
  <c r="AE584" i="3"/>
  <c r="Y585" i="3" s="1"/>
  <c r="C585" i="3" s="1"/>
  <c r="P585" i="3"/>
  <c r="Z585" i="3"/>
  <c r="Q585" i="3" s="1"/>
  <c r="AA585" i="3"/>
  <c r="R585" i="3"/>
  <c r="AB585" i="3"/>
  <c r="S585" i="3" s="1"/>
  <c r="AC585" i="3"/>
  <c r="T585" i="3" l="1"/>
  <c r="AD585" i="3"/>
  <c r="X586" i="3" s="1"/>
  <c r="AE585" i="3" l="1"/>
  <c r="Y586" i="3" s="1"/>
  <c r="N586" i="3"/>
  <c r="U585" i="3"/>
  <c r="O586" i="3" s="1"/>
  <c r="C586" i="3"/>
  <c r="P586" i="3"/>
  <c r="Z586" i="3"/>
  <c r="Q586" i="3" s="1"/>
  <c r="AA586" i="3"/>
  <c r="R586" i="3"/>
  <c r="B586" i="3" l="1"/>
  <c r="AB586" i="3"/>
  <c r="S586" i="3" s="1"/>
  <c r="AC586" i="3"/>
  <c r="T586" i="3" l="1"/>
  <c r="N587" i="3" s="1"/>
  <c r="AD586" i="3"/>
  <c r="X587" i="3" s="1"/>
  <c r="U586" i="3" l="1"/>
  <c r="O587" i="3" s="1"/>
  <c r="B587" i="3" s="1"/>
  <c r="AE586" i="3"/>
  <c r="Y587" i="3" s="1"/>
  <c r="C587" i="3" s="1"/>
  <c r="P587" i="3"/>
  <c r="Z587" i="3"/>
  <c r="Q587" i="3" s="1"/>
  <c r="AA587" i="3"/>
  <c r="R587" i="3"/>
  <c r="AB587" i="3"/>
  <c r="S587" i="3" s="1"/>
  <c r="AC587" i="3"/>
  <c r="T587" i="3" l="1"/>
  <c r="N588" i="3" s="1"/>
  <c r="AD587" i="3"/>
  <c r="X588" i="3" s="1"/>
  <c r="AE587" i="3" l="1"/>
  <c r="Y588" i="3" s="1"/>
  <c r="C588" i="3" s="1"/>
  <c r="U587" i="3"/>
  <c r="O588" i="3" s="1"/>
  <c r="B588" i="3" s="1"/>
  <c r="P588" i="3"/>
  <c r="Z588" i="3"/>
  <c r="Q588" i="3" s="1"/>
  <c r="AA588" i="3"/>
  <c r="R588" i="3"/>
  <c r="AB588" i="3"/>
  <c r="S588" i="3" s="1"/>
  <c r="AC588" i="3"/>
  <c r="T588" i="3" l="1"/>
  <c r="N589" i="3" s="1"/>
  <c r="AD588" i="3"/>
  <c r="AE588" i="3" s="1"/>
  <c r="Y589" i="3" s="1"/>
  <c r="U588" i="3" l="1"/>
  <c r="O589" i="3" s="1"/>
  <c r="B589" i="3" s="1"/>
  <c r="X589" i="3"/>
  <c r="C589" i="3"/>
  <c r="P589" i="3"/>
  <c r="Z589" i="3"/>
  <c r="Q589" i="3"/>
  <c r="AA589" i="3"/>
  <c r="R589" i="3"/>
  <c r="AB589" i="3"/>
  <c r="S589" i="3" s="1"/>
  <c r="AC589" i="3"/>
  <c r="T589" i="3" l="1"/>
  <c r="AD589" i="3"/>
  <c r="X590" i="3" s="1"/>
  <c r="AE589" i="3" l="1"/>
  <c r="Y590" i="3" s="1"/>
  <c r="C590" i="3" s="1"/>
  <c r="N590" i="3"/>
  <c r="U589" i="3"/>
  <c r="O590" i="3" s="1"/>
  <c r="P590" i="3"/>
  <c r="Z590" i="3"/>
  <c r="Q590" i="3" s="1"/>
  <c r="AA590" i="3"/>
  <c r="R590" i="3"/>
  <c r="B590" i="3" l="1"/>
  <c r="AB590" i="3"/>
  <c r="S590" i="3" s="1"/>
  <c r="AC590" i="3"/>
  <c r="T590" i="3" l="1"/>
  <c r="AD590" i="3"/>
  <c r="AE590" i="3" s="1"/>
  <c r="Y591" i="3" s="1"/>
  <c r="X591" i="3" l="1"/>
  <c r="N591" i="3"/>
  <c r="U590" i="3"/>
  <c r="O591" i="3" s="1"/>
  <c r="C591" i="3"/>
  <c r="P591" i="3"/>
  <c r="Z591" i="3"/>
  <c r="Q591" i="3" s="1"/>
  <c r="AA591" i="3"/>
  <c r="R591" i="3"/>
  <c r="B591" i="3" l="1"/>
  <c r="AB591" i="3"/>
  <c r="S591" i="3" s="1"/>
  <c r="AC591" i="3"/>
  <c r="T591" i="3" l="1"/>
  <c r="AD591" i="3"/>
  <c r="X592" i="3" s="1"/>
  <c r="AE591" i="3" l="1"/>
  <c r="Y592" i="3" s="1"/>
  <c r="C592" i="3" s="1"/>
  <c r="N592" i="3"/>
  <c r="U591" i="3"/>
  <c r="O592" i="3" s="1"/>
  <c r="P592" i="3"/>
  <c r="Z592" i="3"/>
  <c r="Q592" i="3" s="1"/>
  <c r="AA592" i="3"/>
  <c r="R592" i="3"/>
  <c r="B592" i="3" l="1"/>
  <c r="AB592" i="3"/>
  <c r="S592" i="3" s="1"/>
  <c r="AC592" i="3"/>
  <c r="T592" i="3" l="1"/>
  <c r="N593" i="3" s="1"/>
  <c r="AD592" i="3"/>
  <c r="X593" i="3" s="1"/>
  <c r="U592" i="3" l="1"/>
  <c r="O593" i="3" s="1"/>
  <c r="AE592" i="3"/>
  <c r="Y593" i="3" s="1"/>
  <c r="P593" i="3"/>
  <c r="Z593" i="3"/>
  <c r="Q593" i="3" s="1"/>
  <c r="AA593" i="3"/>
  <c r="R593" i="3"/>
  <c r="C593" i="3" l="1"/>
  <c r="B593" i="3"/>
  <c r="AB593" i="3"/>
  <c r="S593" i="3" s="1"/>
  <c r="AC593" i="3"/>
  <c r="T593" i="3" l="1"/>
  <c r="AD593" i="3"/>
  <c r="X594" i="3" s="1"/>
  <c r="AE593" i="3" l="1"/>
  <c r="Y594" i="3" s="1"/>
  <c r="C594" i="3" s="1"/>
  <c r="N594" i="3"/>
  <c r="U593" i="3"/>
  <c r="O594" i="3" s="1"/>
  <c r="P594" i="3"/>
  <c r="Z594" i="3"/>
  <c r="Q594" i="3" s="1"/>
  <c r="AA594" i="3"/>
  <c r="R594" i="3"/>
  <c r="B594" i="3" l="1"/>
  <c r="AB594" i="3"/>
  <c r="S594" i="3" s="1"/>
  <c r="AC594" i="3"/>
  <c r="T594" i="3" l="1"/>
  <c r="N595" i="3" s="1"/>
  <c r="AD594" i="3"/>
  <c r="X595" i="3" s="1"/>
  <c r="U594" i="3" l="1"/>
  <c r="O595" i="3" s="1"/>
  <c r="B595" i="3" s="1"/>
  <c r="AE594" i="3"/>
  <c r="Y595" i="3" s="1"/>
  <c r="C595" i="3" s="1"/>
  <c r="P595" i="3"/>
  <c r="Z595" i="3"/>
  <c r="Q595" i="3" s="1"/>
  <c r="AA595" i="3"/>
  <c r="R595" i="3"/>
  <c r="AB595" i="3"/>
  <c r="S595" i="3" s="1"/>
  <c r="AC595" i="3"/>
  <c r="T595" i="3" l="1"/>
  <c r="AD595" i="3"/>
  <c r="X596" i="3" s="1"/>
  <c r="AE595" i="3" l="1"/>
  <c r="Y596" i="3" s="1"/>
  <c r="C596" i="3" s="1"/>
  <c r="N596" i="3"/>
  <c r="U595" i="3"/>
  <c r="O596" i="3" s="1"/>
  <c r="P596" i="3"/>
  <c r="Z596" i="3"/>
  <c r="Q596" i="3" s="1"/>
  <c r="AA596" i="3"/>
  <c r="R596" i="3"/>
  <c r="B596" i="3" l="1"/>
  <c r="AB596" i="3"/>
  <c r="S596" i="3" s="1"/>
  <c r="AC596" i="3"/>
  <c r="T596" i="3" l="1"/>
  <c r="AD596" i="3"/>
  <c r="X597" i="3" s="1"/>
  <c r="AE596" i="3" l="1"/>
  <c r="Y597" i="3" s="1"/>
  <c r="C597" i="3" s="1"/>
  <c r="U596" i="3"/>
  <c r="O597" i="3" s="1"/>
  <c r="N597" i="3"/>
  <c r="P597" i="3"/>
  <c r="Z597" i="3"/>
  <c r="Q597" i="3" s="1"/>
  <c r="AA597" i="3"/>
  <c r="R597" i="3"/>
  <c r="B597" i="3" l="1"/>
  <c r="AB597" i="3"/>
  <c r="S597" i="3" s="1"/>
  <c r="AC597" i="3"/>
  <c r="T597" i="3" l="1"/>
  <c r="AD597" i="3"/>
  <c r="X598" i="3" s="1"/>
  <c r="AE597" i="3" l="1"/>
  <c r="Y598" i="3" s="1"/>
  <c r="C598" i="3" s="1"/>
  <c r="N598" i="3"/>
  <c r="U597" i="3"/>
  <c r="O598" i="3" s="1"/>
  <c r="P598" i="3"/>
  <c r="Z598" i="3"/>
  <c r="Q598" i="3" s="1"/>
  <c r="AA598" i="3"/>
  <c r="R598" i="3"/>
  <c r="B598" i="3" l="1"/>
  <c r="AB598" i="3"/>
  <c r="S598" i="3" s="1"/>
  <c r="AC598" i="3"/>
  <c r="T598" i="3" l="1"/>
  <c r="AD598" i="3"/>
  <c r="X599" i="3" s="1"/>
  <c r="AE598" i="3" l="1"/>
  <c r="Y599" i="3" s="1"/>
  <c r="C599" i="3" s="1"/>
  <c r="N599" i="3"/>
  <c r="U598" i="3"/>
  <c r="O599" i="3" s="1"/>
  <c r="P599" i="3"/>
  <c r="Z599" i="3"/>
  <c r="Q599" i="3" s="1"/>
  <c r="AA599" i="3"/>
  <c r="R599" i="3"/>
  <c r="B599" i="3" l="1"/>
  <c r="AB599" i="3"/>
  <c r="S599" i="3" s="1"/>
  <c r="AC599" i="3"/>
  <c r="T599" i="3" l="1"/>
  <c r="AD599" i="3"/>
  <c r="AE599" i="3" s="1"/>
  <c r="Y600" i="3" s="1"/>
  <c r="X600" i="3" l="1"/>
  <c r="N600" i="3"/>
  <c r="U599" i="3"/>
  <c r="O600" i="3" s="1"/>
  <c r="C600" i="3"/>
  <c r="P600" i="3"/>
  <c r="Z600" i="3"/>
  <c r="Q600" i="3" s="1"/>
  <c r="AA600" i="3"/>
  <c r="R600" i="3"/>
  <c r="B600" i="3" l="1"/>
  <c r="AB600" i="3"/>
  <c r="S600" i="3" s="1"/>
  <c r="AC600" i="3"/>
  <c r="T600" i="3" l="1"/>
  <c r="AD600" i="3"/>
  <c r="X601" i="3" s="1"/>
  <c r="AE600" i="3" l="1"/>
  <c r="Y601" i="3" s="1"/>
  <c r="C601" i="3" s="1"/>
  <c r="U600" i="3"/>
  <c r="O601" i="3" s="1"/>
  <c r="N601" i="3"/>
  <c r="P601" i="3"/>
  <c r="Z601" i="3"/>
  <c r="Q601" i="3" s="1"/>
  <c r="AA601" i="3"/>
  <c r="R601" i="3"/>
  <c r="B601" i="3" l="1"/>
  <c r="AB601" i="3"/>
  <c r="S601" i="3" s="1"/>
  <c r="AC601" i="3"/>
  <c r="T601" i="3" l="1"/>
  <c r="AD601" i="3"/>
  <c r="X602" i="3" s="1"/>
  <c r="AE601" i="3" l="1"/>
  <c r="Y602" i="3" s="1"/>
  <c r="C602" i="3" s="1"/>
  <c r="N602" i="3"/>
  <c r="U601" i="3"/>
  <c r="O602" i="3" s="1"/>
  <c r="P602" i="3"/>
  <c r="Z602" i="3"/>
  <c r="Q602" i="3" s="1"/>
  <c r="AA602" i="3"/>
  <c r="R602" i="3"/>
  <c r="B602" i="3" l="1"/>
  <c r="AB602" i="3"/>
  <c r="S602" i="3" s="1"/>
  <c r="AC602" i="3"/>
  <c r="T602" i="3" l="1"/>
  <c r="N603" i="3" s="1"/>
  <c r="AD602" i="3"/>
  <c r="X603" i="3" s="1"/>
  <c r="U602" i="3" l="1"/>
  <c r="O603" i="3" s="1"/>
  <c r="B603" i="3" s="1"/>
  <c r="AE602" i="3"/>
  <c r="Y603" i="3" s="1"/>
  <c r="C603" i="3" s="1"/>
  <c r="P603" i="3"/>
  <c r="Z603" i="3"/>
  <c r="Q603" i="3" s="1"/>
  <c r="AA603" i="3"/>
  <c r="R603" i="3"/>
  <c r="AB603" i="3"/>
  <c r="S603" i="3" s="1"/>
  <c r="AC603" i="3"/>
  <c r="T603" i="3" l="1"/>
  <c r="AD603" i="3"/>
  <c r="AE603" i="3" s="1"/>
  <c r="Y604" i="3" s="1"/>
  <c r="X604" i="3" l="1"/>
  <c r="N604" i="3"/>
  <c r="U603" i="3"/>
  <c r="O604" i="3" s="1"/>
  <c r="C604" i="3"/>
  <c r="P604" i="3"/>
  <c r="Z604" i="3"/>
  <c r="Q604" i="3" s="1"/>
  <c r="AA604" i="3"/>
  <c r="R604" i="3"/>
  <c r="B604" i="3" l="1"/>
  <c r="AB604" i="3"/>
  <c r="S604" i="3" s="1"/>
  <c r="AC604" i="3"/>
  <c r="T604" i="3" l="1"/>
  <c r="AD604" i="3"/>
  <c r="X605" i="3" s="1"/>
  <c r="AE604" i="3" l="1"/>
  <c r="Y605" i="3" s="1"/>
  <c r="C605" i="3" s="1"/>
  <c r="N605" i="3"/>
  <c r="U604" i="3"/>
  <c r="O605" i="3" s="1"/>
  <c r="P605" i="3"/>
  <c r="Z605" i="3"/>
  <c r="Q605" i="3" s="1"/>
  <c r="AA605" i="3"/>
  <c r="R605" i="3"/>
  <c r="B605" i="3" l="1"/>
  <c r="AB605" i="3"/>
  <c r="S605" i="3" s="1"/>
  <c r="AC605" i="3"/>
  <c r="T605" i="3" l="1"/>
  <c r="AD605" i="3"/>
  <c r="X606" i="3" s="1"/>
  <c r="AE605" i="3" l="1"/>
  <c r="Y606" i="3" s="1"/>
  <c r="C606" i="3" s="1"/>
  <c r="N606" i="3"/>
  <c r="U605" i="3"/>
  <c r="O606" i="3" s="1"/>
  <c r="P606" i="3"/>
  <c r="Z606" i="3"/>
  <c r="Q606" i="3" s="1"/>
  <c r="AA606" i="3"/>
  <c r="R606" i="3"/>
  <c r="B606" i="3" l="1"/>
  <c r="AB606" i="3"/>
  <c r="S606" i="3" s="1"/>
  <c r="AC606" i="3"/>
  <c r="T606" i="3" l="1"/>
  <c r="AD606" i="3"/>
  <c r="X607" i="3" s="1"/>
  <c r="AE606" i="3" l="1"/>
  <c r="Y607" i="3" s="1"/>
  <c r="C607" i="3" s="1"/>
  <c r="U606" i="3"/>
  <c r="O607" i="3" s="1"/>
  <c r="N607" i="3"/>
  <c r="P607" i="3"/>
  <c r="Z607" i="3"/>
  <c r="Q607" i="3" s="1"/>
  <c r="AA607" i="3"/>
  <c r="R607" i="3"/>
  <c r="B607" i="3" l="1"/>
  <c r="AB607" i="3"/>
  <c r="S607" i="3" s="1"/>
  <c r="AC607" i="3"/>
  <c r="T607" i="3" l="1"/>
  <c r="AD607" i="3"/>
  <c r="X608" i="3" s="1"/>
  <c r="N608" i="3" l="1"/>
  <c r="U607" i="3"/>
  <c r="O608" i="3" s="1"/>
  <c r="AE607" i="3"/>
  <c r="Y608" i="3" s="1"/>
  <c r="C608" i="3" s="1"/>
  <c r="P608" i="3"/>
  <c r="Z608" i="3"/>
  <c r="Q608" i="3" s="1"/>
  <c r="AA608" i="3"/>
  <c r="R608" i="3"/>
  <c r="B608" i="3" l="1"/>
  <c r="AB608" i="3"/>
  <c r="S608" i="3" s="1"/>
  <c r="AC608" i="3"/>
  <c r="T608" i="3" l="1"/>
  <c r="AD608" i="3"/>
  <c r="X609" i="3" s="1"/>
  <c r="AE608" i="3" l="1"/>
  <c r="Y609" i="3" s="1"/>
  <c r="N609" i="3"/>
  <c r="U608" i="3"/>
  <c r="O609" i="3" s="1"/>
  <c r="C609" i="3"/>
  <c r="P609" i="3"/>
  <c r="Z609" i="3"/>
  <c r="Q609" i="3" s="1"/>
  <c r="AA609" i="3"/>
  <c r="R609" i="3"/>
  <c r="B609" i="3" l="1"/>
  <c r="AB609" i="3"/>
  <c r="S609" i="3" s="1"/>
  <c r="AC609" i="3"/>
  <c r="T609" i="3" l="1"/>
  <c r="AD609" i="3"/>
  <c r="AE609" i="3" s="1"/>
  <c r="Y610" i="3" s="1"/>
  <c r="N610" i="3" l="1"/>
  <c r="U609" i="3"/>
  <c r="O610" i="3" s="1"/>
  <c r="X610" i="3"/>
  <c r="C610" i="3"/>
  <c r="P610" i="3"/>
  <c r="Z610" i="3"/>
  <c r="Q610" i="3"/>
  <c r="AA610" i="3"/>
  <c r="R610" i="3"/>
  <c r="B610" i="3" l="1"/>
  <c r="AB610" i="3"/>
  <c r="S610" i="3" s="1"/>
  <c r="AC610" i="3"/>
  <c r="T610" i="3" l="1"/>
  <c r="N611" i="3" s="1"/>
  <c r="AD610" i="3"/>
  <c r="X611" i="3" s="1"/>
  <c r="U610" i="3" l="1"/>
  <c r="O611" i="3" s="1"/>
  <c r="B611" i="3" s="1"/>
  <c r="AE610" i="3"/>
  <c r="Y611" i="3" s="1"/>
  <c r="C611" i="3" s="1"/>
  <c r="P611" i="3"/>
  <c r="Z611" i="3"/>
  <c r="Q611" i="3" s="1"/>
  <c r="AA611" i="3"/>
  <c r="R611" i="3"/>
  <c r="AB611" i="3"/>
  <c r="S611" i="3" s="1"/>
  <c r="AC611" i="3"/>
  <c r="T611" i="3" l="1"/>
  <c r="AD611" i="3"/>
  <c r="AE611" i="3" s="1"/>
  <c r="Y612" i="3" s="1"/>
  <c r="X612" i="3" l="1"/>
  <c r="U611" i="3"/>
  <c r="O612" i="3" s="1"/>
  <c r="N612" i="3"/>
  <c r="C612" i="3"/>
  <c r="P612" i="3"/>
  <c r="Z612" i="3"/>
  <c r="Q612" i="3" s="1"/>
  <c r="AA612" i="3"/>
  <c r="R612" i="3"/>
  <c r="B612" i="3" l="1"/>
  <c r="AB612" i="3"/>
  <c r="S612" i="3" s="1"/>
  <c r="AC612" i="3"/>
  <c r="T612" i="3" l="1"/>
  <c r="AD612" i="3"/>
  <c r="X613" i="3" s="1"/>
  <c r="AE612" i="3" l="1"/>
  <c r="Y613" i="3" s="1"/>
  <c r="C613" i="3" s="1"/>
  <c r="N613" i="3"/>
  <c r="U612" i="3"/>
  <c r="O613" i="3" s="1"/>
  <c r="P613" i="3"/>
  <c r="Z613" i="3"/>
  <c r="Q613" i="3"/>
  <c r="AA613" i="3"/>
  <c r="R613" i="3"/>
  <c r="B613" i="3" l="1"/>
  <c r="AB613" i="3"/>
  <c r="S613" i="3" s="1"/>
  <c r="AC613" i="3"/>
  <c r="T613" i="3" l="1"/>
  <c r="AD613" i="3"/>
  <c r="X614" i="3" s="1"/>
  <c r="AE613" i="3" l="1"/>
  <c r="Y614" i="3" s="1"/>
  <c r="N614" i="3"/>
  <c r="U613" i="3"/>
  <c r="O614" i="3" s="1"/>
  <c r="C614" i="3"/>
  <c r="P614" i="3"/>
  <c r="Z614" i="3"/>
  <c r="Q614" i="3" s="1"/>
  <c r="AA614" i="3"/>
  <c r="R614" i="3"/>
  <c r="B614" i="3" l="1"/>
  <c r="AB614" i="3"/>
  <c r="S614" i="3" s="1"/>
  <c r="AC614" i="3"/>
  <c r="T614" i="3" l="1"/>
  <c r="U614" i="3" s="1"/>
  <c r="O615" i="3" s="1"/>
  <c r="B615" i="3" s="1"/>
  <c r="AD614" i="3"/>
  <c r="X615" i="3" s="1"/>
  <c r="AE614" i="3" l="1"/>
  <c r="Y615" i="3" s="1"/>
  <c r="C615" i="3" s="1"/>
  <c r="N615" i="3"/>
  <c r="P615" i="3"/>
  <c r="Z615" i="3"/>
  <c r="Q615" i="3"/>
  <c r="AA615" i="3"/>
  <c r="R615" i="3"/>
  <c r="AB615" i="3"/>
  <c r="S615" i="3" s="1"/>
  <c r="AC615" i="3"/>
  <c r="T615" i="3" l="1"/>
  <c r="AD615" i="3"/>
  <c r="X616" i="3" s="1"/>
  <c r="AE615" i="3" l="1"/>
  <c r="Y616" i="3" s="1"/>
  <c r="C616" i="3" s="1"/>
  <c r="N616" i="3"/>
  <c r="U615" i="3"/>
  <c r="O616" i="3" s="1"/>
  <c r="P616" i="3"/>
  <c r="Z616" i="3"/>
  <c r="Q616" i="3" s="1"/>
  <c r="AA616" i="3"/>
  <c r="R616" i="3"/>
  <c r="B616" i="3" l="1"/>
  <c r="AB616" i="3"/>
  <c r="S616" i="3" s="1"/>
  <c r="AC616" i="3"/>
  <c r="T616" i="3" l="1"/>
  <c r="AD616" i="3"/>
  <c r="X617" i="3" s="1"/>
  <c r="AE616" i="3" l="1"/>
  <c r="Y617" i="3" s="1"/>
  <c r="C617" i="3" s="1"/>
  <c r="N617" i="3"/>
  <c r="U616" i="3"/>
  <c r="O617" i="3" s="1"/>
  <c r="P617" i="3"/>
  <c r="Z617" i="3"/>
  <c r="Q617" i="3" s="1"/>
  <c r="AA617" i="3"/>
  <c r="R617" i="3"/>
  <c r="B617" i="3" l="1"/>
  <c r="AB617" i="3"/>
  <c r="S617" i="3" s="1"/>
  <c r="AC617" i="3"/>
  <c r="T617" i="3" l="1"/>
  <c r="N618" i="3" s="1"/>
  <c r="AD617" i="3"/>
  <c r="X618" i="3" s="1"/>
  <c r="AE617" i="3"/>
  <c r="Y618" i="3" s="1"/>
  <c r="U617" i="3" l="1"/>
  <c r="O618" i="3" s="1"/>
  <c r="B618" i="3"/>
  <c r="C618" i="3"/>
  <c r="P618" i="3"/>
  <c r="Z618" i="3"/>
  <c r="Q618" i="3" s="1"/>
  <c r="AA618" i="3"/>
  <c r="R618" i="3"/>
  <c r="AB618" i="3"/>
  <c r="S618" i="3" s="1"/>
  <c r="AC618" i="3"/>
  <c r="T618" i="3" l="1"/>
  <c r="AD618" i="3"/>
  <c r="X619" i="3" s="1"/>
  <c r="AE618" i="3" l="1"/>
  <c r="Y619" i="3" s="1"/>
  <c r="C619" i="3" s="1"/>
  <c r="N619" i="3"/>
  <c r="U618" i="3"/>
  <c r="O619" i="3" s="1"/>
  <c r="P619" i="3"/>
  <c r="Z619" i="3"/>
  <c r="Q619" i="3" s="1"/>
  <c r="AA619" i="3"/>
  <c r="R619" i="3"/>
  <c r="B619" i="3" l="1"/>
  <c r="AB619" i="3"/>
  <c r="S619" i="3" s="1"/>
  <c r="AC619" i="3"/>
  <c r="T619" i="3" l="1"/>
  <c r="AD619" i="3"/>
  <c r="X620" i="3" s="1"/>
  <c r="AE619" i="3" l="1"/>
  <c r="Y620" i="3" s="1"/>
  <c r="N620" i="3"/>
  <c r="U619" i="3"/>
  <c r="O620" i="3" s="1"/>
  <c r="C620" i="3"/>
  <c r="P620" i="3"/>
  <c r="Z620" i="3"/>
  <c r="Q620" i="3"/>
  <c r="AA620" i="3"/>
  <c r="R620" i="3"/>
  <c r="B620" i="3" l="1"/>
  <c r="AB620" i="3"/>
  <c r="S620" i="3" s="1"/>
  <c r="AC620" i="3"/>
  <c r="T620" i="3" l="1"/>
  <c r="AD620" i="3"/>
  <c r="X621" i="3" s="1"/>
  <c r="AE620" i="3" l="1"/>
  <c r="Y621" i="3" s="1"/>
  <c r="N621" i="3"/>
  <c r="U620" i="3"/>
  <c r="O621" i="3" s="1"/>
  <c r="C621" i="3"/>
  <c r="P621" i="3"/>
  <c r="Z621" i="3"/>
  <c r="Q621" i="3" s="1"/>
  <c r="AA621" i="3"/>
  <c r="R621" i="3"/>
  <c r="B621" i="3" l="1"/>
  <c r="AB621" i="3"/>
  <c r="S621" i="3" s="1"/>
  <c r="AC621" i="3"/>
  <c r="T621" i="3" l="1"/>
  <c r="AD621" i="3"/>
  <c r="X622" i="3" s="1"/>
  <c r="AE621" i="3" l="1"/>
  <c r="Y622" i="3" s="1"/>
  <c r="N622" i="3"/>
  <c r="U621" i="3"/>
  <c r="O622" i="3" s="1"/>
  <c r="C622" i="3"/>
  <c r="P622" i="3"/>
  <c r="Z622" i="3"/>
  <c r="Q622" i="3" s="1"/>
  <c r="AA622" i="3"/>
  <c r="R622" i="3"/>
  <c r="B622" i="3" l="1"/>
  <c r="AB622" i="3"/>
  <c r="S622" i="3" s="1"/>
  <c r="AC622" i="3"/>
  <c r="T622" i="3" l="1"/>
  <c r="AD622" i="3"/>
  <c r="X623" i="3" s="1"/>
  <c r="AE622" i="3" l="1"/>
  <c r="Y623" i="3" s="1"/>
  <c r="U622" i="3"/>
  <c r="O623" i="3" s="1"/>
  <c r="N623" i="3"/>
  <c r="C623" i="3"/>
  <c r="P623" i="3"/>
  <c r="Z623" i="3"/>
  <c r="Q623" i="3"/>
  <c r="AA623" i="3"/>
  <c r="R623" i="3"/>
  <c r="B623" i="3" l="1"/>
  <c r="AB623" i="3"/>
  <c r="S623" i="3" s="1"/>
  <c r="AC623" i="3"/>
  <c r="T623" i="3" l="1"/>
  <c r="AD623" i="3"/>
  <c r="X624" i="3" s="1"/>
  <c r="AE623" i="3" l="1"/>
  <c r="Y624" i="3" s="1"/>
  <c r="C624" i="3" s="1"/>
  <c r="U623" i="3"/>
  <c r="O624" i="3" s="1"/>
  <c r="N624" i="3"/>
  <c r="P624" i="3"/>
  <c r="Z624" i="3"/>
  <c r="Q624" i="3"/>
  <c r="AA624" i="3"/>
  <c r="R624" i="3"/>
  <c r="B624" i="3" l="1"/>
  <c r="AB624" i="3"/>
  <c r="S624" i="3" s="1"/>
  <c r="AC624" i="3"/>
  <c r="T624" i="3" l="1"/>
  <c r="AD624" i="3"/>
  <c r="X625" i="3" s="1"/>
  <c r="AE624" i="3" l="1"/>
  <c r="Y625" i="3" s="1"/>
  <c r="C625" i="3" s="1"/>
  <c r="N625" i="3"/>
  <c r="U624" i="3"/>
  <c r="O625" i="3" s="1"/>
  <c r="P625" i="3"/>
  <c r="Z625" i="3"/>
  <c r="Q625" i="3" s="1"/>
  <c r="AA625" i="3"/>
  <c r="R625" i="3"/>
  <c r="B625" i="3" l="1"/>
  <c r="AB625" i="3"/>
  <c r="S625" i="3" s="1"/>
  <c r="AC625" i="3"/>
  <c r="T625" i="3" l="1"/>
  <c r="AD625" i="3"/>
  <c r="X626" i="3" s="1"/>
  <c r="AE625" i="3" l="1"/>
  <c r="Y626" i="3" s="1"/>
  <c r="C626" i="3" s="1"/>
  <c r="U625" i="3"/>
  <c r="O626" i="3" s="1"/>
  <c r="N626" i="3"/>
  <c r="P626" i="3"/>
  <c r="Z626" i="3"/>
  <c r="Q626" i="3" s="1"/>
  <c r="AA626" i="3"/>
  <c r="R626" i="3"/>
  <c r="B626" i="3" l="1"/>
  <c r="AB626" i="3"/>
  <c r="S626" i="3" s="1"/>
  <c r="AC626" i="3"/>
  <c r="T626" i="3" l="1"/>
  <c r="AD626" i="3"/>
  <c r="X627" i="3" s="1"/>
  <c r="AE626" i="3" l="1"/>
  <c r="Y627" i="3" s="1"/>
  <c r="C627" i="3" s="1"/>
  <c r="N627" i="3"/>
  <c r="U626" i="3"/>
  <c r="O627" i="3" s="1"/>
  <c r="P627" i="3"/>
  <c r="Z627" i="3"/>
  <c r="Q627" i="3" s="1"/>
  <c r="AA627" i="3"/>
  <c r="R627" i="3"/>
  <c r="B627" i="3" l="1"/>
  <c r="AB627" i="3"/>
  <c r="S627" i="3" s="1"/>
  <c r="AC627" i="3"/>
  <c r="T627" i="3" l="1"/>
  <c r="AD627" i="3"/>
  <c r="X628" i="3" s="1"/>
  <c r="AE627" i="3" l="1"/>
  <c r="Y628" i="3" s="1"/>
  <c r="C628" i="3" s="1"/>
  <c r="N628" i="3"/>
  <c r="U627" i="3"/>
  <c r="O628" i="3" s="1"/>
  <c r="P628" i="3"/>
  <c r="Z628" i="3"/>
  <c r="Q628" i="3" s="1"/>
  <c r="AA628" i="3"/>
  <c r="R628" i="3"/>
  <c r="B628" i="3" l="1"/>
  <c r="AB628" i="3"/>
  <c r="S628" i="3" s="1"/>
  <c r="AC628" i="3"/>
  <c r="T628" i="3" l="1"/>
  <c r="U628" i="3" s="1"/>
  <c r="O629" i="3" s="1"/>
  <c r="B629" i="3" s="1"/>
  <c r="AD628" i="3"/>
  <c r="X629" i="3" s="1"/>
  <c r="AE628" i="3" l="1"/>
  <c r="Y629" i="3" s="1"/>
  <c r="C629" i="3" s="1"/>
  <c r="N629" i="3"/>
  <c r="P629" i="3"/>
  <c r="Z629" i="3"/>
  <c r="Q629" i="3"/>
  <c r="AA629" i="3"/>
  <c r="R629" i="3"/>
  <c r="AB629" i="3"/>
  <c r="S629" i="3" s="1"/>
  <c r="AC629" i="3"/>
  <c r="T629" i="3" l="1"/>
  <c r="AD629" i="3"/>
  <c r="X630" i="3" s="1"/>
  <c r="AE629" i="3" l="1"/>
  <c r="Y630" i="3" s="1"/>
  <c r="U629" i="3"/>
  <c r="O630" i="3" s="1"/>
  <c r="N630" i="3"/>
  <c r="C630" i="3"/>
  <c r="P630" i="3"/>
  <c r="Z630" i="3"/>
  <c r="Q630" i="3" s="1"/>
  <c r="AA630" i="3"/>
  <c r="R630" i="3"/>
  <c r="B630" i="3" l="1"/>
  <c r="AB630" i="3"/>
  <c r="S630" i="3" s="1"/>
  <c r="AC630" i="3"/>
  <c r="T630" i="3" l="1"/>
  <c r="AD630" i="3"/>
  <c r="X631" i="3" s="1"/>
  <c r="AE630" i="3" l="1"/>
  <c r="Y631" i="3" s="1"/>
  <c r="C631" i="3" s="1"/>
  <c r="N631" i="3"/>
  <c r="U630" i="3"/>
  <c r="O631" i="3" s="1"/>
  <c r="P631" i="3"/>
  <c r="Z631" i="3"/>
  <c r="Q631" i="3" s="1"/>
  <c r="AA631" i="3"/>
  <c r="R631" i="3"/>
  <c r="B631" i="3" l="1"/>
  <c r="AB631" i="3"/>
  <c r="S631" i="3" s="1"/>
  <c r="AC631" i="3"/>
  <c r="T631" i="3" l="1"/>
  <c r="AD631" i="3"/>
  <c r="X632" i="3" s="1"/>
  <c r="AE631" i="3" l="1"/>
  <c r="Y632" i="3" s="1"/>
  <c r="U631" i="3"/>
  <c r="O632" i="3" s="1"/>
  <c r="N632" i="3"/>
  <c r="C632" i="3"/>
  <c r="P632" i="3"/>
  <c r="Z632" i="3"/>
  <c r="Q632" i="3" s="1"/>
  <c r="AA632" i="3"/>
  <c r="R632" i="3"/>
  <c r="B632" i="3" l="1"/>
  <c r="AB632" i="3"/>
  <c r="S632" i="3" s="1"/>
  <c r="AC632" i="3"/>
  <c r="T632" i="3" l="1"/>
  <c r="N633" i="3" s="1"/>
  <c r="AD632" i="3"/>
  <c r="X633" i="3" s="1"/>
  <c r="AE632" i="3" l="1"/>
  <c r="Y633" i="3" s="1"/>
  <c r="C633" i="3" s="1"/>
  <c r="U632" i="3"/>
  <c r="O633" i="3" s="1"/>
  <c r="B633" i="3" s="1"/>
  <c r="P633" i="3"/>
  <c r="Z633" i="3"/>
  <c r="Q633" i="3" s="1"/>
  <c r="AA633" i="3"/>
  <c r="R633" i="3"/>
  <c r="AB633" i="3"/>
  <c r="S633" i="3" s="1"/>
  <c r="AC633" i="3"/>
  <c r="T633" i="3" l="1"/>
  <c r="AD633" i="3"/>
  <c r="X634" i="3" s="1"/>
  <c r="AE633" i="3" l="1"/>
  <c r="Y634" i="3" s="1"/>
  <c r="C634" i="3" s="1"/>
  <c r="U633" i="3"/>
  <c r="O634" i="3" s="1"/>
  <c r="N634" i="3"/>
  <c r="P634" i="3"/>
  <c r="Z634" i="3"/>
  <c r="Q634" i="3" s="1"/>
  <c r="AA634" i="3"/>
  <c r="R634" i="3"/>
  <c r="B634" i="3" l="1"/>
  <c r="AB634" i="3"/>
  <c r="S634" i="3" s="1"/>
  <c r="AC634" i="3"/>
  <c r="T634" i="3" l="1"/>
  <c r="AD634" i="3"/>
  <c r="AE634" i="3" s="1"/>
  <c r="Y635" i="3" s="1"/>
  <c r="N635" i="3" l="1"/>
  <c r="U634" i="3"/>
  <c r="O635" i="3" s="1"/>
  <c r="X635" i="3"/>
  <c r="C635" i="3"/>
  <c r="P635" i="3"/>
  <c r="Z635" i="3"/>
  <c r="Q635" i="3"/>
  <c r="AA635" i="3"/>
  <c r="R635" i="3"/>
  <c r="B635" i="3" l="1"/>
  <c r="AB635" i="3"/>
  <c r="S635" i="3" s="1"/>
  <c r="AC635" i="3"/>
  <c r="T635" i="3" l="1"/>
  <c r="AD635" i="3"/>
  <c r="X636" i="3" s="1"/>
  <c r="AE635" i="3" l="1"/>
  <c r="Y636" i="3" s="1"/>
  <c r="C636" i="3" s="1"/>
  <c r="N636" i="3"/>
  <c r="U635" i="3"/>
  <c r="O636" i="3" s="1"/>
  <c r="P636" i="3"/>
  <c r="Z636" i="3"/>
  <c r="Q636" i="3" s="1"/>
  <c r="AA636" i="3"/>
  <c r="R636" i="3"/>
  <c r="B636" i="3" l="1"/>
  <c r="AB636" i="3"/>
  <c r="S636" i="3" s="1"/>
  <c r="AC636" i="3"/>
  <c r="T636" i="3" l="1"/>
  <c r="AD636" i="3"/>
  <c r="X637" i="3" s="1"/>
  <c r="AE636" i="3" l="1"/>
  <c r="Y637" i="3" s="1"/>
  <c r="C637" i="3" s="1"/>
  <c r="N637" i="3"/>
  <c r="U636" i="3"/>
  <c r="O637" i="3" s="1"/>
  <c r="P637" i="3"/>
  <c r="Z637" i="3"/>
  <c r="Q637" i="3"/>
  <c r="AA637" i="3"/>
  <c r="R637" i="3"/>
  <c r="B637" i="3" l="1"/>
  <c r="AB637" i="3"/>
  <c r="S637" i="3" s="1"/>
  <c r="AC637" i="3"/>
  <c r="T637" i="3" l="1"/>
  <c r="AD637" i="3"/>
  <c r="X638" i="3" s="1"/>
  <c r="AE637" i="3" l="1"/>
  <c r="Y638" i="3" s="1"/>
  <c r="C638" i="3" s="1"/>
  <c r="N638" i="3"/>
  <c r="U637" i="3"/>
  <c r="O638" i="3" s="1"/>
  <c r="P638" i="3"/>
  <c r="Z638" i="3"/>
  <c r="Q638" i="3"/>
  <c r="AA638" i="3"/>
  <c r="R638" i="3"/>
  <c r="B638" i="3" l="1"/>
  <c r="AB638" i="3"/>
  <c r="S638" i="3" s="1"/>
  <c r="AC638" i="3"/>
  <c r="T638" i="3" l="1"/>
  <c r="AD638" i="3"/>
  <c r="AE638" i="3" s="1"/>
  <c r="Y639" i="3" s="1"/>
  <c r="X639" i="3" l="1"/>
  <c r="N639" i="3"/>
  <c r="U638" i="3"/>
  <c r="O639" i="3" s="1"/>
  <c r="C639" i="3"/>
  <c r="P639" i="3"/>
  <c r="Z639" i="3"/>
  <c r="Q639" i="3" s="1"/>
  <c r="AA639" i="3"/>
  <c r="R639" i="3"/>
  <c r="B639" i="3" l="1"/>
  <c r="AB639" i="3"/>
  <c r="S639" i="3" s="1"/>
  <c r="AC639" i="3"/>
  <c r="T639" i="3" l="1"/>
  <c r="N640" i="3" s="1"/>
  <c r="AD639" i="3"/>
  <c r="X640" i="3" s="1"/>
  <c r="AE639" i="3" l="1"/>
  <c r="Y640" i="3" s="1"/>
  <c r="U639" i="3"/>
  <c r="O640" i="3" s="1"/>
  <c r="B640" i="3" s="1"/>
  <c r="C640" i="3"/>
  <c r="P640" i="3"/>
  <c r="Z640" i="3"/>
  <c r="Q640" i="3" s="1"/>
  <c r="AA640" i="3"/>
  <c r="R640" i="3"/>
  <c r="AB640" i="3"/>
  <c r="S640" i="3" s="1"/>
  <c r="AC640" i="3"/>
  <c r="T640" i="3" l="1"/>
  <c r="AD640" i="3"/>
  <c r="X641" i="3" s="1"/>
  <c r="AE640" i="3" l="1"/>
  <c r="Y641" i="3" s="1"/>
  <c r="C641" i="3" s="1"/>
  <c r="N641" i="3"/>
  <c r="U640" i="3"/>
  <c r="O641" i="3" s="1"/>
  <c r="P641" i="3"/>
  <c r="Z641" i="3"/>
  <c r="Q641" i="3" s="1"/>
  <c r="AA641" i="3"/>
  <c r="R641" i="3"/>
  <c r="B641" i="3" l="1"/>
  <c r="AB641" i="3"/>
  <c r="S641" i="3" s="1"/>
  <c r="AC641" i="3"/>
  <c r="T641" i="3" l="1"/>
  <c r="AD641" i="3"/>
  <c r="X642" i="3" s="1"/>
  <c r="AE641" i="3" l="1"/>
  <c r="Y642" i="3" s="1"/>
  <c r="C642" i="3" s="1"/>
  <c r="N642" i="3"/>
  <c r="U641" i="3"/>
  <c r="O642" i="3" s="1"/>
  <c r="P642" i="3"/>
  <c r="Z642" i="3"/>
  <c r="Q642" i="3" s="1"/>
  <c r="AA642" i="3"/>
  <c r="R642" i="3"/>
  <c r="B642" i="3" l="1"/>
  <c r="AB642" i="3"/>
  <c r="S642" i="3" s="1"/>
  <c r="AC642" i="3"/>
  <c r="T642" i="3" l="1"/>
  <c r="AD642" i="3"/>
  <c r="AE642" i="3" s="1"/>
  <c r="Y643" i="3" s="1"/>
  <c r="N643" i="3" l="1"/>
  <c r="U642" i="3"/>
  <c r="O643" i="3" s="1"/>
  <c r="X643" i="3"/>
  <c r="C643" i="3"/>
  <c r="P643" i="3"/>
  <c r="Z643" i="3"/>
  <c r="Q643" i="3"/>
  <c r="AA643" i="3"/>
  <c r="R643" i="3"/>
  <c r="B643" i="3" l="1"/>
  <c r="AB643" i="3"/>
  <c r="S643" i="3" s="1"/>
  <c r="AC643" i="3"/>
  <c r="T643" i="3" l="1"/>
  <c r="N644" i="3" s="1"/>
  <c r="AD643" i="3"/>
  <c r="X644" i="3" s="1"/>
  <c r="U643" i="3" l="1"/>
  <c r="O644" i="3" s="1"/>
  <c r="B644" i="3" s="1"/>
  <c r="AE643" i="3"/>
  <c r="Y644" i="3" s="1"/>
  <c r="C644" i="3" s="1"/>
  <c r="P644" i="3"/>
  <c r="Z644" i="3"/>
  <c r="Q644" i="3" s="1"/>
  <c r="AA644" i="3"/>
  <c r="R644" i="3"/>
  <c r="AB644" i="3"/>
  <c r="S644" i="3" s="1"/>
  <c r="AC644" i="3"/>
  <c r="T644" i="3" l="1"/>
  <c r="AD644" i="3"/>
  <c r="X645" i="3" s="1"/>
  <c r="AE644" i="3" l="1"/>
  <c r="Y645" i="3" s="1"/>
  <c r="C645" i="3" s="1"/>
  <c r="N645" i="3"/>
  <c r="U644" i="3"/>
  <c r="O645" i="3" s="1"/>
  <c r="P645" i="3"/>
  <c r="Z645" i="3"/>
  <c r="Q645" i="3"/>
  <c r="AA645" i="3"/>
  <c r="R645" i="3"/>
  <c r="B645" i="3" l="1"/>
  <c r="AB645" i="3"/>
  <c r="S645" i="3" s="1"/>
  <c r="AC645" i="3"/>
  <c r="T645" i="3" l="1"/>
  <c r="AD645" i="3"/>
  <c r="X646" i="3" s="1"/>
  <c r="AE645" i="3" l="1"/>
  <c r="Y646" i="3" s="1"/>
  <c r="C646" i="3" s="1"/>
  <c r="N646" i="3"/>
  <c r="U645" i="3"/>
  <c r="O646" i="3" s="1"/>
  <c r="P646" i="3"/>
  <c r="Z646" i="3"/>
  <c r="Q646" i="3" s="1"/>
  <c r="AA646" i="3"/>
  <c r="R646" i="3"/>
  <c r="B646" i="3" l="1"/>
  <c r="AB646" i="3"/>
  <c r="S646" i="3" s="1"/>
  <c r="AC646" i="3"/>
  <c r="T646" i="3" l="1"/>
  <c r="AD646" i="3"/>
  <c r="X647" i="3" s="1"/>
  <c r="AE646" i="3" l="1"/>
  <c r="Y647" i="3" s="1"/>
  <c r="C647" i="3" s="1"/>
  <c r="N647" i="3"/>
  <c r="U646" i="3"/>
  <c r="O647" i="3" s="1"/>
  <c r="P647" i="3"/>
  <c r="Z647" i="3"/>
  <c r="Q647" i="3" s="1"/>
  <c r="AA647" i="3"/>
  <c r="R647" i="3"/>
  <c r="B647" i="3" l="1"/>
  <c r="AB647" i="3"/>
  <c r="S647" i="3" s="1"/>
  <c r="AC647" i="3"/>
  <c r="T647" i="3" l="1"/>
  <c r="AD647" i="3"/>
  <c r="AE647" i="3" s="1"/>
  <c r="Y648" i="3" s="1"/>
  <c r="N648" i="3" l="1"/>
  <c r="U647" i="3"/>
  <c r="O648" i="3" s="1"/>
  <c r="X648" i="3"/>
  <c r="C648" i="3"/>
  <c r="P648" i="3"/>
  <c r="Z648" i="3"/>
  <c r="Q648" i="3"/>
  <c r="AA648" i="3"/>
  <c r="R648" i="3"/>
  <c r="B648" i="3" l="1"/>
  <c r="AB648" i="3"/>
  <c r="S648" i="3" s="1"/>
  <c r="AC648" i="3"/>
  <c r="T648" i="3" l="1"/>
  <c r="AD648" i="3"/>
  <c r="X649" i="3" s="1"/>
  <c r="N649" i="3" l="1"/>
  <c r="U648" i="3"/>
  <c r="O649" i="3" s="1"/>
  <c r="AE648" i="3"/>
  <c r="Y649" i="3" s="1"/>
  <c r="C649" i="3" s="1"/>
  <c r="P649" i="3"/>
  <c r="Z649" i="3"/>
  <c r="Q649" i="3" s="1"/>
  <c r="AA649" i="3"/>
  <c r="R649" i="3"/>
  <c r="B649" i="3" l="1"/>
  <c r="AB649" i="3"/>
  <c r="S649" i="3" s="1"/>
  <c r="AC649" i="3"/>
  <c r="T649" i="3" l="1"/>
  <c r="N650" i="3" s="1"/>
  <c r="AD649" i="3"/>
  <c r="X650" i="3" s="1"/>
  <c r="U649" i="3" l="1"/>
  <c r="O650" i="3" s="1"/>
  <c r="B650" i="3" s="1"/>
  <c r="AE649" i="3"/>
  <c r="Y650" i="3" s="1"/>
  <c r="C650" i="3" s="1"/>
  <c r="P650" i="3"/>
  <c r="Z650" i="3"/>
  <c r="Q650" i="3" s="1"/>
  <c r="AA650" i="3"/>
  <c r="R650" i="3"/>
  <c r="AB650" i="3"/>
  <c r="S650" i="3" s="1"/>
  <c r="AC650" i="3"/>
  <c r="T650" i="3" l="1"/>
  <c r="AD650" i="3"/>
  <c r="X651" i="3" s="1"/>
  <c r="N651" i="3" l="1"/>
  <c r="U650" i="3"/>
  <c r="O651" i="3" s="1"/>
  <c r="AE650" i="3"/>
  <c r="Y651" i="3" s="1"/>
  <c r="C651" i="3" s="1"/>
  <c r="P651" i="3"/>
  <c r="Z651" i="3"/>
  <c r="Q651" i="3" s="1"/>
  <c r="AA651" i="3"/>
  <c r="R651" i="3"/>
  <c r="B651" i="3" l="1"/>
  <c r="AB651" i="3"/>
  <c r="S651" i="3" s="1"/>
  <c r="AC651" i="3"/>
  <c r="T651" i="3" l="1"/>
  <c r="AD651" i="3"/>
  <c r="X652" i="3" s="1"/>
  <c r="AE651" i="3" l="1"/>
  <c r="Y652" i="3" s="1"/>
  <c r="C652" i="3" s="1"/>
  <c r="N652" i="3"/>
  <c r="U651" i="3"/>
  <c r="O652" i="3" s="1"/>
  <c r="P652" i="3"/>
  <c r="Z652" i="3"/>
  <c r="Q652" i="3" s="1"/>
  <c r="AA652" i="3"/>
  <c r="R652" i="3"/>
  <c r="B652" i="3" l="1"/>
  <c r="AB652" i="3"/>
  <c r="S652" i="3" s="1"/>
  <c r="AC652" i="3"/>
  <c r="T652" i="3" l="1"/>
  <c r="AD652" i="3"/>
  <c r="X653" i="3" s="1"/>
  <c r="AE652" i="3" l="1"/>
  <c r="Y653" i="3" s="1"/>
  <c r="N653" i="3"/>
  <c r="U652" i="3"/>
  <c r="O653" i="3" s="1"/>
  <c r="C653" i="3"/>
  <c r="P653" i="3"/>
  <c r="Z653" i="3"/>
  <c r="Q653" i="3" s="1"/>
  <c r="AA653" i="3"/>
  <c r="R653" i="3"/>
  <c r="B653" i="3" l="1"/>
  <c r="AB653" i="3"/>
  <c r="S653" i="3" s="1"/>
  <c r="AC653" i="3"/>
  <c r="T653" i="3" l="1"/>
  <c r="AD653" i="3"/>
  <c r="X654" i="3" s="1"/>
  <c r="AE653" i="3" l="1"/>
  <c r="Y654" i="3" s="1"/>
  <c r="C654" i="3" s="1"/>
  <c r="N654" i="3"/>
  <c r="U653" i="3"/>
  <c r="O654" i="3" s="1"/>
  <c r="P654" i="3"/>
  <c r="Z654" i="3"/>
  <c r="Q654" i="3" s="1"/>
  <c r="AA654" i="3"/>
  <c r="R654" i="3"/>
  <c r="B654" i="3" l="1"/>
  <c r="AB654" i="3"/>
  <c r="S654" i="3" s="1"/>
  <c r="AC654" i="3"/>
  <c r="T654" i="3" l="1"/>
  <c r="N655" i="3" s="1"/>
  <c r="AD654" i="3"/>
  <c r="AE654" i="3" s="1"/>
  <c r="Y655" i="3" s="1"/>
  <c r="U654" i="3" l="1"/>
  <c r="O655" i="3" s="1"/>
  <c r="X655" i="3"/>
  <c r="C655" i="3"/>
  <c r="P655" i="3"/>
  <c r="Z655" i="3"/>
  <c r="Q655" i="3"/>
  <c r="AA655" i="3"/>
  <c r="R655" i="3"/>
  <c r="B655" i="3" l="1"/>
  <c r="AB655" i="3"/>
  <c r="S655" i="3" s="1"/>
  <c r="AC655" i="3"/>
  <c r="T655" i="3" l="1"/>
  <c r="AD655" i="3"/>
  <c r="AE655" i="3" s="1"/>
  <c r="Y656" i="3" s="1"/>
  <c r="N656" i="3" l="1"/>
  <c r="U655" i="3"/>
  <c r="O656" i="3" s="1"/>
  <c r="X656" i="3"/>
  <c r="C656" i="3"/>
  <c r="P656" i="3"/>
  <c r="Z656" i="3"/>
  <c r="Q656" i="3"/>
  <c r="AA656" i="3"/>
  <c r="R656" i="3"/>
  <c r="B656" i="3" l="1"/>
  <c r="AB656" i="3"/>
  <c r="S656" i="3" s="1"/>
  <c r="AC656" i="3"/>
  <c r="T656" i="3" l="1"/>
  <c r="AD656" i="3"/>
  <c r="X657" i="3" s="1"/>
  <c r="AE656" i="3" l="1"/>
  <c r="Y657" i="3" s="1"/>
  <c r="C657" i="3" s="1"/>
  <c r="N657" i="3"/>
  <c r="U656" i="3"/>
  <c r="O657" i="3" s="1"/>
  <c r="P657" i="3"/>
  <c r="Z657" i="3"/>
  <c r="Q657" i="3" s="1"/>
  <c r="AA657" i="3"/>
  <c r="R657" i="3"/>
  <c r="B657" i="3" l="1"/>
  <c r="AB657" i="3"/>
  <c r="S657" i="3" s="1"/>
  <c r="AC657" i="3"/>
  <c r="T657" i="3" l="1"/>
  <c r="AD657" i="3"/>
  <c r="X658" i="3" s="1"/>
  <c r="AE657" i="3" l="1"/>
  <c r="Y658" i="3" s="1"/>
  <c r="C658" i="3" s="1"/>
  <c r="U657" i="3"/>
  <c r="O658" i="3" s="1"/>
  <c r="N658" i="3"/>
  <c r="P658" i="3"/>
  <c r="Z658" i="3"/>
  <c r="Q658" i="3"/>
  <c r="AA658" i="3"/>
  <c r="R658" i="3"/>
  <c r="B658" i="3" l="1"/>
  <c r="AB658" i="3"/>
  <c r="S658" i="3" s="1"/>
  <c r="AC658" i="3"/>
  <c r="T658" i="3" l="1"/>
  <c r="AD658" i="3"/>
  <c r="X659" i="3" s="1"/>
  <c r="U658" i="3" l="1"/>
  <c r="O659" i="3" s="1"/>
  <c r="N659" i="3"/>
  <c r="AE658" i="3"/>
  <c r="Y659" i="3" s="1"/>
  <c r="C659" i="3" s="1"/>
  <c r="P659" i="3"/>
  <c r="Z659" i="3"/>
  <c r="Q659" i="3" s="1"/>
  <c r="AA659" i="3"/>
  <c r="R659" i="3"/>
  <c r="B659" i="3" l="1"/>
  <c r="AB659" i="3"/>
  <c r="S659" i="3" s="1"/>
  <c r="AC659" i="3"/>
  <c r="T659" i="3" l="1"/>
  <c r="AD659" i="3"/>
  <c r="X660" i="3" s="1"/>
  <c r="AE659" i="3" l="1"/>
  <c r="Y660" i="3" s="1"/>
  <c r="N660" i="3"/>
  <c r="U659" i="3"/>
  <c r="O660" i="3" s="1"/>
  <c r="C660" i="3"/>
  <c r="P660" i="3"/>
  <c r="Z660" i="3"/>
  <c r="Q660" i="3" s="1"/>
  <c r="AA660" i="3"/>
  <c r="R660" i="3"/>
  <c r="B660" i="3" l="1"/>
  <c r="AB660" i="3"/>
  <c r="S660" i="3" s="1"/>
  <c r="AC660" i="3"/>
  <c r="T660" i="3" l="1"/>
  <c r="N661" i="3" s="1"/>
  <c r="AD660" i="3"/>
  <c r="X661" i="3" s="1"/>
  <c r="U660" i="3" l="1"/>
  <c r="O661" i="3" s="1"/>
  <c r="B661" i="3"/>
  <c r="AE660" i="3"/>
  <c r="Y661" i="3" s="1"/>
  <c r="C661" i="3" s="1"/>
  <c r="P661" i="3"/>
  <c r="Z661" i="3"/>
  <c r="Q661" i="3" s="1"/>
  <c r="AA661" i="3"/>
  <c r="R661" i="3"/>
  <c r="AB661" i="3"/>
  <c r="S661" i="3" s="1"/>
  <c r="AC661" i="3"/>
  <c r="T661" i="3" l="1"/>
  <c r="AD661" i="3"/>
  <c r="X662" i="3" s="1"/>
  <c r="AE661" i="3" l="1"/>
  <c r="Y662" i="3" s="1"/>
  <c r="C662" i="3" s="1"/>
  <c r="N662" i="3"/>
  <c r="U661" i="3"/>
  <c r="O662" i="3" s="1"/>
  <c r="P662" i="3"/>
  <c r="Z662" i="3"/>
  <c r="Q662" i="3" s="1"/>
  <c r="AA662" i="3"/>
  <c r="R662" i="3"/>
  <c r="B662" i="3" l="1"/>
  <c r="AB662" i="3"/>
  <c r="S662" i="3" s="1"/>
  <c r="AC662" i="3"/>
  <c r="T662" i="3" l="1"/>
  <c r="AD662" i="3"/>
  <c r="X663" i="3" s="1"/>
  <c r="AE662" i="3" l="1"/>
  <c r="Y663" i="3" s="1"/>
  <c r="C663" i="3" s="1"/>
  <c r="N663" i="3"/>
  <c r="U662" i="3"/>
  <c r="O663" i="3" s="1"/>
  <c r="P663" i="3"/>
  <c r="Z663" i="3"/>
  <c r="Q663" i="3" s="1"/>
  <c r="AA663" i="3"/>
  <c r="R663" i="3"/>
  <c r="B663" i="3" l="1"/>
  <c r="AB663" i="3"/>
  <c r="S663" i="3" s="1"/>
  <c r="AC663" i="3"/>
  <c r="T663" i="3" l="1"/>
  <c r="N664" i="3" s="1"/>
  <c r="AD663" i="3"/>
  <c r="X664" i="3" s="1"/>
  <c r="AE663" i="3" l="1"/>
  <c r="Y664" i="3" s="1"/>
  <c r="U663" i="3"/>
  <c r="O664" i="3" s="1"/>
  <c r="B664" i="3" s="1"/>
  <c r="C664" i="3"/>
  <c r="P664" i="3"/>
  <c r="Z664" i="3"/>
  <c r="Q664" i="3" s="1"/>
  <c r="AA664" i="3"/>
  <c r="R664" i="3"/>
  <c r="AB664" i="3"/>
  <c r="S664" i="3" s="1"/>
  <c r="AC664" i="3"/>
  <c r="T664" i="3" l="1"/>
  <c r="N665" i="3" s="1"/>
  <c r="AD664" i="3"/>
  <c r="X665" i="3" s="1"/>
  <c r="U664" i="3" l="1"/>
  <c r="O665" i="3" s="1"/>
  <c r="B665" i="3" s="1"/>
  <c r="AE664" i="3"/>
  <c r="Y665" i="3" s="1"/>
  <c r="C665" i="3" s="1"/>
  <c r="P665" i="3"/>
  <c r="Z665" i="3"/>
  <c r="Q665" i="3" s="1"/>
  <c r="AA665" i="3"/>
  <c r="R665" i="3"/>
  <c r="AB665" i="3"/>
  <c r="S665" i="3" s="1"/>
  <c r="AC665" i="3"/>
  <c r="T665" i="3" l="1"/>
  <c r="AD665" i="3"/>
  <c r="AE665" i="3" s="1"/>
  <c r="Y666" i="3" s="1"/>
  <c r="X666" i="3" l="1"/>
  <c r="N666" i="3"/>
  <c r="U665" i="3"/>
  <c r="O666" i="3" s="1"/>
  <c r="C666" i="3"/>
  <c r="P666" i="3"/>
  <c r="Z666" i="3"/>
  <c r="Q666" i="3" s="1"/>
  <c r="AA666" i="3"/>
  <c r="R666" i="3"/>
  <c r="B666" i="3" l="1"/>
  <c r="AB666" i="3"/>
  <c r="S666" i="3" s="1"/>
  <c r="AC666" i="3"/>
  <c r="T666" i="3" l="1"/>
  <c r="AD666" i="3"/>
  <c r="X667" i="3" s="1"/>
  <c r="AE666" i="3" l="1"/>
  <c r="Y667" i="3" s="1"/>
  <c r="U666" i="3"/>
  <c r="O667" i="3" s="1"/>
  <c r="N667" i="3"/>
  <c r="C667" i="3"/>
  <c r="P667" i="3"/>
  <c r="Z667" i="3"/>
  <c r="Q667" i="3" s="1"/>
  <c r="AA667" i="3"/>
  <c r="R667" i="3"/>
  <c r="B667" i="3" l="1"/>
  <c r="AB667" i="3"/>
  <c r="S667" i="3" s="1"/>
  <c r="AC667" i="3"/>
  <c r="T667" i="3" l="1"/>
  <c r="AD667" i="3"/>
  <c r="X668" i="3" s="1"/>
  <c r="AE667" i="3" l="1"/>
  <c r="Y668" i="3" s="1"/>
  <c r="C668" i="3" s="1"/>
  <c r="N668" i="3"/>
  <c r="U667" i="3"/>
  <c r="O668" i="3" s="1"/>
  <c r="P668" i="3"/>
  <c r="Z668" i="3"/>
  <c r="Q668" i="3" s="1"/>
  <c r="AA668" i="3"/>
  <c r="R668" i="3"/>
  <c r="B668" i="3" l="1"/>
  <c r="AB668" i="3"/>
  <c r="S668" i="3" s="1"/>
  <c r="AC668" i="3"/>
  <c r="T668" i="3" l="1"/>
  <c r="N669" i="3" s="1"/>
  <c r="AD668" i="3"/>
  <c r="X669" i="3" s="1"/>
  <c r="U668" i="3" l="1"/>
  <c r="O669" i="3" s="1"/>
  <c r="AE668" i="3"/>
  <c r="Y669" i="3" s="1"/>
  <c r="C669" i="3" s="1"/>
  <c r="B669" i="3"/>
  <c r="P669" i="3"/>
  <c r="Z669" i="3"/>
  <c r="Q669" i="3" s="1"/>
  <c r="AA669" i="3"/>
  <c r="R669" i="3"/>
  <c r="AB669" i="3"/>
  <c r="S669" i="3" s="1"/>
  <c r="AC669" i="3"/>
  <c r="T669" i="3" l="1"/>
  <c r="AD669" i="3"/>
  <c r="X670" i="3" s="1"/>
  <c r="AE669" i="3" l="1"/>
  <c r="Y670" i="3" s="1"/>
  <c r="C670" i="3" s="1"/>
  <c r="N670" i="3"/>
  <c r="U669" i="3"/>
  <c r="O670" i="3" s="1"/>
  <c r="P670" i="3"/>
  <c r="Z670" i="3"/>
  <c r="Q670" i="3"/>
  <c r="AA670" i="3"/>
  <c r="R670" i="3"/>
  <c r="B670" i="3" l="1"/>
  <c r="AB670" i="3"/>
  <c r="S670" i="3" s="1"/>
  <c r="AC670" i="3"/>
  <c r="T670" i="3" l="1"/>
  <c r="AD670" i="3"/>
  <c r="X671" i="3" s="1"/>
  <c r="AE670" i="3" l="1"/>
  <c r="Y671" i="3" s="1"/>
  <c r="C671" i="3" s="1"/>
  <c r="U670" i="3"/>
  <c r="O671" i="3" s="1"/>
  <c r="N671" i="3"/>
  <c r="P671" i="3"/>
  <c r="Z671" i="3"/>
  <c r="Q671" i="3"/>
  <c r="AA671" i="3"/>
  <c r="R671" i="3"/>
  <c r="B671" i="3" l="1"/>
  <c r="AB671" i="3"/>
  <c r="S671" i="3" s="1"/>
  <c r="AC671" i="3"/>
  <c r="T671" i="3" l="1"/>
  <c r="AD671" i="3"/>
  <c r="X672" i="3" s="1"/>
  <c r="AE671" i="3" l="1"/>
  <c r="Y672" i="3" s="1"/>
  <c r="N672" i="3"/>
  <c r="U671" i="3"/>
  <c r="O672" i="3" s="1"/>
  <c r="C672" i="3"/>
  <c r="P672" i="3"/>
  <c r="Z672" i="3"/>
  <c r="Q672" i="3" s="1"/>
  <c r="AA672" i="3"/>
  <c r="R672" i="3"/>
  <c r="B672" i="3" l="1"/>
  <c r="AB672" i="3"/>
  <c r="S672" i="3" s="1"/>
  <c r="AC672" i="3"/>
  <c r="T672" i="3" l="1"/>
  <c r="AD672" i="3"/>
  <c r="X673" i="3" s="1"/>
  <c r="AE672" i="3" l="1"/>
  <c r="Y673" i="3" s="1"/>
  <c r="C673" i="3" s="1"/>
  <c r="N673" i="3"/>
  <c r="U672" i="3"/>
  <c r="O673" i="3" s="1"/>
  <c r="P673" i="3"/>
  <c r="Z673" i="3"/>
  <c r="Q673" i="3" s="1"/>
  <c r="AA673" i="3"/>
  <c r="R673" i="3"/>
  <c r="B673" i="3" l="1"/>
  <c r="AB673" i="3"/>
  <c r="S673" i="3" s="1"/>
  <c r="AC673" i="3"/>
  <c r="T673" i="3" l="1"/>
  <c r="AD673" i="3"/>
  <c r="X674" i="3" s="1"/>
  <c r="AE673" i="3" l="1"/>
  <c r="Y674" i="3" s="1"/>
  <c r="N674" i="3"/>
  <c r="U673" i="3"/>
  <c r="O674" i="3" s="1"/>
  <c r="C674" i="3"/>
  <c r="P674" i="3"/>
  <c r="Z674" i="3"/>
  <c r="Q674" i="3" s="1"/>
  <c r="AA674" i="3"/>
  <c r="R674" i="3"/>
  <c r="B674" i="3" l="1"/>
  <c r="AB674" i="3"/>
  <c r="S674" i="3" s="1"/>
  <c r="AC674" i="3"/>
  <c r="T674" i="3" l="1"/>
  <c r="AD674" i="3"/>
  <c r="X675" i="3" s="1"/>
  <c r="AE674" i="3" l="1"/>
  <c r="Y675" i="3" s="1"/>
  <c r="C675" i="3" s="1"/>
  <c r="N675" i="3"/>
  <c r="U674" i="3"/>
  <c r="O675" i="3" s="1"/>
  <c r="P675" i="3"/>
  <c r="Z675" i="3"/>
  <c r="Q675" i="3" s="1"/>
  <c r="AA675" i="3"/>
  <c r="R675" i="3"/>
  <c r="B675" i="3" l="1"/>
  <c r="AB675" i="3"/>
  <c r="S675" i="3" s="1"/>
  <c r="AC675" i="3"/>
  <c r="T675" i="3" l="1"/>
  <c r="AD675" i="3"/>
  <c r="X676" i="3" s="1"/>
  <c r="AE675" i="3" l="1"/>
  <c r="Y676" i="3" s="1"/>
  <c r="C676" i="3" s="1"/>
  <c r="N676" i="3"/>
  <c r="U675" i="3"/>
  <c r="O676" i="3" s="1"/>
  <c r="P676" i="3"/>
  <c r="Z676" i="3"/>
  <c r="Q676" i="3"/>
  <c r="AA676" i="3"/>
  <c r="R676" i="3"/>
  <c r="B676" i="3" l="1"/>
  <c r="AB676" i="3"/>
  <c r="S676" i="3" s="1"/>
  <c r="AC676" i="3"/>
  <c r="T676" i="3" l="1"/>
  <c r="AD676" i="3"/>
  <c r="X677" i="3" s="1"/>
  <c r="AE676" i="3" l="1"/>
  <c r="Y677" i="3" s="1"/>
  <c r="C677" i="3" s="1"/>
  <c r="N677" i="3"/>
  <c r="U676" i="3"/>
  <c r="O677" i="3" s="1"/>
  <c r="P677" i="3"/>
  <c r="Z677" i="3"/>
  <c r="Q677" i="3" s="1"/>
  <c r="AA677" i="3"/>
  <c r="R677" i="3"/>
  <c r="B677" i="3" l="1"/>
  <c r="AB677" i="3"/>
  <c r="S677" i="3" s="1"/>
  <c r="AC677" i="3"/>
  <c r="T677" i="3" l="1"/>
  <c r="N678" i="3" s="1"/>
  <c r="AD677" i="3"/>
  <c r="X678" i="3" s="1"/>
  <c r="AE677" i="3" l="1"/>
  <c r="Y678" i="3" s="1"/>
  <c r="C678" i="3" s="1"/>
  <c r="U677" i="3"/>
  <c r="O678" i="3" s="1"/>
  <c r="B678" i="3" s="1"/>
  <c r="P678" i="3"/>
  <c r="Z678" i="3"/>
  <c r="Q678" i="3" s="1"/>
  <c r="AA678" i="3"/>
  <c r="R678" i="3"/>
  <c r="AB678" i="3"/>
  <c r="S678" i="3" s="1"/>
  <c r="AC678" i="3"/>
  <c r="T678" i="3" l="1"/>
  <c r="AD678" i="3"/>
  <c r="X679" i="3" s="1"/>
  <c r="AE678" i="3" l="1"/>
  <c r="Y679" i="3" s="1"/>
  <c r="C679" i="3" s="1"/>
  <c r="N679" i="3"/>
  <c r="U678" i="3"/>
  <c r="O679" i="3" s="1"/>
  <c r="P679" i="3"/>
  <c r="Z679" i="3"/>
  <c r="Q679" i="3" s="1"/>
  <c r="AA679" i="3"/>
  <c r="R679" i="3"/>
  <c r="B679" i="3" l="1"/>
  <c r="AB679" i="3"/>
  <c r="S679" i="3" s="1"/>
  <c r="AC679" i="3"/>
  <c r="T679" i="3" l="1"/>
  <c r="N680" i="3" s="1"/>
  <c r="AD679" i="3"/>
  <c r="X680" i="3" s="1"/>
  <c r="AE679" i="3" l="1"/>
  <c r="Y680" i="3" s="1"/>
  <c r="C680" i="3" s="1"/>
  <c r="U679" i="3"/>
  <c r="O680" i="3" s="1"/>
  <c r="B680" i="3" s="1"/>
  <c r="P680" i="3"/>
  <c r="Z680" i="3"/>
  <c r="Q680" i="3" s="1"/>
  <c r="AA680" i="3"/>
  <c r="R680" i="3"/>
  <c r="AB680" i="3"/>
  <c r="S680" i="3" s="1"/>
  <c r="AC680" i="3"/>
  <c r="T680" i="3" l="1"/>
  <c r="AD680" i="3"/>
  <c r="X681" i="3" s="1"/>
  <c r="AE680" i="3" l="1"/>
  <c r="Y681" i="3" s="1"/>
  <c r="C681" i="3" s="1"/>
  <c r="N681" i="3"/>
  <c r="U680" i="3"/>
  <c r="O681" i="3" s="1"/>
  <c r="P681" i="3"/>
  <c r="Z681" i="3"/>
  <c r="Q681" i="3" s="1"/>
  <c r="AA681" i="3"/>
  <c r="R681" i="3"/>
  <c r="B681" i="3" l="1"/>
  <c r="AB681" i="3"/>
  <c r="S681" i="3" s="1"/>
  <c r="AC681" i="3"/>
  <c r="T681" i="3" l="1"/>
  <c r="AD681" i="3"/>
  <c r="X682" i="3" s="1"/>
  <c r="AE681" i="3" l="1"/>
  <c r="Y682" i="3" s="1"/>
  <c r="C682" i="3" s="1"/>
  <c r="N682" i="3"/>
  <c r="U681" i="3"/>
  <c r="O682" i="3" s="1"/>
  <c r="P682" i="3"/>
  <c r="Z682" i="3"/>
  <c r="Q682" i="3" s="1"/>
  <c r="AA682" i="3"/>
  <c r="R682" i="3"/>
  <c r="B682" i="3" l="1"/>
  <c r="AB682" i="3"/>
  <c r="S682" i="3" s="1"/>
  <c r="AC682" i="3"/>
  <c r="T682" i="3" l="1"/>
  <c r="AD682" i="3"/>
  <c r="X683" i="3" s="1"/>
  <c r="AE682" i="3" l="1"/>
  <c r="Y683" i="3" s="1"/>
  <c r="N683" i="3"/>
  <c r="U682" i="3"/>
  <c r="O683" i="3" s="1"/>
  <c r="C683" i="3"/>
  <c r="P683" i="3"/>
  <c r="Z683" i="3"/>
  <c r="Q683" i="3" s="1"/>
  <c r="AA683" i="3"/>
  <c r="R683" i="3"/>
  <c r="B683" i="3" l="1"/>
  <c r="AB683" i="3"/>
  <c r="S683" i="3" s="1"/>
  <c r="AC683" i="3"/>
  <c r="T683" i="3" l="1"/>
  <c r="N684" i="3" s="1"/>
  <c r="AD683" i="3"/>
  <c r="X684" i="3" s="1"/>
  <c r="U683" i="3" l="1"/>
  <c r="O684" i="3" s="1"/>
  <c r="B684" i="3" s="1"/>
  <c r="AE683" i="3"/>
  <c r="Y684" i="3" s="1"/>
  <c r="C684" i="3" s="1"/>
  <c r="P684" i="3"/>
  <c r="Z684" i="3"/>
  <c r="Q684" i="3" s="1"/>
  <c r="AA684" i="3"/>
  <c r="R684" i="3"/>
  <c r="AB684" i="3"/>
  <c r="S684" i="3" s="1"/>
  <c r="AC684" i="3"/>
  <c r="T684" i="3" l="1"/>
  <c r="AD684" i="3"/>
  <c r="X685" i="3" s="1"/>
  <c r="AE684" i="3" l="1"/>
  <c r="Y685" i="3" s="1"/>
  <c r="C685" i="3" s="1"/>
  <c r="N685" i="3"/>
  <c r="U684" i="3"/>
  <c r="O685" i="3" s="1"/>
  <c r="P685" i="3"/>
  <c r="Z685" i="3"/>
  <c r="Q685" i="3" s="1"/>
  <c r="AA685" i="3"/>
  <c r="R685" i="3"/>
  <c r="B685" i="3" l="1"/>
  <c r="AB685" i="3"/>
  <c r="S685" i="3" s="1"/>
  <c r="AC685" i="3"/>
  <c r="T685" i="3" l="1"/>
  <c r="AD685" i="3"/>
  <c r="X686" i="3" s="1"/>
  <c r="AE685" i="3" l="1"/>
  <c r="Y686" i="3" s="1"/>
  <c r="C686" i="3" s="1"/>
  <c r="N686" i="3"/>
  <c r="U685" i="3"/>
  <c r="O686" i="3" s="1"/>
  <c r="P686" i="3"/>
  <c r="Z686" i="3"/>
  <c r="Q686" i="3" s="1"/>
  <c r="AA686" i="3"/>
  <c r="R686" i="3"/>
  <c r="B686" i="3" l="1"/>
  <c r="AB686" i="3"/>
  <c r="S686" i="3" s="1"/>
  <c r="AC686" i="3"/>
  <c r="T686" i="3" l="1"/>
  <c r="AD686" i="3"/>
  <c r="X687" i="3" s="1"/>
  <c r="AE686" i="3" l="1"/>
  <c r="Y687" i="3" s="1"/>
  <c r="C687" i="3" s="1"/>
  <c r="U686" i="3"/>
  <c r="O687" i="3" s="1"/>
  <c r="N687" i="3"/>
  <c r="P687" i="3"/>
  <c r="Z687" i="3"/>
  <c r="Q687" i="3" s="1"/>
  <c r="AA687" i="3"/>
  <c r="R687" i="3"/>
  <c r="B687" i="3" l="1"/>
  <c r="AB687" i="3"/>
  <c r="S687" i="3" s="1"/>
  <c r="AC687" i="3"/>
  <c r="T687" i="3" l="1"/>
  <c r="AD687" i="3"/>
  <c r="X688" i="3" s="1"/>
  <c r="AE687" i="3" l="1"/>
  <c r="Y688" i="3" s="1"/>
  <c r="C688" i="3" s="1"/>
  <c r="U687" i="3"/>
  <c r="O688" i="3" s="1"/>
  <c r="N688" i="3"/>
  <c r="P688" i="3"/>
  <c r="Z688" i="3"/>
  <c r="Q688" i="3" s="1"/>
  <c r="AA688" i="3"/>
  <c r="R688" i="3"/>
  <c r="B688" i="3" l="1"/>
  <c r="AB688" i="3"/>
  <c r="S688" i="3" s="1"/>
  <c r="AC688" i="3"/>
  <c r="T688" i="3" l="1"/>
  <c r="AD688" i="3"/>
  <c r="X689" i="3" s="1"/>
  <c r="AE688" i="3" l="1"/>
  <c r="Y689" i="3" s="1"/>
  <c r="C689" i="3" s="1"/>
  <c r="N689" i="3"/>
  <c r="U688" i="3"/>
  <c r="O689" i="3" s="1"/>
  <c r="P689" i="3"/>
  <c r="Z689" i="3"/>
  <c r="Q689" i="3" s="1"/>
  <c r="AA689" i="3"/>
  <c r="R689" i="3"/>
  <c r="B689" i="3" l="1"/>
  <c r="AB689" i="3"/>
  <c r="S689" i="3" s="1"/>
  <c r="AC689" i="3"/>
  <c r="T689" i="3" l="1"/>
  <c r="AD689" i="3"/>
  <c r="X690" i="3" s="1"/>
  <c r="AE689" i="3" l="1"/>
  <c r="Y690" i="3" s="1"/>
  <c r="C690" i="3" s="1"/>
  <c r="N690" i="3"/>
  <c r="U689" i="3"/>
  <c r="O690" i="3" s="1"/>
  <c r="P690" i="3"/>
  <c r="Z690" i="3"/>
  <c r="Q690" i="3" s="1"/>
  <c r="AA690" i="3"/>
  <c r="R690" i="3"/>
  <c r="B690" i="3" l="1"/>
  <c r="AB690" i="3"/>
  <c r="S690" i="3" s="1"/>
  <c r="AC690" i="3"/>
  <c r="T690" i="3" l="1"/>
  <c r="AD690" i="3"/>
  <c r="X691" i="3" s="1"/>
  <c r="AE690" i="3" l="1"/>
  <c r="Y691" i="3" s="1"/>
  <c r="C691" i="3" s="1"/>
  <c r="N691" i="3"/>
  <c r="U690" i="3"/>
  <c r="O691" i="3" s="1"/>
  <c r="P691" i="3"/>
  <c r="Z691" i="3"/>
  <c r="Q691" i="3"/>
  <c r="AA691" i="3"/>
  <c r="R691" i="3"/>
  <c r="B691" i="3" l="1"/>
  <c r="AB691" i="3"/>
  <c r="S691" i="3" s="1"/>
  <c r="AC691" i="3"/>
  <c r="T691" i="3" l="1"/>
  <c r="AD691" i="3"/>
  <c r="X692" i="3" s="1"/>
  <c r="AE691" i="3" l="1"/>
  <c r="Y692" i="3" s="1"/>
  <c r="N692" i="3"/>
  <c r="U691" i="3"/>
  <c r="O692" i="3" s="1"/>
  <c r="C692" i="3"/>
  <c r="P692" i="3"/>
  <c r="Z692" i="3"/>
  <c r="Q692" i="3" s="1"/>
  <c r="AA692" i="3"/>
  <c r="R692" i="3"/>
  <c r="B692" i="3" l="1"/>
  <c r="AB692" i="3"/>
  <c r="S692" i="3" s="1"/>
  <c r="AC692" i="3"/>
  <c r="T692" i="3" l="1"/>
  <c r="N693" i="3" s="1"/>
  <c r="AD692" i="3"/>
  <c r="X693" i="3" s="1"/>
  <c r="AE692" i="3" l="1"/>
  <c r="Y693" i="3" s="1"/>
  <c r="C693" i="3" s="1"/>
  <c r="U692" i="3"/>
  <c r="O693" i="3" s="1"/>
  <c r="P693" i="3"/>
  <c r="Z693" i="3"/>
  <c r="Q693" i="3"/>
  <c r="AA693" i="3"/>
  <c r="R693" i="3"/>
  <c r="B693" i="3" l="1"/>
  <c r="AB693" i="3"/>
  <c r="S693" i="3" s="1"/>
  <c r="AC693" i="3"/>
  <c r="T693" i="3" l="1"/>
  <c r="N694" i="3" s="1"/>
  <c r="AD693" i="3"/>
  <c r="X694" i="3" s="1"/>
  <c r="U693" i="3" l="1"/>
  <c r="O694" i="3" s="1"/>
  <c r="B694" i="3" s="1"/>
  <c r="AE693" i="3"/>
  <c r="Y694" i="3" s="1"/>
  <c r="C694" i="3" s="1"/>
  <c r="P694" i="3"/>
  <c r="Z694" i="3"/>
  <c r="Q694" i="3" s="1"/>
  <c r="AA694" i="3"/>
  <c r="R694" i="3"/>
  <c r="AB694" i="3"/>
  <c r="S694" i="3" s="1"/>
  <c r="AC694" i="3"/>
  <c r="T694" i="3" l="1"/>
  <c r="N695" i="3" s="1"/>
  <c r="AD694" i="3"/>
  <c r="X695" i="3" s="1"/>
  <c r="AE694" i="3" l="1"/>
  <c r="Y695" i="3" s="1"/>
  <c r="C695" i="3" s="1"/>
  <c r="U694" i="3"/>
  <c r="O695" i="3" s="1"/>
  <c r="P695" i="3"/>
  <c r="Z695" i="3"/>
  <c r="Q695" i="3"/>
  <c r="AA695" i="3"/>
  <c r="R695" i="3"/>
  <c r="AB695" i="3"/>
  <c r="S695" i="3" s="1"/>
  <c r="AC695" i="3"/>
  <c r="B695" i="3" l="1"/>
  <c r="T695" i="3"/>
  <c r="AD695" i="3"/>
  <c r="X696" i="3" s="1"/>
  <c r="AE695" i="3"/>
  <c r="Y696" i="3" s="1"/>
  <c r="N696" i="3" l="1"/>
  <c r="U695" i="3"/>
  <c r="O696" i="3" s="1"/>
  <c r="C696" i="3"/>
  <c r="P696" i="3"/>
  <c r="Z696" i="3"/>
  <c r="Q696" i="3" s="1"/>
  <c r="AA696" i="3"/>
  <c r="R696" i="3"/>
  <c r="B696" i="3" l="1"/>
  <c r="AB696" i="3"/>
  <c r="S696" i="3" s="1"/>
  <c r="AC696" i="3"/>
  <c r="T696" i="3" l="1"/>
  <c r="AD696" i="3"/>
  <c r="X697" i="3" s="1"/>
  <c r="AE696" i="3" l="1"/>
  <c r="Y697" i="3" s="1"/>
  <c r="C697" i="3" s="1"/>
  <c r="N697" i="3"/>
  <c r="U696" i="3"/>
  <c r="O697" i="3" s="1"/>
  <c r="P697" i="3"/>
  <c r="Z697" i="3"/>
  <c r="Q697" i="3" s="1"/>
  <c r="AA697" i="3"/>
  <c r="R697" i="3"/>
  <c r="B697" i="3" l="1"/>
  <c r="AB697" i="3"/>
  <c r="S697" i="3" s="1"/>
  <c r="AC697" i="3"/>
  <c r="T697" i="3" l="1"/>
  <c r="AD697" i="3"/>
  <c r="X698" i="3" s="1"/>
  <c r="AE697" i="3" l="1"/>
  <c r="Y698" i="3" s="1"/>
  <c r="C698" i="3" s="1"/>
  <c r="N698" i="3"/>
  <c r="U697" i="3"/>
  <c r="O698" i="3" s="1"/>
  <c r="P698" i="3"/>
  <c r="Z698" i="3"/>
  <c r="Q698" i="3" s="1"/>
  <c r="AA698" i="3"/>
  <c r="R698" i="3"/>
  <c r="B698" i="3" l="1"/>
  <c r="AB698" i="3"/>
  <c r="S698" i="3" s="1"/>
  <c r="AC698" i="3"/>
  <c r="T698" i="3" l="1"/>
  <c r="AD698" i="3"/>
  <c r="AE698" i="3" s="1"/>
  <c r="Y699" i="3" s="1"/>
  <c r="X699" i="3" l="1"/>
  <c r="N699" i="3"/>
  <c r="U698" i="3"/>
  <c r="O699" i="3" s="1"/>
  <c r="C699" i="3"/>
  <c r="P699" i="3"/>
  <c r="Z699" i="3"/>
  <c r="Q699" i="3" s="1"/>
  <c r="AA699" i="3"/>
  <c r="R699" i="3"/>
  <c r="B699" i="3" l="1"/>
  <c r="AB699" i="3"/>
  <c r="S699" i="3" s="1"/>
  <c r="AC699" i="3"/>
  <c r="T699" i="3" l="1"/>
  <c r="N700" i="3" s="1"/>
  <c r="AD699" i="3"/>
  <c r="X700" i="3" s="1"/>
  <c r="U699" i="3"/>
  <c r="O700" i="3" s="1"/>
  <c r="B700" i="3" l="1"/>
  <c r="AE699" i="3"/>
  <c r="Y700" i="3" s="1"/>
  <c r="C700" i="3" s="1"/>
  <c r="P700" i="3"/>
  <c r="Z700" i="3"/>
  <c r="Q700" i="3" s="1"/>
  <c r="AA700" i="3"/>
  <c r="R700" i="3"/>
  <c r="AB700" i="3"/>
  <c r="S700" i="3" s="1"/>
  <c r="AC700" i="3"/>
  <c r="T700" i="3" l="1"/>
  <c r="AD700" i="3"/>
  <c r="X701" i="3" s="1"/>
  <c r="N701" i="3" l="1"/>
  <c r="U700" i="3"/>
  <c r="O701" i="3" s="1"/>
  <c r="AE700" i="3"/>
  <c r="Y701" i="3" s="1"/>
  <c r="P701" i="3"/>
  <c r="Z701" i="3"/>
  <c r="Q701" i="3" s="1"/>
  <c r="AA701" i="3"/>
  <c r="R701" i="3"/>
  <c r="B701" i="3" l="1"/>
  <c r="C701" i="3"/>
  <c r="AB701" i="3"/>
  <c r="S701" i="3" s="1"/>
  <c r="AC701" i="3"/>
  <c r="T701" i="3" l="1"/>
  <c r="N702" i="3" s="1"/>
  <c r="AD701" i="3"/>
  <c r="AE701" i="3" s="1"/>
  <c r="Y702" i="3" s="1"/>
  <c r="X702" i="3" l="1"/>
  <c r="U701" i="3"/>
  <c r="O702" i="3" s="1"/>
  <c r="B702" i="3" s="1"/>
  <c r="C702" i="3"/>
  <c r="P702" i="3"/>
  <c r="Z702" i="3"/>
  <c r="Q702" i="3" s="1"/>
  <c r="AA702" i="3"/>
  <c r="R702" i="3"/>
  <c r="AB702" i="3"/>
  <c r="S702" i="3" s="1"/>
  <c r="AC702" i="3"/>
  <c r="T702" i="3" l="1"/>
  <c r="AD702" i="3"/>
  <c r="X703" i="3" s="1"/>
  <c r="AE702" i="3" l="1"/>
  <c r="Y703" i="3" s="1"/>
  <c r="C703" i="3" s="1"/>
  <c r="N703" i="3"/>
  <c r="U702" i="3"/>
  <c r="O703" i="3" s="1"/>
  <c r="P703" i="3"/>
  <c r="Z703" i="3"/>
  <c r="Q703" i="3" s="1"/>
  <c r="AA703" i="3"/>
  <c r="R703" i="3"/>
  <c r="B703" i="3" l="1"/>
  <c r="AB703" i="3"/>
  <c r="S703" i="3" s="1"/>
  <c r="AC703" i="3"/>
  <c r="T703" i="3" l="1"/>
  <c r="AD703" i="3"/>
  <c r="X704" i="3" s="1"/>
  <c r="AE703" i="3" l="1"/>
  <c r="Y704" i="3" s="1"/>
  <c r="C704" i="3" s="1"/>
  <c r="N704" i="3"/>
  <c r="U703" i="3"/>
  <c r="O704" i="3" s="1"/>
  <c r="P704" i="3"/>
  <c r="Z704" i="3"/>
  <c r="Q704" i="3" s="1"/>
  <c r="AA704" i="3"/>
  <c r="R704" i="3"/>
  <c r="B704" i="3" l="1"/>
  <c r="AB704" i="3"/>
  <c r="S704" i="3" s="1"/>
  <c r="AC704" i="3"/>
  <c r="T704" i="3" l="1"/>
  <c r="U704" i="3" s="1"/>
  <c r="O705" i="3" s="1"/>
  <c r="B705" i="3" s="1"/>
  <c r="AD704" i="3"/>
  <c r="X705" i="3" s="1"/>
  <c r="N705" i="3" l="1"/>
  <c r="AE704" i="3"/>
  <c r="Y705" i="3" s="1"/>
  <c r="C705" i="3" s="1"/>
  <c r="P705" i="3"/>
  <c r="Z705" i="3"/>
  <c r="Q705" i="3" s="1"/>
  <c r="AA705" i="3"/>
  <c r="R705" i="3"/>
  <c r="AB705" i="3"/>
  <c r="S705" i="3" s="1"/>
  <c r="AC705" i="3"/>
  <c r="T705" i="3" l="1"/>
  <c r="AD705" i="3"/>
  <c r="X706" i="3" s="1"/>
  <c r="AE705" i="3" l="1"/>
  <c r="Y706" i="3" s="1"/>
  <c r="C706" i="3" s="1"/>
  <c r="N706" i="3"/>
  <c r="U705" i="3"/>
  <c r="O706" i="3" s="1"/>
  <c r="P706" i="3"/>
  <c r="Z706" i="3"/>
  <c r="Q706" i="3" s="1"/>
  <c r="AA706" i="3"/>
  <c r="R706" i="3"/>
  <c r="B706" i="3" l="1"/>
  <c r="AB706" i="3"/>
  <c r="S706" i="3" s="1"/>
  <c r="AC706" i="3"/>
  <c r="T706" i="3" l="1"/>
  <c r="AD706" i="3"/>
  <c r="X707" i="3" s="1"/>
  <c r="AE706" i="3" l="1"/>
  <c r="Y707" i="3" s="1"/>
  <c r="C707" i="3" s="1"/>
  <c r="N707" i="3"/>
  <c r="U706" i="3"/>
  <c r="O707" i="3" s="1"/>
  <c r="P707" i="3"/>
  <c r="Z707" i="3"/>
  <c r="Q707" i="3" s="1"/>
  <c r="AA707" i="3"/>
  <c r="R707" i="3"/>
  <c r="B707" i="3" l="1"/>
  <c r="AB707" i="3"/>
  <c r="S707" i="3" s="1"/>
  <c r="AC707" i="3"/>
  <c r="T707" i="3" l="1"/>
  <c r="AD707" i="3"/>
  <c r="X708" i="3" s="1"/>
  <c r="AE707" i="3" l="1"/>
  <c r="Y708" i="3" s="1"/>
  <c r="C708" i="3" s="1"/>
  <c r="N708" i="3"/>
  <c r="U707" i="3"/>
  <c r="O708" i="3" s="1"/>
  <c r="P708" i="3"/>
  <c r="Z708" i="3"/>
  <c r="Q708" i="3" s="1"/>
  <c r="AA708" i="3"/>
  <c r="R708" i="3"/>
  <c r="B708" i="3" l="1"/>
  <c r="AB708" i="3"/>
  <c r="S708" i="3" s="1"/>
  <c r="AC708" i="3"/>
  <c r="T708" i="3" l="1"/>
  <c r="AD708" i="3"/>
  <c r="AE708" i="3" s="1"/>
  <c r="Y709" i="3" s="1"/>
  <c r="X709" i="3" l="1"/>
  <c r="N709" i="3"/>
  <c r="U708" i="3"/>
  <c r="O709" i="3" s="1"/>
  <c r="C709" i="3"/>
  <c r="P709" i="3"/>
  <c r="Z709" i="3"/>
  <c r="Q709" i="3" s="1"/>
  <c r="AA709" i="3"/>
  <c r="R709" i="3"/>
  <c r="B709" i="3" l="1"/>
  <c r="AB709" i="3"/>
  <c r="S709" i="3" s="1"/>
  <c r="AC709" i="3"/>
  <c r="T709" i="3" l="1"/>
  <c r="AD709" i="3"/>
  <c r="X710" i="3" s="1"/>
  <c r="AE709" i="3" l="1"/>
  <c r="Y710" i="3" s="1"/>
  <c r="C710" i="3" s="1"/>
  <c r="N710" i="3"/>
  <c r="U709" i="3"/>
  <c r="O710" i="3" s="1"/>
  <c r="P710" i="3"/>
  <c r="Z710" i="3"/>
  <c r="Q710" i="3"/>
  <c r="AA710" i="3"/>
  <c r="R710" i="3"/>
  <c r="B710" i="3" l="1"/>
  <c r="AB710" i="3"/>
  <c r="S710" i="3" s="1"/>
  <c r="AC710" i="3"/>
  <c r="T710" i="3" l="1"/>
  <c r="AD710" i="3"/>
  <c r="X711" i="3" s="1"/>
  <c r="AE710" i="3" l="1"/>
  <c r="Y711" i="3" s="1"/>
  <c r="N711" i="3"/>
  <c r="U710" i="3"/>
  <c r="O711" i="3" s="1"/>
  <c r="C711" i="3"/>
  <c r="P711" i="3"/>
  <c r="Z711" i="3"/>
  <c r="Q711" i="3" s="1"/>
  <c r="AA711" i="3"/>
  <c r="R711" i="3"/>
  <c r="B711" i="3" l="1"/>
  <c r="AB711" i="3"/>
  <c r="S711" i="3" s="1"/>
  <c r="AC711" i="3"/>
  <c r="T711" i="3" l="1"/>
  <c r="AD711" i="3"/>
  <c r="X712" i="3" s="1"/>
  <c r="AE711" i="3" l="1"/>
  <c r="Y712" i="3" s="1"/>
  <c r="C712" i="3" s="1"/>
  <c r="N712" i="3"/>
  <c r="U711" i="3"/>
  <c r="O712" i="3" s="1"/>
  <c r="P712" i="3"/>
  <c r="Z712" i="3"/>
  <c r="Q712" i="3" s="1"/>
  <c r="AA712" i="3"/>
  <c r="R712" i="3"/>
  <c r="B712" i="3" l="1"/>
  <c r="AB712" i="3"/>
  <c r="S712" i="3" s="1"/>
  <c r="AC712" i="3"/>
  <c r="T712" i="3" l="1"/>
  <c r="N713" i="3" s="1"/>
  <c r="U712" i="3"/>
  <c r="O713" i="3" s="1"/>
  <c r="B713" i="3" s="1"/>
  <c r="AD712" i="3"/>
  <c r="X713" i="3" s="1"/>
  <c r="AE712" i="3" l="1"/>
  <c r="Y713" i="3" s="1"/>
  <c r="C713" i="3" s="1"/>
  <c r="P713" i="3"/>
  <c r="Z713" i="3"/>
  <c r="Q713" i="3" s="1"/>
  <c r="AA713" i="3"/>
  <c r="R713" i="3"/>
  <c r="AB713" i="3"/>
  <c r="S713" i="3" s="1"/>
  <c r="AC713" i="3"/>
  <c r="T713" i="3" l="1"/>
  <c r="AD713" i="3"/>
  <c r="X714" i="3" s="1"/>
  <c r="AE713" i="3" l="1"/>
  <c r="Y714" i="3" s="1"/>
  <c r="C714" i="3" s="1"/>
  <c r="N714" i="3"/>
  <c r="U713" i="3"/>
  <c r="O714" i="3" s="1"/>
  <c r="P714" i="3"/>
  <c r="Z714" i="3"/>
  <c r="Q714" i="3" s="1"/>
  <c r="AA714" i="3"/>
  <c r="R714" i="3"/>
  <c r="B714" i="3" l="1"/>
  <c r="AB714" i="3"/>
  <c r="S714" i="3" s="1"/>
  <c r="AC714" i="3"/>
  <c r="T714" i="3" l="1"/>
  <c r="AD714" i="3"/>
  <c r="X715" i="3" s="1"/>
  <c r="AE714" i="3" l="1"/>
  <c r="Y715" i="3" s="1"/>
  <c r="C715" i="3" s="1"/>
  <c r="N715" i="3"/>
  <c r="U714" i="3"/>
  <c r="O715" i="3" s="1"/>
  <c r="P715" i="3"/>
  <c r="Z715" i="3"/>
  <c r="Q715" i="3" s="1"/>
  <c r="AA715" i="3"/>
  <c r="R715" i="3"/>
  <c r="B715" i="3" l="1"/>
  <c r="AB715" i="3"/>
  <c r="S715" i="3" s="1"/>
  <c r="AC715" i="3"/>
  <c r="T715" i="3" l="1"/>
  <c r="AD715" i="3"/>
  <c r="X716" i="3" s="1"/>
  <c r="AE715" i="3" l="1"/>
  <c r="Y716" i="3" s="1"/>
  <c r="C716" i="3" s="1"/>
  <c r="N716" i="3"/>
  <c r="U715" i="3"/>
  <c r="O716" i="3" s="1"/>
  <c r="Z716" i="3"/>
  <c r="P716" i="3"/>
  <c r="Q716" i="3" s="1"/>
  <c r="AA716" i="3"/>
  <c r="R716" i="3"/>
  <c r="B716" i="3" l="1"/>
  <c r="AB716" i="3"/>
  <c r="S716" i="3" s="1"/>
  <c r="AC716" i="3"/>
  <c r="T716" i="3" l="1"/>
  <c r="AD716" i="3"/>
  <c r="X717" i="3" s="1"/>
  <c r="AE716" i="3" l="1"/>
  <c r="Y717" i="3" s="1"/>
  <c r="C717" i="3" s="1"/>
  <c r="N717" i="3"/>
  <c r="U716" i="3"/>
  <c r="O717" i="3" s="1"/>
  <c r="Z717" i="3"/>
  <c r="P717" i="3"/>
  <c r="Q717" i="3" s="1"/>
  <c r="AA717" i="3"/>
  <c r="R717" i="3"/>
  <c r="B717" i="3" l="1"/>
  <c r="AB717" i="3"/>
  <c r="S717" i="3" s="1"/>
  <c r="AC717" i="3"/>
  <c r="T717" i="3" l="1"/>
  <c r="AD717" i="3"/>
  <c r="X718" i="3" s="1"/>
  <c r="AE717" i="3" l="1"/>
  <c r="Y718" i="3" s="1"/>
  <c r="C718" i="3" s="1"/>
  <c r="N718" i="3"/>
  <c r="U717" i="3"/>
  <c r="O718" i="3" s="1"/>
  <c r="Z718" i="3"/>
  <c r="P718" i="3"/>
  <c r="Q718" i="3" s="1"/>
  <c r="AA718" i="3"/>
  <c r="R718" i="3"/>
  <c r="B718" i="3" l="1"/>
  <c r="AB718" i="3"/>
  <c r="S718" i="3" s="1"/>
  <c r="AC718" i="3"/>
  <c r="T718" i="3" l="1"/>
  <c r="AD718" i="3"/>
  <c r="X719" i="3" s="1"/>
  <c r="AE718" i="3" l="1"/>
  <c r="Y719" i="3" s="1"/>
  <c r="C719" i="3" s="1"/>
  <c r="U718" i="3"/>
  <c r="O719" i="3" s="1"/>
  <c r="N719" i="3"/>
  <c r="Z719" i="3"/>
  <c r="P719" i="3"/>
  <c r="Q719" i="3" s="1"/>
  <c r="AA719" i="3"/>
  <c r="R719" i="3"/>
  <c r="B719" i="3" l="1"/>
  <c r="AB719" i="3"/>
  <c r="S719" i="3" s="1"/>
  <c r="AC719" i="3"/>
  <c r="T719" i="3" l="1"/>
  <c r="AD719" i="3"/>
  <c r="X720" i="3" s="1"/>
  <c r="AE719" i="3" l="1"/>
  <c r="Y720" i="3" s="1"/>
  <c r="C720" i="3" s="1"/>
  <c r="N720" i="3"/>
  <c r="U719" i="3"/>
  <c r="O720" i="3" s="1"/>
  <c r="Z720" i="3"/>
  <c r="P720" i="3"/>
  <c r="Q720" i="3"/>
  <c r="AA720" i="3"/>
  <c r="R720" i="3"/>
  <c r="B720" i="3" l="1"/>
  <c r="AB720" i="3"/>
  <c r="S720" i="3" s="1"/>
  <c r="AC720" i="3"/>
  <c r="T720" i="3" l="1"/>
  <c r="AD720" i="3"/>
  <c r="X721" i="3" s="1"/>
  <c r="AE720" i="3" l="1"/>
  <c r="Y721" i="3" s="1"/>
  <c r="C721" i="3" s="1"/>
  <c r="N721" i="3"/>
  <c r="U720" i="3"/>
  <c r="O721" i="3" s="1"/>
  <c r="Z721" i="3"/>
  <c r="P721" i="3"/>
  <c r="Q721" i="3" s="1"/>
  <c r="AA721" i="3"/>
  <c r="R721" i="3"/>
  <c r="B721" i="3" l="1"/>
  <c r="AB721" i="3"/>
  <c r="S721" i="3" s="1"/>
  <c r="AC721" i="3"/>
  <c r="T721" i="3" l="1"/>
  <c r="AD721" i="3"/>
  <c r="X722" i="3" s="1"/>
  <c r="N722" i="3" l="1"/>
  <c r="U721" i="3"/>
  <c r="O722" i="3" s="1"/>
  <c r="AE721" i="3"/>
  <c r="Y722" i="3" s="1"/>
  <c r="C722" i="3" s="1"/>
  <c r="Z722" i="3"/>
  <c r="P722" i="3"/>
  <c r="Q722" i="3" s="1"/>
  <c r="AA722" i="3"/>
  <c r="R722" i="3"/>
  <c r="B722" i="3" l="1"/>
  <c r="AB722" i="3"/>
  <c r="S722" i="3" s="1"/>
  <c r="AC722" i="3"/>
  <c r="T722" i="3" l="1"/>
  <c r="AD722" i="3"/>
  <c r="X723" i="3" s="1"/>
  <c r="AE722" i="3" l="1"/>
  <c r="Y723" i="3" s="1"/>
  <c r="C723" i="3" s="1"/>
  <c r="N723" i="3"/>
  <c r="U722" i="3"/>
  <c r="O723" i="3" s="1"/>
  <c r="Z723" i="3"/>
  <c r="P723" i="3"/>
  <c r="Q723" i="3" s="1"/>
  <c r="AA723" i="3"/>
  <c r="R723" i="3"/>
  <c r="B723" i="3" l="1"/>
  <c r="AB723" i="3"/>
  <c r="S723" i="3" s="1"/>
  <c r="AC723" i="3"/>
  <c r="T723" i="3" l="1"/>
  <c r="AD723" i="3"/>
  <c r="X724" i="3" s="1"/>
  <c r="AE723" i="3" l="1"/>
  <c r="Y724" i="3" s="1"/>
  <c r="C724" i="3" s="1"/>
  <c r="N724" i="3"/>
  <c r="U723" i="3"/>
  <c r="O724" i="3" s="1"/>
  <c r="Z724" i="3"/>
  <c r="P724" i="3"/>
  <c r="Q724" i="3" s="1"/>
  <c r="AA724" i="3"/>
  <c r="R724" i="3"/>
  <c r="B724" i="3" l="1"/>
  <c r="AB724" i="3"/>
  <c r="S724" i="3" s="1"/>
  <c r="AC724" i="3"/>
  <c r="T724" i="3" l="1"/>
  <c r="AD724" i="3"/>
  <c r="X725" i="3" s="1"/>
  <c r="N725" i="3" l="1"/>
  <c r="U724" i="3"/>
  <c r="O725" i="3" s="1"/>
  <c r="AE724" i="3"/>
  <c r="Y725" i="3" s="1"/>
  <c r="C725" i="3" s="1"/>
  <c r="Z725" i="3"/>
  <c r="P725" i="3"/>
  <c r="Q725" i="3" s="1"/>
  <c r="AA725" i="3"/>
  <c r="R725" i="3"/>
  <c r="B725" i="3" l="1"/>
  <c r="AB725" i="3"/>
  <c r="S725" i="3" s="1"/>
  <c r="AC725" i="3"/>
  <c r="T725" i="3" l="1"/>
  <c r="N726" i="3" s="1"/>
  <c r="AD725" i="3"/>
  <c r="X726" i="3" s="1"/>
  <c r="U725" i="3" l="1"/>
  <c r="O726" i="3" s="1"/>
  <c r="B726" i="3" s="1"/>
  <c r="AE725" i="3"/>
  <c r="Y726" i="3" s="1"/>
  <c r="C726" i="3" s="1"/>
  <c r="Z726" i="3"/>
  <c r="P726" i="3"/>
  <c r="Q726" i="3" s="1"/>
  <c r="AA726" i="3"/>
  <c r="R726" i="3"/>
  <c r="AB726" i="3"/>
  <c r="S726" i="3" s="1"/>
  <c r="AC726" i="3"/>
  <c r="T726" i="3" l="1"/>
  <c r="AD726" i="3"/>
  <c r="AE726" i="3" s="1"/>
  <c r="Y727" i="3" s="1"/>
  <c r="X727" i="3" l="1"/>
  <c r="N727" i="3"/>
  <c r="U726" i="3"/>
  <c r="O727" i="3" s="1"/>
  <c r="C727" i="3"/>
  <c r="Z727" i="3"/>
  <c r="P727" i="3"/>
  <c r="Q727" i="3" s="1"/>
  <c r="AA727" i="3"/>
  <c r="R727" i="3"/>
  <c r="B727" i="3" l="1"/>
  <c r="AB727" i="3"/>
  <c r="S727" i="3" s="1"/>
  <c r="AC727" i="3"/>
  <c r="T727" i="3" l="1"/>
  <c r="N728" i="3" s="1"/>
  <c r="AD727" i="3"/>
  <c r="X728" i="3" s="1"/>
  <c r="U727" i="3" l="1"/>
  <c r="O728" i="3" s="1"/>
  <c r="AE727" i="3"/>
  <c r="Y728" i="3" s="1"/>
  <c r="Z728" i="3"/>
  <c r="P728" i="3"/>
  <c r="Q728" i="3" s="1"/>
  <c r="AA728" i="3"/>
  <c r="R728" i="3"/>
  <c r="C728" i="3" l="1"/>
  <c r="B728" i="3"/>
  <c r="AB728" i="3"/>
  <c r="S728" i="3" s="1"/>
  <c r="AC728" i="3"/>
  <c r="T728" i="3" l="1"/>
  <c r="U728" i="3" s="1"/>
  <c r="AD728" i="3"/>
  <c r="AE728" i="3" s="1"/>
  <c r="I8" i="1" l="1"/>
  <c r="J10" i="1" l="1"/>
  <c r="J11" i="1"/>
  <c r="J12" i="1"/>
  <c r="J13" i="1"/>
  <c r="J15" i="1"/>
  <c r="J14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6" i="1"/>
  <c r="J55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7" i="1"/>
  <c r="J86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7" i="1"/>
  <c r="J146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5" i="1"/>
  <c r="J194" i="1"/>
  <c r="J196" i="1"/>
  <c r="J197" i="1"/>
  <c r="J198" i="1"/>
  <c r="J199" i="1"/>
  <c r="J200" i="1"/>
  <c r="J201" i="1"/>
  <c r="J202" i="1"/>
  <c r="J203" i="1"/>
  <c r="J204" i="1"/>
  <c r="J205" i="1"/>
  <c r="J207" i="1"/>
  <c r="J206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1" i="1"/>
  <c r="J230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7" i="1"/>
  <c r="J246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5" i="1"/>
  <c r="J264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3" i="1"/>
  <c r="J302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30" i="1"/>
  <c r="J329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5" i="1"/>
  <c r="J394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4" i="1"/>
  <c r="J413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1" i="1"/>
  <c r="J430" i="1"/>
  <c r="J432" i="1"/>
  <c r="J433" i="1"/>
  <c r="J434" i="1"/>
  <c r="J435" i="1"/>
  <c r="J437" i="1"/>
  <c r="J436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5" i="1"/>
  <c r="J454" i="1"/>
  <c r="J456" i="1"/>
  <c r="J457" i="1"/>
  <c r="J458" i="1"/>
  <c r="J460" i="1"/>
  <c r="J459" i="1"/>
  <c r="J461" i="1"/>
  <c r="J462" i="1"/>
  <c r="J464" i="1"/>
  <c r="J463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4" i="1"/>
  <c r="J483" i="1"/>
  <c r="J485" i="1"/>
  <c r="J486" i="1"/>
  <c r="J487" i="1"/>
  <c r="J488" i="1"/>
  <c r="J490" i="1"/>
  <c r="J489" i="1"/>
  <c r="J491" i="1"/>
  <c r="J492" i="1"/>
  <c r="J493" i="1"/>
  <c r="J494" i="1"/>
  <c r="J495" i="1"/>
  <c r="J496" i="1"/>
  <c r="J497" i="1"/>
  <c r="J498" i="1"/>
  <c r="J499" i="1"/>
  <c r="J500" i="1"/>
  <c r="J502" i="1"/>
  <c r="J501" i="1"/>
  <c r="J503" i="1"/>
  <c r="J504" i="1"/>
  <c r="J505" i="1"/>
  <c r="J507" i="1"/>
  <c r="J506" i="1"/>
  <c r="J508" i="1"/>
  <c r="J509" i="1"/>
  <c r="J510" i="1"/>
  <c r="J512" i="1"/>
  <c r="J511" i="1"/>
  <c r="J513" i="1"/>
  <c r="J514" i="1"/>
  <c r="J515" i="1"/>
  <c r="J516" i="1"/>
  <c r="J517" i="1"/>
  <c r="J519" i="1"/>
  <c r="J518" i="1"/>
  <c r="J520" i="1"/>
  <c r="J521" i="1"/>
  <c r="J523" i="1"/>
  <c r="J522" i="1"/>
  <c r="J524" i="1"/>
  <c r="J525" i="1"/>
  <c r="J526" i="1"/>
  <c r="J527" i="1"/>
  <c r="J528" i="1"/>
  <c r="J530" i="1"/>
  <c r="J529" i="1"/>
  <c r="J531" i="1"/>
  <c r="J533" i="1"/>
  <c r="J532" i="1"/>
  <c r="J534" i="1"/>
  <c r="J535" i="1"/>
  <c r="J536" i="1"/>
  <c r="J537" i="1"/>
  <c r="J538" i="1"/>
  <c r="J539" i="1"/>
  <c r="J541" i="1"/>
  <c r="J540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70" i="1"/>
  <c r="J569" i="1"/>
  <c r="J571" i="1"/>
  <c r="J572" i="1"/>
  <c r="J573" i="1"/>
  <c r="J574" i="1"/>
  <c r="J575" i="1"/>
  <c r="J576" i="1"/>
  <c r="J577" i="1"/>
  <c r="J578" i="1"/>
  <c r="J579" i="1"/>
  <c r="J581" i="1"/>
  <c r="J580" i="1"/>
  <c r="J582" i="1"/>
  <c r="J583" i="1"/>
  <c r="J584" i="1"/>
  <c r="J585" i="1"/>
  <c r="J586" i="1"/>
  <c r="J588" i="1"/>
  <c r="J587" i="1"/>
  <c r="J589" i="1"/>
  <c r="J590" i="1"/>
  <c r="J591" i="1"/>
  <c r="J592" i="1"/>
  <c r="J593" i="1"/>
  <c r="J595" i="1"/>
  <c r="J594" i="1"/>
  <c r="J596" i="1"/>
  <c r="J597" i="1"/>
  <c r="J599" i="1"/>
  <c r="J598" i="1"/>
  <c r="J600" i="1"/>
  <c r="J601" i="1"/>
  <c r="J602" i="1"/>
  <c r="J603" i="1"/>
  <c r="J604" i="1"/>
  <c r="J605" i="1"/>
  <c r="J606" i="1"/>
  <c r="J607" i="1"/>
  <c r="J608" i="1"/>
  <c r="J609" i="1"/>
  <c r="J610" i="1"/>
  <c r="J612" i="1"/>
  <c r="J611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60" i="1"/>
  <c r="J659" i="1"/>
  <c r="J661" i="1"/>
  <c r="J662" i="1"/>
  <c r="J663" i="1"/>
  <c r="J664" i="1"/>
  <c r="J666" i="1"/>
  <c r="J665" i="1"/>
  <c r="J667" i="1"/>
  <c r="J668" i="1"/>
  <c r="J669" i="1"/>
  <c r="J670" i="1"/>
  <c r="J671" i="1"/>
  <c r="J672" i="1"/>
  <c r="J673" i="1"/>
  <c r="J674" i="1"/>
  <c r="J675" i="1"/>
  <c r="J677" i="1"/>
  <c r="J676" i="1"/>
  <c r="J678" i="1"/>
  <c r="J679" i="1"/>
  <c r="J680" i="1"/>
  <c r="J682" i="1"/>
  <c r="J681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6" i="1"/>
  <c r="J715" i="1"/>
  <c r="J717" i="1"/>
  <c r="J718" i="1"/>
  <c r="J720" i="1"/>
  <c r="J719" i="1"/>
  <c r="J721" i="1"/>
  <c r="J722" i="1"/>
  <c r="J723" i="1"/>
  <c r="J724" i="1"/>
  <c r="J725" i="1"/>
  <c r="J726" i="1"/>
  <c r="J727" i="1"/>
  <c r="J728" i="1"/>
  <c r="J729" i="1"/>
  <c r="J730" i="1"/>
  <c r="J9" i="1"/>
</calcChain>
</file>

<file path=xl/sharedStrings.xml><?xml version="1.0" encoding="utf-8"?>
<sst xmlns="http://schemas.openxmlformats.org/spreadsheetml/2006/main" count="35" uniqueCount="22">
  <si>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;θ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</si>
  <si>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;θ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</si>
  <si>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masa K21 =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</si>
  <si>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</si>
  <si>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</si>
  <si>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</si>
  <si>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</si>
  <si>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</si>
  <si>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</si>
  <si>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</si>
  <si>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Vx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</si>
  <si>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Vy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</si>
  <si>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G =</t>
  </si>
  <si>
    <r>
      <t>Vx</t>
    </r>
    <r>
      <rPr>
        <b/>
        <vertAlign val="subscript"/>
        <sz val="11"/>
        <color theme="1"/>
        <rFont val="Calibri"/>
        <family val="2"/>
        <scheme val="minor"/>
      </rPr>
      <t>i+1</t>
    </r>
  </si>
  <si>
    <r>
      <t>Vy</t>
    </r>
    <r>
      <rPr>
        <b/>
        <vertAlign val="subscript"/>
        <sz val="11"/>
        <color theme="1"/>
        <rFont val="Calibri"/>
        <family val="2"/>
        <scheme val="minor"/>
      </rPr>
      <t>i+1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</si>
  <si>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i+1</t>
    </r>
  </si>
  <si>
    <t>x</t>
  </si>
  <si>
    <t>y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</si>
  <si>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i+1</t>
    </r>
  </si>
  <si>
    <t>días</t>
  </si>
  <si>
    <r>
      <t>f</t>
    </r>
    <r>
      <rPr>
        <sz val="11"/>
        <color theme="1"/>
        <rFont val="Calibri"/>
        <family val="2"/>
        <scheme val="minor"/>
      </rPr>
      <t>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;θ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;y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</si>
  <si>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METEORITO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</si>
</sst>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0.00E+00&quot; kg&quot;"/>
    <numFmt numFmtId="165" formatCode="0.00000E+00&quot; N·m²/kg²&quot;"/>
    <numFmt numFmtId="166" formatCode="0.0000&quot; m/s&quot;;\-0.0000&quot; m/s&quot;"/>
    <numFmt numFmtId="167" formatCode="0.0000_ ;\-0.0000\ "/>
    <numFmt numFmtId="168" formatCode="&quot;h = &quot;General&quot; horas&quot;"/>
    <numFmt numFmtId="169" formatCode="&quot;h = &quot;General&quot; s&quot;"/>
    <numFmt numFmtId="170" formatCode="0.00&quot; m/s&quot;;\-0.00&quot; m/s&quot;"/>
    <numFmt numFmtId="171" formatCode="General&quot; m&quot;"/>
    <numFmt numFmtId="172" formatCode="0.00&quot; días&quot;"/>
    <numFmt numFmtId="173" formatCode="#,##0.00&quot; m&quot;"/>
    <numFmt numFmtId="174" formatCode="General&quot; s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4" fontId="0" fillId="0" borderId="0" xfId="0" applyNumberFormat="1"/>
    <xf numFmtId="169" fontId="0" fillId="0" borderId="0" xfId="0" applyNumberFormat="1" applyAlignment="1">
      <alignment horizontal="left"/>
    </xf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4822944932466"/>
          <c:y val="7.0126482599694118E-2"/>
          <c:w val="0.81003165250441234"/>
          <c:h val="0.88802636692339687"/>
        </c:manualLayout>
      </c:layout>
      <c:scatterChart>
        <c:scatterStyle val="lineMarker"/>
        <c:varyColors val="0"/>
        <c:ser>
          <c:idx val="0"/>
          <c:order val="0"/>
          <c:tx>
            <c:v>Trayectoria</c:v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Hoja1!$E$9:$E$3000</c:f>
              <c:numCache>
                <c:formatCode>#,##0.00" m"</c:formatCode>
                <c:ptCount val="2992"/>
                <c:pt idx="0">
                  <c:v>110000000</c:v>
                </c:pt>
                <c:pt idx="1">
                  <c:v>109423131.80161601</c:v>
                </c:pt>
                <c:pt idx="2">
                  <c:v>108844520.34674314</c:v>
                </c:pt>
                <c:pt idx="3">
                  <c:v>108264151.8095919</c:v>
                </c:pt>
                <c:pt idx="4">
                  <c:v>107682012.14927393</c:v>
                </c:pt>
                <c:pt idx="5">
                  <c:v>107098087.10492304</c:v>
                </c:pt>
                <c:pt idx="6">
                  <c:v>106512362.19067039</c:v>
                </c:pt>
                <c:pt idx="7">
                  <c:v>105924822.69046842</c:v>
                </c:pt>
                <c:pt idx="8">
                  <c:v>105335453.65275769</c:v>
                </c:pt>
                <c:pt idx="9">
                  <c:v>104744239.88497089</c:v>
                </c:pt>
                <c:pt idx="10">
                  <c:v>104151165.94786771</c:v>
                </c:pt>
                <c:pt idx="11">
                  <c:v>103556216.14969417</c:v>
                </c:pt>
                <c:pt idx="12">
                  <c:v>102959374.54015963</c:v>
                </c:pt>
                <c:pt idx="13">
                  <c:v>102360624.90422429</c:v>
                </c:pt>
                <c:pt idx="14">
                  <c:v>101759950.75569004</c:v>
                </c:pt>
                <c:pt idx="15">
                  <c:v>101157335.33058657</c:v>
                </c:pt>
                <c:pt idx="16">
                  <c:v>100552761.58034489</c:v>
                </c:pt>
                <c:pt idx="17">
                  <c:v>99946212.164749593</c:v>
                </c:pt>
                <c:pt idx="18">
                  <c:v>99337669.444661021</c:v>
                </c:pt>
                <c:pt idx="19">
                  <c:v>98727115.474497974</c:v>
                </c:pt>
                <c:pt idx="20">
                  <c:v>98114531.994471133</c:v>
                </c:pt>
                <c:pt idx="21">
                  <c:v>97499900.422556907</c:v>
                </c:pt>
                <c:pt idx="22">
                  <c:v>96883201.846201017</c:v>
                </c:pt>
                <c:pt idx="23">
                  <c:v>96264417.013740405</c:v>
                </c:pt>
                <c:pt idx="24">
                  <c:v>95643526.325531498</c:v>
                </c:pt>
                <c:pt idx="25">
                  <c:v>95020509.824772522</c:v>
                </c:pt>
                <c:pt idx="26">
                  <c:v>94395347.18800661</c:v>
                </c:pt>
                <c:pt idx="27">
                  <c:v>93768017.715291858</c:v>
                </c:pt>
                <c:pt idx="28">
                  <c:v>93138500.320023909</c:v>
                </c:pt>
                <c:pt idx="29">
                  <c:v>92506773.518395752</c:v>
                </c:pt>
                <c:pt idx="30">
                  <c:v>91872815.418478549</c:v>
                </c:pt>
                <c:pt idx="31">
                  <c:v>91236603.708906695</c:v>
                </c:pt>
                <c:pt idx="32">
                  <c:v>90598115.647149175</c:v>
                </c:pt>
                <c:pt idx="33">
                  <c:v>89957328.047348395</c:v>
                </c:pt>
                <c:pt idx="34">
                  <c:v>89314217.267706633</c:v>
                </c:pt>
                <c:pt idx="35">
                  <c:v>88668759.197399303</c:v>
                </c:pt>
                <c:pt idx="36">
                  <c:v>88020929.242992744</c:v>
                </c:pt>
                <c:pt idx="37">
                  <c:v>87370702.314343378</c:v>
                </c:pt>
                <c:pt idx="38">
                  <c:v>86718052.809953466</c:v>
                </c:pt>
                <c:pt idx="39">
                  <c:v>86062954.601757467</c:v>
                </c:pt>
                <c:pt idx="40">
                  <c:v>85405381.019311503</c:v>
                </c:pt>
                <c:pt idx="41">
                  <c:v>84745304.833356664</c:v>
                </c:pt>
                <c:pt idx="42">
                  <c:v>84082698.238725469</c:v>
                </c:pt>
                <c:pt idx="43">
                  <c:v>83417532.83655861</c:v>
                </c:pt>
                <c:pt idx="44">
                  <c:v>82749779.615797609</c:v>
                </c:pt>
                <c:pt idx="45">
                  <c:v>82079408.933916479</c:v>
                </c:pt>
                <c:pt idx="46">
                  <c:v>81406390.496853605</c:v>
                </c:pt>
                <c:pt idx="47">
                  <c:v>80730693.338102445</c:v>
                </c:pt>
                <c:pt idx="48">
                  <c:v>80052285.796917275</c:v>
                </c:pt>
                <c:pt idx="49">
                  <c:v>79371135.495587304</c:v>
                </c:pt>
                <c:pt idx="50">
                  <c:v>78687209.315729633</c:v>
                </c:pt>
                <c:pt idx="51">
                  <c:v>78000473.373548403</c:v>
                </c:pt>
                <c:pt idx="52">
                  <c:v>77310892.994003966</c:v>
                </c:pt>
                <c:pt idx="53">
                  <c:v>76618432.683832407</c:v>
                </c:pt>
                <c:pt idx="54">
                  <c:v>75923056.103351727</c:v>
                </c:pt>
                <c:pt idx="55">
                  <c:v>75224726.036986813</c:v>
                </c:pt>
                <c:pt idx="56">
                  <c:v>74523404.362440765</c:v>
                </c:pt>
                <c:pt idx="57">
                  <c:v>73819052.01843527</c:v>
                </c:pt>
                <c:pt idx="58">
                  <c:v>73111628.970937416</c:v>
                </c:pt>
                <c:pt idx="59">
                  <c:v>72401094.177784488</c:v>
                </c:pt>
                <c:pt idx="60">
                  <c:v>71687405.551612452</c:v>
                </c:pt>
                <c:pt idx="61">
                  <c:v>70970519.920986786</c:v>
                </c:pt>
                <c:pt idx="62">
                  <c:v>70250392.989627302</c:v>
                </c:pt>
                <c:pt idx="63">
                  <c:v>69526979.293610692</c:v>
                </c:pt>
                <c:pt idx="64">
                  <c:v>68800232.156426236</c:v>
                </c:pt>
                <c:pt idx="65">
                  <c:v>68070103.641750544</c:v>
                </c:pt>
                <c:pt idx="66">
                  <c:v>67336544.503797591</c:v>
                </c:pt>
                <c:pt idx="67">
                  <c:v>66599504.135089181</c:v>
                </c:pt>
                <c:pt idx="68">
                  <c:v>65858930.511479281</c:v>
                </c:pt>
                <c:pt idx="69">
                  <c:v>65114770.134252831</c:v>
                </c:pt>
                <c:pt idx="70">
                  <c:v>64366967.96910543</c:v>
                </c:pt>
                <c:pt idx="71">
                  <c:v>63615467.381795265</c:v>
                </c:pt>
                <c:pt idx="72">
                  <c:v>62860210.070241712</c:v>
                </c:pt>
                <c:pt idx="73">
                  <c:v>62101135.992826991</c:v>
                </c:pt>
                <c:pt idx="74">
                  <c:v>61338183.292637058</c:v>
                </c:pt>
                <c:pt idx="75">
                  <c:v>60571288.217356339</c:v>
                </c:pt>
                <c:pt idx="76">
                  <c:v>59800385.034506679</c:v>
                </c:pt>
                <c:pt idx="77">
                  <c:v>59025405.941694722</c:v>
                </c:pt>
                <c:pt idx="78">
                  <c:v>58246280.971503049</c:v>
                </c:pt>
                <c:pt idx="79">
                  <c:v>57462937.890628561</c:v>
                </c:pt>
                <c:pt idx="80">
                  <c:v>56675302.092836693</c:v>
                </c:pt>
                <c:pt idx="81">
                  <c:v>55883296.4852615</c:v>
                </c:pt>
                <c:pt idx="82">
                  <c:v>55086841.367539145</c:v>
                </c:pt>
                <c:pt idx="83">
                  <c:v>54285854.303215377</c:v>
                </c:pt>
                <c:pt idx="84">
                  <c:v>53480249.982815705</c:v>
                </c:pt>
                <c:pt idx="85">
                  <c:v>52669940.077909589</c:v>
                </c:pt>
                <c:pt idx="86">
                  <c:v>51854833.085436262</c:v>
                </c:pt>
                <c:pt idx="87">
                  <c:v>51034834.161489286</c:v>
                </c:pt>
                <c:pt idx="88">
                  <c:v>50209844.943678625</c:v>
                </c:pt>
                <c:pt idx="89">
                  <c:v>49379763.361101866</c:v>
                </c:pt>
                <c:pt idx="90">
                  <c:v>48544483.430859365</c:v>
                </c:pt>
                <c:pt idx="91">
                  <c:v>47703895.039940223</c:v>
                </c:pt>
                <c:pt idx="92">
                  <c:v>46857883.711185686</c:v>
                </c:pt>
                <c:pt idx="93">
                  <c:v>46006330.351902343</c:v>
                </c:pt>
                <c:pt idx="94">
                  <c:v>45149110.983547725</c:v>
                </c:pt>
                <c:pt idx="95">
                  <c:v>44286096.450743377</c:v>
                </c:pt>
                <c:pt idx="96">
                  <c:v>43417152.10768342</c:v>
                </c:pt>
                <c:pt idx="97">
                  <c:v>42542137.47979708</c:v>
                </c:pt>
                <c:pt idx="98">
                  <c:v>41660905.89828971</c:v>
                </c:pt>
                <c:pt idx="99">
                  <c:v>40773304.104924604</c:v>
                </c:pt>
                <c:pt idx="100">
                  <c:v>39879171.824115299</c:v>
                </c:pt>
                <c:pt idx="101">
                  <c:v>38978341.299070589</c:v>
                </c:pt>
                <c:pt idx="102">
                  <c:v>38070636.788369723</c:v>
                </c:pt>
                <c:pt idx="103">
                  <c:v>37155874.01893881</c:v>
                </c:pt>
                <c:pt idx="104">
                  <c:v>36233859.590948783</c:v>
                </c:pt>
                <c:pt idx="105">
                  <c:v>35304390.329657115</c:v>
                </c:pt>
                <c:pt idx="106">
                  <c:v>34367252.578668945</c:v>
                </c:pt>
                <c:pt idx="107">
                  <c:v>33422221.428498466</c:v>
                </c:pt>
                <c:pt idx="108">
                  <c:v>32469059.873672474</c:v>
                </c:pt>
                <c:pt idx="109">
                  <c:v>31507517.890944384</c:v>
                </c:pt>
                <c:pt idx="110">
                  <c:v>30537331.430496395</c:v>
                </c:pt>
                <c:pt idx="111">
                  <c:v>29558221.311331362</c:v>
                </c:pt>
                <c:pt idx="112">
                  <c:v>28569892.011445414</c:v>
                </c:pt>
                <c:pt idx="113">
                  <c:v>27572030.342910808</c:v>
                </c:pt>
                <c:pt idx="114">
                  <c:v>26564304.001816679</c:v>
                </c:pt>
                <c:pt idx="115">
                  <c:v>25546359.983318679</c:v>
                </c:pt>
                <c:pt idx="116">
                  <c:v>24517822.85315698</c:v>
                </c:pt>
                <c:pt idx="117">
                  <c:v>23478292.869414039</c:v>
                </c:pt>
                <c:pt idx="118">
                  <c:v>22427343.952776484</c:v>
                </c:pt>
                <c:pt idx="119">
                  <c:v>21364521.511358935</c:v>
                </c:pt>
                <c:pt idx="120">
                  <c:v>20289340.139165532</c:v>
                </c:pt>
                <c:pt idx="121">
                  <c:v>19201281.228571862</c:v>
                </c:pt>
                <c:pt idx="122">
                  <c:v>18099790.571736895</c:v>
                </c:pt>
                <c:pt idx="123">
                  <c:v>16984276.081639055</c:v>
                </c:pt>
                <c:pt idx="124">
                  <c:v>15854105.853765957</c:v>
                </c:pt>
                <c:pt idx="125">
                  <c:v>14708606.936730584</c:v>
                </c:pt>
                <c:pt idx="126">
                  <c:v>13547065.422561888</c:v>
                </c:pt>
                <c:pt idx="127">
                  <c:v>12368728.872249993</c:v>
                </c:pt>
                <c:pt idx="128">
                  <c:v>11172812.779789148</c:v>
                </c:pt>
                <c:pt idx="129">
                  <c:v>9958513.9707309976</c:v>
                </c:pt>
                <c:pt idx="130">
                  <c:v>8725035.9522989355</c:v>
                </c:pt>
                <c:pt idx="131">
                  <c:v>7471635.1163258357</c:v>
                </c:pt>
                <c:pt idx="132">
                  <c:v>6197704.0597670488</c:v>
                </c:pt>
                <c:pt idx="133">
                  <c:v>4902922.8281813674</c:v>
                </c:pt>
                <c:pt idx="134">
                  <c:v>3587539.0230375044</c:v>
                </c:pt>
                <c:pt idx="135">
                  <c:v>2252903.8795772595</c:v>
                </c:pt>
                <c:pt idx="136">
                  <c:v>902547.16052207805</c:v>
                </c:pt>
                <c:pt idx="137">
                  <c:v>-455527.30782514176</c:v>
                </c:pt>
                <c:pt idx="138">
                  <c:v>-1803509.4232625701</c:v>
                </c:pt>
                <c:pt idx="139">
                  <c:v>-3099937.7732845242</c:v>
                </c:pt>
                <c:pt idx="140">
                  <c:v>-4238261.9774088096</c:v>
                </c:pt>
                <c:pt idx="141">
                  <c:v>-4905430.374029492</c:v>
                </c:pt>
                <c:pt idx="142">
                  <c:v>-4238952.3002946051</c:v>
                </c:pt>
                <c:pt idx="143">
                  <c:v>-1621414.970547389</c:v>
                </c:pt>
                <c:pt idx="144">
                  <c:v>1982407.6555466698</c:v>
                </c:pt>
                <c:pt idx="145">
                  <c:v>5401695.5672931466</c:v>
                </c:pt>
                <c:pt idx="146">
                  <c:v>8440893.1503500417</c:v>
                </c:pt>
                <c:pt idx="147">
                  <c:v>11157596.098442439</c:v>
                </c:pt>
                <c:pt idx="148">
                  <c:v>13619063.55409755</c:v>
                </c:pt>
                <c:pt idx="149">
                  <c:v>15876322.971942175</c:v>
                </c:pt>
                <c:pt idx="150">
                  <c:v>17966519.328365877</c:v>
                </c:pt>
                <c:pt idx="151">
                  <c:v>19917057.477345202</c:v>
                </c:pt>
                <c:pt idx="152">
                  <c:v>21748637.864864733</c:v>
                </c:pt>
                <c:pt idx="153">
                  <c:v>23477272.402697124</c:v>
                </c:pt>
                <c:pt idx="154">
                  <c:v>25115616.081716355</c:v>
                </c:pt>
                <c:pt idx="155">
                  <c:v>26673862.086129285</c:v>
                </c:pt>
                <c:pt idx="156">
                  <c:v>28160357.56426027</c:v>
                </c:pt>
                <c:pt idx="157">
                  <c:v>29582037.304939747</c:v>
                </c:pt>
                <c:pt idx="158">
                  <c:v>30944736.008229896</c:v>
                </c:pt>
                <c:pt idx="159">
                  <c:v>32253417.746542521</c:v>
                </c:pt>
                <c:pt idx="160">
                  <c:v>33512347.704859972</c:v>
                </c:pt>
                <c:pt idx="161">
                  <c:v>34725222.871521316</c:v>
                </c:pt>
                <c:pt idx="162">
                  <c:v>35895272.99333629</c:v>
                </c:pt>
                <c:pt idx="163">
                  <c:v>37025339.625386067</c:v>
                </c:pt>
                <c:pt idx="164">
                  <c:v>38117938.79448732</c:v>
                </c:pt>
                <c:pt idx="165">
                  <c:v>39175311.231938899</c:v>
                </c:pt>
                <c:pt idx="166">
                  <c:v>40199463.05471535</c:v>
                </c:pt>
                <c:pt idx="167">
                  <c:v>41192199.020699546</c:v>
                </c:pt>
                <c:pt idx="168">
                  <c:v>42155149.947855256</c:v>
                </c:pt>
                <c:pt idx="169">
                  <c:v>43089795.500986487</c:v>
                </c:pt>
                <c:pt idx="170">
                  <c:v>43997483.267534979</c:v>
                </c:pt>
                <c:pt idx="171">
                  <c:v>44879444.835162856</c:v>
                </c:pt>
                <c:pt idx="172">
                  <c:v>45736809.427750915</c:v>
                </c:pt>
                <c:pt idx="173">
                  <c:v>46570615.538423114</c:v>
                </c:pt>
                <c:pt idx="174">
                  <c:v>47381820.908102497</c:v>
                </c:pt>
                <c:pt idx="175">
                  <c:v>48171311.12867377</c:v>
                </c:pt>
                <c:pt idx="176">
                  <c:v>48939907.095864877</c:v>
                </c:pt>
                <c:pt idx="177">
                  <c:v>49688371.4946777</c:v>
                </c:pt>
                <c:pt idx="178">
                  <c:v>50417414.466814965</c:v>
                </c:pt>
                <c:pt idx="179">
                  <c:v>51127698.583004139</c:v>
                </c:pt>
                <c:pt idx="180">
                  <c:v>51819843.221866637</c:v>
                </c:pt>
                <c:pt idx="181">
                  <c:v>52494428.439857341</c:v>
                </c:pt>
                <c:pt idx="182">
                  <c:v>53151998.402919844</c:v>
                </c:pt>
                <c:pt idx="183">
                  <c:v>53793064.439188026</c:v>
                </c:pt>
                <c:pt idx="184">
                  <c:v>54418107.762790687</c:v>
                </c:pt>
                <c:pt idx="185">
                  <c:v>55027581.911175571</c:v>
                </c:pt>
                <c:pt idx="186">
                  <c:v>55621914.932043985</c:v>
                </c:pt>
                <c:pt idx="187">
                  <c:v>56201511.350726306</c:v>
                </c:pt>
                <c:pt idx="188">
                  <c:v>56766753.94443351</c:v>
                </c:pt>
                <c:pt idx="189">
                  <c:v>57318005.34613283</c:v>
                </c:pt>
                <c:pt idx="190">
                  <c:v>57855609.497689486</c:v>
                </c:pt>
                <c:pt idx="191">
                  <c:v>58379892.969290391</c:v>
                </c:pt>
                <c:pt idx="192">
                  <c:v>58891166.159936517</c:v>
                </c:pt>
                <c:pt idx="193">
                  <c:v>59389724.391892314</c:v>
                </c:pt>
                <c:pt idx="194">
                  <c:v>59875848.910358086</c:v>
                </c:pt>
                <c:pt idx="195">
                  <c:v>60349807.798240326</c:v>
                </c:pt>
                <c:pt idx="196">
                  <c:v>60811856.814698569</c:v>
                </c:pt>
                <c:pt idx="197">
                  <c:v>61262240.16511552</c:v>
                </c:pt>
                <c:pt idx="198">
                  <c:v>61701191.209244251</c:v>
                </c:pt>
                <c:pt idx="199">
                  <c:v>62128933.113512024</c:v>
                </c:pt>
                <c:pt idx="200">
                  <c:v>62545679.452786431</c:v>
                </c:pt>
                <c:pt idx="201">
                  <c:v>62951634.766322248</c:v>
                </c:pt>
                <c:pt idx="202">
                  <c:v>63346995.072093718</c:v>
                </c:pt>
                <c:pt idx="203">
                  <c:v>63731948.343267046</c:v>
                </c:pt>
                <c:pt idx="204">
                  <c:v>64106674.950172491</c:v>
                </c:pt>
                <c:pt idx="205">
                  <c:v>64471348.070787556</c:v>
                </c:pt>
                <c:pt idx="206">
                  <c:v>64826134.072435789</c:v>
                </c:pt>
                <c:pt idx="207">
                  <c:v>65171192.867134303</c:v>
                </c:pt>
                <c:pt idx="208">
                  <c:v>65506678.242782786</c:v>
                </c:pt>
                <c:pt idx="209">
                  <c:v>65832738.172173359</c:v>
                </c:pt>
                <c:pt idx="210">
                  <c:v>66149515.101611003</c:v>
                </c:pt>
                <c:pt idx="211">
                  <c:v>66457146.220765196</c:v>
                </c:pt>
                <c:pt idx="212">
                  <c:v>66755763.71522259</c:v>
                </c:pt>
                <c:pt idx="213">
                  <c:v>67045495.003075756</c:v>
                </c:pt>
                <c:pt idx="214">
                  <c:v>67326462.956762195</c:v>
                </c:pt>
                <c:pt idx="215">
                  <c:v>67598786.111259595</c:v>
                </c:pt>
                <c:pt idx="216">
                  <c:v>67862578.859646022</c:v>
                </c:pt>
                <c:pt idx="217">
                  <c:v>68117951.636946082</c:v>
                </c:pt>
                <c:pt idx="218">
                  <c:v>68365011.093105331</c:v>
                </c:pt>
                <c:pt idx="219">
                  <c:v>68603860.255864069</c:v>
                </c:pt>
                <c:pt idx="220">
                  <c:v>68834598.684237123</c:v>
                </c:pt>
                <c:pt idx="221">
                  <c:v>69057322.613248304</c:v>
                </c:pt>
                <c:pt idx="222">
                  <c:v>69272125.090515196</c:v>
                </c:pt>
                <c:pt idx="223">
                  <c:v>69479096.105232403</c:v>
                </c:pt>
                <c:pt idx="224">
                  <c:v>69678322.710057572</c:v>
                </c:pt>
                <c:pt idx="225">
                  <c:v>69869889.136365205</c:v>
                </c:pt>
                <c:pt idx="226">
                  <c:v>70053876.903297246</c:v>
                </c:pt>
                <c:pt idx="227">
                  <c:v>70230364.921006501</c:v>
                </c:pt>
                <c:pt idx="228">
                  <c:v>70399429.58845897</c:v>
                </c:pt>
                <c:pt idx="229">
                  <c:v>70561144.886133969</c:v>
                </c:pt>
                <c:pt idx="230">
                  <c:v>70715582.463935673</c:v>
                </c:pt>
                <c:pt idx="231">
                  <c:v>70862811.724606797</c:v>
                </c:pt>
                <c:pt idx="232">
                  <c:v>71002899.902914181</c:v>
                </c:pt>
                <c:pt idx="233">
                  <c:v>71135912.140856698</c:v>
                </c:pt>
                <c:pt idx="234">
                  <c:v>71261911.559128076</c:v>
                </c:pt>
                <c:pt idx="235">
                  <c:v>71380959.325051084</c:v>
                </c:pt>
                <c:pt idx="236">
                  <c:v>71493114.71718432</c:v>
                </c:pt>
                <c:pt idx="237">
                  <c:v>71598435.18678923</c:v>
                </c:pt>
                <c:pt idx="238">
                  <c:v>71696976.416331962</c:v>
                </c:pt>
                <c:pt idx="239">
                  <c:v>71788792.37518315</c:v>
                </c:pt>
                <c:pt idx="240">
                  <c:v>71873935.372667611</c:v>
                </c:pt>
                <c:pt idx="241">
                  <c:v>71952456.10860604</c:v>
                </c:pt>
                <c:pt idx="242">
                  <c:v>72024403.721481383</c:v>
                </c:pt>
                <c:pt idx="243">
                  <c:v>72089825.834353969</c:v>
                </c:pt>
                <c:pt idx="244">
                  <c:v>72148768.598641396</c:v>
                </c:pt>
                <c:pt idx="245">
                  <c:v>72201276.735872</c:v>
                </c:pt>
                <c:pt idx="246">
                  <c:v>72247393.577513397</c:v>
                </c:pt>
                <c:pt idx="247">
                  <c:v>72287161.102971688</c:v>
                </c:pt>
                <c:pt idx="248">
                  <c:v>72320619.975850478</c:v>
                </c:pt>
                <c:pt idx="249">
                  <c:v>72347809.578553692</c:v>
                </c:pt>
                <c:pt idx="250">
                  <c:v>72368768.045310706</c:v>
                </c:pt>
                <c:pt idx="251">
                  <c:v>72383532.29369767</c:v>
                </c:pt>
                <c:pt idx="252">
                  <c:v>72392138.054724276</c:v>
                </c:pt>
                <c:pt idx="253">
                  <c:v>72394619.901551127</c:v>
                </c:pt>
                <c:pt idx="254">
                  <c:v>72391011.276898786</c:v>
                </c:pt>
                <c:pt idx="255">
                  <c:v>72381344.519205987</c:v>
                </c:pt>
                <c:pt idx="256">
                  <c:v>72365650.887591094</c:v>
                </c:pt>
                <c:pt idx="257">
                  <c:v>72343960.585667476</c:v>
                </c:pt>
                <c:pt idx="258">
                  <c:v>72316302.784260646</c:v>
                </c:pt>
                <c:pt idx="259">
                  <c:v>72282705.643071994</c:v>
                </c:pt>
                <c:pt idx="260">
                  <c:v>72243196.331331283</c:v>
                </c:pt>
                <c:pt idx="261">
                  <c:v>72197801.047477752</c:v>
                </c:pt>
                <c:pt idx="262">
                  <c:v>72146545.037906915</c:v>
                </c:pt>
                <c:pt idx="263">
                  <c:v>72089452.614818379</c:v>
                </c:pt>
                <c:pt idx="264">
                  <c:v>72026547.173197359</c:v>
                </c:pt>
                <c:pt idx="265">
                  <c:v>71957851.20696111</c:v>
                </c:pt>
                <c:pt idx="266">
                  <c:v>71883386.324299186</c:v>
                </c:pt>
                <c:pt idx="267">
                  <c:v>71803173.262234792</c:v>
                </c:pt>
                <c:pt idx="268">
                  <c:v>71717231.900432959</c:v>
                </c:pt>
                <c:pt idx="269">
                  <c:v>71625581.274279326</c:v>
                </c:pt>
                <c:pt idx="270">
                  <c:v>71528239.58725208</c:v>
                </c:pt>
                <c:pt idx="271">
                  <c:v>71425224.222607985</c:v>
                </c:pt>
                <c:pt idx="272">
                  <c:v>71316551.754402146</c:v>
                </c:pt>
                <c:pt idx="273">
                  <c:v>71202237.95785962</c:v>
                </c:pt>
                <c:pt idx="274">
                  <c:v>71082297.819116056</c:v>
                </c:pt>
                <c:pt idx="275">
                  <c:v>70956745.54434295</c:v>
                </c:pt>
                <c:pt idx="276">
                  <c:v>70825594.568272203</c:v>
                </c:pt>
                <c:pt idx="277">
                  <c:v>70688857.562133431</c:v>
                </c:pt>
                <c:pt idx="278">
                  <c:v>70546546.441016436</c:v>
                </c:pt>
                <c:pt idx="279">
                  <c:v>70398672.37067011</c:v>
                </c:pt>
                <c:pt idx="280">
                  <c:v>70245245.773748159</c:v>
                </c:pt>
                <c:pt idx="281">
                  <c:v>70086276.335510954</c:v>
                </c:pt>
                <c:pt idx="282">
                  <c:v>69921773.008991882</c:v>
                </c:pt>
                <c:pt idx="283">
                  <c:v>69751744.019635662</c:v>
                </c:pt>
                <c:pt idx="284">
                  <c:v>69576196.869415164</c:v>
                </c:pt>
                <c:pt idx="285">
                  <c:v>69395138.340432331</c:v>
                </c:pt>
                <c:pt idx="286">
                  <c:v>69208574.498007953</c:v>
                </c:pt>
                <c:pt idx="287">
                  <c:v>69016510.693264306</c:v>
                </c:pt>
                <c:pt idx="288">
                  <c:v>68818951.565203488</c:v>
                </c:pt>
                <c:pt idx="289">
                  <c:v>68615901.042283803</c:v>
                </c:pt>
                <c:pt idx="290">
                  <c:v>68407362.343495429</c:v>
                </c:pt>
                <c:pt idx="291">
                  <c:v>68193337.978935942</c:v>
                </c:pt>
                <c:pt idx="292">
                  <c:v>67973829.749885201</c:v>
                </c:pt>
                <c:pt idx="293">
                  <c:v>67748838.74837856</c:v>
                </c:pt>
                <c:pt idx="294">
                  <c:v>67518365.356276244</c:v>
                </c:pt>
                <c:pt idx="295">
                  <c:v>67282409.243825957</c:v>
                </c:pt>
                <c:pt idx="296">
                  <c:v>67040969.367715038</c:v>
                </c:pt>
                <c:pt idx="297">
                  <c:v>66794043.968607321</c:v>
                </c:pt>
                <c:pt idx="298">
                  <c:v>66541630.568159267</c:v>
                </c:pt>
                <c:pt idx="299">
                  <c:v>66283725.965508766</c:v>
                </c:pt>
                <c:pt idx="300">
                  <c:v>66020326.233229168</c:v>
                </c:pt>
                <c:pt idx="301">
                  <c:v>65751426.712740116</c:v>
                </c:pt>
                <c:pt idx="302">
                  <c:v>65477022.009165771</c:v>
                </c:pt>
                <c:pt idx="303">
                  <c:v>65197105.985629939</c:v>
                </c:pt>
                <c:pt idx="304">
                  <c:v>64911671.756976545</c:v>
                </c:pt>
                <c:pt idx="305">
                  <c:v>64620711.682902865</c:v>
                </c:pt>
                <c:pt idx="306">
                  <c:v>64324217.360491663</c:v>
                </c:pt>
                <c:pt idx="307">
                  <c:v>64022179.616127275</c:v>
                </c:pt>
                <c:pt idx="308">
                  <c:v>63714588.496779315</c:v>
                </c:pt>
                <c:pt idx="309">
                  <c:v>63401433.260636553</c:v>
                </c:pt>
                <c:pt idx="310">
                  <c:v>63082702.367071882</c:v>
                </c:pt>
                <c:pt idx="311">
                  <c:v>62758383.465918139</c:v>
                </c:pt>
                <c:pt idx="312">
                  <c:v>62428463.38603276</c:v>
                </c:pt>
                <c:pt idx="313">
                  <c:v>62092928.123127885</c:v>
                </c:pt>
                <c:pt idx="314">
                  <c:v>61751762.826840669</c:v>
                </c:pt>
                <c:pt idx="315">
                  <c:v>61404951.787016906</c:v>
                </c:pt>
                <c:pt idx="316">
                  <c:v>61052478.419179127</c:v>
                </c:pt>
                <c:pt idx="317">
                  <c:v>60694325.249148414</c:v>
                </c:pt>
                <c:pt idx="318">
                  <c:v>60330473.896787003</c:v>
                </c:pt>
                <c:pt idx="319">
                  <c:v>59960905.058826581</c:v>
                </c:pt>
                <c:pt idx="320">
                  <c:v>59585598.49074477</c:v>
                </c:pt>
                <c:pt idx="321">
                  <c:v>59204532.987649828</c:v>
                </c:pt>
                <c:pt idx="322">
                  <c:v>58817686.364130892</c:v>
                </c:pt>
                <c:pt idx="323">
                  <c:v>58425035.433028258</c:v>
                </c:pt>
                <c:pt idx="324">
                  <c:v>58026555.983075149</c:v>
                </c:pt>
                <c:pt idx="325">
                  <c:v>57622222.755359173</c:v>
                </c:pt>
                <c:pt idx="326">
                  <c:v>57212009.418548271</c:v>
                </c:pt>
                <c:pt idx="327">
                  <c:v>56795888.542822234</c:v>
                </c:pt>
                <c:pt idx="328">
                  <c:v>56373831.57244689</c:v>
                </c:pt>
                <c:pt idx="329">
                  <c:v>55945808.796923868</c:v>
                </c:pt>
                <c:pt idx="330">
                  <c:v>55511789.320644394</c:v>
                </c:pt>
                <c:pt idx="331">
                  <c:v>55071741.030970566</c:v>
                </c:pt>
                <c:pt idx="332">
                  <c:v>54625630.564662509</c:v>
                </c:pt>
                <c:pt idx="333">
                  <c:v>54173423.272564165</c:v>
                </c:pt>
                <c:pt idx="334">
                  <c:v>53715083.182454467</c:v>
                </c:pt>
                <c:pt idx="335">
                  <c:v>53250572.95996426</c:v>
                </c:pt>
                <c:pt idx="336">
                  <c:v>52779853.867452353</c:v>
                </c:pt>
                <c:pt idx="337">
                  <c:v>52302885.720726721</c:v>
                </c:pt>
                <c:pt idx="338">
                  <c:v>51819626.843488723</c:v>
                </c:pt>
                <c:pt idx="339">
                  <c:v>51330034.019369714</c:v>
                </c:pt>
                <c:pt idx="340">
                  <c:v>50834062.441420071</c:v>
                </c:pt>
                <c:pt idx="341">
                  <c:v>50331665.658900529</c:v>
                </c:pt>
                <c:pt idx="342">
                  <c:v>49822795.521215074</c:v>
                </c:pt>
                <c:pt idx="343">
                  <c:v>49307402.118812844</c:v>
                </c:pt>
                <c:pt idx="344">
                  <c:v>48785433.720873885</c:v>
                </c:pt>
                <c:pt idx="345">
                  <c:v>48256836.709580094</c:v>
                </c:pt>
                <c:pt idx="346">
                  <c:v>47721555.510757878</c:v>
                </c:pt>
                <c:pt idx="347">
                  <c:v>47179532.520663276</c:v>
                </c:pt>
                <c:pt idx="348">
                  <c:v>46630708.028663069</c:v>
                </c:pt>
                <c:pt idx="349">
                  <c:v>46075020.135546923</c:v>
                </c:pt>
                <c:pt idx="350">
                  <c:v>45512404.667185634</c:v>
                </c:pt>
                <c:pt idx="351">
                  <c:v>44942795.083228849</c:v>
                </c:pt>
                <c:pt idx="352">
                  <c:v>44366122.380512409</c:v>
                </c:pt>
                <c:pt idx="353">
                  <c:v>43782314.990820274</c:v>
                </c:pt>
                <c:pt idx="354">
                  <c:v>43191298.672618918</c:v>
                </c:pt>
                <c:pt idx="355">
                  <c:v>42592996.396352805</c:v>
                </c:pt>
                <c:pt idx="356">
                  <c:v>41987328.222858369</c:v>
                </c:pt>
                <c:pt idx="357">
                  <c:v>41374211.174420103</c:v>
                </c:pt>
                <c:pt idx="358">
                  <c:v>40753559.097956419</c:v>
                </c:pt>
                <c:pt idx="359">
                  <c:v>40125282.519784562</c:v>
                </c:pt>
                <c:pt idx="360">
                  <c:v>39489288.491372898</c:v>
                </c:pt>
                <c:pt idx="361">
                  <c:v>38845480.425445877</c:v>
                </c:pt>
                <c:pt idx="362">
                  <c:v>38193757.921761379</c:v>
                </c:pt>
                <c:pt idx="363">
                  <c:v>37534016.581833102</c:v>
                </c:pt>
                <c:pt idx="364">
                  <c:v>36866147.811821736</c:v>
                </c:pt>
                <c:pt idx="365">
                  <c:v>36190038.612769336</c:v>
                </c:pt>
                <c:pt idx="366">
                  <c:v>35505571.357302018</c:v>
                </c:pt>
                <c:pt idx="367">
                  <c:v>34812623.551878914</c:v>
                </c:pt>
                <c:pt idx="368">
                  <c:v>34111067.583621502</c:v>
                </c:pt>
                <c:pt idx="369">
                  <c:v>33400770.450720798</c:v>
                </c:pt>
                <c:pt idx="370">
                  <c:v>32681593.475393582</c:v>
                </c:pt>
                <c:pt idx="371">
                  <c:v>31953391.998348724</c:v>
                </c:pt>
                <c:pt idx="372">
                  <c:v>31216015.053738073</c:v>
                </c:pt>
                <c:pt idx="373">
                  <c:v>30469305.023613125</c:v>
                </c:pt>
                <c:pt idx="374">
                  <c:v>29713097.271002837</c:v>
                </c:pt>
                <c:pt idx="375">
                  <c:v>28947219.750887804</c:v>
                </c:pt>
                <c:pt idx="376">
                  <c:v>28171492.598597258</c:v>
                </c:pt>
                <c:pt idx="377">
                  <c:v>27385727.695532527</c:v>
                </c:pt>
                <c:pt idx="378">
                  <c:v>26589728.212671366</c:v>
                </c:pt>
                <c:pt idx="379">
                  <c:v>25783288.133097492</c:v>
                </c:pt>
                <c:pt idx="380">
                  <c:v>24966191.755918898</c:v>
                </c:pt>
                <c:pt idx="381">
                  <c:v>24138213.185512781</c:v>
                </c:pt>
                <c:pt idx="382">
                  <c:v>23299115.812239286</c:v>
                </c:pt>
                <c:pt idx="383">
                  <c:v>22448651.793846592</c:v>
                </c:pt>
                <c:pt idx="384">
                  <c:v>21586561.551094376</c:v>
                </c:pt>
                <c:pt idx="385">
                  <c:v>20712573.297146965</c:v>
                </c:pt>
                <c:pt idx="386">
                  <c:v>19826402.628744461</c:v>
                </c:pt>
                <c:pt idx="387">
                  <c:v>18927752.219083242</c:v>
                </c:pt>
                <c:pt idx="388">
                  <c:v>18016311.669240918</c:v>
                </c:pt>
                <c:pt idx="389">
                  <c:v>17091757.5991075</c:v>
                </c:pt>
                <c:pt idx="390">
                  <c:v>16153754.093494894</c:v>
                </c:pt>
                <c:pt idx="391">
                  <c:v>15201953.669492714</c:v>
                </c:pt>
                <c:pt idx="392">
                  <c:v>14235999.005074693</c:v>
                </c:pt>
                <c:pt idx="393">
                  <c:v>13255525.77871811</c:v>
                </c:pt>
                <c:pt idx="394">
                  <c:v>12260167.134907247</c:v>
                </c:pt>
                <c:pt idx="395">
                  <c:v>11249560.542483531</c:v>
                </c:pt>
                <c:pt idx="396">
                  <c:v>10223358.204172101</c:v>
                </c:pt>
                <c:pt idx="397">
                  <c:v>9181242.7946683876</c:v>
                </c:pt>
                <c:pt idx="398">
                  <c:v>8122951.3046610327</c:v>
                </c:pt>
                <c:pt idx="399">
                  <c:v>7048311.4222241109</c:v>
                </c:pt>
                <c:pt idx="400">
                  <c:v>5957297.6932586497</c:v>
                </c:pt>
                <c:pt idx="401">
                  <c:v>4850119.6250966853</c:v>
                </c:pt>
                <c:pt idx="402">
                  <c:v>3727362.8256956264</c:v>
                </c:pt>
                <c:pt idx="403">
                  <c:v>2590221.1297106338</c:v>
                </c:pt>
                <c:pt idx="404">
                  <c:v>1440891.0201662462</c:v>
                </c:pt>
                <c:pt idx="405">
                  <c:v>283269.37847102637</c:v>
                </c:pt>
                <c:pt idx="406">
                  <c:v>-875748.875656349</c:v>
                </c:pt>
                <c:pt idx="407">
                  <c:v>-2023701.6923722341</c:v>
                </c:pt>
                <c:pt idx="408">
                  <c:v>-3137054.8927947292</c:v>
                </c:pt>
                <c:pt idx="409">
                  <c:v>-4168158.917797145</c:v>
                </c:pt>
                <c:pt idx="410">
                  <c:v>-5010266.4088235302</c:v>
                </c:pt>
                <c:pt idx="411">
                  <c:v>-5391973.3626403483</c:v>
                </c:pt>
                <c:pt idx="412">
                  <c:v>-4612848.8003897658</c:v>
                </c:pt>
                <c:pt idx="413">
                  <c:v>-1938616.0804391701</c:v>
                </c:pt>
                <c:pt idx="414">
                  <c:v>1859125.0193770721</c:v>
                </c:pt>
                <c:pt idx="415">
                  <c:v>5438404.1892414754</c:v>
                </c:pt>
                <c:pt idx="416">
                  <c:v>8491131.289534552</c:v>
                </c:pt>
                <c:pt idx="417">
                  <c:v>11107076.747531701</c:v>
                </c:pt>
                <c:pt idx="418">
                  <c:v>13387716.752754766</c:v>
                </c:pt>
                <c:pt idx="419">
                  <c:v>15406530.460049644</c:v>
                </c:pt>
                <c:pt idx="420">
                  <c:v>17215022.167883057</c:v>
                </c:pt>
                <c:pt idx="421">
                  <c:v>18850084.391885024</c:v>
                </c:pt>
                <c:pt idx="422">
                  <c:v>20338939.703243047</c:v>
                </c:pt>
                <c:pt idx="423">
                  <c:v>21702250.377804421</c:v>
                </c:pt>
                <c:pt idx="424">
                  <c:v>22956093.9278716</c:v>
                </c:pt>
                <c:pt idx="425">
                  <c:v>24113251.480649393</c:v>
                </c:pt>
                <c:pt idx="426">
                  <c:v>25184072.722441472</c:v>
                </c:pt>
                <c:pt idx="427">
                  <c:v>26177072.882285737</c:v>
                </c:pt>
                <c:pt idx="428">
                  <c:v>27099355.323579688</c:v>
                </c:pt>
                <c:pt idx="429">
                  <c:v>27956917.561821178</c:v>
                </c:pt>
                <c:pt idx="430">
                  <c:v>28754877.412437275</c:v>
                </c:pt>
                <c:pt idx="431">
                  <c:v>29497643.176115282</c:v>
                </c:pt>
                <c:pt idx="432">
                  <c:v>30189043.809932068</c:v>
                </c:pt>
                <c:pt idx="433">
                  <c:v>30832429.958494857</c:v>
                </c:pt>
                <c:pt idx="434">
                  <c:v>31430753.409170754</c:v>
                </c:pt>
                <c:pt idx="435">
                  <c:v>31986630.329693973</c:v>
                </c:pt>
                <c:pt idx="436">
                  <c:v>32502392.147545923</c:v>
                </c:pt>
                <c:pt idx="437">
                  <c:v>32980126.893506519</c:v>
                </c:pt>
                <c:pt idx="438">
                  <c:v>33421713.102394458</c:v>
                </c:pt>
                <c:pt idx="439">
                  <c:v>33828847.843141429</c:v>
                </c:pt>
                <c:pt idx="440">
                  <c:v>34203070.073123038</c:v>
                </c:pt>
                <c:pt idx="441">
                  <c:v>34545780.234918095</c:v>
                </c:pt>
                <c:pt idx="442">
                  <c:v>34858256.808176279</c:v>
                </c:pt>
                <c:pt idx="443">
                  <c:v>35141670.374984361</c:v>
                </c:pt>
                <c:pt idx="444">
                  <c:v>35397095.640068121</c:v>
                </c:pt>
                <c:pt idx="445">
                  <c:v>35625521.757501394</c:v>
                </c:pt>
                <c:pt idx="446">
                  <c:v>35827861.246284395</c:v>
                </c:pt>
                <c:pt idx="447">
                  <c:v>36004957.723124065</c:v>
                </c:pt>
                <c:pt idx="448">
                  <c:v>36157592.638295844</c:v>
                </c:pt>
                <c:pt idx="449">
                  <c:v>36286491.16685912</c:v>
                </c:pt>
                <c:pt idx="450">
                  <c:v>36392327.380706996</c:v>
                </c:pt>
                <c:pt idx="451">
                  <c:v>36475728.805430874</c:v>
                </c:pt>
                <c:pt idx="452">
                  <c:v>36537280.448618613</c:v>
                </c:pt>
                <c:pt idx="453">
                  <c:v>36577528.372101821</c:v>
                </c:pt>
                <c:pt idx="454">
                  <c:v>36596982.869147159</c:v>
                </c:pt>
                <c:pt idx="455">
                  <c:v>36596121.298125692</c:v>
                </c:pt>
                <c:pt idx="456">
                  <c:v>36575390.616385318</c:v>
                </c:pt>
                <c:pt idx="457">
                  <c:v>36535209.651575007</c:v>
                </c:pt>
                <c:pt idx="458">
                  <c:v>36475971.142273687</c:v>
                </c:pt>
                <c:pt idx="459">
                  <c:v>36398043.575261645</c:v>
                </c:pt>
                <c:pt idx="460">
                  <c:v>36301772.842978179</c:v>
                </c:pt>
                <c:pt idx="461">
                  <c:v>36187483.741508849</c:v>
                </c:pt>
                <c:pt idx="462">
                  <c:v>36055481.326735154</c:v>
                </c:pt>
                <c:pt idx="463">
                  <c:v>35906052.143976361</c:v>
                </c:pt>
                <c:pt idx="464">
                  <c:v>35739465.344488621</c:v>
                </c:pt>
                <c:pt idx="465">
                  <c:v>35555973.700506099</c:v>
                </c:pt>
                <c:pt idx="466">
                  <c:v>35355814.529066384</c:v>
                </c:pt>
                <c:pt idx="467">
                  <c:v>35139210.533620924</c:v>
                </c:pt>
                <c:pt idx="468">
                  <c:v>34906370.571359791</c:v>
                </c:pt>
                <c:pt idx="469">
                  <c:v>34657490.353252947</c:v>
                </c:pt>
                <c:pt idx="470">
                  <c:v>34392753.083006397</c:v>
                </c:pt>
                <c:pt idx="471">
                  <c:v>34112330.040433094</c:v>
                </c:pt>
                <c:pt idx="472">
                  <c:v>33816381.114131026</c:v>
                </c:pt>
                <c:pt idx="473">
                  <c:v>33505055.287831768</c:v>
                </c:pt>
                <c:pt idx="474">
                  <c:v>33178491.084322043</c:v>
                </c:pt>
                <c:pt idx="475">
                  <c:v>32836816.970439851</c:v>
                </c:pt>
                <c:pt idx="476">
                  <c:v>32480151.726298671</c:v>
                </c:pt>
                <c:pt idx="477">
                  <c:v>32108604.781592246</c:v>
                </c:pt>
                <c:pt idx="478">
                  <c:v>31722276.521574207</c:v>
                </c:pt>
                <c:pt idx="479">
                  <c:v>31321258.565087579</c:v>
                </c:pt>
                <c:pt idx="480">
                  <c:v>30905634.016836774</c:v>
                </c:pt>
                <c:pt idx="481">
                  <c:v>30475477.695947275</c:v>
                </c:pt>
                <c:pt idx="482">
                  <c:v>30030856.342745315</c:v>
                </c:pt>
                <c:pt idx="483">
                  <c:v>29571828.805612031</c:v>
                </c:pt>
                <c:pt idx="484">
                  <c:v>29098446.209725063</c:v>
                </c:pt>
                <c:pt idx="485">
                  <c:v>28610752.109498408</c:v>
                </c:pt>
                <c:pt idx="486">
                  <c:v>28108782.62657265</c:v>
                </c:pt>
                <c:pt idx="487">
                  <c:v>27592566.575298436</c:v>
                </c:pt>
                <c:pt idx="488">
                  <c:v>27062125.577804454</c:v>
                </c:pt>
                <c:pt idx="489">
                  <c:v>26517474.170957997</c:v>
                </c:pt>
                <c:pt idx="490">
                  <c:v>25958619.907825634</c:v>
                </c:pt>
                <c:pt idx="491">
                  <c:v>25385563.456642125</c:v>
                </c:pt>
                <c:pt idx="492">
                  <c:v>24798298.700821709</c:v>
                </c:pt>
                <c:pt idx="493">
                  <c:v>24196812.84422842</c:v>
                </c:pt>
                <c:pt idx="494">
                  <c:v>23581086.526802242</c:v>
                </c:pt>
                <c:pt idx="495">
                  <c:v>22951093.956769165</c:v>
                </c:pt>
                <c:pt idx="496">
                  <c:v>22306803.067115355</c:v>
                </c:pt>
                <c:pt idx="497">
                  <c:v>21648175.705871545</c:v>
                </c:pt>
                <c:pt idx="498">
                  <c:v>20975167.872155495</c:v>
                </c:pt>
                <c:pt idx="499">
                  <c:v>20287730.013021547</c:v>
                </c:pt>
                <c:pt idx="500">
                  <c:v>19585807.400185693</c:v>
                </c:pt>
                <c:pt idx="501">
                  <c:v>18869340.610928569</c:v>
                </c:pt>
                <c:pt idx="502">
                  <c:v>18138266.144330051</c:v>
                </c:pt>
                <c:pt idx="503">
                  <c:v>17392517.213010971</c:v>
                </c:pt>
                <c:pt idx="504">
                  <c:v>16632024.762515511</c:v>
                </c:pt>
                <c:pt idx="505">
                  <c:v>15856718.786431469</c:v>
                </c:pt>
                <c:pt idx="506">
                  <c:v>15066530.02682423</c:v>
                </c:pt>
                <c:pt idx="507">
                  <c:v>14261392.178705612</c:v>
                </c:pt>
                <c:pt idx="508">
                  <c:v>13441244.757173961</c:v>
                </c:pt>
                <c:pt idx="509">
                  <c:v>12606036.841077333</c:v>
                </c:pt>
                <c:pt idx="510">
                  <c:v>11755731.984267605</c:v>
                </c:pt>
                <c:pt idx="511">
                  <c:v>10890314.694781911</c:v>
                </c:pt>
                <c:pt idx="512">
                  <c:v>10009799.038921641</c:v>
                </c:pt>
                <c:pt idx="513">
                  <c:v>9114240.1549160443</c:v>
                </c:pt>
                <c:pt idx="514">
                  <c:v>8203749.7970656669</c:v>
                </c:pt>
                <c:pt idx="515">
                  <c:v>7278517.5361408889</c:v>
                </c:pt>
                <c:pt idx="516">
                  <c:v>6338840.0143024549</c:v>
                </c:pt>
                <c:pt idx="517">
                  <c:v>5385161.8595116939</c:v>
                </c:pt>
                <c:pt idx="518">
                  <c:v>4418133.7933471501</c:v>
                </c:pt>
                <c:pt idx="519">
                  <c:v>3438696.6302082678</c:v>
                </c:pt>
                <c:pt idx="520">
                  <c:v>2448205.2087654313</c:v>
                </c:pt>
                <c:pt idx="521">
                  <c:v>1448615.6200593007</c:v>
                </c:pt>
                <c:pt idx="522">
                  <c:v>442775.98824587709</c:v>
                </c:pt>
                <c:pt idx="523">
                  <c:v>-565106.98916090454</c:v>
                </c:pt>
                <c:pt idx="524">
                  <c:v>-1568690.0010599424</c:v>
                </c:pt>
                <c:pt idx="525">
                  <c:v>-2558133.9002795569</c:v>
                </c:pt>
                <c:pt idx="526">
                  <c:v>-3517591.1015774584</c:v>
                </c:pt>
                <c:pt idx="527">
                  <c:v>-4420226.2427974101</c:v>
                </c:pt>
                <c:pt idx="528">
                  <c:v>-5217460.772132284</c:v>
                </c:pt>
                <c:pt idx="529">
                  <c:v>-5813188.0185249848</c:v>
                </c:pt>
                <c:pt idx="530">
                  <c:v>-5995029.9713828312</c:v>
                </c:pt>
                <c:pt idx="531">
                  <c:v>-5258227.5808823574</c:v>
                </c:pt>
                <c:pt idx="532">
                  <c:v>-2806207.346115666</c:v>
                </c:pt>
                <c:pt idx="533">
                  <c:v>1024144.4634091798</c:v>
                </c:pt>
                <c:pt idx="534">
                  <c:v>4800653.7599312104</c:v>
                </c:pt>
                <c:pt idx="535">
                  <c:v>7875860.1607804699</c:v>
                </c:pt>
                <c:pt idx="536">
                  <c:v>10346736.580796877</c:v>
                </c:pt>
                <c:pt idx="537">
                  <c:v>12368072.322229955</c:v>
                </c:pt>
                <c:pt idx="538">
                  <c:v>14050009.733821735</c:v>
                </c:pt>
                <c:pt idx="539">
                  <c:v>15466792.448097015</c:v>
                </c:pt>
                <c:pt idx="540">
                  <c:v>16669724.501937771</c:v>
                </c:pt>
                <c:pt idx="541">
                  <c:v>17695537.15913916</c:v>
                </c:pt>
                <c:pt idx="542">
                  <c:v>18571418.955982465</c:v>
                </c:pt>
                <c:pt idx="543">
                  <c:v>19318085.223144088</c:v>
                </c:pt>
                <c:pt idx="544">
                  <c:v>19951712.744883493</c:v>
                </c:pt>
                <c:pt idx="545">
                  <c:v>20485201.55189386</c:v>
                </c:pt>
                <c:pt idx="546">
                  <c:v>20929024.570543513</c:v>
                </c:pt>
                <c:pt idx="547">
                  <c:v>21291816.408575524</c:v>
                </c:pt>
                <c:pt idx="548">
                  <c:v>21580791.90226208</c:v>
                </c:pt>
                <c:pt idx="549">
                  <c:v>21802050.441844281</c:v>
                </c:pt>
                <c:pt idx="550">
                  <c:v>21960801.726147767</c:v>
                </c:pt>
                <c:pt idx="551">
                  <c:v>22061536.249393955</c:v>
                </c:pt>
                <c:pt idx="552">
                  <c:v>22108156.125399608</c:v>
                </c:pt>
                <c:pt idx="553">
                  <c:v>22104076.931094006</c:v>
                </c:pt>
                <c:pt idx="554">
                  <c:v>22052308.028092291</c:v>
                </c:pt>
                <c:pt idx="555">
                  <c:v>21955516.665445831</c:v>
                </c:pt>
                <c:pt idx="556">
                  <c:v>21816079.696766563</c:v>
                </c:pt>
                <c:pt idx="557">
                  <c:v>21636125.724646501</c:v>
                </c:pt>
                <c:pt idx="558">
                  <c:v>21417569.765559524</c:v>
                </c:pt>
                <c:pt idx="559">
                  <c:v>21162142.013148133</c:v>
                </c:pt>
                <c:pt idx="560">
                  <c:v>20871411.903882507</c:v>
                </c:pt>
                <c:pt idx="561">
                  <c:v>20546808.414414257</c:v>
                </c:pt>
                <c:pt idx="562">
                  <c:v>20189637.315968562</c:v>
                </c:pt>
                <c:pt idx="563">
                  <c:v>19801095.958176933</c:v>
                </c:pt>
                <c:pt idx="564">
                  <c:v>19382286.039158963</c:v>
                </c:pt>
                <c:pt idx="565">
                  <c:v>18934224.73077134</c:v>
                </c:pt>
                <c:pt idx="566">
                  <c:v>18457854.460902274</c:v>
                </c:pt>
                <c:pt idx="567">
                  <c:v>17954051.6036002</c:v>
                </c:pt>
                <c:pt idx="568">
                  <c:v>17423634.289184257</c:v>
                </c:pt>
                <c:pt idx="569">
                  <c:v>16867369.517806791</c:v>
                </c:pt>
                <c:pt idx="570">
                  <c:v>16285979.73951027</c:v>
                </c:pt>
                <c:pt idx="571">
                  <c:v>15680149.050533528</c:v>
                </c:pt>
                <c:pt idx="572">
                  <c:v>15050529.14887625</c:v>
                </c:pt>
                <c:pt idx="573">
                  <c:v>14397745.191794839</c:v>
                </c:pt>
                <c:pt idx="574">
                  <c:v>13722401.704320848</c:v>
                </c:pt>
                <c:pt idx="575">
                  <c:v>13025088.701944506</c:v>
                </c:pt>
                <c:pt idx="576">
                  <c:v>12306388.21382978</c:v>
                </c:pt>
                <c:pt idx="577">
                  <c:v>11566881.42773528</c:v>
                </c:pt>
                <c:pt idx="578">
                  <c:v>10807156.727826679</c:v>
                </c:pt>
                <c:pt idx="579">
                  <c:v>10027818.967135327</c:v>
                </c:pt>
                <c:pt idx="580">
                  <c:v>9229500.4154531937</c:v>
                </c:pt>
                <c:pt idx="581">
                  <c:v>8412873.9627100863</c:v>
                </c:pt>
                <c:pt idx="582">
                  <c:v>7578669.3550082864</c:v>
                </c:pt>
                <c:pt idx="583">
                  <c:v>6727693.5223702174</c:v>
                </c:pt>
                <c:pt idx="584">
                  <c:v>5860856.4654701827</c:v>
                </c:pt>
                <c:pt idx="585">
                  <c:v>4979204.7686854685</c:v>
                </c:pt>
                <c:pt idx="586">
                  <c:v>4083965.7040350004</c:v>
                </c:pt>
                <c:pt idx="587">
                  <c:v>3176606.2581151142</c:v>
                </c:pt>
                <c:pt idx="588">
                  <c:v>2258913.5437517879</c:v>
                </c:pt>
                <c:pt idx="589">
                  <c:v>1333106.4550854252</c:v>
                </c:pt>
                <c:pt idx="590">
                  <c:v>401993.99150871846</c:v>
                </c:pt>
                <c:pt idx="591">
                  <c:v>-530794.92054509243</c:v>
                </c:pt>
                <c:pt idx="592">
                  <c:v>-1460468.8377402888</c:v>
                </c:pt>
                <c:pt idx="593">
                  <c:v>-2380547.2754113418</c:v>
                </c:pt>
                <c:pt idx="594">
                  <c:v>-3282022.2148327734</c:v>
                </c:pt>
                <c:pt idx="595">
                  <c:v>-4151965.660168747</c:v>
                </c:pt>
                <c:pt idx="596">
                  <c:v>-4971098.7259450844</c:v>
                </c:pt>
                <c:pt idx="597">
                  <c:v>-5709284.1092646057</c:v>
                </c:pt>
                <c:pt idx="598">
                  <c:v>-6316535.9053579094</c:v>
                </c:pt>
                <c:pt idx="599">
                  <c:v>-6703474.4213457219</c:v>
                </c:pt>
                <c:pt idx="600">
                  <c:v>-6694896.3018395342</c:v>
                </c:pt>
                <c:pt idx="601">
                  <c:v>-5918661.5248232055</c:v>
                </c:pt>
                <c:pt idx="602">
                  <c:v>-3700181.0437504044</c:v>
                </c:pt>
                <c:pt idx="603">
                  <c:v>41305.537898775809</c:v>
                </c:pt>
                <c:pt idx="604">
                  <c:v>3991219.9398332406</c:v>
                </c:pt>
                <c:pt idx="605">
                  <c:v>7074831.4668142991</c:v>
                </c:pt>
                <c:pt idx="606">
                  <c:v>9324258.9977963287</c:v>
                </c:pt>
                <c:pt idx="607">
                  <c:v>10972822.781374371</c:v>
                </c:pt>
                <c:pt idx="608">
                  <c:v>12188199.24627796</c:v>
                </c:pt>
                <c:pt idx="609">
                  <c:v>13078719.62036938</c:v>
                </c:pt>
                <c:pt idx="610">
                  <c:v>13716114.751342453</c:v>
                </c:pt>
                <c:pt idx="611">
                  <c:v>14149911.893066715</c:v>
                </c:pt>
                <c:pt idx="612">
                  <c:v>14415693.68554106</c:v>
                </c:pt>
                <c:pt idx="613">
                  <c:v>14539918.054776406</c:v>
                </c:pt>
                <c:pt idx="614">
                  <c:v>14542840.683728047</c:v>
                </c:pt>
                <c:pt idx="615">
                  <c:v>14440359.181491254</c:v>
                </c:pt>
                <c:pt idx="616">
                  <c:v>14245220.547117803</c:v>
                </c:pt>
                <c:pt idx="617">
                  <c:v>13967838.260382134</c:v>
                </c:pt>
                <c:pt idx="618">
                  <c:v>13616861.652583765</c:v>
                </c:pt>
                <c:pt idx="619">
                  <c:v>13199583.197780909</c:v>
                </c:pt>
                <c:pt idx="620">
                  <c:v>12722236.876962066</c:v>
                </c:pt>
                <c:pt idx="621">
                  <c:v>12190221.624133462</c:v>
                </c:pt>
                <c:pt idx="622">
                  <c:v>11608272.23417698</c:v>
                </c:pt>
                <c:pt idx="623">
                  <c:v>10980592.854728123</c:v>
                </c:pt>
                <c:pt idx="624">
                  <c:v>10310963.549226595</c:v>
                </c:pt>
                <c:pt idx="625">
                  <c:v>9602827.4037904684</c:v>
                </c:pt>
                <c:pt idx="626">
                  <c:v>8859363.6682459544</c:v>
                </c:pt>
                <c:pt idx="627">
                  <c:v>8083551.1194683751</c:v>
                </c:pt>
                <c:pt idx="628">
                  <c:v>7278225.0011115791</c:v>
                </c:pt>
                <c:pt idx="629">
                  <c:v>6446130.402577891</c:v>
                </c:pt>
                <c:pt idx="630">
                  <c:v>5589974.7242340455</c:v>
                </c:pt>
                <c:pt idx="631">
                  <c:v>4712481.9112551091</c:v>
                </c:pt>
                <c:pt idx="632">
                  <c:v>3816451.4399345932</c:v>
                </c:pt>
                <c:pt idx="633">
                  <c:v>2904825.6664275238</c:v>
                </c:pt>
                <c:pt idx="634">
                  <c:v>1980770.216593761</c:v>
                </c:pt>
                <c:pt idx="635">
                  <c:v>1047773.8161379993</c:v>
                </c:pt>
                <c:pt idx="636">
                  <c:v>109776.6938980446</c:v>
                </c:pt>
                <c:pt idx="637">
                  <c:v>-828658.93453406403</c:v>
                </c:pt>
                <c:pt idx="638">
                  <c:v>-1762115.6675738164</c:v>
                </c:pt>
                <c:pt idx="639">
                  <c:v>-2683992.4526618333</c:v>
                </c:pt>
                <c:pt idx="640">
                  <c:v>-3586027.7573884875</c:v>
                </c:pt>
                <c:pt idx="641">
                  <c:v>-4457584.5179818291</c:v>
                </c:pt>
                <c:pt idx="642">
                  <c:v>-5284538.3937071245</c:v>
                </c:pt>
                <c:pt idx="643">
                  <c:v>-6047476.4047033517</c:v>
                </c:pt>
                <c:pt idx="644">
                  <c:v>-6718634.5312350355</c:v>
                </c:pt>
                <c:pt idx="645">
                  <c:v>-7256389.0589118144</c:v>
                </c:pt>
                <c:pt idx="646">
                  <c:v>-7594673.092283274</c:v>
                </c:pt>
                <c:pt idx="647">
                  <c:v>-7621120.7884644382</c:v>
                </c:pt>
                <c:pt idx="648">
                  <c:v>-7129360.2546366192</c:v>
                </c:pt>
                <c:pt idx="649">
                  <c:v>-5725398.5342240054</c:v>
                </c:pt>
                <c:pt idx="650">
                  <c:v>-2856895.0127203302</c:v>
                </c:pt>
                <c:pt idx="651">
                  <c:v>1156292.0122875012</c:v>
                </c:pt>
                <c:pt idx="652">
                  <c:v>4825449.6700502578</c:v>
                </c:pt>
                <c:pt idx="653">
                  <c:v>7308588.3572745426</c:v>
                </c:pt>
                <c:pt idx="654">
                  <c:v>8825685.2904301081</c:v>
                </c:pt>
                <c:pt idx="655">
                  <c:v>9688932.9547854364</c:v>
                </c:pt>
                <c:pt idx="656">
                  <c:v>10101158.072572159</c:v>
                </c:pt>
                <c:pt idx="657">
                  <c:v>10188100.049302746</c:v>
                </c:pt>
                <c:pt idx="658">
                  <c:v>10030961.352444472</c:v>
                </c:pt>
                <c:pt idx="659">
                  <c:v>9684884.1392949019</c:v>
                </c:pt>
                <c:pt idx="660">
                  <c:v>9189076.761979565</c:v>
                </c:pt>
                <c:pt idx="661">
                  <c:v>8572563.7367582079</c:v>
                </c:pt>
                <c:pt idx="662">
                  <c:v>7857607.8852236886</c:v>
                </c:pt>
                <c:pt idx="663">
                  <c:v>7061843.5130720399</c:v>
                </c:pt>
                <c:pt idx="664">
                  <c:v>6199665.0967861684</c:v>
                </c:pt>
                <c:pt idx="665">
                  <c:v>5283169.5903322529</c:v>
                </c:pt>
                <c:pt idx="666">
                  <c:v>4322823.1374160349</c:v>
                </c:pt>
                <c:pt idx="667">
                  <c:v>3327954.651220303</c:v>
                </c:pt>
                <c:pt idx="668">
                  <c:v>2307140.928892137</c:v>
                </c:pt>
                <c:pt idx="669">
                  <c:v>1268526.7747204283</c:v>
                </c:pt>
                <c:pt idx="670">
                  <c:v>220112.03885338645</c:v>
                </c:pt>
                <c:pt idx="671">
                  <c:v>-829967.92037793482</c:v>
                </c:pt>
                <c:pt idx="672">
                  <c:v>-1873142.5638787649</c:v>
                </c:pt>
                <c:pt idx="673">
                  <c:v>-2900057.6891175816</c:v>
                </c:pt>
                <c:pt idx="674">
                  <c:v>-3900139.0271699154</c:v>
                </c:pt>
                <c:pt idx="675">
                  <c:v>-4861010.6170704411</c:v>
                </c:pt>
                <c:pt idx="676">
                  <c:v>-5767677.5804135129</c:v>
                </c:pt>
                <c:pt idx="677">
                  <c:v>-6601322.368015266</c:v>
                </c:pt>
                <c:pt idx="678">
                  <c:v>-7337449.3098779945</c:v>
                </c:pt>
                <c:pt idx="679">
                  <c:v>-7942887.6095440248</c:v>
                </c:pt>
                <c:pt idx="680">
                  <c:v>-8370699.7183988774</c:v>
                </c:pt>
                <c:pt idx="681">
                  <c:v>-8551044.1141839325</c:v>
                </c:pt>
                <c:pt idx="682">
                  <c:v>-8373858.4485920658</c:v>
                </c:pt>
                <c:pt idx="683">
                  <c:v>-7655056.4651464708</c:v>
                </c:pt>
                <c:pt idx="684">
                  <c:v>-6078838.1354067577</c:v>
                </c:pt>
                <c:pt idx="685">
                  <c:v>-3216757.1650493038</c:v>
                </c:pt>
                <c:pt idx="686">
                  <c:v>744107.65418757487</c:v>
                </c:pt>
                <c:pt idx="687">
                  <c:v>4348718.5982355485</c:v>
                </c:pt>
                <c:pt idx="688">
                  <c:v>6501734.781212328</c:v>
                </c:pt>
                <c:pt idx="689">
                  <c:v>7415005.2165975515</c:v>
                </c:pt>
                <c:pt idx="690">
                  <c:v>7540580.0959193045</c:v>
                </c:pt>
                <c:pt idx="691">
                  <c:v>7169668.8486205768</c:v>
                </c:pt>
                <c:pt idx="692">
                  <c:v>6473985.8703895314</c:v>
                </c:pt>
                <c:pt idx="693">
                  <c:v>5559384.7667990541</c:v>
                </c:pt>
                <c:pt idx="694">
                  <c:v>4495343.2705157539</c:v>
                </c:pt>
                <c:pt idx="695">
                  <c:v>3330348.883958884</c:v>
                </c:pt>
                <c:pt idx="696">
                  <c:v>2100264.5592837939</c:v>
                </c:pt>
                <c:pt idx="697">
                  <c:v>833155.28775877354</c:v>
                </c:pt>
                <c:pt idx="698">
                  <c:v>-447740.03997451445</c:v>
                </c:pt>
                <c:pt idx="699">
                  <c:v>-1722039.4472764709</c:v>
                </c:pt>
                <c:pt idx="700">
                  <c:v>-2970790.7022140929</c:v>
                </c:pt>
                <c:pt idx="701">
                  <c:v>-4175312.7375193546</c:v>
                </c:pt>
                <c:pt idx="702">
                  <c:v>-5316117.9638819005</c:v>
                </c:pt>
                <c:pt idx="703">
                  <c:v>-6371755.0433086883</c:v>
                </c:pt>
                <c:pt idx="704">
                  <c:v>-7317394.0511864843</c:v>
                </c:pt>
                <c:pt idx="705">
                  <c:v>-8122907.0022762725</c:v>
                </c:pt>
                <c:pt idx="706">
                  <c:v>-8750047.1399981882</c:v>
                </c:pt>
                <c:pt idx="707">
                  <c:v>-9148032.4051760528</c:v>
                </c:pt>
                <c:pt idx="708">
                  <c:v>-9246254.9793384485</c:v>
                </c:pt>
                <c:pt idx="709">
                  <c:v>-8941754.3896924891</c:v>
                </c:pt>
                <c:pt idx="710">
                  <c:v>-8077671.6405269988</c:v>
                </c:pt>
                <c:pt idx="711">
                  <c:v>-6412581.2319894824</c:v>
                </c:pt>
                <c:pt idx="712">
                  <c:v>-3639196.9005916696</c:v>
                </c:pt>
                <c:pt idx="713">
                  <c:v>168908.41453940849</c:v>
                </c:pt>
                <c:pt idx="714">
                  <c:v>3710822.6574834962</c:v>
                </c:pt>
                <c:pt idx="715">
                  <c:v>5603080.3094338141</c:v>
                </c:pt>
                <c:pt idx="716">
                  <c:v>5889903.5243261149</c:v>
                </c:pt>
                <c:pt idx="717">
                  <c:v>5215867.3508410063</c:v>
                </c:pt>
                <c:pt idx="718">
                  <c:v>4021475.1863947799</c:v>
                </c:pt>
                <c:pt idx="719">
                  <c:v>2552970.7887740121</c:v>
                </c:pt>
                <c:pt idx="720">
                  <c:v>953180.21354047966</c:v>
                </c:pt>
                <c:pt idx="721">
                  <c:v>-687997.32278533618</c:v>
                </c:pt>
              </c:numCache>
            </c:numRef>
          </c:xVal>
          <c:yVal>
            <c:numRef>
              <c:f>Hoja1!$F$9:$F$3000</c:f>
              <c:numCache>
                <c:formatCode>#,##0.00" m"</c:formatCode>
                <c:ptCount val="2992"/>
                <c:pt idx="0">
                  <c:v>100000000</c:v>
                </c:pt>
                <c:pt idx="1">
                  <c:v>99671609.951383322</c:v>
                </c:pt>
                <c:pt idx="2">
                  <c:v>99341631.987268761</c:v>
                </c:pt>
                <c:pt idx="3">
                  <c:v>99010050.332325101</c:v>
                </c:pt>
                <c:pt idx="4">
                  <c:v>98676848.930106983</c:v>
                </c:pt>
                <c:pt idx="5">
                  <c:v>98342011.435919553</c:v>
                </c:pt>
                <c:pt idx="6">
                  <c:v>98005521.209447697</c:v>
                </c:pt>
                <c:pt idx="7">
                  <c:v>97667361.307140186</c:v>
                </c:pt>
                <c:pt idx="8">
                  <c:v>97327514.474338561</c:v>
                </c:pt>
                <c:pt idx="9">
                  <c:v>96985963.137140438</c:v>
                </c:pt>
                <c:pt idx="10">
                  <c:v>96642689.393985987</c:v>
                </c:pt>
                <c:pt idx="11">
                  <c:v>96297675.006956041</c:v>
                </c:pt>
                <c:pt idx="12">
                  <c:v>95950901.392769665</c:v>
                </c:pt>
                <c:pt idx="13">
                  <c:v>95602349.613468364</c:v>
                </c:pt>
                <c:pt idx="14">
                  <c:v>95252000.366773382</c:v>
                </c:pt>
                <c:pt idx="15">
                  <c:v>94899833.976102099</c:v>
                </c:pt>
                <c:pt idx="16">
                  <c:v>94545830.380228594</c:v>
                </c:pt>
                <c:pt idx="17">
                  <c:v>94189969.122572586</c:v>
                </c:pt>
                <c:pt idx="18">
                  <c:v>93832229.340100527</c:v>
                </c:pt>
                <c:pt idx="19">
                  <c:v>93472589.751821339</c:v>
                </c:pt>
                <c:pt idx="20">
                  <c:v>93111028.646858513</c:v>
                </c:pt>
                <c:pt idx="21">
                  <c:v>92747523.872079477</c:v>
                </c:pt>
                <c:pt idx="22">
                  <c:v>92382052.819261774</c:v>
                </c:pt>
                <c:pt idx="23">
                  <c:v>92014592.411774784</c:v>
                </c:pt>
                <c:pt idx="24">
                  <c:v>91645119.090754271</c:v>
                </c:pt>
                <c:pt idx="25">
                  <c:v>91273608.800746113</c:v>
                </c:pt>
                <c:pt idx="26">
                  <c:v>90900036.974793896</c:v>
                </c:pt>
                <c:pt idx="27">
                  <c:v>90524378.518943816</c:v>
                </c:pt>
                <c:pt idx="28">
                  <c:v>90146607.796138808</c:v>
                </c:pt>
                <c:pt idx="29">
                  <c:v>89766698.6094722</c:v>
                </c:pt>
                <c:pt idx="30">
                  <c:v>89384624.184769392</c:v>
                </c:pt>
                <c:pt idx="31">
                  <c:v>89000357.152464271</c:v>
                </c:pt>
                <c:pt idx="32">
                  <c:v>88613869.528735191</c:v>
                </c:pt>
                <c:pt idx="33">
                  <c:v>88225132.695863023</c:v>
                </c:pt>
                <c:pt idx="34">
                  <c:v>87834117.381771773</c:v>
                </c:pt>
                <c:pt idx="35">
                  <c:v>87440793.638709694</c:v>
                </c:pt>
                <c:pt idx="36">
                  <c:v>87045130.821026355</c:v>
                </c:pt>
                <c:pt idx="37">
                  <c:v>86647097.561998248</c:v>
                </c:pt>
                <c:pt idx="38">
                  <c:v>86246661.749652624</c:v>
                </c:pt>
                <c:pt idx="39">
                  <c:v>85843790.501536161</c:v>
                </c:pt>
                <c:pt idx="40">
                  <c:v>85438450.138371408</c:v>
                </c:pt>
                <c:pt idx="41">
                  <c:v>85030606.156540617</c:v>
                </c:pt>
                <c:pt idx="42">
                  <c:v>84620223.199332267</c:v>
                </c:pt>
                <c:pt idx="43">
                  <c:v>84207265.026881769</c:v>
                </c:pt>
                <c:pt idx="44">
                  <c:v>83791694.484732836</c:v>
                </c:pt>
                <c:pt idx="45">
                  <c:v>83373473.470941469</c:v>
                </c:pt>
                <c:pt idx="46">
                  <c:v>82952562.90163897</c:v>
                </c:pt>
                <c:pt idx="47">
                  <c:v>82528922.67496483</c:v>
                </c:pt>
                <c:pt idx="48">
                  <c:v>82102511.633274034</c:v>
                </c:pt>
                <c:pt idx="49">
                  <c:v>81673287.523516715</c:v>
                </c:pt>
                <c:pt idx="50">
                  <c:v>81241206.955681041</c:v>
                </c:pt>
                <c:pt idx="51">
                  <c:v>80806225.35918206</c:v>
                </c:pt>
                <c:pt idx="52">
                  <c:v>80368296.937071085</c:v>
                </c:pt>
                <c:pt idx="53">
                  <c:v>79927374.617930949</c:v>
                </c:pt>
                <c:pt idx="54">
                  <c:v>79483410.005312368</c:v>
                </c:pt>
                <c:pt idx="55">
                  <c:v>79036353.324556112</c:v>
                </c:pt>
                <c:pt idx="56">
                  <c:v>78586153.366833612</c:v>
                </c:pt>
                <c:pt idx="57">
                  <c:v>78132757.430226192</c:v>
                </c:pt>
                <c:pt idx="58">
                  <c:v>77676111.257648855</c:v>
                </c:pt>
                <c:pt idx="59">
                  <c:v>77216158.971409664</c:v>
                </c:pt>
                <c:pt idx="60">
                  <c:v>76752843.004178956</c:v>
                </c:pt>
                <c:pt idx="61">
                  <c:v>76286104.026124641</c:v>
                </c:pt>
                <c:pt idx="62">
                  <c:v>75815880.867950037</c:v>
                </c:pt>
                <c:pt idx="63">
                  <c:v>75342110.439548969</c:v>
                </c:pt>
                <c:pt idx="64">
                  <c:v>74864727.643969163</c:v>
                </c:pt>
                <c:pt idx="65">
                  <c:v>74383665.28634873</c:v>
                </c:pt>
                <c:pt idx="66">
                  <c:v>73898853.977462158</c:v>
                </c:pt>
                <c:pt idx="67">
                  <c:v>73410222.031480476</c:v>
                </c:pt>
                <c:pt idx="68">
                  <c:v>72917695.357515708</c:v>
                </c:pt>
                <c:pt idx="69">
                  <c:v>72421197.344481349</c:v>
                </c:pt>
                <c:pt idx="70">
                  <c:v>71920648.738758579</c:v>
                </c:pt>
                <c:pt idx="71">
                  <c:v>71415967.514110968</c:v>
                </c:pt>
                <c:pt idx="72">
                  <c:v>70907068.733238935</c:v>
                </c:pt>
                <c:pt idx="73">
                  <c:v>70393864.400307909</c:v>
                </c:pt>
                <c:pt idx="74">
                  <c:v>69876263.303720415</c:v>
                </c:pt>
                <c:pt idx="75">
                  <c:v>69354170.848331749</c:v>
                </c:pt>
                <c:pt idx="76">
                  <c:v>68827488.87623015</c:v>
                </c:pt>
                <c:pt idx="77">
                  <c:v>68296115.475114495</c:v>
                </c:pt>
                <c:pt idx="78">
                  <c:v>67759944.77320461</c:v>
                </c:pt>
                <c:pt idx="79">
                  <c:v>67218866.719509527</c:v>
                </c:pt>
                <c:pt idx="80">
                  <c:v>66672766.848156162</c:v>
                </c:pt>
                <c:pt idx="81">
                  <c:v>66121526.025342718</c:v>
                </c:pt>
                <c:pt idx="82">
                  <c:v>65565020.177326135</c:v>
                </c:pt>
                <c:pt idx="83">
                  <c:v>65003119.99767793</c:v>
                </c:pt>
                <c:pt idx="84">
                  <c:v>64435690.63184534</c:v>
                </c:pt>
                <c:pt idx="85">
                  <c:v>63862591.33683145</c:v>
                </c:pt>
                <c:pt idx="86">
                  <c:v>63283675.113554895</c:v>
                </c:pt>
                <c:pt idx="87">
                  <c:v>62698788.309162326</c:v>
                </c:pt>
                <c:pt idx="88">
                  <c:v>62107770.186239503</c:v>
                </c:pt>
                <c:pt idx="89">
                  <c:v>61510452.455493703</c:v>
                </c:pt>
                <c:pt idx="90">
                  <c:v>60906658.768053219</c:v>
                </c:pt>
                <c:pt idx="91">
                  <c:v>60296204.16304034</c:v>
                </c:pt>
                <c:pt idx="92">
                  <c:v>59678894.465511866</c:v>
                </c:pt>
                <c:pt idx="93">
                  <c:v>59054525.629213341</c:v>
                </c:pt>
                <c:pt idx="94">
                  <c:v>58422883.017844453</c:v>
                </c:pt>
                <c:pt idx="95">
                  <c:v>57783740.617665969</c:v>
                </c:pt>
                <c:pt idx="96">
                  <c:v>57136860.173270643</c:v>
                </c:pt>
                <c:pt idx="97">
                  <c:v>56481990.237166226</c:v>
                </c:pt>
                <c:pt idx="98">
                  <c:v>55818865.122445375</c:v>
                </c:pt>
                <c:pt idx="99">
                  <c:v>55147203.746206552</c:v>
                </c:pt>
                <c:pt idx="100">
                  <c:v>54466708.349494033</c:v>
                </c:pt>
                <c:pt idx="101">
                  <c:v>53777063.077285394</c:v>
                </c:pt>
                <c:pt idx="102">
                  <c:v>53077932.399399213</c:v>
                </c:pt>
                <c:pt idx="103">
                  <c:v>52368959.350034624</c:v>
                </c:pt>
                <c:pt idx="104">
                  <c:v>51649763.559875824</c:v>
                </c:pt>
                <c:pt idx="105">
                  <c:v>50919939.050159223</c:v>
                </c:pt>
                <c:pt idx="106">
                  <c:v>50179051.752631895</c:v>
                </c:pt>
                <c:pt idx="107">
                  <c:v>49426636.7127041</c:v>
                </c:pt>
                <c:pt idx="108">
                  <c:v>48662194.925031573</c:v>
                </c:pt>
                <c:pt idx="109">
                  <c:v>47885189.740889214</c:v>
                </c:pt>
                <c:pt idx="110">
                  <c:v>47095042.774545975</c:v>
                </c:pt>
                <c:pt idx="111">
                  <c:v>46291129.220807791</c:v>
                </c:pt>
                <c:pt idx="112">
                  <c:v>45472772.477158807</c:v>
                </c:pt>
                <c:pt idx="113">
                  <c:v>44639237.94044134</c:v>
                </c:pt>
                <c:pt idx="114">
                  <c:v>43789725.818361513</c:v>
                </c:pt>
                <c:pt idx="115">
                  <c:v>42923362.758397847</c:v>
                </c:pt>
                <c:pt idx="116">
                  <c:v>42039192.048358284</c:v>
                </c:pt>
                <c:pt idx="117">
                  <c:v>41136162.080367252</c:v>
                </c:pt>
                <c:pt idx="118">
                  <c:v>40213112.688613839</c:v>
                </c:pt>
                <c:pt idx="119">
                  <c:v>39268758.863964789</c:v>
                </c:pt>
                <c:pt idx="120">
                  <c:v>38301671.205931932</c:v>
                </c:pt>
                <c:pt idx="121">
                  <c:v>37310252.280701295</c:v>
                </c:pt>
                <c:pt idx="122">
                  <c:v>36292707.792943276</c:v>
                </c:pt>
                <c:pt idx="123">
                  <c:v>35247011.119355954</c:v>
                </c:pt>
                <c:pt idx="124">
                  <c:v>34170859.248982422</c:v>
                </c:pt>
                <c:pt idx="125">
                  <c:v>33061617.461557936</c:v>
                </c:pt>
                <c:pt idx="126">
                  <c:v>31916249.045082163</c:v>
                </c:pt>
                <c:pt idx="127">
                  <c:v>30731224.839991659</c:v>
                </c:pt>
                <c:pt idx="128">
                  <c:v>29502405.127444651</c:v>
                </c:pt>
                <c:pt idx="129">
                  <c:v>28224882.899429079</c:v>
                </c:pt>
                <c:pt idx="130">
                  <c:v>26892772.080862559</c:v>
                </c:pt>
                <c:pt idx="131">
                  <c:v>25498915.44456793</c:v>
                </c:pt>
                <c:pt idx="132">
                  <c:v>24034472.259076197</c:v>
                </c:pt>
                <c:pt idx="133">
                  <c:v>22488320.379901487</c:v>
                </c:pt>
                <c:pt idx="134">
                  <c:v>20846162.154961504</c:v>
                </c:pt>
                <c:pt idx="135">
                  <c:v>19089138.863349278</c:v>
                </c:pt>
                <c:pt idx="136">
                  <c:v>17191593.09391408</c:v>
                </c:pt>
                <c:pt idx="137">
                  <c:v>15117281.435224462</c:v>
                </c:pt>
                <c:pt idx="138">
                  <c:v>12812636.290322274</c:v>
                </c:pt>
                <c:pt idx="139">
                  <c:v>10194314.170345336</c:v>
                </c:pt>
                <c:pt idx="140">
                  <c:v>7127455.6693484848</c:v>
                </c:pt>
                <c:pt idx="141">
                  <c:v>3416786.1331794844</c:v>
                </c:pt>
                <c:pt idx="142">
                  <c:v>-864317.9530211488</c:v>
                </c:pt>
                <c:pt idx="143">
                  <c:v>-4464063.5559252826</c:v>
                </c:pt>
                <c:pt idx="144">
                  <c:v>-6367415.0929391487</c:v>
                </c:pt>
                <c:pt idx="145">
                  <c:v>-7062094.3503443021</c:v>
                </c:pt>
                <c:pt idx="146">
                  <c:v>-7180694.7197593916</c:v>
                </c:pt>
                <c:pt idx="147">
                  <c:v>-7005173.3143356973</c:v>
                </c:pt>
                <c:pt idx="148">
                  <c:v>-6662433.3176271087</c:v>
                </c:pt>
                <c:pt idx="149">
                  <c:v>-6216745.5523418942</c:v>
                </c:pt>
                <c:pt idx="150">
                  <c:v>-5704097.9301936533</c:v>
                </c:pt>
                <c:pt idx="151">
                  <c:v>-5146245.4660403915</c:v>
                </c:pt>
                <c:pt idx="152">
                  <c:v>-4557131.4907901119</c:v>
                </c:pt>
                <c:pt idx="153">
                  <c:v>-3946108.8175322516</c:v>
                </c:pt>
                <c:pt idx="154">
                  <c:v>-3319681.8272529808</c:v>
                </c:pt>
                <c:pt idx="155">
                  <c:v>-2682507.8290107832</c:v>
                </c:pt>
                <c:pt idx="156">
                  <c:v>-2038002.1654808321</c:v>
                </c:pt>
                <c:pt idx="157">
                  <c:v>-1388719.4107765909</c:v>
                </c:pt>
                <c:pt idx="158">
                  <c:v>-736602.09413316078</c:v>
                </c:pt>
                <c:pt idx="159">
                  <c:v>-83147.923243590369</c:v>
                </c:pt>
                <c:pt idx="160">
                  <c:v>570474.84398902184</c:v>
                </c:pt>
                <c:pt idx="161">
                  <c:v>1223345.9907931064</c:v>
                </c:pt>
                <c:pt idx="162">
                  <c:v>1874734.7528766305</c:v>
                </c:pt>
                <c:pt idx="163">
                  <c:v>2524056.9110416435</c:v>
                </c:pt>
                <c:pt idx="164">
                  <c:v>3170842.8766678204</c:v>
                </c:pt>
                <c:pt idx="165">
                  <c:v>3814713.6220219079</c:v>
                </c:pt>
                <c:pt idx="166">
                  <c:v>4455362.2992588989</c:v>
                </c:pt>
                <c:pt idx="167">
                  <c:v>5092540.0446964772</c:v>
                </c:pt>
                <c:pt idx="168">
                  <c:v>5726044.9029421499</c:v>
                </c:pt>
                <c:pt idx="169">
                  <c:v>6355713.1046332559</c:v>
                </c:pt>
                <c:pt idx="170">
                  <c:v>6981412.1392465513</c:v>
                </c:pt>
                <c:pt idx="171">
                  <c:v>7603035.2107743844</c:v>
                </c:pt>
                <c:pt idx="172">
                  <c:v>8220496.7685881443</c:v>
                </c:pt>
                <c:pt idx="173">
                  <c:v>8833728.8814091403</c:v>
                </c:pt>
                <c:pt idx="174">
                  <c:v>9442678.277624853</c:v>
                </c:pt>
                <c:pt idx="175">
                  <c:v>10047303.91610386</c:v>
                </c:pt>
                <c:pt idx="176">
                  <c:v>10647574.982229782</c:v>
                </c:pt>
                <c:pt idx="177">
                  <c:v>11243469.226924581</c:v>
                </c:pt>
                <c:pt idx="178">
                  <c:v>11834971.583965164</c:v>
                </c:pt>
                <c:pt idx="179">
                  <c:v>12422073.014343752</c:v>
                </c:pt>
                <c:pt idx="180">
                  <c:v>13004769.536813842</c:v>
                </c:pt>
                <c:pt idx="181">
                  <c:v>13583061.411851719</c:v>
                </c:pt>
                <c:pt idx="182">
                  <c:v>14156952.45260163</c:v>
                </c:pt>
                <c:pt idx="183">
                  <c:v>14726449.441371303</c:v>
                </c:pt>
                <c:pt idx="184">
                  <c:v>15291561.634210305</c:v>
                </c:pt>
                <c:pt idx="185">
                  <c:v>15852300.339268174</c:v>
                </c:pt>
                <c:pt idx="186">
                  <c:v>16408678.55716783</c:v>
                </c:pt>
                <c:pt idx="187">
                  <c:v>16960710.673676714</c:v>
                </c:pt>
                <c:pt idx="188">
                  <c:v>17508412.196616594</c:v>
                </c:pt>
                <c:pt idx="189">
                  <c:v>18051799.530302923</c:v>
                </c:pt>
                <c:pt idx="190">
                  <c:v>18590889.781908303</c:v>
                </c:pt>
                <c:pt idx="191">
                  <c:v>19125700.595050577</c:v>
                </c:pt>
                <c:pt idx="192">
                  <c:v>19656250.006652873</c:v>
                </c:pt>
                <c:pt idx="193">
                  <c:v>20182556.32374062</c:v>
                </c:pt>
                <c:pt idx="194">
                  <c:v>20704638.017353583</c:v>
                </c:pt>
                <c:pt idx="195">
                  <c:v>21222513.631178226</c:v>
                </c:pt>
                <c:pt idx="196">
                  <c:v>21736201.70286306</c:v>
                </c:pt>
                <c:pt idx="197">
                  <c:v>22245720.696279049</c:v>
                </c:pt>
                <c:pt idx="198">
                  <c:v>22751088.943239179</c:v>
                </c:pt>
                <c:pt idx="199">
                  <c:v>23252324.593403701</c:v>
                </c:pt>
                <c:pt idx="200">
                  <c:v>23749445.571277373</c:v>
                </c:pt>
                <c:pt idx="201">
                  <c:v>24242469.539357346</c:v>
                </c:pt>
                <c:pt idx="202">
                  <c:v>24731413.866619945</c:v>
                </c:pt>
                <c:pt idx="203">
                  <c:v>25216295.601645045</c:v>
                </c:pt>
                <c:pt idx="204">
                  <c:v>25697131.449770994</c:v>
                </c:pt>
                <c:pt idx="205">
                  <c:v>26173937.753753833</c:v>
                </c:pt>
                <c:pt idx="206">
                  <c:v>26646730.477473784</c:v>
                </c:pt>
                <c:pt idx="207">
                  <c:v>27115525.192291591</c:v>
                </c:pt>
                <c:pt idx="208">
                  <c:v>27580337.065708499</c:v>
                </c:pt>
                <c:pt idx="209">
                  <c:v>28041180.85202796</c:v>
                </c:pt>
                <c:pt idx="210">
                  <c:v>28498070.884755448</c:v>
                </c:pt>
                <c:pt idx="211">
                  <c:v>28951021.07050579</c:v>
                </c:pt>
                <c:pt idx="212">
                  <c:v>29400044.884216253</c:v>
                </c:pt>
                <c:pt idx="213">
                  <c:v>29845155.365488533</c:v>
                </c:pt>
                <c:pt idx="214">
                  <c:v>30286365.115904532</c:v>
                </c:pt>
                <c:pt idx="215">
                  <c:v>30723686.297179677</c:v>
                </c:pt>
                <c:pt idx="216">
                  <c:v>31157130.630034108</c:v>
                </c:pt>
                <c:pt idx="217">
                  <c:v>31586709.393676411</c:v>
                </c:pt>
                <c:pt idx="218">
                  <c:v>32012433.425807223</c:v>
                </c:pt>
                <c:pt idx="219">
                  <c:v>32434313.12306102</c:v>
                </c:pt>
                <c:pt idx="220">
                  <c:v>32852358.441814106</c:v>
                </c:pt>
                <c:pt idx="221">
                  <c:v>33266578.899295308</c:v>
                </c:pt>
                <c:pt idx="222">
                  <c:v>33676983.574943274</c:v>
                </c:pt>
                <c:pt idx="223">
                  <c:v>34083581.111960895</c:v>
                </c:pt>
                <c:pt idx="224">
                  <c:v>34486379.719023027</c:v>
                </c:pt>
                <c:pt idx="225">
                  <c:v>34885387.172098845</c:v>
                </c:pt>
                <c:pt idx="226">
                  <c:v>35280610.816354565</c:v>
                </c:pt>
                <c:pt idx="227">
                  <c:v>35672057.568106167</c:v>
                </c:pt>
                <c:pt idx="228">
                  <c:v>36059733.916795291</c:v>
                </c:pt>
                <c:pt idx="229">
                  <c:v>36443645.926964462</c:v>
                </c:pt>
                <c:pt idx="230">
                  <c:v>36823799.240210451</c:v>
                </c:pt>
                <c:pt idx="231">
                  <c:v>37200199.077097043</c:v>
                </c:pt>
                <c:pt idx="232">
                  <c:v>37572850.239010468</c:v>
                </c:pt>
                <c:pt idx="233">
                  <c:v>37941757.109942645</c:v>
                </c:pt>
                <c:pt idx="234">
                  <c:v>38306923.658188954</c:v>
                </c:pt>
                <c:pt idx="235">
                  <c:v>38668353.437948696</c:v>
                </c:pt>
                <c:pt idx="236">
                  <c:v>39026049.59081766</c:v>
                </c:pt>
                <c:pt idx="237">
                  <c:v>39380014.847163238</c:v>
                </c:pt>
                <c:pt idx="238">
                  <c:v>39730251.527373537</c:v>
                </c:pt>
                <c:pt idx="239">
                  <c:v>40076761.542972803</c:v>
                </c:pt>
                <c:pt idx="240">
                  <c:v>40419546.397596002</c:v>
                </c:pt>
                <c:pt idx="241">
                  <c:v>40758607.187816344</c:v>
                </c:pt>
                <c:pt idx="242">
                  <c:v>41093944.603819743</c:v>
                </c:pt>
                <c:pt idx="243">
                  <c:v>41425558.929920897</c:v>
                </c:pt>
                <c:pt idx="244">
                  <c:v>41753450.044915922</c:v>
                </c:pt>
                <c:pt idx="245">
                  <c:v>42077617.422266893</c:v>
                </c:pt>
                <c:pt idx="246">
                  <c:v>42398060.130113855</c:v>
                </c:pt>
                <c:pt idx="247">
                  <c:v>42714776.831110068</c:v>
                </c:pt>
                <c:pt idx="248">
                  <c:v>43027765.782076523</c:v>
                </c:pt>
                <c:pt idx="249">
                  <c:v>43337024.833471753</c:v>
                </c:pt>
                <c:pt idx="250">
                  <c:v>43642551.428673141</c:v>
                </c:pt>
                <c:pt idx="251">
                  <c:v>43944342.60306599</c:v>
                </c:pt>
                <c:pt idx="252">
                  <c:v>44242394.982936576</c:v>
                </c:pt>
                <c:pt idx="253">
                  <c:v>44536704.784165427</c:v>
                </c:pt>
                <c:pt idx="254">
                  <c:v>44827267.810717091</c:v>
                </c:pt>
                <c:pt idx="255">
                  <c:v>45114079.452922441</c:v>
                </c:pt>
                <c:pt idx="256">
                  <c:v>45397134.685549699</c:v>
                </c:pt>
                <c:pt idx="257">
                  <c:v>45676428.065659985</c:v>
                </c:pt>
                <c:pt idx="258">
                  <c:v>45951953.730243348</c:v>
                </c:pt>
                <c:pt idx="259">
                  <c:v>46223705.393630795</c:v>
                </c:pt>
                <c:pt idx="260">
                  <c:v>46491676.34467791</c:v>
                </c:pt>
                <c:pt idx="261">
                  <c:v>46755859.443715289</c:v>
                </c:pt>
                <c:pt idx="262">
                  <c:v>47016247.119260877</c:v>
                </c:pt>
                <c:pt idx="263">
                  <c:v>47272831.364489034</c:v>
                </c:pt>
                <c:pt idx="264">
                  <c:v>47525603.733450927</c:v>
                </c:pt>
                <c:pt idx="265">
                  <c:v>47774555.337040558</c:v>
                </c:pt>
                <c:pt idx="266">
                  <c:v>48019676.838700429</c:v>
                </c:pt>
                <c:pt idx="267">
                  <c:v>48260958.449860521</c:v>
                </c:pt>
                <c:pt idx="268">
                  <c:v>48498389.925104067</c:v>
                </c:pt>
                <c:pt idx="269">
                  <c:v>48731960.557053</c:v>
                </c:pt>
                <c:pt idx="270">
                  <c:v>48961659.170965806</c:v>
                </c:pt>
                <c:pt idx="271">
                  <c:v>49187474.119040035</c:v>
                </c:pt>
                <c:pt idx="272">
                  <c:v>49409393.274411261</c:v>
                </c:pt>
                <c:pt idx="273">
                  <c:v>49627404.024839908</c:v>
                </c:pt>
                <c:pt idx="274">
                  <c:v>49841493.266076878</c:v>
                </c:pt>
                <c:pt idx="275">
                  <c:v>50051647.39489837</c:v>
                </c:pt>
                <c:pt idx="276">
                  <c:v>50257852.301799871</c:v>
                </c:pt>
                <c:pt idx="277">
                  <c:v>50460093.363338605</c:v>
                </c:pt>
                <c:pt idx="278">
                  <c:v>50658355.434113316</c:v>
                </c:pt>
                <c:pt idx="279">
                  <c:v>50852622.838369481</c:v>
                </c:pt>
                <c:pt idx="280">
                  <c:v>51042879.361217536</c:v>
                </c:pt>
                <c:pt idx="281">
                  <c:v>51229108.239450969</c:v>
                </c:pt>
                <c:pt idx="282">
                  <c:v>51411292.151950411</c:v>
                </c:pt>
                <c:pt idx="283">
                  <c:v>51589413.209659092</c:v>
                </c:pt>
                <c:pt idx="284">
                  <c:v>51763452.945114277</c:v>
                </c:pt>
                <c:pt idx="285">
                  <c:v>51933392.301518403</c:v>
                </c:pt>
                <c:pt idx="286">
                  <c:v>52099211.621332757</c:v>
                </c:pt>
                <c:pt idx="287">
                  <c:v>52260890.634375602</c:v>
                </c:pt>
                <c:pt idx="288">
                  <c:v>52418408.445405647</c:v>
                </c:pt>
                <c:pt idx="289">
                  <c:v>52571743.521170706</c:v>
                </c:pt>
                <c:pt idx="290">
                  <c:v>52720873.676900238</c:v>
                </c:pt>
                <c:pt idx="291">
                  <c:v>52865776.062219352</c:v>
                </c:pt>
                <c:pt idx="292">
                  <c:v>53006427.146460503</c:v>
                </c:pt>
                <c:pt idx="293">
                  <c:v>53142802.703347787</c:v>
                </c:pt>
                <c:pt idx="294">
                  <c:v>53274877.795027398</c:v>
                </c:pt>
                <c:pt idx="295">
                  <c:v>53402626.755416244</c:v>
                </c:pt>
                <c:pt idx="296">
                  <c:v>53526023.17283906</c:v>
                </c:pt>
                <c:pt idx="297">
                  <c:v>53645039.871922776</c:v>
                </c:pt>
                <c:pt idx="298">
                  <c:v>53759648.894714981</c:v>
                </c:pt>
                <c:pt idx="299">
                  <c:v>53869821.480991453</c:v>
                </c:pt>
                <c:pt idx="300">
                  <c:v>53975528.047715627</c:v>
                </c:pt>
                <c:pt idx="301">
                  <c:v>54076738.167610712</c:v>
                </c:pt>
                <c:pt idx="302">
                  <c:v>54173420.546802774</c:v>
                </c:pt>
                <c:pt idx="303">
                  <c:v>54265543.001490727</c:v>
                </c:pt>
                <c:pt idx="304">
                  <c:v>54353072.43359632</c:v>
                </c:pt>
                <c:pt idx="305">
                  <c:v>54435974.805344559</c:v>
                </c:pt>
                <c:pt idx="306">
                  <c:v>54514215.112721801</c:v>
                </c:pt>
                <c:pt idx="307">
                  <c:v>54587757.357755557</c:v>
                </c:pt>
                <c:pt idx="308">
                  <c:v>54656564.519556627</c:v>
                </c:pt>
                <c:pt idx="309">
                  <c:v>54720598.524060257</c:v>
                </c:pt>
                <c:pt idx="310">
                  <c:v>54779820.2123992</c:v>
                </c:pt>
                <c:pt idx="311">
                  <c:v>54834189.307837158</c:v>
                </c:pt>
                <c:pt idx="312">
                  <c:v>54883664.381186448</c:v>
                </c:pt>
                <c:pt idx="313">
                  <c:v>54928202.814628862</c:v>
                </c:pt>
                <c:pt idx="314">
                  <c:v>54967760.763853222</c:v>
                </c:pt>
                <c:pt idx="315">
                  <c:v>55002293.118417546</c:v>
                </c:pt>
                <c:pt idx="316">
                  <c:v>55031753.460237406</c:v>
                </c:pt>
                <c:pt idx="317">
                  <c:v>55056094.02009549</c:v>
                </c:pt>
                <c:pt idx="318">
                  <c:v>55075265.632060207</c:v>
                </c:pt>
                <c:pt idx="319">
                  <c:v>55089217.685693294</c:v>
                </c:pt>
                <c:pt idx="320">
                  <c:v>55097898.075918175</c:v>
                </c:pt>
                <c:pt idx="321">
                  <c:v>55101253.150411628</c:v>
                </c:pt>
                <c:pt idx="322">
                  <c:v>55099227.654371575</c:v>
                </c:pt>
                <c:pt idx="323">
                  <c:v>55091764.672503188</c:v>
                </c:pt>
                <c:pt idx="324">
                  <c:v>55078805.568053976</c:v>
                </c:pt>
                <c:pt idx="325">
                  <c:v>55060289.918716088</c:v>
                </c:pt>
                <c:pt idx="326">
                  <c:v>55036155.449200459</c:v>
                </c:pt>
                <c:pt idx="327">
                  <c:v>55006337.96027267</c:v>
                </c:pt>
                <c:pt idx="328">
                  <c:v>54970771.254024506</c:v>
                </c:pt>
                <c:pt idx="329">
                  <c:v>54929387.05513756</c:v>
                </c:pt>
                <c:pt idx="330">
                  <c:v>54882114.927876316</c:v>
                </c:pt>
                <c:pt idx="331">
                  <c:v>54828882.18852739</c:v>
                </c:pt>
                <c:pt idx="332">
                  <c:v>54769613.812978864</c:v>
                </c:pt>
                <c:pt idx="333">
                  <c:v>54704232.339108944</c:v>
                </c:pt>
                <c:pt idx="334">
                  <c:v>54632657.76362592</c:v>
                </c:pt>
                <c:pt idx="335">
                  <c:v>54554807.432971768</c:v>
                </c:pt>
                <c:pt idx="336">
                  <c:v>54470595.927869044</c:v>
                </c:pt>
                <c:pt idx="337">
                  <c:v>54379934.941054933</c:v>
                </c:pt>
                <c:pt idx="338">
                  <c:v>54282733.14770674</c:v>
                </c:pt>
                <c:pt idx="339">
                  <c:v>54178896.068019986</c:v>
                </c:pt>
                <c:pt idx="340">
                  <c:v>54068325.921352103</c:v>
                </c:pt>
                <c:pt idx="341">
                  <c:v>53950921.471292131</c:v>
                </c:pt>
                <c:pt idx="342">
                  <c:v>53826577.860958345</c:v>
                </c:pt>
                <c:pt idx="343">
                  <c:v>53695186.437761091</c:v>
                </c:pt>
                <c:pt idx="344">
                  <c:v>53556634.566796474</c:v>
                </c:pt>
                <c:pt idx="345">
                  <c:v>53410805.431957096</c:v>
                </c:pt>
                <c:pt idx="346">
                  <c:v>53257577.82375747</c:v>
                </c:pt>
                <c:pt idx="347">
                  <c:v>53096825.91277349</c:v>
                </c:pt>
                <c:pt idx="348">
                  <c:v>52928419.007485449</c:v>
                </c:pt>
                <c:pt idx="349">
                  <c:v>52752221.295191504</c:v>
                </c:pt>
                <c:pt idx="350">
                  <c:v>52568091.564521432</c:v>
                </c:pt>
                <c:pt idx="351">
                  <c:v>52375882.907926597</c:v>
                </c:pt>
                <c:pt idx="352">
                  <c:v>52175442.40234971</c:v>
                </c:pt>
                <c:pt idx="353">
                  <c:v>51966610.766083606</c:v>
                </c:pt>
                <c:pt idx="354">
                  <c:v>51749221.989609756</c:v>
                </c:pt>
                <c:pt idx="355">
                  <c:v>51523102.937960051</c:v>
                </c:pt>
                <c:pt idx="356">
                  <c:v>51288072.921866201</c:v>
                </c:pt>
                <c:pt idx="357">
                  <c:v>51043943.234644234</c:v>
                </c:pt>
                <c:pt idx="358">
                  <c:v>50790516.651401781</c:v>
                </c:pt>
                <c:pt idx="359">
                  <c:v>50527586.886746198</c:v>
                </c:pt>
                <c:pt idx="360">
                  <c:v>50254938.006703958</c:v>
                </c:pt>
                <c:pt idx="361">
                  <c:v>49972343.790026978</c:v>
                </c:pt>
                <c:pt idx="362">
                  <c:v>49679567.033448219</c:v>
                </c:pt>
                <c:pt idx="363">
                  <c:v>49376358.794743851</c:v>
                </c:pt>
                <c:pt idx="364">
                  <c:v>49062457.566646554</c:v>
                </c:pt>
                <c:pt idx="365">
                  <c:v>48737588.37371514</c:v>
                </c:pt>
                <c:pt idx="366">
                  <c:v>48401461.783176817</c:v>
                </c:pt>
                <c:pt idx="367">
                  <c:v>48053772.819492422</c:v>
                </c:pt>
                <c:pt idx="368">
                  <c:v>47694199.770918742</c:v>
                </c:pt>
                <c:pt idx="369">
                  <c:v>47322402.874614716</c:v>
                </c:pt>
                <c:pt idx="370">
                  <c:v>46938022.86481104</c:v>
                </c:pt>
                <c:pt idx="371">
                  <c:v>46540679.366174132</c:v>
                </c:pt>
                <c:pt idx="372">
                  <c:v>46129969.111672066</c:v>
                </c:pt>
                <c:pt idx="373">
                  <c:v>45705463.960898891</c:v>
                </c:pt>
                <c:pt idx="374">
                  <c:v>45266708.690820999</c:v>
                </c:pt>
                <c:pt idx="375">
                  <c:v>44813218.526131839</c:v>
                </c:pt>
                <c:pt idx="376">
                  <c:v>44344476.370659813</c:v>
                </c:pt>
                <c:pt idx="377">
                  <c:v>43859929.694342993</c:v>
                </c:pt>
                <c:pt idx="378">
                  <c:v>43358987.021875463</c:v>
                </c:pt>
                <c:pt idx="379">
                  <c:v>42841013.958877601</c:v>
                </c:pt>
                <c:pt idx="380">
                  <c:v>42305328.678874463</c:v>
                </c:pt>
                <c:pt idx="381">
                  <c:v>41751196.778873146</c:v>
                </c:pt>
                <c:pt idx="382">
                  <c:v>41177825.392115973</c:v>
                </c:pt>
                <c:pt idx="383">
                  <c:v>40584356.422608525</c:v>
                </c:pt>
                <c:pt idx="384">
                  <c:v>39969858.735896982</c:v>
                </c:pt>
                <c:pt idx="385">
                  <c:v>39333319.102455094</c:v>
                </c:pt>
                <c:pt idx="386">
                  <c:v>38673631.641451962</c:v>
                </c:pt>
                <c:pt idx="387">
                  <c:v>37989585.450232416</c:v>
                </c:pt>
                <c:pt idx="388">
                  <c:v>37279850.023912758</c:v>
                </c:pt>
                <c:pt idx="389">
                  <c:v>36542957.96363876</c:v>
                </c:pt>
                <c:pt idx="390">
                  <c:v>35777284.332227677</c:v>
                </c:pt>
                <c:pt idx="391">
                  <c:v>34981021.829267293</c:v>
                </c:pt>
                <c:pt idx="392">
                  <c:v>34152150.705753125</c:v>
                </c:pt>
                <c:pt idx="393">
                  <c:v>33288401.993948046</c:v>
                </c:pt>
                <c:pt idx="394">
                  <c:v>32387212.151191384</c:v>
                </c:pt>
                <c:pt idx="395">
                  <c:v>31445666.546287537</c:v>
                </c:pt>
                <c:pt idx="396">
                  <c:v>30460428.260826018</c:v>
                </c:pt>
                <c:pt idx="397">
                  <c:v>29427647.289620534</c:v>
                </c:pt>
                <c:pt idx="398">
                  <c:v>28342843.171359215</c:v>
                </c:pt>
                <c:pt idx="399">
                  <c:v>27200750.981130883</c:v>
                </c:pt>
                <c:pt idx="400">
                  <c:v>25995115.830743819</c:v>
                </c:pt>
                <c:pt idx="401">
                  <c:v>24718413.447269928</c:v>
                </c:pt>
                <c:pt idx="402">
                  <c:v>23361462.076188929</c:v>
                </c:pt>
                <c:pt idx="403">
                  <c:v>21912870.295817692</c:v>
                </c:pt>
                <c:pt idx="404">
                  <c:v>20358229.553407054</c:v>
                </c:pt>
                <c:pt idx="405">
                  <c:v>18678896.134534501</c:v>
                </c:pt>
                <c:pt idx="406">
                  <c:v>16850088.621962074</c:v>
                </c:pt>
                <c:pt idx="407">
                  <c:v>14837802.316669891</c:v>
                </c:pt>
                <c:pt idx="408">
                  <c:v>12593625.310137086</c:v>
                </c:pt>
                <c:pt idx="409">
                  <c:v>10045922.016624274</c:v>
                </c:pt>
                <c:pt idx="410">
                  <c:v>7086499.2829269338</c:v>
                </c:pt>
                <c:pt idx="411">
                  <c:v>3571101.890379726</c:v>
                </c:pt>
                <c:pt idx="412">
                  <c:v>-461545.42159375933</c:v>
                </c:pt>
                <c:pt idx="413">
                  <c:v>-3928224.3511331594</c:v>
                </c:pt>
                <c:pt idx="414">
                  <c:v>-5620722.8762697345</c:v>
                </c:pt>
                <c:pt idx="415">
                  <c:v>-5834547.9272812083</c:v>
                </c:pt>
                <c:pt idx="416">
                  <c:v>-5373001.3373106625</c:v>
                </c:pt>
                <c:pt idx="417">
                  <c:v>-4608029.6881561</c:v>
                </c:pt>
                <c:pt idx="418">
                  <c:v>-3694607.3067372963</c:v>
                </c:pt>
                <c:pt idx="419">
                  <c:v>-2704887.7688583345</c:v>
                </c:pt>
                <c:pt idx="420">
                  <c:v>-1676206.413489406</c:v>
                </c:pt>
                <c:pt idx="421">
                  <c:v>-629494.83505029394</c:v>
                </c:pt>
                <c:pt idx="422">
                  <c:v>422795.58433908212</c:v>
                </c:pt>
                <c:pt idx="423">
                  <c:v>1472927.3213263685</c:v>
                </c:pt>
                <c:pt idx="424">
                  <c:v>2515936.4582930417</c:v>
                </c:pt>
                <c:pt idx="425">
                  <c:v>3548566.3017380238</c:v>
                </c:pt>
                <c:pt idx="426">
                  <c:v>4568649.6106684096</c:v>
                </c:pt>
                <c:pt idx="427">
                  <c:v>5574734.8603199022</c:v>
                </c:pt>
                <c:pt idx="428">
                  <c:v>6565851.8287389735</c:v>
                </c:pt>
                <c:pt idx="429">
                  <c:v>7541360.0333322464</c:v>
                </c:pt>
                <c:pt idx="430">
                  <c:v>8500848.176373845</c:v>
                </c:pt>
                <c:pt idx="431">
                  <c:v>9444065.9478458948</c:v>
                </c:pt>
                <c:pt idx="432">
                  <c:v>10370876.892343359</c:v>
                </c:pt>
                <c:pt idx="433">
                  <c:v>11281225.301533714</c:v>
                </c:pt>
                <c:pt idx="434">
                  <c:v>12175112.632384276</c:v>
                </c:pt>
                <c:pt idx="435">
                  <c:v>13052580.508853225</c:v>
                </c:pt>
                <c:pt idx="436">
                  <c:v>13913698.344163906</c:v>
                </c:pt>
                <c:pt idx="437">
                  <c:v>14758554.250472201</c:v>
                </c:pt>
                <c:pt idx="438">
                  <c:v>15587248.315712104</c:v>
                </c:pt>
                <c:pt idx="439">
                  <c:v>16399887.603160599</c:v>
                </c:pt>
                <c:pt idx="440">
                  <c:v>17196582.416417487</c:v>
                </c:pt>
                <c:pt idx="441">
                  <c:v>17977443.50141285</c:v>
                </c:pt>
                <c:pt idx="442">
                  <c:v>18742579.947064791</c:v>
                </c:pt>
                <c:pt idx="443">
                  <c:v>19492097.609836236</c:v>
                </c:pt>
                <c:pt idx="444">
                  <c:v>20226097.932927698</c:v>
                </c:pt>
                <c:pt idx="445">
                  <c:v>20944677.063702621</c:v>
                </c:pt>
                <c:pt idx="446">
                  <c:v>21647925.196906354</c:v>
                </c:pt>
                <c:pt idx="447">
                  <c:v>22335926.088870157</c:v>
                </c:pt>
                <c:pt idx="448">
                  <c:v>23008756.700966034</c:v>
                </c:pt>
                <c:pt idx="449">
                  <c:v>23666486.940345041</c:v>
                </c:pt>
                <c:pt idx="450">
                  <c:v>24309179.473336052</c:v>
                </c:pt>
                <c:pt idx="451">
                  <c:v>24936889.592437603</c:v>
                </c:pt>
                <c:pt idx="452">
                  <c:v>25549665.122060064</c:v>
                </c:pt>
                <c:pt idx="453">
                  <c:v>26147546.35140257</c:v>
                </c:pt>
                <c:pt idx="454">
                  <c:v>26730565.985323362</c:v>
                </c:pt>
                <c:pt idx="455">
                  <c:v>27298749.105964709</c:v>
                </c:pt>
                <c:pt idx="456">
                  <c:v>27852113.139358602</c:v>
                </c:pt>
                <c:pt idx="457">
                  <c:v>28390667.82236829</c:v>
                </c:pt>
                <c:pt idx="458">
                  <c:v>28914415.166188795</c:v>
                </c:pt>
                <c:pt idx="459">
                  <c:v>29423349.413294762</c:v>
                </c:pt>
                <c:pt idx="460">
                  <c:v>29917456.985229559</c:v>
                </c:pt>
                <c:pt idx="461">
                  <c:v>30396716.419008989</c:v>
                </c:pt>
                <c:pt idx="462">
                  <c:v>30861098.290191513</c:v>
                </c:pt>
                <c:pt idx="463">
                  <c:v>31310565.120864019</c:v>
                </c:pt>
                <c:pt idx="464">
                  <c:v>31745071.270922553</c:v>
                </c:pt>
                <c:pt idx="465">
                  <c:v>32164562.81110236</c:v>
                </c:pt>
                <c:pt idx="466">
                  <c:v>32568977.376239393</c:v>
                </c:pt>
                <c:pt idx="467">
                  <c:v>32958243.997232381</c:v>
                </c:pt>
                <c:pt idx="468">
                  <c:v>33332282.910124779</c:v>
                </c:pt>
                <c:pt idx="469">
                  <c:v>33691005.340642646</c:v>
                </c:pt>
                <c:pt idx="470">
                  <c:v>34034313.262409106</c:v>
                </c:pt>
                <c:pt idx="471">
                  <c:v>34362099.126909204</c:v>
                </c:pt>
                <c:pt idx="472">
                  <c:v>34674245.563100331</c:v>
                </c:pt>
                <c:pt idx="473">
                  <c:v>34970625.044351615</c:v>
                </c:pt>
                <c:pt idx="474">
                  <c:v>35251099.520148329</c:v>
                </c:pt>
                <c:pt idx="475">
                  <c:v>35515520.009711929</c:v>
                </c:pt>
                <c:pt idx="476">
                  <c:v>35763726.154357925</c:v>
                </c:pt>
                <c:pt idx="477">
                  <c:v>35995545.725038126</c:v>
                </c:pt>
                <c:pt idx="478">
                  <c:v>36210794.081083901</c:v>
                </c:pt>
                <c:pt idx="479">
                  <c:v>36409273.575675972</c:v>
                </c:pt>
                <c:pt idx="480">
                  <c:v>36590772.903004184</c:v>
                </c:pt>
                <c:pt idx="481">
                  <c:v>36755066.381437302</c:v>
                </c:pt>
                <c:pt idx="482">
                  <c:v>36901913.166284353</c:v>
                </c:pt>
                <c:pt idx="483">
                  <c:v>37031056.384880379</c:v>
                </c:pt>
                <c:pt idx="484">
                  <c:v>37142222.185751274</c:v>
                </c:pt>
                <c:pt idx="485">
                  <c:v>37235118.692482233</c:v>
                </c:pt>
                <c:pt idx="486">
                  <c:v>37309434.851605095</c:v>
                </c:pt>
                <c:pt idx="487">
                  <c:v>37364839.162298515</c:v>
                </c:pt>
                <c:pt idx="488">
                  <c:v>37400978.27392152</c:v>
                </c:pt>
                <c:pt idx="489">
                  <c:v>37417475.435327351</c:v>
                </c:pt>
                <c:pt idx="490">
                  <c:v>37413928.777471274</c:v>
                </c:pt>
                <c:pt idx="491">
                  <c:v>37389909.407960765</c:v>
                </c:pt>
                <c:pt idx="492">
                  <c:v>37344959.292809829</c:v>
                </c:pt>
                <c:pt idx="493">
                  <c:v>37278588.896641217</c:v>
                </c:pt>
                <c:pt idx="494">
                  <c:v>37190274.547793008</c:v>
                </c:pt>
                <c:pt idx="495">
                  <c:v>37079455.489059113</c:v>
                </c:pt>
                <c:pt idx="496">
                  <c:v>36945530.567910761</c:v>
                </c:pt>
                <c:pt idx="497">
                  <c:v>36787854.511736907</c:v>
                </c:pt>
                <c:pt idx="498">
                  <c:v>36605733.72356087</c:v>
                </c:pt>
                <c:pt idx="499">
                  <c:v>36398421.521397248</c:v>
                </c:pt>
                <c:pt idx="500">
                  <c:v>36165112.729341306</c:v>
                </c:pt>
                <c:pt idx="501">
                  <c:v>35904937.509898126</c:v>
                </c:pt>
                <c:pt idx="502">
                  <c:v>35616954.30400458</c:v>
                </c:pt>
                <c:pt idx="503">
                  <c:v>35300141.7164158</c:v>
                </c:pt>
                <c:pt idx="504">
                  <c:v>34953389.147954777</c:v>
                </c:pt>
                <c:pt idx="505">
                  <c:v>34575485.930333689</c:v>
                </c:pt>
                <c:pt idx="506">
                  <c:v>34165108.660851642</c:v>
                </c:pt>
                <c:pt idx="507">
                  <c:v>33720806.359175801</c:v>
                </c:pt>
                <c:pt idx="508">
                  <c:v>33240982.971015103</c:v>
                </c:pt>
                <c:pt idx="509">
                  <c:v>32723876.616007797</c:v>
                </c:pt>
                <c:pt idx="510">
                  <c:v>32167534.808617629</c:v>
                </c:pt>
                <c:pt idx="511">
                  <c:v>31569784.655691039</c:v>
                </c:pt>
                <c:pt idx="512">
                  <c:v>30928196.73011167</c:v>
                </c:pt>
                <c:pt idx="513">
                  <c:v>30240040.903863691</c:v>
                </c:pt>
                <c:pt idx="514">
                  <c:v>29502231.8470417</c:v>
                </c:pt>
                <c:pt idx="515">
                  <c:v>28711261.088389885</c:v>
                </c:pt>
                <c:pt idx="516">
                  <c:v>27863111.374928348</c:v>
                </c:pt>
                <c:pt idx="517">
                  <c:v>26953147.386548914</c:v>
                </c:pt>
                <c:pt idx="518">
                  <c:v>25975974.374335956</c:v>
                </c:pt>
                <c:pt idx="519">
                  <c:v>24925252.539380237</c:v>
                </c:pt>
                <c:pt idx="520">
                  <c:v>23793449.186052173</c:v>
                </c:pt>
                <c:pt idx="521">
                  <c:v>22571501.5632555</c:v>
                </c:pt>
                <c:pt idx="522">
                  <c:v>21248348.568645168</c:v>
                </c:pt>
                <c:pt idx="523">
                  <c:v>19810265.077031408</c:v>
                </c:pt>
                <c:pt idx="524">
                  <c:v>18239891.277042411</c:v>
                </c:pt>
                <c:pt idx="525">
                  <c:v>16514778.198565064</c:v>
                </c:pt>
                <c:pt idx="526">
                  <c:v>14605149.239220794</c:v>
                </c:pt>
                <c:pt idx="527">
                  <c:v>12470389.66041212</c:v>
                </c:pt>
                <c:pt idx="528">
                  <c:v>10053626.628214149</c:v>
                </c:pt>
                <c:pt idx="529">
                  <c:v>7274757.1748084007</c:v>
                </c:pt>
                <c:pt idx="530">
                  <c:v>4033302.0557930395</c:v>
                </c:pt>
                <c:pt idx="531">
                  <c:v>320709.11919150874</c:v>
                </c:pt>
                <c:pt idx="532">
                  <c:v>-3145137.7878352664</c:v>
                </c:pt>
                <c:pt idx="533">
                  <c:v>-4946077.1014151489</c:v>
                </c:pt>
                <c:pt idx="534">
                  <c:v>-4882391.1244109925</c:v>
                </c:pt>
                <c:pt idx="535">
                  <c:v>-3908209.7316480768</c:v>
                </c:pt>
                <c:pt idx="536">
                  <c:v>-2588094.2508646674</c:v>
                </c:pt>
                <c:pt idx="537">
                  <c:v>-1140457.6601206171</c:v>
                </c:pt>
                <c:pt idx="538">
                  <c:v>344774.09474230319</c:v>
                </c:pt>
                <c:pt idx="539">
                  <c:v>1826613.2319500896</c:v>
                </c:pt>
                <c:pt idx="540">
                  <c:v>3284930.8097076686</c:v>
                </c:pt>
                <c:pt idx="541">
                  <c:v>4709399.2196809966</c:v>
                </c:pt>
                <c:pt idx="542">
                  <c:v>6094650.5418913225</c:v>
                </c:pt>
                <c:pt idx="543">
                  <c:v>7437965.4471527208</c:v>
                </c:pt>
                <c:pt idx="544">
                  <c:v>8738092.0400499552</c:v>
                </c:pt>
                <c:pt idx="545">
                  <c:v>9994608.7533803377</c:v>
                </c:pt>
                <c:pt idx="546">
                  <c:v>11207565.763207894</c:v>
                </c:pt>
                <c:pt idx="547">
                  <c:v>12377276.317120003</c:v>
                </c:pt>
                <c:pt idx="548">
                  <c:v>13504192.141521346</c:v>
                </c:pt>
                <c:pt idx="549">
                  <c:v>14588827.624966824</c:v>
                </c:pt>
                <c:pt idx="550">
                  <c:v>15631713.088021865</c:v>
                </c:pt>
                <c:pt idx="551">
                  <c:v>16633365.784752622</c:v>
                </c:pt>
                <c:pt idx="552">
                  <c:v>17594271.897379298</c:v>
                </c:pt>
                <c:pt idx="553">
                  <c:v>18514875.425613292</c:v>
                </c:pt>
                <c:pt idx="554">
                  <c:v>19395571.424372368</c:v>
                </c:pt>
                <c:pt idx="555">
                  <c:v>20236701.978396211</c:v>
                </c:pt>
                <c:pt idx="556">
                  <c:v>21038553.877132084</c:v>
                </c:pt>
                <c:pt idx="557">
                  <c:v>21801357.313063774</c:v>
                </c:pt>
                <c:pt idx="558">
                  <c:v>22525285.155179262</c:v>
                </c:pt>
                <c:pt idx="559">
                  <c:v>23210452.496050853</c:v>
                </c:pt>
                <c:pt idx="560">
                  <c:v>23856916.265939105</c:v>
                </c:pt>
                <c:pt idx="561">
                  <c:v>24464674.768807705</c:v>
                </c:pt>
                <c:pt idx="562">
                  <c:v>25033667.034620345</c:v>
                </c:pt>
                <c:pt idx="563">
                  <c:v>25563771.907028686</c:v>
                </c:pt>
                <c:pt idx="564">
                  <c:v>26054806.800164737</c:v>
                </c:pt>
                <c:pt idx="565">
                  <c:v>26506526.065658636</c:v>
                </c:pt>
                <c:pt idx="566">
                  <c:v>26918618.913060572</c:v>
                </c:pt>
                <c:pt idx="567">
                  <c:v>27290706.824669011</c:v>
                </c:pt>
                <c:pt idx="568">
                  <c:v>27622340.399961259</c:v>
                </c:pt>
                <c:pt idx="569">
                  <c:v>27912995.555611223</c:v>
                </c:pt>
                <c:pt idx="570">
                  <c:v>28162068.994379953</c:v>
                </c:pt>
                <c:pt idx="571">
                  <c:v>28368872.839615267</c:v>
                </c:pt>
                <c:pt idx="572">
                  <c:v>28532628.311052725</c:v>
                </c:pt>
                <c:pt idx="573">
                  <c:v>28652458.291107837</c:v>
                </c:pt>
                <c:pt idx="574">
                  <c:v>28727378.597536992</c:v>
                </c:pt>
                <c:pt idx="575">
                  <c:v>28756287.736372627</c:v>
                </c:pt>
                <c:pt idx="576">
                  <c:v>28737954.855895333</c:v>
                </c:pt>
                <c:pt idx="577">
                  <c:v>28671005.55468113</c:v>
                </c:pt>
                <c:pt idx="578">
                  <c:v>28553905.109799828</c:v>
                </c:pt>
                <c:pt idx="579">
                  <c:v>28384938.578636084</c:v>
                </c:pt>
                <c:pt idx="580">
                  <c:v>28162187.080667365</c:v>
                </c:pt>
                <c:pt idx="581">
                  <c:v>27883499.371389195</c:v>
                </c:pt>
                <c:pt idx="582">
                  <c:v>27546457.561726768</c:v>
                </c:pt>
                <c:pt idx="583">
                  <c:v>27148335.487282466</c:v>
                </c:pt>
                <c:pt idx="584">
                  <c:v>26686047.755620647</c:v>
                </c:pt>
                <c:pt idx="585">
                  <c:v>26156086.841838263</c:v>
                </c:pt>
                <c:pt idx="586">
                  <c:v>25554444.681056108</c:v>
                </c:pt>
                <c:pt idx="587">
                  <c:v>24876513.896686945</c:v>
                </c:pt>
                <c:pt idx="588">
                  <c:v>24116961.913026512</c:v>
                </c:pt>
                <c:pt idx="589">
                  <c:v>23269568.427956186</c:v>
                </c:pt>
                <c:pt idx="590">
                  <c:v>22327012.585440546</c:v>
                </c:pt>
                <c:pt idx="591">
                  <c:v>21280589.912685905</c:v>
                </c:pt>
                <c:pt idx="592">
                  <c:v>20119829.415802952</c:v>
                </c:pt>
                <c:pt idx="593">
                  <c:v>18831966.139135946</c:v>
                </c:pt>
                <c:pt idx="594">
                  <c:v>17401200.885439314</c:v>
                </c:pt>
                <c:pt idx="595">
                  <c:v>15807642.654164549</c:v>
                </c:pt>
                <c:pt idx="596">
                  <c:v>14025779.164003899</c:v>
                </c:pt>
                <c:pt idx="597">
                  <c:v>12022277.748660445</c:v>
                </c:pt>
                <c:pt idx="598">
                  <c:v>9753033.0631547999</c:v>
                </c:pt>
                <c:pt idx="599">
                  <c:v>7160508.6469184281</c:v>
                </c:pt>
                <c:pt idx="600">
                  <c:v>4179621.2321222881</c:v>
                </c:pt>
                <c:pt idx="601">
                  <c:v>804956.09837211226</c:v>
                </c:pt>
                <c:pt idx="602">
                  <c:v>-2525017.7539959052</c:v>
                </c:pt>
                <c:pt idx="603">
                  <c:v>-4440997.0011785645</c:v>
                </c:pt>
                <c:pt idx="604">
                  <c:v>-4239504.7838225868</c:v>
                </c:pt>
                <c:pt idx="605">
                  <c:v>-2780694.3587749349</c:v>
                </c:pt>
                <c:pt idx="606">
                  <c:v>-911558.54183741519</c:v>
                </c:pt>
                <c:pt idx="607">
                  <c:v>1042312.8686643173</c:v>
                </c:pt>
                <c:pt idx="608">
                  <c:v>2965568.5103424769</c:v>
                </c:pt>
                <c:pt idx="609">
                  <c:v>4814910.7439446254</c:v>
                </c:pt>
                <c:pt idx="610">
                  <c:v>6573912.2646616902</c:v>
                </c:pt>
                <c:pt idx="611">
                  <c:v>8237071.6304036314</c:v>
                </c:pt>
                <c:pt idx="612">
                  <c:v>9803566.1709163897</c:v>
                </c:pt>
                <c:pt idx="613">
                  <c:v>11274585.456180537</c:v>
                </c:pt>
                <c:pt idx="614">
                  <c:v>12652119.518859399</c:v>
                </c:pt>
                <c:pt idx="615">
                  <c:v>13938385.05856402</c:v>
                </c:pt>
                <c:pt idx="616">
                  <c:v>15135548.27262238</c:v>
                </c:pt>
                <c:pt idx="617">
                  <c:v>16245591.550039783</c:v>
                </c:pt>
                <c:pt idx="618">
                  <c:v>17270251.789108478</c:v>
                </c:pt>
                <c:pt idx="619">
                  <c:v>18210994.633714166</c:v>
                </c:pt>
                <c:pt idx="620">
                  <c:v>19069006.346371688</c:v>
                </c:pt>
                <c:pt idx="621">
                  <c:v>19845193.68592234</c:v>
                </c:pt>
                <c:pt idx="622">
                  <c:v>20540186.58752317</c:v>
                </c:pt>
                <c:pt idx="623">
                  <c:v>21154340.758512825</c:v>
                </c:pt>
                <c:pt idx="624">
                  <c:v>21687738.522084918</c:v>
                </c:pt>
                <c:pt idx="625">
                  <c:v>22140186.868729401</c:v>
                </c:pt>
                <c:pt idx="626">
                  <c:v>22511211.972913891</c:v>
                </c:pt>
                <c:pt idx="627">
                  <c:v>22800049.534069844</c:v>
                </c:pt>
                <c:pt idx="628">
                  <c:v>23005630.275132179</c:v>
                </c:pt>
                <c:pt idx="629">
                  <c:v>23126559.810219727</c:v>
                </c:pt>
                <c:pt idx="630">
                  <c:v>23161091.88441975</c:v>
                </c:pt>
                <c:pt idx="631">
                  <c:v>23107093.68562685</c:v>
                </c:pt>
                <c:pt idx="632">
                  <c:v>22962001.508957371</c:v>
                </c:pt>
                <c:pt idx="633">
                  <c:v>22722764.480127703</c:v>
                </c:pt>
                <c:pt idx="634">
                  <c:v>22385773.256006304</c:v>
                </c:pt>
                <c:pt idx="635">
                  <c:v>21946769.529492136</c:v>
                </c:pt>
                <c:pt idx="636">
                  <c:v>21400730.640523292</c:v>
                </c:pt>
                <c:pt idx="637">
                  <c:v>20741721.442590475</c:v>
                </c:pt>
                <c:pt idx="638">
                  <c:v>19962702.516588736</c:v>
                </c:pt>
                <c:pt idx="639">
                  <c:v>19055279.477290094</c:v>
                </c:pt>
                <c:pt idx="640">
                  <c:v>18009372.01131589</c:v>
                </c:pt>
                <c:pt idx="641">
                  <c:v>16812773.052460935</c:v>
                </c:pt>
                <c:pt idx="642">
                  <c:v>15450558.70610995</c:v>
                </c:pt>
                <c:pt idx="643">
                  <c:v>13904302.797764134</c:v>
                </c:pt>
                <c:pt idx="644">
                  <c:v>12151066.496012116</c:v>
                </c:pt>
                <c:pt idx="645">
                  <c:v>10162253.988090966</c:v>
                </c:pt>
                <c:pt idx="646">
                  <c:v>7902977.1724073654</c:v>
                </c:pt>
                <c:pt idx="647">
                  <c:v>5334990.3344894024</c:v>
                </c:pt>
                <c:pt idx="648">
                  <c:v>2437480.6612698464</c:v>
                </c:pt>
                <c:pt idx="649">
                  <c:v>-685728.60931616451</c:v>
                </c:pt>
                <c:pt idx="650">
                  <c:v>-3385062.3106262651</c:v>
                </c:pt>
                <c:pt idx="651">
                  <c:v>-4295449.3327955017</c:v>
                </c:pt>
                <c:pt idx="652">
                  <c:v>-3083330.344883007</c:v>
                </c:pt>
                <c:pt idx="653">
                  <c:v>-849346.84943088237</c:v>
                </c:pt>
                <c:pt idx="654">
                  <c:v>1576871.8827722545</c:v>
                </c:pt>
                <c:pt idx="655">
                  <c:v>3914959.854831093</c:v>
                </c:pt>
                <c:pt idx="656">
                  <c:v>6083587.7590411836</c:v>
                </c:pt>
                <c:pt idx="657">
                  <c:v>8063045.3606264405</c:v>
                </c:pt>
                <c:pt idx="658">
                  <c:v>9853349.5010241475</c:v>
                </c:pt>
                <c:pt idx="659">
                  <c:v>11460685.052093739</c:v>
                </c:pt>
                <c:pt idx="660">
                  <c:v>12892675.356612762</c:v>
                </c:pt>
                <c:pt idx="661">
                  <c:v>14156671.015268931</c:v>
                </c:pt>
                <c:pt idx="662">
                  <c:v>15259149.110474912</c:v>
                </c:pt>
                <c:pt idx="663">
                  <c:v>16205537.81248465</c:v>
                </c:pt>
                <c:pt idx="664">
                  <c:v>17000202.621008582</c:v>
                </c:pt>
                <c:pt idx="665">
                  <c:v>17646487.571707431</c:v>
                </c:pt>
                <c:pt idx="666">
                  <c:v>18146766.940614346</c:v>
                </c:pt>
                <c:pt idx="667">
                  <c:v>18502488.613854323</c:v>
                </c:pt>
                <c:pt idx="668">
                  <c:v>18714200.980770398</c:v>
                </c:pt>
                <c:pt idx="669">
                  <c:v>18781559.48039427</c:v>
                </c:pt>
                <c:pt idx="670">
                  <c:v>18703310.306079447</c:v>
                </c:pt>
                <c:pt idx="671">
                  <c:v>18477248.754084725</c:v>
                </c:pt>
                <c:pt idx="672">
                  <c:v>18100148.947414167</c:v>
                </c:pt>
                <c:pt idx="673">
                  <c:v>17567660.498039246</c:v>
                </c:pt>
                <c:pt idx="674">
                  <c:v>16874166.359451376</c:v>
                </c:pt>
                <c:pt idx="675">
                  <c:v>16012595.192652427</c:v>
                </c:pt>
                <c:pt idx="676">
                  <c:v>14974182.418957058</c:v>
                </c:pt>
                <c:pt idx="677">
                  <c:v>13748180.633655671</c:v>
                </c:pt>
                <c:pt idx="678">
                  <c:v>12321543.111950411</c:v>
                </c:pt>
                <c:pt idx="679">
                  <c:v>10678675.551271914</c:v>
                </c:pt>
                <c:pt idx="680">
                  <c:v>8801568.9689953774</c:v>
                </c:pt>
                <c:pt idx="681">
                  <c:v>6671316.6383015392</c:v>
                </c:pt>
                <c:pt idx="682">
                  <c:v>4274368.990321001</c:v>
                </c:pt>
                <c:pt idx="683">
                  <c:v>1625667.983324291</c:v>
                </c:pt>
                <c:pt idx="684">
                  <c:v>-1144409.167114045</c:v>
                </c:pt>
                <c:pt idx="685">
                  <c:v>-3493271.7283253656</c:v>
                </c:pt>
                <c:pt idx="686">
                  <c:v>-4174473.9121476943</c:v>
                </c:pt>
                <c:pt idx="687">
                  <c:v>-2627329.1593245892</c:v>
                </c:pt>
                <c:pt idx="688">
                  <c:v>107562.96716531669</c:v>
                </c:pt>
                <c:pt idx="689">
                  <c:v>2945700.7256169803</c:v>
                </c:pt>
                <c:pt idx="690">
                  <c:v>5519333.7623174507</c:v>
                </c:pt>
                <c:pt idx="691">
                  <c:v>7752395.629160461</c:v>
                </c:pt>
                <c:pt idx="692">
                  <c:v>9647148.6180414464</c:v>
                </c:pt>
                <c:pt idx="693">
                  <c:v>11224029.332949778</c:v>
                </c:pt>
                <c:pt idx="694">
                  <c:v>12505283.726121666</c:v>
                </c:pt>
                <c:pt idx="695">
                  <c:v>13510624.914599193</c:v>
                </c:pt>
                <c:pt idx="696">
                  <c:v>14256351.397962749</c:v>
                </c:pt>
                <c:pt idx="697">
                  <c:v>14755459.013648581</c:v>
                </c:pt>
                <c:pt idx="698">
                  <c:v>15017992.447352244</c:v>
                </c:pt>
                <c:pt idx="699">
                  <c:v>15051403.007989297</c:v>
                </c:pt>
                <c:pt idx="700">
                  <c:v>14860847.441703295</c:v>
                </c:pt>
                <c:pt idx="701">
                  <c:v>14449419.015428543</c:v>
                </c:pt>
                <c:pt idx="702">
                  <c:v>13818323.086837554</c:v>
                </c:pt>
                <c:pt idx="703">
                  <c:v>12967022.407756366</c:v>
                </c:pt>
                <c:pt idx="704">
                  <c:v>11893397.084420128</c:v>
                </c:pt>
                <c:pt idx="705">
                  <c:v>10594007.683969529</c:v>
                </c:pt>
                <c:pt idx="706">
                  <c:v>9064654.1315093394</c:v>
                </c:pt>
                <c:pt idx="707">
                  <c:v>7301683.5873629441</c:v>
                </c:pt>
                <c:pt idx="708">
                  <c:v>5305193.1481426815</c:v>
                </c:pt>
                <c:pt idx="709">
                  <c:v>3087262.9867384434</c:v>
                </c:pt>
                <c:pt idx="710">
                  <c:v>694577.65187747567</c:v>
                </c:pt>
                <c:pt idx="711">
                  <c:v>-1724721.085178633</c:v>
                </c:pt>
                <c:pt idx="712">
                  <c:v>-3725919.8273243415</c:v>
                </c:pt>
                <c:pt idx="713">
                  <c:v>-4274597.9130642796</c:v>
                </c:pt>
                <c:pt idx="714">
                  <c:v>-2579152.4765549828</c:v>
                </c:pt>
                <c:pt idx="715">
                  <c:v>533406.17345249932</c:v>
                </c:pt>
                <c:pt idx="716">
                  <c:v>3683901.0675369548</c:v>
                </c:pt>
                <c:pt idx="717">
                  <c:v>6324593.3554388043</c:v>
                </c:pt>
                <c:pt idx="718">
                  <c:v>8383378.2270995658</c:v>
                </c:pt>
                <c:pt idx="719">
                  <c:v>9903753.3090704549</c:v>
                </c:pt>
                <c:pt idx="720">
                  <c:v>10944184.156711398</c:v>
                </c:pt>
                <c:pt idx="721">
                  <c:v>11556381.454657042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06-4AA8-9968-1903D04F824F}"/>
            </c:ext>
          </c:extLst>
        </c:ser>
        <c:ser>
          <c:idx val="1"/>
          <c:order val="1"/>
          <c:tx>
            <c:v>Inicia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Hoja1!$E$9:$E$11</c:f>
              <c:numCache>
                <c:formatCode>#,##0.00" m"</c:formatCode>
                <c:ptCount val="3"/>
                <c:pt idx="0">
                  <c:v>110000000</c:v>
                </c:pt>
                <c:pt idx="1">
                  <c:v>109423131.80161601</c:v>
                </c:pt>
                <c:pt idx="2">
                  <c:v>108844520.34674314</c:v>
                </c:pt>
              </c:numCache>
            </c:numRef>
          </c:xVal>
          <c:yVal>
            <c:numRef>
              <c:f>Hoja1!$F$9:$F$11</c:f>
              <c:numCache>
                <c:formatCode>#,##0.00" m"</c:formatCode>
                <c:ptCount val="3"/>
                <c:pt idx="0">
                  <c:v>100000000</c:v>
                </c:pt>
                <c:pt idx="1">
                  <c:v>99671609.951383322</c:v>
                </c:pt>
                <c:pt idx="2">
                  <c:v>99341631.987268761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06-4AA8-9968-1903D04F824F}"/>
            </c:ext>
          </c:extLst>
        </c:ser>
        <c:ser>
          <c:idx val="2"/>
          <c:order val="2"/>
          <c:tx>
            <c:v>Velocidad Máxima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Hoja1!$E$143:$E$159</c:f>
              <c:numCache>
                <c:formatCode>#,##0.00" m"</c:formatCode>
                <c:ptCount val="17"/>
                <c:pt idx="0">
                  <c:v>3587539.0230375044</c:v>
                </c:pt>
                <c:pt idx="1">
                  <c:v>2252903.8795772595</c:v>
                </c:pt>
                <c:pt idx="2">
                  <c:v>902547.16052207805</c:v>
                </c:pt>
                <c:pt idx="3">
                  <c:v>-455527.30782514176</c:v>
                </c:pt>
                <c:pt idx="4">
                  <c:v>-1803509.4232625701</c:v>
                </c:pt>
                <c:pt idx="5">
                  <c:v>-3099937.7732845242</c:v>
                </c:pt>
                <c:pt idx="6">
                  <c:v>-4238261.9774088096</c:v>
                </c:pt>
                <c:pt idx="7">
                  <c:v>-4905430.374029492</c:v>
                </c:pt>
                <c:pt idx="8">
                  <c:v>-4238952.3002946051</c:v>
                </c:pt>
                <c:pt idx="9">
                  <c:v>-1621414.970547389</c:v>
                </c:pt>
                <c:pt idx="10">
                  <c:v>1982407.6555466698</c:v>
                </c:pt>
                <c:pt idx="11">
                  <c:v>5401695.5672931466</c:v>
                </c:pt>
                <c:pt idx="12">
                  <c:v>8440893.1503500417</c:v>
                </c:pt>
                <c:pt idx="13">
                  <c:v>11157596.098442439</c:v>
                </c:pt>
                <c:pt idx="14">
                  <c:v>13619063.55409755</c:v>
                </c:pt>
                <c:pt idx="15">
                  <c:v>15876322.971942175</c:v>
                </c:pt>
                <c:pt idx="16">
                  <c:v>17966519.328365877</c:v>
                </c:pt>
              </c:numCache>
            </c:numRef>
          </c:xVal>
          <c:yVal>
            <c:numRef>
              <c:f>Hoja1!$F$143:$F$159</c:f>
              <c:numCache>
                <c:formatCode>#,##0.00" m"</c:formatCode>
                <c:ptCount val="17"/>
                <c:pt idx="0">
                  <c:v>20846162.154961504</c:v>
                </c:pt>
                <c:pt idx="1">
                  <c:v>19089138.863349278</c:v>
                </c:pt>
                <c:pt idx="2">
                  <c:v>17191593.09391408</c:v>
                </c:pt>
                <c:pt idx="3">
                  <c:v>15117281.435224462</c:v>
                </c:pt>
                <c:pt idx="4">
                  <c:v>12812636.290322274</c:v>
                </c:pt>
                <c:pt idx="5">
                  <c:v>10194314.170345336</c:v>
                </c:pt>
                <c:pt idx="6">
                  <c:v>7127455.6693484848</c:v>
                </c:pt>
                <c:pt idx="7">
                  <c:v>3416786.1331794844</c:v>
                </c:pt>
                <c:pt idx="8">
                  <c:v>-864317.9530211488</c:v>
                </c:pt>
                <c:pt idx="9">
                  <c:v>-4464063.5559252826</c:v>
                </c:pt>
                <c:pt idx="10">
                  <c:v>-6367415.0929391487</c:v>
                </c:pt>
                <c:pt idx="11">
                  <c:v>-7062094.3503443021</c:v>
                </c:pt>
                <c:pt idx="12">
                  <c:v>-7180694.7197593916</c:v>
                </c:pt>
                <c:pt idx="13">
                  <c:v>-7005173.3143356973</c:v>
                </c:pt>
                <c:pt idx="14">
                  <c:v>-6662433.3176271087</c:v>
                </c:pt>
                <c:pt idx="15">
                  <c:v>-6216745.5523418942</c:v>
                </c:pt>
                <c:pt idx="16">
                  <c:v>-5704097.9301936533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06-4AA8-9968-1903D04F8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81296"/>
        <c:axId val="735677552"/>
      </c:scatterChart>
      <c:valAx>
        <c:axId val="73568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&quot; m&quot;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5677552"/>
        <c:crosses val="autoZero"/>
        <c:crossBetween val="midCat"/>
      </c:valAx>
      <c:valAx>
        <c:axId val="73567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&quot; m&quot;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568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Trayectoria del Meteorito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'Hoja1 (2)'!$B$8:$B$728</c:f>
              <c:numCache>
                <c:formatCode>#,##0.00</c:formatCode>
                <c:ptCount val="721"/>
                <c:pt idx="0">
                  <c:v>110000000</c:v>
                </c:pt>
                <c:pt idx="1">
                  <c:v>109423131.80161601</c:v>
                </c:pt>
                <c:pt idx="2">
                  <c:v>108844520.34674314</c:v>
                </c:pt>
                <c:pt idx="3">
                  <c:v>108264151.8095919</c:v>
                </c:pt>
                <c:pt idx="4">
                  <c:v>107682012.14927393</c:v>
                </c:pt>
                <c:pt idx="5">
                  <c:v>107098087.10492304</c:v>
                </c:pt>
                <c:pt idx="6">
                  <c:v>106512362.19067039</c:v>
                </c:pt>
                <c:pt idx="7">
                  <c:v>105924822.69046842</c:v>
                </c:pt>
                <c:pt idx="8">
                  <c:v>105335453.65275769</c:v>
                </c:pt>
                <c:pt idx="9">
                  <c:v>104744239.88497089</c:v>
                </c:pt>
                <c:pt idx="10">
                  <c:v>104151165.94786771</c:v>
                </c:pt>
                <c:pt idx="11">
                  <c:v>103556216.14969417</c:v>
                </c:pt>
                <c:pt idx="12">
                  <c:v>102959374.54015963</c:v>
                </c:pt>
                <c:pt idx="13">
                  <c:v>102360624.90422429</c:v>
                </c:pt>
                <c:pt idx="14">
                  <c:v>101759950.75569004</c:v>
                </c:pt>
                <c:pt idx="15">
                  <c:v>101157335.33058657</c:v>
                </c:pt>
                <c:pt idx="16">
                  <c:v>100552761.58034489</c:v>
                </c:pt>
                <c:pt idx="17">
                  <c:v>99946212.164749593</c:v>
                </c:pt>
                <c:pt idx="18">
                  <c:v>99337669.444661021</c:v>
                </c:pt>
                <c:pt idx="19">
                  <c:v>98727115.474497974</c:v>
                </c:pt>
                <c:pt idx="20">
                  <c:v>98114531.994471133</c:v>
                </c:pt>
                <c:pt idx="21">
                  <c:v>97499900.422556907</c:v>
                </c:pt>
                <c:pt idx="22">
                  <c:v>96883201.846201017</c:v>
                </c:pt>
                <c:pt idx="23">
                  <c:v>96264417.013740405</c:v>
                </c:pt>
                <c:pt idx="24">
                  <c:v>95643526.325531498</c:v>
                </c:pt>
                <c:pt idx="25">
                  <c:v>95020509.824772522</c:v>
                </c:pt>
                <c:pt idx="26">
                  <c:v>94395347.18800661</c:v>
                </c:pt>
                <c:pt idx="27">
                  <c:v>93768017.715291858</c:v>
                </c:pt>
                <c:pt idx="28">
                  <c:v>93138500.320023909</c:v>
                </c:pt>
                <c:pt idx="29">
                  <c:v>92506773.518395752</c:v>
                </c:pt>
                <c:pt idx="30">
                  <c:v>91872815.418478549</c:v>
                </c:pt>
                <c:pt idx="31">
                  <c:v>91236603.708906695</c:v>
                </c:pt>
                <c:pt idx="32">
                  <c:v>90598115.647149175</c:v>
                </c:pt>
                <c:pt idx="33">
                  <c:v>89957328.047348395</c:v>
                </c:pt>
                <c:pt idx="34">
                  <c:v>89314217.267706633</c:v>
                </c:pt>
                <c:pt idx="35">
                  <c:v>88668759.197399303</c:v>
                </c:pt>
                <c:pt idx="36">
                  <c:v>88020929.242992744</c:v>
                </c:pt>
                <c:pt idx="37">
                  <c:v>87370702.314343378</c:v>
                </c:pt>
                <c:pt idx="38">
                  <c:v>86718052.809953466</c:v>
                </c:pt>
                <c:pt idx="39">
                  <c:v>86062954.601757467</c:v>
                </c:pt>
                <c:pt idx="40">
                  <c:v>85405381.019311503</c:v>
                </c:pt>
                <c:pt idx="41">
                  <c:v>84745304.833356664</c:v>
                </c:pt>
                <c:pt idx="42">
                  <c:v>84082698.238725469</c:v>
                </c:pt>
                <c:pt idx="43">
                  <c:v>83417532.83655861</c:v>
                </c:pt>
                <c:pt idx="44">
                  <c:v>82749779.615797609</c:v>
                </c:pt>
                <c:pt idx="45">
                  <c:v>82079408.933916479</c:v>
                </c:pt>
                <c:pt idx="46">
                  <c:v>81406390.496853605</c:v>
                </c:pt>
                <c:pt idx="47">
                  <c:v>80730693.338102445</c:v>
                </c:pt>
                <c:pt idx="48">
                  <c:v>80052285.796917275</c:v>
                </c:pt>
                <c:pt idx="49">
                  <c:v>79371135.495587304</c:v>
                </c:pt>
                <c:pt idx="50">
                  <c:v>78687209.315729633</c:v>
                </c:pt>
                <c:pt idx="51">
                  <c:v>78000473.373548403</c:v>
                </c:pt>
                <c:pt idx="52">
                  <c:v>77310892.994003966</c:v>
                </c:pt>
                <c:pt idx="53">
                  <c:v>76618432.683832407</c:v>
                </c:pt>
                <c:pt idx="54">
                  <c:v>75923056.103351727</c:v>
                </c:pt>
                <c:pt idx="55">
                  <c:v>75224726.036986813</c:v>
                </c:pt>
                <c:pt idx="56">
                  <c:v>74523404.362440765</c:v>
                </c:pt>
                <c:pt idx="57">
                  <c:v>73819052.01843527</c:v>
                </c:pt>
                <c:pt idx="58">
                  <c:v>73111628.970937416</c:v>
                </c:pt>
                <c:pt idx="59">
                  <c:v>72401094.177784488</c:v>
                </c:pt>
                <c:pt idx="60">
                  <c:v>71687405.551612452</c:v>
                </c:pt>
                <c:pt idx="61">
                  <c:v>70970519.920986786</c:v>
                </c:pt>
                <c:pt idx="62">
                  <c:v>70250392.989627302</c:v>
                </c:pt>
                <c:pt idx="63">
                  <c:v>69526979.293610692</c:v>
                </c:pt>
                <c:pt idx="64">
                  <c:v>68800232.156426236</c:v>
                </c:pt>
                <c:pt idx="65">
                  <c:v>68070103.641750544</c:v>
                </c:pt>
                <c:pt idx="66">
                  <c:v>67336544.503797591</c:v>
                </c:pt>
                <c:pt idx="67">
                  <c:v>66599504.135089181</c:v>
                </c:pt>
                <c:pt idx="68">
                  <c:v>65858930.511479281</c:v>
                </c:pt>
                <c:pt idx="69">
                  <c:v>65114770.134252831</c:v>
                </c:pt>
                <c:pt idx="70">
                  <c:v>64366967.96910543</c:v>
                </c:pt>
                <c:pt idx="71">
                  <c:v>63615467.381795265</c:v>
                </c:pt>
                <c:pt idx="72">
                  <c:v>62860210.070241712</c:v>
                </c:pt>
                <c:pt idx="73">
                  <c:v>62101135.992826991</c:v>
                </c:pt>
                <c:pt idx="74">
                  <c:v>61338183.292637058</c:v>
                </c:pt>
                <c:pt idx="75">
                  <c:v>60571288.217356339</c:v>
                </c:pt>
                <c:pt idx="76">
                  <c:v>59800385.034506679</c:v>
                </c:pt>
                <c:pt idx="77">
                  <c:v>59025405.941694722</c:v>
                </c:pt>
                <c:pt idx="78">
                  <c:v>58246280.971503049</c:v>
                </c:pt>
                <c:pt idx="79">
                  <c:v>57462937.890628561</c:v>
                </c:pt>
                <c:pt idx="80">
                  <c:v>56675302.092836693</c:v>
                </c:pt>
                <c:pt idx="81">
                  <c:v>55883296.4852615</c:v>
                </c:pt>
                <c:pt idx="82">
                  <c:v>55086841.367539145</c:v>
                </c:pt>
                <c:pt idx="83">
                  <c:v>54285854.303215377</c:v>
                </c:pt>
                <c:pt idx="84">
                  <c:v>53480249.982815705</c:v>
                </c:pt>
                <c:pt idx="85">
                  <c:v>52669940.077909589</c:v>
                </c:pt>
                <c:pt idx="86">
                  <c:v>51854833.085436262</c:v>
                </c:pt>
                <c:pt idx="87">
                  <c:v>51034834.161489286</c:v>
                </c:pt>
                <c:pt idx="88">
                  <c:v>50209844.943678625</c:v>
                </c:pt>
                <c:pt idx="89">
                  <c:v>49379763.361101866</c:v>
                </c:pt>
                <c:pt idx="90">
                  <c:v>48544483.430859365</c:v>
                </c:pt>
                <c:pt idx="91">
                  <c:v>47703895.039940223</c:v>
                </c:pt>
                <c:pt idx="92">
                  <c:v>46857883.711185686</c:v>
                </c:pt>
                <c:pt idx="93">
                  <c:v>46006330.351902343</c:v>
                </c:pt>
                <c:pt idx="94">
                  <c:v>45149110.983547725</c:v>
                </c:pt>
                <c:pt idx="95">
                  <c:v>44286096.450743377</c:v>
                </c:pt>
                <c:pt idx="96">
                  <c:v>43417152.10768342</c:v>
                </c:pt>
                <c:pt idx="97">
                  <c:v>42542137.47979708</c:v>
                </c:pt>
                <c:pt idx="98">
                  <c:v>41660905.89828971</c:v>
                </c:pt>
                <c:pt idx="99">
                  <c:v>40773304.104924604</c:v>
                </c:pt>
                <c:pt idx="100">
                  <c:v>39879171.824115299</c:v>
                </c:pt>
                <c:pt idx="101">
                  <c:v>38978341.299070589</c:v>
                </c:pt>
                <c:pt idx="102">
                  <c:v>38070636.788369723</c:v>
                </c:pt>
                <c:pt idx="103">
                  <c:v>37155874.01893881</c:v>
                </c:pt>
                <c:pt idx="104">
                  <c:v>36233859.590948783</c:v>
                </c:pt>
                <c:pt idx="105">
                  <c:v>35304390.329657115</c:v>
                </c:pt>
                <c:pt idx="106">
                  <c:v>34367252.578668945</c:v>
                </c:pt>
                <c:pt idx="107">
                  <c:v>33422221.428498466</c:v>
                </c:pt>
                <c:pt idx="108">
                  <c:v>32469059.873672474</c:v>
                </c:pt>
                <c:pt idx="109">
                  <c:v>31507517.890944384</c:v>
                </c:pt>
                <c:pt idx="110">
                  <c:v>30537331.430496395</c:v>
                </c:pt>
                <c:pt idx="111">
                  <c:v>29558221.311331362</c:v>
                </c:pt>
                <c:pt idx="112">
                  <c:v>28569892.011445414</c:v>
                </c:pt>
                <c:pt idx="113">
                  <c:v>27572030.342910808</c:v>
                </c:pt>
                <c:pt idx="114">
                  <c:v>26564304.001816679</c:v>
                </c:pt>
                <c:pt idx="115">
                  <c:v>25546359.983318679</c:v>
                </c:pt>
                <c:pt idx="116">
                  <c:v>24517822.85315698</c:v>
                </c:pt>
                <c:pt idx="117">
                  <c:v>23478292.869414039</c:v>
                </c:pt>
                <c:pt idx="118">
                  <c:v>22427343.952776484</c:v>
                </c:pt>
                <c:pt idx="119">
                  <c:v>21364521.511358935</c:v>
                </c:pt>
                <c:pt idx="120">
                  <c:v>20289340.139165532</c:v>
                </c:pt>
                <c:pt idx="121">
                  <c:v>19201281.228571862</c:v>
                </c:pt>
                <c:pt idx="122">
                  <c:v>18099790.571736895</c:v>
                </c:pt>
                <c:pt idx="123">
                  <c:v>16984276.081639055</c:v>
                </c:pt>
                <c:pt idx="124">
                  <c:v>15854105.853765957</c:v>
                </c:pt>
                <c:pt idx="125">
                  <c:v>14708606.936730586</c:v>
                </c:pt>
                <c:pt idx="126">
                  <c:v>13547065.42256189</c:v>
                </c:pt>
                <c:pt idx="127">
                  <c:v>12368728.872249994</c:v>
                </c:pt>
                <c:pt idx="128">
                  <c:v>11172812.77978915</c:v>
                </c:pt>
                <c:pt idx="129">
                  <c:v>9958513.9707309995</c:v>
                </c:pt>
                <c:pt idx="130">
                  <c:v>8725035.9522989355</c:v>
                </c:pt>
                <c:pt idx="131">
                  <c:v>7471635.1163258366</c:v>
                </c:pt>
                <c:pt idx="132">
                  <c:v>6197704.0597670488</c:v>
                </c:pt>
                <c:pt idx="133">
                  <c:v>4902922.8281813674</c:v>
                </c:pt>
                <c:pt idx="134">
                  <c:v>3587539.0230375044</c:v>
                </c:pt>
                <c:pt idx="135">
                  <c:v>2252903.8795772595</c:v>
                </c:pt>
                <c:pt idx="136">
                  <c:v>902547.16052207816</c:v>
                </c:pt>
                <c:pt idx="137">
                  <c:v>-455527.30782514159</c:v>
                </c:pt>
                <c:pt idx="138">
                  <c:v>-1803509.4232625701</c:v>
                </c:pt>
                <c:pt idx="139">
                  <c:v>-3099937.7732845242</c:v>
                </c:pt>
                <c:pt idx="140">
                  <c:v>-4238261.9774088096</c:v>
                </c:pt>
                <c:pt idx="141">
                  <c:v>-4905430.374029492</c:v>
                </c:pt>
                <c:pt idx="142">
                  <c:v>-4238952.3002946051</c:v>
                </c:pt>
                <c:pt idx="143">
                  <c:v>-1621414.9705473892</c:v>
                </c:pt>
                <c:pt idx="144">
                  <c:v>1982407.6555466694</c:v>
                </c:pt>
                <c:pt idx="145">
                  <c:v>5401695.5672931457</c:v>
                </c:pt>
                <c:pt idx="146">
                  <c:v>8440893.1503500417</c:v>
                </c:pt>
                <c:pt idx="147">
                  <c:v>11157596.098442439</c:v>
                </c:pt>
                <c:pt idx="148">
                  <c:v>13619063.554097552</c:v>
                </c:pt>
                <c:pt idx="149">
                  <c:v>15876322.971942179</c:v>
                </c:pt>
                <c:pt idx="150">
                  <c:v>17966519.328365881</c:v>
                </c:pt>
                <c:pt idx="151">
                  <c:v>19917057.477345206</c:v>
                </c:pt>
                <c:pt idx="152">
                  <c:v>21748637.864864737</c:v>
                </c:pt>
                <c:pt idx="153">
                  <c:v>23477272.402697127</c:v>
                </c:pt>
                <c:pt idx="154">
                  <c:v>25115616.081716359</c:v>
                </c:pt>
                <c:pt idx="155">
                  <c:v>26673862.086129289</c:v>
                </c:pt>
                <c:pt idx="156">
                  <c:v>28160357.564260278</c:v>
                </c:pt>
                <c:pt idx="157">
                  <c:v>29582037.304939754</c:v>
                </c:pt>
                <c:pt idx="158">
                  <c:v>30944736.008229904</c:v>
                </c:pt>
                <c:pt idx="159">
                  <c:v>32253417.746542532</c:v>
                </c:pt>
                <c:pt idx="160">
                  <c:v>33512347.704859983</c:v>
                </c:pt>
                <c:pt idx="161">
                  <c:v>34725222.871521331</c:v>
                </c:pt>
                <c:pt idx="162">
                  <c:v>35895272.993336305</c:v>
                </c:pt>
                <c:pt idx="163">
                  <c:v>37025339.625386082</c:v>
                </c:pt>
                <c:pt idx="164">
                  <c:v>38117938.794487335</c:v>
                </c:pt>
                <c:pt idx="165">
                  <c:v>39175311.231938913</c:v>
                </c:pt>
                <c:pt idx="166">
                  <c:v>40199463.054715373</c:v>
                </c:pt>
                <c:pt idx="167">
                  <c:v>41192199.020699568</c:v>
                </c:pt>
                <c:pt idx="168">
                  <c:v>42155149.947855279</c:v>
                </c:pt>
                <c:pt idx="169">
                  <c:v>43089795.500986509</c:v>
                </c:pt>
                <c:pt idx="170">
                  <c:v>43997483.267535008</c:v>
                </c:pt>
                <c:pt idx="171">
                  <c:v>44879444.835162885</c:v>
                </c:pt>
                <c:pt idx="172">
                  <c:v>45736809.427750945</c:v>
                </c:pt>
                <c:pt idx="173">
                  <c:v>46570615.538423143</c:v>
                </c:pt>
                <c:pt idx="174">
                  <c:v>47381820.908102527</c:v>
                </c:pt>
                <c:pt idx="175">
                  <c:v>48171311.128673807</c:v>
                </c:pt>
                <c:pt idx="176">
                  <c:v>48939907.095864914</c:v>
                </c:pt>
                <c:pt idx="177">
                  <c:v>49688371.494677737</c:v>
                </c:pt>
                <c:pt idx="178">
                  <c:v>50417414.466815002</c:v>
                </c:pt>
                <c:pt idx="179">
                  <c:v>51127698.583004177</c:v>
                </c:pt>
                <c:pt idx="180">
                  <c:v>51819843.221866675</c:v>
                </c:pt>
                <c:pt idx="181">
                  <c:v>52494428.439857379</c:v>
                </c:pt>
                <c:pt idx="182">
                  <c:v>53151998.402919881</c:v>
                </c:pt>
                <c:pt idx="183">
                  <c:v>53793064.439188063</c:v>
                </c:pt>
                <c:pt idx="184">
                  <c:v>54418107.762790725</c:v>
                </c:pt>
                <c:pt idx="185">
                  <c:v>55027581.911175609</c:v>
                </c:pt>
                <c:pt idx="186">
                  <c:v>55621914.932044029</c:v>
                </c:pt>
                <c:pt idx="187">
                  <c:v>56201511.350726351</c:v>
                </c:pt>
                <c:pt idx="188">
                  <c:v>56766753.944433562</c:v>
                </c:pt>
                <c:pt idx="189">
                  <c:v>57318005.346132882</c:v>
                </c:pt>
                <c:pt idx="190">
                  <c:v>57855609.497689538</c:v>
                </c:pt>
                <c:pt idx="191">
                  <c:v>58379892.969290443</c:v>
                </c:pt>
                <c:pt idx="192">
                  <c:v>58891166.15993657</c:v>
                </c:pt>
                <c:pt idx="193">
                  <c:v>59389724.391892366</c:v>
                </c:pt>
                <c:pt idx="194">
                  <c:v>59875848.910358146</c:v>
                </c:pt>
                <c:pt idx="195">
                  <c:v>60349807.798240386</c:v>
                </c:pt>
                <c:pt idx="196">
                  <c:v>60811856.814698637</c:v>
                </c:pt>
                <c:pt idx="197">
                  <c:v>61262240.165115587</c:v>
                </c:pt>
                <c:pt idx="198">
                  <c:v>61701191.209244318</c:v>
                </c:pt>
                <c:pt idx="199">
                  <c:v>62128933.113512091</c:v>
                </c:pt>
                <c:pt idx="200">
                  <c:v>62545679.452786498</c:v>
                </c:pt>
                <c:pt idx="201">
                  <c:v>62951634.766322315</c:v>
                </c:pt>
                <c:pt idx="202">
                  <c:v>63346995.072093785</c:v>
                </c:pt>
                <c:pt idx="203">
                  <c:v>63731948.343267113</c:v>
                </c:pt>
                <c:pt idx="204">
                  <c:v>64106674.950172558</c:v>
                </c:pt>
                <c:pt idx="205">
                  <c:v>64471348.070787624</c:v>
                </c:pt>
                <c:pt idx="206">
                  <c:v>64826134.072435856</c:v>
                </c:pt>
                <c:pt idx="207">
                  <c:v>65171192.86713437</c:v>
                </c:pt>
                <c:pt idx="208">
                  <c:v>65506678.242782854</c:v>
                </c:pt>
                <c:pt idx="209">
                  <c:v>65832738.172173426</c:v>
                </c:pt>
                <c:pt idx="210">
                  <c:v>66149515.10161107</c:v>
                </c:pt>
                <c:pt idx="211">
                  <c:v>66457146.220765263</c:v>
                </c:pt>
                <c:pt idx="212">
                  <c:v>66755763.715222657</c:v>
                </c:pt>
                <c:pt idx="213">
                  <c:v>67045495.003075823</c:v>
                </c:pt>
                <c:pt idx="214">
                  <c:v>67326462.956762254</c:v>
                </c:pt>
                <c:pt idx="215">
                  <c:v>67598786.111259654</c:v>
                </c:pt>
                <c:pt idx="216">
                  <c:v>67862578.859646082</c:v>
                </c:pt>
                <c:pt idx="217">
                  <c:v>68117951.636946142</c:v>
                </c:pt>
                <c:pt idx="218">
                  <c:v>68365011.093105391</c:v>
                </c:pt>
                <c:pt idx="219">
                  <c:v>68603860.255864128</c:v>
                </c:pt>
                <c:pt idx="220">
                  <c:v>68834598.684237182</c:v>
                </c:pt>
                <c:pt idx="221">
                  <c:v>69057322.613248363</c:v>
                </c:pt>
                <c:pt idx="222">
                  <c:v>69272125.090515256</c:v>
                </c:pt>
                <c:pt idx="223">
                  <c:v>69479096.105232477</c:v>
                </c:pt>
                <c:pt idx="224">
                  <c:v>69678322.710057646</c:v>
                </c:pt>
                <c:pt idx="225">
                  <c:v>69869889.13636528</c:v>
                </c:pt>
                <c:pt idx="226">
                  <c:v>70053876.90329732</c:v>
                </c:pt>
                <c:pt idx="227">
                  <c:v>70230364.921006575</c:v>
                </c:pt>
                <c:pt idx="228">
                  <c:v>70399429.588459045</c:v>
                </c:pt>
                <c:pt idx="229">
                  <c:v>70561144.886134043</c:v>
                </c:pt>
                <c:pt idx="230">
                  <c:v>70715582.463935748</c:v>
                </c:pt>
                <c:pt idx="231">
                  <c:v>70862811.724606872</c:v>
                </c:pt>
                <c:pt idx="232">
                  <c:v>71002899.902914256</c:v>
                </c:pt>
                <c:pt idx="233">
                  <c:v>71135912.140856773</c:v>
                </c:pt>
                <c:pt idx="234">
                  <c:v>71261911.55912815</c:v>
                </c:pt>
                <c:pt idx="235">
                  <c:v>71380959.325051159</c:v>
                </c:pt>
                <c:pt idx="236">
                  <c:v>71493114.717184395</c:v>
                </c:pt>
                <c:pt idx="237">
                  <c:v>71598435.186789304</c:v>
                </c:pt>
                <c:pt idx="238">
                  <c:v>71696976.416332036</c:v>
                </c:pt>
                <c:pt idx="239">
                  <c:v>71788792.375183225</c:v>
                </c:pt>
                <c:pt idx="240">
                  <c:v>71873935.372667685</c:v>
                </c:pt>
                <c:pt idx="241">
                  <c:v>71952456.108606115</c:v>
                </c:pt>
                <c:pt idx="242">
                  <c:v>72024403.721481457</c:v>
                </c:pt>
                <c:pt idx="243">
                  <c:v>72089825.834354043</c:v>
                </c:pt>
                <c:pt idx="244">
                  <c:v>72148768.598641485</c:v>
                </c:pt>
                <c:pt idx="245">
                  <c:v>72201276.73587209</c:v>
                </c:pt>
                <c:pt idx="246">
                  <c:v>72247393.577513501</c:v>
                </c:pt>
                <c:pt idx="247">
                  <c:v>72287161.102971792</c:v>
                </c:pt>
                <c:pt idx="248">
                  <c:v>72320619.975850582</c:v>
                </c:pt>
                <c:pt idx="249">
                  <c:v>72347809.578553796</c:v>
                </c:pt>
                <c:pt idx="250">
                  <c:v>72368768.04531081</c:v>
                </c:pt>
                <c:pt idx="251">
                  <c:v>72383532.293697774</c:v>
                </c:pt>
                <c:pt idx="252">
                  <c:v>72392138.05472438</c:v>
                </c:pt>
                <c:pt idx="253">
                  <c:v>72394619.901551232</c:v>
                </c:pt>
                <c:pt idx="254">
                  <c:v>72391011.276898891</c:v>
                </c:pt>
                <c:pt idx="255">
                  <c:v>72381344.519206092</c:v>
                </c:pt>
                <c:pt idx="256">
                  <c:v>72365650.887591198</c:v>
                </c:pt>
                <c:pt idx="257">
                  <c:v>72343960.58566758</c:v>
                </c:pt>
                <c:pt idx="258">
                  <c:v>72316302.784260765</c:v>
                </c:pt>
                <c:pt idx="259">
                  <c:v>72282705.643072113</c:v>
                </c:pt>
                <c:pt idx="260">
                  <c:v>72243196.331331417</c:v>
                </c:pt>
                <c:pt idx="261">
                  <c:v>72197801.047477886</c:v>
                </c:pt>
                <c:pt idx="262">
                  <c:v>72146545.037907064</c:v>
                </c:pt>
                <c:pt idx="263">
                  <c:v>72089452.614818528</c:v>
                </c:pt>
                <c:pt idx="264">
                  <c:v>72026547.173197508</c:v>
                </c:pt>
                <c:pt idx="265">
                  <c:v>71957851.206961259</c:v>
                </c:pt>
                <c:pt idx="266">
                  <c:v>71883386.324299335</c:v>
                </c:pt>
                <c:pt idx="267">
                  <c:v>71803173.262234956</c:v>
                </c:pt>
                <c:pt idx="268">
                  <c:v>71717231.900433123</c:v>
                </c:pt>
                <c:pt idx="269">
                  <c:v>71625581.27427949</c:v>
                </c:pt>
                <c:pt idx="270">
                  <c:v>71528239.587252244</c:v>
                </c:pt>
                <c:pt idx="271">
                  <c:v>71425224.222608149</c:v>
                </c:pt>
                <c:pt idx="272">
                  <c:v>71316551.75440231</c:v>
                </c:pt>
                <c:pt idx="273">
                  <c:v>71202237.957859784</c:v>
                </c:pt>
                <c:pt idx="274">
                  <c:v>71082297.819116235</c:v>
                </c:pt>
                <c:pt idx="275">
                  <c:v>70956745.544343129</c:v>
                </c:pt>
                <c:pt idx="276">
                  <c:v>70825594.568272382</c:v>
                </c:pt>
                <c:pt idx="277">
                  <c:v>70688857.562133625</c:v>
                </c:pt>
                <c:pt idx="278">
                  <c:v>70546546.441016644</c:v>
                </c:pt>
                <c:pt idx="279">
                  <c:v>70398672.370670319</c:v>
                </c:pt>
                <c:pt idx="280">
                  <c:v>70245245.773748368</c:v>
                </c:pt>
                <c:pt idx="281">
                  <c:v>70086276.335511163</c:v>
                </c:pt>
                <c:pt idx="282">
                  <c:v>69921773.008992091</c:v>
                </c:pt>
                <c:pt idx="283">
                  <c:v>69751744.019635886</c:v>
                </c:pt>
                <c:pt idx="284">
                  <c:v>69576196.869415402</c:v>
                </c:pt>
                <c:pt idx="285">
                  <c:v>69395138.340432569</c:v>
                </c:pt>
                <c:pt idx="286">
                  <c:v>69208574.498008192</c:v>
                </c:pt>
                <c:pt idx="287">
                  <c:v>69016510.693264544</c:v>
                </c:pt>
                <c:pt idx="288">
                  <c:v>68818951.565203726</c:v>
                </c:pt>
                <c:pt idx="289">
                  <c:v>68615901.042284042</c:v>
                </c:pt>
                <c:pt idx="290">
                  <c:v>68407362.343495682</c:v>
                </c:pt>
                <c:pt idx="291">
                  <c:v>68193337.978936195</c:v>
                </c:pt>
                <c:pt idx="292">
                  <c:v>67973829.749885455</c:v>
                </c:pt>
                <c:pt idx="293">
                  <c:v>67748838.748378828</c:v>
                </c:pt>
                <c:pt idx="294">
                  <c:v>67518365.356276512</c:v>
                </c:pt>
                <c:pt idx="295">
                  <c:v>67282409.24382624</c:v>
                </c:pt>
                <c:pt idx="296">
                  <c:v>67040969.367715321</c:v>
                </c:pt>
                <c:pt idx="297">
                  <c:v>66794043.968607605</c:v>
                </c:pt>
                <c:pt idx="298">
                  <c:v>66541630.568159558</c:v>
                </c:pt>
                <c:pt idx="299">
                  <c:v>66283725.965509064</c:v>
                </c:pt>
                <c:pt idx="300">
                  <c:v>66020326.233229466</c:v>
                </c:pt>
                <c:pt idx="301">
                  <c:v>65751426.712740421</c:v>
                </c:pt>
                <c:pt idx="302">
                  <c:v>65477022.009166084</c:v>
                </c:pt>
                <c:pt idx="303">
                  <c:v>65197105.985630251</c:v>
                </c:pt>
                <c:pt idx="304">
                  <c:v>64911671.756976858</c:v>
                </c:pt>
                <c:pt idx="305">
                  <c:v>64620711.682903178</c:v>
                </c:pt>
                <c:pt idx="306">
                  <c:v>64324217.360491984</c:v>
                </c:pt>
                <c:pt idx="307">
                  <c:v>64022179.616127595</c:v>
                </c:pt>
                <c:pt idx="308">
                  <c:v>63714588.496779643</c:v>
                </c:pt>
                <c:pt idx="309">
                  <c:v>63401433.260636881</c:v>
                </c:pt>
                <c:pt idx="310">
                  <c:v>63082702.36707221</c:v>
                </c:pt>
                <c:pt idx="311">
                  <c:v>62758383.465918466</c:v>
                </c:pt>
                <c:pt idx="312">
                  <c:v>62428463.386033095</c:v>
                </c:pt>
                <c:pt idx="313">
                  <c:v>62092928.123128228</c:v>
                </c:pt>
                <c:pt idx="314">
                  <c:v>61751762.826841019</c:v>
                </c:pt>
                <c:pt idx="315">
                  <c:v>61404951.787017256</c:v>
                </c:pt>
                <c:pt idx="316">
                  <c:v>61052478.419179477</c:v>
                </c:pt>
                <c:pt idx="317">
                  <c:v>60694325.249148764</c:v>
                </c:pt>
                <c:pt idx="318">
                  <c:v>60330473.89678736</c:v>
                </c:pt>
                <c:pt idx="319">
                  <c:v>59960905.058826946</c:v>
                </c:pt>
                <c:pt idx="320">
                  <c:v>59585598.490745135</c:v>
                </c:pt>
                <c:pt idx="321">
                  <c:v>59204532.987650193</c:v>
                </c:pt>
                <c:pt idx="322">
                  <c:v>58817686.364131257</c:v>
                </c:pt>
                <c:pt idx="323">
                  <c:v>58425035.433028631</c:v>
                </c:pt>
                <c:pt idx="324">
                  <c:v>58026555.983075529</c:v>
                </c:pt>
                <c:pt idx="325">
                  <c:v>57622222.755359553</c:v>
                </c:pt>
                <c:pt idx="326">
                  <c:v>57212009.418548658</c:v>
                </c:pt>
                <c:pt idx="327">
                  <c:v>56795888.542822629</c:v>
                </c:pt>
                <c:pt idx="328">
                  <c:v>56373831.572447285</c:v>
                </c:pt>
                <c:pt idx="329">
                  <c:v>55945808.796924271</c:v>
                </c:pt>
                <c:pt idx="330">
                  <c:v>55511789.320644803</c:v>
                </c:pt>
                <c:pt idx="331">
                  <c:v>55071741.030970976</c:v>
                </c:pt>
                <c:pt idx="332">
                  <c:v>54625630.564662926</c:v>
                </c:pt>
                <c:pt idx="333">
                  <c:v>54173423.27256459</c:v>
                </c:pt>
                <c:pt idx="334">
                  <c:v>53715083.182454899</c:v>
                </c:pt>
                <c:pt idx="335">
                  <c:v>53250572.959964693</c:v>
                </c:pt>
                <c:pt idx="336">
                  <c:v>52779853.867452793</c:v>
                </c:pt>
                <c:pt idx="337">
                  <c:v>52302885.720727168</c:v>
                </c:pt>
                <c:pt idx="338">
                  <c:v>51819626.84348917</c:v>
                </c:pt>
                <c:pt idx="339">
                  <c:v>51330034.019370168</c:v>
                </c:pt>
                <c:pt idx="340">
                  <c:v>50834062.441420533</c:v>
                </c:pt>
                <c:pt idx="341">
                  <c:v>50331665.658900991</c:v>
                </c:pt>
                <c:pt idx="342">
                  <c:v>49822795.521215543</c:v>
                </c:pt>
                <c:pt idx="343">
                  <c:v>49307402.118813321</c:v>
                </c:pt>
                <c:pt idx="344">
                  <c:v>48785433.720874369</c:v>
                </c:pt>
                <c:pt idx="345">
                  <c:v>48256836.709580585</c:v>
                </c:pt>
                <c:pt idx="346">
                  <c:v>47721555.510758378</c:v>
                </c:pt>
                <c:pt idx="347">
                  <c:v>47179532.520663783</c:v>
                </c:pt>
                <c:pt idx="348">
                  <c:v>46630708.028663576</c:v>
                </c:pt>
                <c:pt idx="349">
                  <c:v>46075020.135547437</c:v>
                </c:pt>
                <c:pt idx="350">
                  <c:v>45512404.667186156</c:v>
                </c:pt>
                <c:pt idx="351">
                  <c:v>44942795.083229378</c:v>
                </c:pt>
                <c:pt idx="352">
                  <c:v>44366122.380512945</c:v>
                </c:pt>
                <c:pt idx="353">
                  <c:v>43782314.990820818</c:v>
                </c:pt>
                <c:pt idx="354">
                  <c:v>43191298.672619462</c:v>
                </c:pt>
                <c:pt idx="355">
                  <c:v>42592996.396353349</c:v>
                </c:pt>
                <c:pt idx="356">
                  <c:v>41987328.222858921</c:v>
                </c:pt>
                <c:pt idx="357">
                  <c:v>41374211.174420655</c:v>
                </c:pt>
                <c:pt idx="358">
                  <c:v>40753559.097956978</c:v>
                </c:pt>
                <c:pt idx="359">
                  <c:v>40125282.519785121</c:v>
                </c:pt>
                <c:pt idx="360">
                  <c:v>39489288.491373464</c:v>
                </c:pt>
                <c:pt idx="361">
                  <c:v>38845480.425446451</c:v>
                </c:pt>
                <c:pt idx="362">
                  <c:v>38193757.92176196</c:v>
                </c:pt>
                <c:pt idx="363">
                  <c:v>37534016.58183369</c:v>
                </c:pt>
                <c:pt idx="364">
                  <c:v>36866147.811822332</c:v>
                </c:pt>
                <c:pt idx="365">
                  <c:v>36190038.612769939</c:v>
                </c:pt>
                <c:pt idx="366">
                  <c:v>35505571.357302628</c:v>
                </c:pt>
                <c:pt idx="367">
                  <c:v>34812623.551879533</c:v>
                </c:pt>
                <c:pt idx="368">
                  <c:v>34111067.583622128</c:v>
                </c:pt>
                <c:pt idx="369">
                  <c:v>33400770.450721435</c:v>
                </c:pt>
                <c:pt idx="370">
                  <c:v>32681593.475394227</c:v>
                </c:pt>
                <c:pt idx="371">
                  <c:v>31953391.998349376</c:v>
                </c:pt>
                <c:pt idx="372">
                  <c:v>31216015.053738732</c:v>
                </c:pt>
                <c:pt idx="373">
                  <c:v>30469305.023613792</c:v>
                </c:pt>
                <c:pt idx="374">
                  <c:v>29713097.271003515</c:v>
                </c:pt>
                <c:pt idx="375">
                  <c:v>28947219.750888493</c:v>
                </c:pt>
                <c:pt idx="376">
                  <c:v>28171492.598597959</c:v>
                </c:pt>
                <c:pt idx="377">
                  <c:v>27385727.695533238</c:v>
                </c:pt>
                <c:pt idx="378">
                  <c:v>26589728.212672088</c:v>
                </c:pt>
                <c:pt idx="379">
                  <c:v>25783288.133098226</c:v>
                </c:pt>
                <c:pt idx="380">
                  <c:v>24966191.755919643</c:v>
                </c:pt>
                <c:pt idx="381">
                  <c:v>24138213.185513537</c:v>
                </c:pt>
                <c:pt idx="382">
                  <c:v>23299115.812240057</c:v>
                </c:pt>
                <c:pt idx="383">
                  <c:v>22448651.793847375</c:v>
                </c:pt>
                <c:pt idx="384">
                  <c:v>21586561.551095169</c:v>
                </c:pt>
                <c:pt idx="385">
                  <c:v>20712573.297147769</c:v>
                </c:pt>
                <c:pt idx="386">
                  <c:v>19826402.62874528</c:v>
                </c:pt>
                <c:pt idx="387">
                  <c:v>18927752.219084073</c:v>
                </c:pt>
                <c:pt idx="388">
                  <c:v>18016311.66924176</c:v>
                </c:pt>
                <c:pt idx="389">
                  <c:v>17091757.599108353</c:v>
                </c:pt>
                <c:pt idx="390">
                  <c:v>16153754.093495762</c:v>
                </c:pt>
                <c:pt idx="391">
                  <c:v>15201953.669493597</c:v>
                </c:pt>
                <c:pt idx="392">
                  <c:v>14235999.005075591</c:v>
                </c:pt>
                <c:pt idx="393">
                  <c:v>13255525.778719023</c:v>
                </c:pt>
                <c:pt idx="394">
                  <c:v>12260167.134908177</c:v>
                </c:pt>
                <c:pt idx="395">
                  <c:v>11249560.542484477</c:v>
                </c:pt>
                <c:pt idx="396">
                  <c:v>10223358.204173064</c:v>
                </c:pt>
                <c:pt idx="397">
                  <c:v>9181242.7946693692</c:v>
                </c:pt>
                <c:pt idx="398">
                  <c:v>8122951.3046620321</c:v>
                </c:pt>
                <c:pt idx="399">
                  <c:v>7048311.4222251279</c:v>
                </c:pt>
                <c:pt idx="400">
                  <c:v>5957297.6932596844</c:v>
                </c:pt>
                <c:pt idx="401">
                  <c:v>4850119.6250977376</c:v>
                </c:pt>
                <c:pt idx="402">
                  <c:v>3727362.8256966961</c:v>
                </c:pt>
                <c:pt idx="403">
                  <c:v>2590221.1297117192</c:v>
                </c:pt>
                <c:pt idx="404">
                  <c:v>1440891.0201673447</c:v>
                </c:pt>
                <c:pt idx="405">
                  <c:v>283269.37847213307</c:v>
                </c:pt>
                <c:pt idx="406">
                  <c:v>-875748.87565524271</c:v>
                </c:pt>
                <c:pt idx="407">
                  <c:v>-2023701.6923711444</c:v>
                </c:pt>
                <c:pt idx="408">
                  <c:v>-3137054.892793688</c:v>
                </c:pt>
                <c:pt idx="409">
                  <c:v>-4168158.9177962188</c:v>
                </c:pt>
                <c:pt idx="410">
                  <c:v>-5010266.4088228783</c:v>
                </c:pt>
                <c:pt idx="411">
                  <c:v>-5391973.3626403976</c:v>
                </c:pt>
                <c:pt idx="412">
                  <c:v>-4612848.8003914906</c:v>
                </c:pt>
                <c:pt idx="413">
                  <c:v>-1938616.0804426246</c:v>
                </c:pt>
                <c:pt idx="414">
                  <c:v>1859125.0193732888</c:v>
                </c:pt>
                <c:pt idx="415">
                  <c:v>5438404.1892382037</c:v>
                </c:pt>
                <c:pt idx="416">
                  <c:v>8491131.2895317841</c:v>
                </c:pt>
                <c:pt idx="417">
                  <c:v>11107076.747529333</c:v>
                </c:pt>
                <c:pt idx="418">
                  <c:v>13387716.752752721</c:v>
                </c:pt>
                <c:pt idx="419">
                  <c:v>15406530.460047867</c:v>
                </c:pt>
                <c:pt idx="420">
                  <c:v>17215022.167881511</c:v>
                </c:pt>
                <c:pt idx="421">
                  <c:v>18850084.391883679</c:v>
                </c:pt>
                <c:pt idx="422">
                  <c:v>20338939.703241885</c:v>
                </c:pt>
                <c:pt idx="423">
                  <c:v>21702250.377803426</c:v>
                </c:pt>
                <c:pt idx="424">
                  <c:v>22956093.927870762</c:v>
                </c:pt>
                <c:pt idx="425">
                  <c:v>24113251.4806487</c:v>
                </c:pt>
                <c:pt idx="426">
                  <c:v>25184072.722440921</c:v>
                </c:pt>
                <c:pt idx="427">
                  <c:v>26177072.882285319</c:v>
                </c:pt>
                <c:pt idx="428">
                  <c:v>27099355.323579401</c:v>
                </c:pt>
                <c:pt idx="429">
                  <c:v>27956917.561821017</c:v>
                </c:pt>
                <c:pt idx="430">
                  <c:v>28754877.412437238</c:v>
                </c:pt>
                <c:pt idx="431">
                  <c:v>29497643.176115364</c:v>
                </c:pt>
                <c:pt idx="432">
                  <c:v>30189043.809932269</c:v>
                </c:pt>
                <c:pt idx="433">
                  <c:v>30832429.958495174</c:v>
                </c:pt>
                <c:pt idx="434">
                  <c:v>31430753.409171186</c:v>
                </c:pt>
                <c:pt idx="435">
                  <c:v>31986630.329694521</c:v>
                </c:pt>
                <c:pt idx="436">
                  <c:v>32502392.147546586</c:v>
                </c:pt>
                <c:pt idx="437">
                  <c:v>32980126.893507294</c:v>
                </c:pt>
                <c:pt idx="438">
                  <c:v>33421713.102395345</c:v>
                </c:pt>
                <c:pt idx="439">
                  <c:v>33828847.843142428</c:v>
                </c:pt>
                <c:pt idx="440">
                  <c:v>34203070.073124148</c:v>
                </c:pt>
                <c:pt idx="441">
                  <c:v>34545780.234919317</c:v>
                </c:pt>
                <c:pt idx="442">
                  <c:v>34858256.808177613</c:v>
                </c:pt>
                <c:pt idx="443">
                  <c:v>35141670.374985807</c:v>
                </c:pt>
                <c:pt idx="444">
                  <c:v>35397095.640069678</c:v>
                </c:pt>
                <c:pt idx="445">
                  <c:v>35625521.757503062</c:v>
                </c:pt>
                <c:pt idx="446">
                  <c:v>35827861.246286176</c:v>
                </c:pt>
                <c:pt idx="447">
                  <c:v>36004957.723125957</c:v>
                </c:pt>
                <c:pt idx="448">
                  <c:v>36157592.638297848</c:v>
                </c:pt>
                <c:pt idx="449">
                  <c:v>36286491.166861236</c:v>
                </c:pt>
                <c:pt idx="450">
                  <c:v>36392327.380709223</c:v>
                </c:pt>
                <c:pt idx="451">
                  <c:v>36475728.805433214</c:v>
                </c:pt>
                <c:pt idx="452">
                  <c:v>36537280.448621072</c:v>
                </c:pt>
                <c:pt idx="453">
                  <c:v>36577528.372104399</c:v>
                </c:pt>
                <c:pt idx="454">
                  <c:v>36596982.869149849</c:v>
                </c:pt>
                <c:pt idx="455">
                  <c:v>36596121.298128493</c:v>
                </c:pt>
                <c:pt idx="456">
                  <c:v>36575390.616388232</c:v>
                </c:pt>
                <c:pt idx="457">
                  <c:v>36535209.651578031</c:v>
                </c:pt>
                <c:pt idx="458">
                  <c:v>36475971.142276831</c:v>
                </c:pt>
                <c:pt idx="459">
                  <c:v>36398043.575264908</c:v>
                </c:pt>
                <c:pt idx="460">
                  <c:v>36301772.842981562</c:v>
                </c:pt>
                <c:pt idx="461">
                  <c:v>36187483.741512351</c:v>
                </c:pt>
                <c:pt idx="462">
                  <c:v>36055481.326738775</c:v>
                </c:pt>
                <c:pt idx="463">
                  <c:v>35906052.143980101</c:v>
                </c:pt>
                <c:pt idx="464">
                  <c:v>35739465.34449248</c:v>
                </c:pt>
                <c:pt idx="465">
                  <c:v>35555973.700510085</c:v>
                </c:pt>
                <c:pt idx="466">
                  <c:v>35355814.529070497</c:v>
                </c:pt>
                <c:pt idx="467">
                  <c:v>35139210.533625163</c:v>
                </c:pt>
                <c:pt idx="468">
                  <c:v>34906370.571364149</c:v>
                </c:pt>
                <c:pt idx="469">
                  <c:v>34657490.353257433</c:v>
                </c:pt>
                <c:pt idx="470">
                  <c:v>34392753.083011009</c:v>
                </c:pt>
                <c:pt idx="471">
                  <c:v>34112330.040437832</c:v>
                </c:pt>
                <c:pt idx="472">
                  <c:v>33816381.114135891</c:v>
                </c:pt>
                <c:pt idx="473">
                  <c:v>33505055.287836764</c:v>
                </c:pt>
                <c:pt idx="474">
                  <c:v>33178491.084327172</c:v>
                </c:pt>
                <c:pt idx="475">
                  <c:v>32836816.970445115</c:v>
                </c:pt>
                <c:pt idx="476">
                  <c:v>32480151.726304069</c:v>
                </c:pt>
                <c:pt idx="477">
                  <c:v>32108604.781597782</c:v>
                </c:pt>
                <c:pt idx="478">
                  <c:v>31722276.52157988</c:v>
                </c:pt>
                <c:pt idx="479">
                  <c:v>31321258.565093391</c:v>
                </c:pt>
                <c:pt idx="480">
                  <c:v>30905634.016842727</c:v>
                </c:pt>
                <c:pt idx="481">
                  <c:v>30475477.695953369</c:v>
                </c:pt>
                <c:pt idx="482">
                  <c:v>30030856.342751551</c:v>
                </c:pt>
                <c:pt idx="483">
                  <c:v>29571828.805618413</c:v>
                </c:pt>
                <c:pt idx="484">
                  <c:v>29098446.20973159</c:v>
                </c:pt>
                <c:pt idx="485">
                  <c:v>28610752.109505083</c:v>
                </c:pt>
                <c:pt idx="486">
                  <c:v>28108782.626579475</c:v>
                </c:pt>
                <c:pt idx="487">
                  <c:v>27592566.57530541</c:v>
                </c:pt>
                <c:pt idx="488">
                  <c:v>27062125.57781158</c:v>
                </c:pt>
                <c:pt idx="489">
                  <c:v>26517474.17096528</c:v>
                </c:pt>
                <c:pt idx="490">
                  <c:v>25958619.90783307</c:v>
                </c:pt>
                <c:pt idx="491">
                  <c:v>25385563.456649717</c:v>
                </c:pt>
                <c:pt idx="492">
                  <c:v>24798298.700829461</c:v>
                </c:pt>
                <c:pt idx="493">
                  <c:v>24196812.844236333</c:v>
                </c:pt>
                <c:pt idx="494">
                  <c:v>23581086.526810318</c:v>
                </c:pt>
                <c:pt idx="495">
                  <c:v>22951093.956777409</c:v>
                </c:pt>
                <c:pt idx="496">
                  <c:v>22306803.067123767</c:v>
                </c:pt>
                <c:pt idx="497">
                  <c:v>21648175.705880124</c:v>
                </c:pt>
                <c:pt idx="498">
                  <c:v>20975167.872164246</c:v>
                </c:pt>
                <c:pt idx="499">
                  <c:v>20287730.013030469</c:v>
                </c:pt>
                <c:pt idx="500">
                  <c:v>19585807.40019479</c:v>
                </c:pt>
                <c:pt idx="501">
                  <c:v>18869340.610937845</c:v>
                </c:pt>
                <c:pt idx="502">
                  <c:v>18138266.144339506</c:v>
                </c:pt>
                <c:pt idx="503">
                  <c:v>17392517.213020608</c:v>
                </c:pt>
                <c:pt idx="504">
                  <c:v>16632024.762525333</c:v>
                </c:pt>
                <c:pt idx="505">
                  <c:v>15856718.786441477</c:v>
                </c:pt>
                <c:pt idx="506">
                  <c:v>15066530.026834428</c:v>
                </c:pt>
                <c:pt idx="507">
                  <c:v>14261392.178716002</c:v>
                </c:pt>
                <c:pt idx="508">
                  <c:v>13441244.757184543</c:v>
                </c:pt>
                <c:pt idx="509">
                  <c:v>12606036.841088109</c:v>
                </c:pt>
                <c:pt idx="510">
                  <c:v>11755731.984278576</c:v>
                </c:pt>
                <c:pt idx="511">
                  <c:v>10890314.694793079</c:v>
                </c:pt>
                <c:pt idx="512">
                  <c:v>10009799.038933007</c:v>
                </c:pt>
                <c:pt idx="513">
                  <c:v>9114240.1549276076</c:v>
                </c:pt>
                <c:pt idx="514">
                  <c:v>8203749.7970774267</c:v>
                </c:pt>
                <c:pt idx="515">
                  <c:v>7278517.5361528434</c:v>
                </c:pt>
                <c:pt idx="516">
                  <c:v>6338840.0143145993</c:v>
                </c:pt>
                <c:pt idx="517">
                  <c:v>5385161.8595240237</c:v>
                </c:pt>
                <c:pt idx="518">
                  <c:v>4418133.7933596559</c:v>
                </c:pt>
                <c:pt idx="519">
                  <c:v>3438696.6302209357</c:v>
                </c:pt>
                <c:pt idx="520">
                  <c:v>2448205.2087782412</c:v>
                </c:pt>
                <c:pt idx="521">
                  <c:v>1448615.6200722223</c:v>
                </c:pt>
                <c:pt idx="522">
                  <c:v>442775.98825886683</c:v>
                </c:pt>
                <c:pt idx="523">
                  <c:v>-565106.98914791259</c:v>
                </c:pt>
                <c:pt idx="524">
                  <c:v>-1568690.001047049</c:v>
                </c:pt>
                <c:pt idx="525">
                  <c:v>-2558133.9002669211</c:v>
                </c:pt>
                <c:pt idx="526">
                  <c:v>-3517591.1015653429</c:v>
                </c:pt>
                <c:pt idx="527">
                  <c:v>-4420226.2427862706</c:v>
                </c:pt>
                <c:pt idx="528">
                  <c:v>-5217460.7721229782</c:v>
                </c:pt>
                <c:pt idx="529">
                  <c:v>-5813188.018519287</c:v>
                </c:pt>
                <c:pt idx="530">
                  <c:v>-5995029.9713848587</c:v>
                </c:pt>
                <c:pt idx="531">
                  <c:v>-5258227.5809016246</c:v>
                </c:pt>
                <c:pt idx="532">
                  <c:v>-2806207.3461591084</c:v>
                </c:pt>
                <c:pt idx="533">
                  <c:v>1024144.463356209</c:v>
                </c:pt>
                <c:pt idx="534">
                  <c:v>4800653.7598859873</c:v>
                </c:pt>
                <c:pt idx="535">
                  <c:v>7875860.160744139</c:v>
                </c:pt>
                <c:pt idx="536">
                  <c:v>10346736.580767225</c:v>
                </c:pt>
                <c:pt idx="537">
                  <c:v>12368072.322205205</c:v>
                </c:pt>
                <c:pt idx="538">
                  <c:v>14050009.733800674</c:v>
                </c:pt>
                <c:pt idx="539">
                  <c:v>15466792.448078811</c:v>
                </c:pt>
                <c:pt idx="540">
                  <c:v>16669724.501921833</c:v>
                </c:pt>
                <c:pt idx="541">
                  <c:v>17695537.159125052</c:v>
                </c:pt>
                <c:pt idx="542">
                  <c:v>18571418.955969859</c:v>
                </c:pt>
                <c:pt idx="543">
                  <c:v>19318085.223132718</c:v>
                </c:pt>
                <c:pt idx="544">
                  <c:v>19951712.744873159</c:v>
                </c:pt>
                <c:pt idx="545">
                  <c:v>20485201.551884394</c:v>
                </c:pt>
                <c:pt idx="546">
                  <c:v>20929024.570534773</c:v>
                </c:pt>
                <c:pt idx="547">
                  <c:v>21291816.408567391</c:v>
                </c:pt>
                <c:pt idx="548">
                  <c:v>21580791.902254459</c:v>
                </c:pt>
                <c:pt idx="549">
                  <c:v>21802050.441837084</c:v>
                </c:pt>
                <c:pt idx="550">
                  <c:v>21960801.72614092</c:v>
                </c:pt>
                <c:pt idx="551">
                  <c:v>22061536.249387391</c:v>
                </c:pt>
                <c:pt idx="552">
                  <c:v>22108156.125393268</c:v>
                </c:pt>
                <c:pt idx="553">
                  <c:v>22104076.93108784</c:v>
                </c:pt>
                <c:pt idx="554">
                  <c:v>22052308.028086256</c:v>
                </c:pt>
                <c:pt idx="555">
                  <c:v>21955516.665439881</c:v>
                </c:pt>
                <c:pt idx="556">
                  <c:v>21816079.696760662</c:v>
                </c:pt>
                <c:pt idx="557">
                  <c:v>21636125.724640615</c:v>
                </c:pt>
                <c:pt idx="558">
                  <c:v>21417569.76555362</c:v>
                </c:pt>
                <c:pt idx="559">
                  <c:v>21162142.01314218</c:v>
                </c:pt>
                <c:pt idx="560">
                  <c:v>20871411.90387648</c:v>
                </c:pt>
                <c:pt idx="561">
                  <c:v>20546808.414408129</c:v>
                </c:pt>
                <c:pt idx="562">
                  <c:v>20189637.315962311</c:v>
                </c:pt>
                <c:pt idx="563">
                  <c:v>19801095.958170537</c:v>
                </c:pt>
                <c:pt idx="564">
                  <c:v>19382286.039152402</c:v>
                </c:pt>
                <c:pt idx="565">
                  <c:v>18934224.730764594</c:v>
                </c:pt>
                <c:pt idx="566">
                  <c:v>18457854.460895326</c:v>
                </c:pt>
                <c:pt idx="567">
                  <c:v>17954051.603593033</c:v>
                </c:pt>
                <c:pt idx="568">
                  <c:v>17423634.289176855</c:v>
                </c:pt>
                <c:pt idx="569">
                  <c:v>16867369.517799139</c:v>
                </c:pt>
                <c:pt idx="570">
                  <c:v>16285979.739502354</c:v>
                </c:pt>
                <c:pt idx="571">
                  <c:v>15680149.050525336</c:v>
                </c:pt>
                <c:pt idx="572">
                  <c:v>15050529.148867771</c:v>
                </c:pt>
                <c:pt idx="573">
                  <c:v>14397745.191786062</c:v>
                </c:pt>
                <c:pt idx="574">
                  <c:v>13722401.704311762</c:v>
                </c:pt>
                <c:pt idx="575">
                  <c:v>13025088.701935101</c:v>
                </c:pt>
                <c:pt idx="576">
                  <c:v>12306388.213820048</c:v>
                </c:pt>
                <c:pt idx="577">
                  <c:v>11566881.427725213</c:v>
                </c:pt>
                <c:pt idx="578">
                  <c:v>10807156.727816271</c:v>
                </c:pt>
                <c:pt idx="579">
                  <c:v>10027818.967124572</c:v>
                </c:pt>
                <c:pt idx="580">
                  <c:v>9229500.4154420886</c:v>
                </c:pt>
                <c:pt idx="581">
                  <c:v>8412873.9626986273</c:v>
                </c:pt>
                <c:pt idx="582">
                  <c:v>7578669.3549964726</c:v>
                </c:pt>
                <c:pt idx="583">
                  <c:v>6727693.5223580506</c:v>
                </c:pt>
                <c:pt idx="584">
                  <c:v>5860856.4654576667</c:v>
                </c:pt>
                <c:pt idx="585">
                  <c:v>4979204.7686726106</c:v>
                </c:pt>
                <c:pt idx="586">
                  <c:v>4083965.7040218124</c:v>
                </c:pt>
                <c:pt idx="587">
                  <c:v>3176606.2581016133</c:v>
                </c:pt>
                <c:pt idx="588">
                  <c:v>2258913.5437379973</c:v>
                </c:pt>
                <c:pt idx="589">
                  <c:v>1333106.455071378</c:v>
                </c:pt>
                <c:pt idx="590">
                  <c:v>401993.99149446015</c:v>
                </c:pt>
                <c:pt idx="591">
                  <c:v>-530794.9205594993</c:v>
                </c:pt>
                <c:pt idx="592">
                  <c:v>-1460468.8377547576</c:v>
                </c:pt>
                <c:pt idx="593">
                  <c:v>-2380547.2754257498</c:v>
                </c:pt>
                <c:pt idx="594">
                  <c:v>-3282022.2148469454</c:v>
                </c:pt>
                <c:pt idx="595">
                  <c:v>-4151965.660182423</c:v>
                </c:pt>
                <c:pt idx="596">
                  <c:v>-4971098.7259578668</c:v>
                </c:pt>
                <c:pt idx="597">
                  <c:v>-5709284.1092758551</c:v>
                </c:pt>
                <c:pt idx="598">
                  <c:v>-6316535.9053665334</c:v>
                </c:pt>
                <c:pt idx="599">
                  <c:v>-6703474.421349695</c:v>
                </c:pt>
                <c:pt idx="600">
                  <c:v>-6694896.301834736</c:v>
                </c:pt>
                <c:pt idx="601">
                  <c:v>-5918661.5248008808</c:v>
                </c:pt>
                <c:pt idx="602">
                  <c:v>-3700181.0436993204</c:v>
                </c:pt>
                <c:pt idx="603">
                  <c:v>41305.537965980358</c:v>
                </c:pt>
                <c:pt idx="604">
                  <c:v>3991219.9398908759</c:v>
                </c:pt>
                <c:pt idx="605">
                  <c:v>7074831.4668564387</c:v>
                </c:pt>
                <c:pt idx="606">
                  <c:v>9324258.9978268277</c:v>
                </c:pt>
                <c:pt idx="607">
                  <c:v>10972822.781396519</c:v>
                </c:pt>
                <c:pt idx="608">
                  <c:v>12188199.246293863</c:v>
                </c:pt>
                <c:pt idx="609">
                  <c:v>13078719.620380387</c:v>
                </c:pt>
                <c:pt idx="610">
                  <c:v>13716114.75134946</c:v>
                </c:pt>
                <c:pt idx="611">
                  <c:v>14149911.893070349</c:v>
                </c:pt>
                <c:pt idx="612">
                  <c:v>14415693.685541771</c:v>
                </c:pt>
                <c:pt idx="613">
                  <c:v>14539918.054774532</c:v>
                </c:pt>
                <c:pt idx="614">
                  <c:v>14542840.683723843</c:v>
                </c:pt>
                <c:pt idx="615">
                  <c:v>14440359.181484923</c:v>
                </c:pt>
                <c:pt idx="616">
                  <c:v>14245220.547109507</c:v>
                </c:pt>
                <c:pt idx="617">
                  <c:v>13967838.260372005</c:v>
                </c:pt>
                <c:pt idx="618">
                  <c:v>13616861.652571913</c:v>
                </c:pt>
                <c:pt idx="619">
                  <c:v>13199583.197767425</c:v>
                </c:pt>
                <c:pt idx="620">
                  <c:v>12722236.876947032</c:v>
                </c:pt>
                <c:pt idx="621">
                  <c:v>12190221.624116948</c:v>
                </c:pt>
                <c:pt idx="622">
                  <c:v>11608272.234159049</c:v>
                </c:pt>
                <c:pt idx="623">
                  <c:v>10980592.854708832</c:v>
                </c:pt>
                <c:pt idx="624">
                  <c:v>10310963.549205996</c:v>
                </c:pt>
                <c:pt idx="625">
                  <c:v>9602827.4037686139</c:v>
                </c:pt>
                <c:pt idx="626">
                  <c:v>8859363.6682228949</c:v>
                </c:pt>
                <c:pt idx="627">
                  <c:v>8083551.1194441598</c:v>
                </c:pt>
                <c:pt idx="628">
                  <c:v>7278225.0010862593</c:v>
                </c:pt>
                <c:pt idx="629">
                  <c:v>6446130.4025515197</c:v>
                </c:pt>
                <c:pt idx="630">
                  <c:v>5589974.7242066804</c:v>
                </c:pt>
                <c:pt idx="631">
                  <c:v>4712481.9112268146</c:v>
                </c:pt>
                <c:pt idx="632">
                  <c:v>3816451.43990544</c:v>
                </c:pt>
                <c:pt idx="633">
                  <c:v>2904825.6663975934</c:v>
                </c:pt>
                <c:pt idx="634">
                  <c:v>1980770.216563148</c:v>
                </c:pt>
                <c:pt idx="635">
                  <c:v>1047773.8161068163</c:v>
                </c:pt>
                <c:pt idx="636">
                  <c:v>109776.69386642706</c:v>
                </c:pt>
                <c:pt idx="637">
                  <c:v>-828658.93456594984</c:v>
                </c:pt>
                <c:pt idx="638">
                  <c:v>-1762115.6676057633</c:v>
                </c:pt>
                <c:pt idx="639">
                  <c:v>-2683992.4526935774</c:v>
                </c:pt>
                <c:pt idx="640">
                  <c:v>-3586027.7574196868</c:v>
                </c:pt>
                <c:pt idx="641">
                  <c:v>-4457584.5180120282</c:v>
                </c:pt>
                <c:pt idx="642">
                  <c:v>-5284538.3937357021</c:v>
                </c:pt>
                <c:pt idx="643">
                  <c:v>-6047476.4047294296</c:v>
                </c:pt>
                <c:pt idx="644">
                  <c:v>-6718634.5312573258</c:v>
                </c:pt>
                <c:pt idx="645">
                  <c:v>-7256389.0589283304</c:v>
                </c:pt>
                <c:pt idx="646">
                  <c:v>-7594673.0922907684</c:v>
                </c:pt>
                <c:pt idx="647">
                  <c:v>-7621120.7884572018</c:v>
                </c:pt>
                <c:pt idx="648">
                  <c:v>-7129360.2546038665</c:v>
                </c:pt>
                <c:pt idx="649">
                  <c:v>-5725398.5341458255</c:v>
                </c:pt>
                <c:pt idx="650">
                  <c:v>-2856895.0125817675</c:v>
                </c:pt>
                <c:pt idx="651">
                  <c:v>1156292.0124431597</c:v>
                </c:pt>
                <c:pt idx="652">
                  <c:v>4825449.6701664515</c:v>
                </c:pt>
                <c:pt idx="653">
                  <c:v>7308588.3573476402</c:v>
                </c:pt>
                <c:pt idx="654">
                  <c:v>8825685.2904735599</c:v>
                </c:pt>
                <c:pt idx="655">
                  <c:v>9688932.95480882</c:v>
                </c:pt>
                <c:pt idx="656">
                  <c:v>10101158.072581295</c:v>
                </c:pt>
                <c:pt idx="657">
                  <c:v>10188100.049301261</c:v>
                </c:pt>
                <c:pt idx="658">
                  <c:v>10030961.352434745</c:v>
                </c:pt>
                <c:pt idx="659">
                  <c:v>9684884.1392785758</c:v>
                </c:pt>
                <c:pt idx="660">
                  <c:v>9189076.7619578205</c:v>
                </c:pt>
                <c:pt idx="661">
                  <c:v>8572563.7367319316</c:v>
                </c:pt>
                <c:pt idx="662">
                  <c:v>7857607.8851935677</c:v>
                </c:pt>
                <c:pt idx="663">
                  <c:v>7061843.5130386287</c:v>
                </c:pt>
                <c:pt idx="664">
                  <c:v>6199665.0967499278</c:v>
                </c:pt>
                <c:pt idx="665">
                  <c:v>5283169.5902935816</c:v>
                </c:pt>
                <c:pt idx="666">
                  <c:v>4322823.1373752886</c:v>
                </c:pt>
                <c:pt idx="667">
                  <c:v>3327954.6511778128</c:v>
                </c:pt>
                <c:pt idx="668">
                  <c:v>2307140.9288482224</c:v>
                </c:pt>
                <c:pt idx="669">
                  <c:v>1268526.7746754091</c:v>
                </c:pt>
                <c:pt idx="670">
                  <c:v>220112.03880759596</c:v>
                </c:pt>
                <c:pt idx="671">
                  <c:v>-829967.92042413668</c:v>
                </c:pt>
                <c:pt idx="672">
                  <c:v>-1873142.5639249762</c:v>
                </c:pt>
                <c:pt idx="673">
                  <c:v>-2900057.6891633389</c:v>
                </c:pt>
                <c:pt idx="674">
                  <c:v>-3900139.0272146682</c:v>
                </c:pt>
                <c:pt idx="675">
                  <c:v>-4861010.6171135157</c:v>
                </c:pt>
                <c:pt idx="676">
                  <c:v>-5767677.5804540599</c:v>
                </c:pt>
                <c:pt idx="677">
                  <c:v>-6601322.3680521818</c:v>
                </c:pt>
                <c:pt idx="678">
                  <c:v>-7337449.3099097973</c:v>
                </c:pt>
                <c:pt idx="679">
                  <c:v>-7942887.609568648</c:v>
                </c:pt>
                <c:pt idx="680">
                  <c:v>-8370699.7184133148</c:v>
                </c:pt>
                <c:pt idx="681">
                  <c:v>-8551044.1141835805</c:v>
                </c:pt>
                <c:pt idx="682">
                  <c:v>-8373858.4485694636</c:v>
                </c:pt>
                <c:pt idx="683">
                  <c:v>-7655056.4650888685</c:v>
                </c:pt>
                <c:pt idx="684">
                  <c:v>-6078838.1352929175</c:v>
                </c:pt>
                <c:pt idx="685">
                  <c:v>-3216757.1648609564</c:v>
                </c:pt>
                <c:pt idx="686">
                  <c:v>744107.65440083807</c:v>
                </c:pt>
                <c:pt idx="687">
                  <c:v>4348718.5983887333</c:v>
                </c:pt>
                <c:pt idx="688">
                  <c:v>6501734.7812885847</c:v>
                </c:pt>
                <c:pt idx="689">
                  <c:v>7415005.2166226255</c:v>
                </c:pt>
                <c:pt idx="690">
                  <c:v>7540580.0959127359</c:v>
                </c:pt>
                <c:pt idx="691">
                  <c:v>7169668.8485937994</c:v>
                </c:pt>
                <c:pt idx="692">
                  <c:v>6473985.8703493671</c:v>
                </c:pt>
                <c:pt idx="693">
                  <c:v>5559384.7667498253</c:v>
                </c:pt>
                <c:pt idx="694">
                  <c:v>4495343.2704603747</c:v>
                </c:pt>
                <c:pt idx="695">
                  <c:v>3330348.8838994382</c:v>
                </c:pt>
                <c:pt idx="696">
                  <c:v>2100264.5592218582</c:v>
                </c:pt>
                <c:pt idx="697">
                  <c:v>833155.28769560973</c:v>
                </c:pt>
                <c:pt idx="698">
                  <c:v>-447740.04003783735</c:v>
                </c:pt>
                <c:pt idx="699">
                  <c:v>-1722039.4473389923</c:v>
                </c:pt>
                <c:pt idx="700">
                  <c:v>-2970790.7022748971</c:v>
                </c:pt>
                <c:pt idx="701">
                  <c:v>-4175312.7375775152</c:v>
                </c:pt>
                <c:pt idx="702">
                  <c:v>-5316117.9639364267</c:v>
                </c:pt>
                <c:pt idx="703">
                  <c:v>-6371755.0433584629</c:v>
                </c:pt>
                <c:pt idx="704">
                  <c:v>-7317394.0512301838</c:v>
                </c:pt>
                <c:pt idx="705">
                  <c:v>-8122907.002312256</c:v>
                </c:pt>
                <c:pt idx="706">
                  <c:v>-8750047.1400243267</c:v>
                </c:pt>
                <c:pt idx="707">
                  <c:v>-9148032.405189462</c:v>
                </c:pt>
                <c:pt idx="708">
                  <c:v>-9246254.9793350287</c:v>
                </c:pt>
                <c:pt idx="709">
                  <c:v>-8941754.3896661382</c:v>
                </c:pt>
                <c:pt idx="710">
                  <c:v>-8077671.6404683022</c:v>
                </c:pt>
                <c:pt idx="711">
                  <c:v>-6412581.2318843771</c:v>
                </c:pt>
                <c:pt idx="712">
                  <c:v>-3639196.900427504</c:v>
                </c:pt>
                <c:pt idx="713">
                  <c:v>168908.41473156726</c:v>
                </c:pt>
                <c:pt idx="714">
                  <c:v>3710822.65762144</c:v>
                </c:pt>
                <c:pt idx="715">
                  <c:v>5603080.3094827542</c:v>
                </c:pt>
                <c:pt idx="716">
                  <c:v>5889903.5243156068</c:v>
                </c:pt>
                <c:pt idx="717">
                  <c:v>5215867.350798619</c:v>
                </c:pt>
                <c:pt idx="718">
                  <c:v>4021475.1863359716</c:v>
                </c:pt>
                <c:pt idx="719">
                  <c:v>2552970.7887072992</c:v>
                </c:pt>
                <c:pt idx="720">
                  <c:v>953180.2134708683</c:v>
                </c:pt>
              </c:numCache>
            </c:numRef>
          </c:xVal>
          <c:yVal>
            <c:numRef>
              <c:f>'Hoja1 (2)'!$C$8:$C$728</c:f>
              <c:numCache>
                <c:formatCode>#,##0.00</c:formatCode>
                <c:ptCount val="721"/>
                <c:pt idx="0">
                  <c:v>100000000</c:v>
                </c:pt>
                <c:pt idx="1">
                  <c:v>99671609.951383322</c:v>
                </c:pt>
                <c:pt idx="2">
                  <c:v>99341631.987268761</c:v>
                </c:pt>
                <c:pt idx="3">
                  <c:v>99010050.332325101</c:v>
                </c:pt>
                <c:pt idx="4">
                  <c:v>98676848.930106983</c:v>
                </c:pt>
                <c:pt idx="5">
                  <c:v>98342011.435919553</c:v>
                </c:pt>
                <c:pt idx="6">
                  <c:v>98005521.209447697</c:v>
                </c:pt>
                <c:pt idx="7">
                  <c:v>97667361.307140186</c:v>
                </c:pt>
                <c:pt idx="8">
                  <c:v>97327514.474338561</c:v>
                </c:pt>
                <c:pt idx="9">
                  <c:v>96985963.137140438</c:v>
                </c:pt>
                <c:pt idx="10">
                  <c:v>96642689.393985987</c:v>
                </c:pt>
                <c:pt idx="11">
                  <c:v>96297675.006956041</c:v>
                </c:pt>
                <c:pt idx="12">
                  <c:v>95950901.392769665</c:v>
                </c:pt>
                <c:pt idx="13">
                  <c:v>95602349.613468364</c:v>
                </c:pt>
                <c:pt idx="14">
                  <c:v>95252000.366773382</c:v>
                </c:pt>
                <c:pt idx="15">
                  <c:v>94899833.976102099</c:v>
                </c:pt>
                <c:pt idx="16">
                  <c:v>94545830.380228594</c:v>
                </c:pt>
                <c:pt idx="17">
                  <c:v>94189969.122572586</c:v>
                </c:pt>
                <c:pt idx="18">
                  <c:v>93832229.340100527</c:v>
                </c:pt>
                <c:pt idx="19">
                  <c:v>93472589.751821339</c:v>
                </c:pt>
                <c:pt idx="20">
                  <c:v>93111028.646858513</c:v>
                </c:pt>
                <c:pt idx="21">
                  <c:v>92747523.872079477</c:v>
                </c:pt>
                <c:pt idx="22">
                  <c:v>92382052.819261774</c:v>
                </c:pt>
                <c:pt idx="23">
                  <c:v>92014592.411774784</c:v>
                </c:pt>
                <c:pt idx="24">
                  <c:v>91645119.090754271</c:v>
                </c:pt>
                <c:pt idx="25">
                  <c:v>91273608.800746113</c:v>
                </c:pt>
                <c:pt idx="26">
                  <c:v>90900036.974793896</c:v>
                </c:pt>
                <c:pt idx="27">
                  <c:v>90524378.518943816</c:v>
                </c:pt>
                <c:pt idx="28">
                  <c:v>90146607.796138808</c:v>
                </c:pt>
                <c:pt idx="29">
                  <c:v>89766698.6094722</c:v>
                </c:pt>
                <c:pt idx="30">
                  <c:v>89384624.184769392</c:v>
                </c:pt>
                <c:pt idx="31">
                  <c:v>89000357.152464271</c:v>
                </c:pt>
                <c:pt idx="32">
                  <c:v>88613869.528735191</c:v>
                </c:pt>
                <c:pt idx="33">
                  <c:v>88225132.695863023</c:v>
                </c:pt>
                <c:pt idx="34">
                  <c:v>87834117.381771773</c:v>
                </c:pt>
                <c:pt idx="35">
                  <c:v>87440793.638709694</c:v>
                </c:pt>
                <c:pt idx="36">
                  <c:v>87045130.821026355</c:v>
                </c:pt>
                <c:pt idx="37">
                  <c:v>86647097.561998248</c:v>
                </c:pt>
                <c:pt idx="38">
                  <c:v>86246661.749652624</c:v>
                </c:pt>
                <c:pt idx="39">
                  <c:v>85843790.501536161</c:v>
                </c:pt>
                <c:pt idx="40">
                  <c:v>85438450.138371408</c:v>
                </c:pt>
                <c:pt idx="41">
                  <c:v>85030606.156540617</c:v>
                </c:pt>
                <c:pt idx="42">
                  <c:v>84620223.199332267</c:v>
                </c:pt>
                <c:pt idx="43">
                  <c:v>84207265.026881769</c:v>
                </c:pt>
                <c:pt idx="44">
                  <c:v>83791694.484732836</c:v>
                </c:pt>
                <c:pt idx="45">
                  <c:v>83373473.470941469</c:v>
                </c:pt>
                <c:pt idx="46">
                  <c:v>82952562.90163897</c:v>
                </c:pt>
                <c:pt idx="47">
                  <c:v>82528922.67496483</c:v>
                </c:pt>
                <c:pt idx="48">
                  <c:v>82102511.633274034</c:v>
                </c:pt>
                <c:pt idx="49">
                  <c:v>81673287.523516715</c:v>
                </c:pt>
                <c:pt idx="50">
                  <c:v>81241206.955681041</c:v>
                </c:pt>
                <c:pt idx="51">
                  <c:v>80806225.35918206</c:v>
                </c:pt>
                <c:pt idx="52">
                  <c:v>80368296.937071085</c:v>
                </c:pt>
                <c:pt idx="53">
                  <c:v>79927374.617930949</c:v>
                </c:pt>
                <c:pt idx="54">
                  <c:v>79483410.005312368</c:v>
                </c:pt>
                <c:pt idx="55">
                  <c:v>79036353.324556112</c:v>
                </c:pt>
                <c:pt idx="56">
                  <c:v>78586153.366833612</c:v>
                </c:pt>
                <c:pt idx="57">
                  <c:v>78132757.430226192</c:v>
                </c:pt>
                <c:pt idx="58">
                  <c:v>77676111.257648855</c:v>
                </c:pt>
                <c:pt idx="59">
                  <c:v>77216158.971409664</c:v>
                </c:pt>
                <c:pt idx="60">
                  <c:v>76752843.004178956</c:v>
                </c:pt>
                <c:pt idx="61">
                  <c:v>76286104.026124641</c:v>
                </c:pt>
                <c:pt idx="62">
                  <c:v>75815880.867950037</c:v>
                </c:pt>
                <c:pt idx="63">
                  <c:v>75342110.439548969</c:v>
                </c:pt>
                <c:pt idx="64">
                  <c:v>74864727.643969163</c:v>
                </c:pt>
                <c:pt idx="65">
                  <c:v>74383665.28634873</c:v>
                </c:pt>
                <c:pt idx="66">
                  <c:v>73898853.977462158</c:v>
                </c:pt>
                <c:pt idx="67">
                  <c:v>73410222.031480476</c:v>
                </c:pt>
                <c:pt idx="68">
                  <c:v>72917695.357515708</c:v>
                </c:pt>
                <c:pt idx="69">
                  <c:v>72421197.344481349</c:v>
                </c:pt>
                <c:pt idx="70">
                  <c:v>71920648.738758579</c:v>
                </c:pt>
                <c:pt idx="71">
                  <c:v>71415967.514110968</c:v>
                </c:pt>
                <c:pt idx="72">
                  <c:v>70907068.733238935</c:v>
                </c:pt>
                <c:pt idx="73">
                  <c:v>70393864.400307909</c:v>
                </c:pt>
                <c:pt idx="74">
                  <c:v>69876263.303720415</c:v>
                </c:pt>
                <c:pt idx="75">
                  <c:v>69354170.848331749</c:v>
                </c:pt>
                <c:pt idx="76">
                  <c:v>68827488.87623015</c:v>
                </c:pt>
                <c:pt idx="77">
                  <c:v>68296115.475114495</c:v>
                </c:pt>
                <c:pt idx="78">
                  <c:v>67759944.77320461</c:v>
                </c:pt>
                <c:pt idx="79">
                  <c:v>67218866.719509527</c:v>
                </c:pt>
                <c:pt idx="80">
                  <c:v>66672766.848156162</c:v>
                </c:pt>
                <c:pt idx="81">
                  <c:v>66121526.025342718</c:v>
                </c:pt>
                <c:pt idx="82">
                  <c:v>65565020.177326135</c:v>
                </c:pt>
                <c:pt idx="83">
                  <c:v>65003119.99767793</c:v>
                </c:pt>
                <c:pt idx="84">
                  <c:v>64435690.63184534</c:v>
                </c:pt>
                <c:pt idx="85">
                  <c:v>63862591.33683145</c:v>
                </c:pt>
                <c:pt idx="86">
                  <c:v>63283675.113554895</c:v>
                </c:pt>
                <c:pt idx="87">
                  <c:v>62698788.309162326</c:v>
                </c:pt>
                <c:pt idx="88">
                  <c:v>62107770.186239503</c:v>
                </c:pt>
                <c:pt idx="89">
                  <c:v>61510452.455493703</c:v>
                </c:pt>
                <c:pt idx="90">
                  <c:v>60906658.768053219</c:v>
                </c:pt>
                <c:pt idx="91">
                  <c:v>60296204.16304034</c:v>
                </c:pt>
                <c:pt idx="92">
                  <c:v>59678894.465511866</c:v>
                </c:pt>
                <c:pt idx="93">
                  <c:v>59054525.629213341</c:v>
                </c:pt>
                <c:pt idx="94">
                  <c:v>58422883.017844453</c:v>
                </c:pt>
                <c:pt idx="95">
                  <c:v>57783740.617665969</c:v>
                </c:pt>
                <c:pt idx="96">
                  <c:v>57136860.173270643</c:v>
                </c:pt>
                <c:pt idx="97">
                  <c:v>56481990.237166226</c:v>
                </c:pt>
                <c:pt idx="98">
                  <c:v>55818865.122445375</c:v>
                </c:pt>
                <c:pt idx="99">
                  <c:v>55147203.746206552</c:v>
                </c:pt>
                <c:pt idx="100">
                  <c:v>54466708.349494033</c:v>
                </c:pt>
                <c:pt idx="101">
                  <c:v>53777063.077285394</c:v>
                </c:pt>
                <c:pt idx="102">
                  <c:v>53077932.399399213</c:v>
                </c:pt>
                <c:pt idx="103">
                  <c:v>52368959.350034624</c:v>
                </c:pt>
                <c:pt idx="104">
                  <c:v>51649763.559875824</c:v>
                </c:pt>
                <c:pt idx="105">
                  <c:v>50919939.050159223</c:v>
                </c:pt>
                <c:pt idx="106">
                  <c:v>50179051.752631895</c:v>
                </c:pt>
                <c:pt idx="107">
                  <c:v>49426636.7127041</c:v>
                </c:pt>
                <c:pt idx="108">
                  <c:v>48662194.925031573</c:v>
                </c:pt>
                <c:pt idx="109">
                  <c:v>47885189.740889214</c:v>
                </c:pt>
                <c:pt idx="110">
                  <c:v>47095042.774545975</c:v>
                </c:pt>
                <c:pt idx="111">
                  <c:v>46291129.220807791</c:v>
                </c:pt>
                <c:pt idx="112">
                  <c:v>45472772.477158807</c:v>
                </c:pt>
                <c:pt idx="113">
                  <c:v>44639237.94044134</c:v>
                </c:pt>
                <c:pt idx="114">
                  <c:v>43789725.818361513</c:v>
                </c:pt>
                <c:pt idx="115">
                  <c:v>42923362.758397847</c:v>
                </c:pt>
                <c:pt idx="116">
                  <c:v>42039192.048358284</c:v>
                </c:pt>
                <c:pt idx="117">
                  <c:v>41136162.080367252</c:v>
                </c:pt>
                <c:pt idx="118">
                  <c:v>40213112.688613839</c:v>
                </c:pt>
                <c:pt idx="119">
                  <c:v>39268758.863964789</c:v>
                </c:pt>
                <c:pt idx="120">
                  <c:v>38301671.205931932</c:v>
                </c:pt>
                <c:pt idx="121">
                  <c:v>37310252.280701295</c:v>
                </c:pt>
                <c:pt idx="122">
                  <c:v>36292707.792943276</c:v>
                </c:pt>
                <c:pt idx="123">
                  <c:v>35247011.119355954</c:v>
                </c:pt>
                <c:pt idx="124">
                  <c:v>34170859.248982422</c:v>
                </c:pt>
                <c:pt idx="125">
                  <c:v>33061617.461557936</c:v>
                </c:pt>
                <c:pt idx="126">
                  <c:v>31916249.045082163</c:v>
                </c:pt>
                <c:pt idx="127">
                  <c:v>30731224.839991659</c:v>
                </c:pt>
                <c:pt idx="128">
                  <c:v>29502405.127444651</c:v>
                </c:pt>
                <c:pt idx="129">
                  <c:v>28224882.899429079</c:v>
                </c:pt>
                <c:pt idx="130">
                  <c:v>26892772.080862559</c:v>
                </c:pt>
                <c:pt idx="131">
                  <c:v>25498915.44456793</c:v>
                </c:pt>
                <c:pt idx="132">
                  <c:v>24034472.259076197</c:v>
                </c:pt>
                <c:pt idx="133">
                  <c:v>22488320.379901487</c:v>
                </c:pt>
                <c:pt idx="134">
                  <c:v>20846162.154961504</c:v>
                </c:pt>
                <c:pt idx="135">
                  <c:v>19089138.863349278</c:v>
                </c:pt>
                <c:pt idx="136">
                  <c:v>17191593.09391408</c:v>
                </c:pt>
                <c:pt idx="137">
                  <c:v>15117281.435224462</c:v>
                </c:pt>
                <c:pt idx="138">
                  <c:v>12812636.290322274</c:v>
                </c:pt>
                <c:pt idx="139">
                  <c:v>10194314.170345336</c:v>
                </c:pt>
                <c:pt idx="140">
                  <c:v>7127455.6693484839</c:v>
                </c:pt>
                <c:pt idx="141">
                  <c:v>3416786.1331794835</c:v>
                </c:pt>
                <c:pt idx="142">
                  <c:v>-864317.95302114962</c:v>
                </c:pt>
                <c:pt idx="143">
                  <c:v>-4464063.5559252836</c:v>
                </c:pt>
                <c:pt idx="144">
                  <c:v>-6367415.0929391496</c:v>
                </c:pt>
                <c:pt idx="145">
                  <c:v>-7062094.3503443031</c:v>
                </c:pt>
                <c:pt idx="146">
                  <c:v>-7180694.7197593926</c:v>
                </c:pt>
                <c:pt idx="147">
                  <c:v>-7005173.3143356983</c:v>
                </c:pt>
                <c:pt idx="148">
                  <c:v>-6662433.3176271096</c:v>
                </c:pt>
                <c:pt idx="149">
                  <c:v>-6216745.5523418952</c:v>
                </c:pt>
                <c:pt idx="150">
                  <c:v>-5704097.9301936543</c:v>
                </c:pt>
                <c:pt idx="151">
                  <c:v>-5146245.4660403924</c:v>
                </c:pt>
                <c:pt idx="152">
                  <c:v>-4557131.4907901129</c:v>
                </c:pt>
                <c:pt idx="153">
                  <c:v>-3946108.8175322521</c:v>
                </c:pt>
                <c:pt idx="154">
                  <c:v>-3319681.8272529813</c:v>
                </c:pt>
                <c:pt idx="155">
                  <c:v>-2682507.8290107837</c:v>
                </c:pt>
                <c:pt idx="156">
                  <c:v>-2038002.1654808326</c:v>
                </c:pt>
                <c:pt idx="157">
                  <c:v>-1388719.4107765914</c:v>
                </c:pt>
                <c:pt idx="158">
                  <c:v>-736602.09413316101</c:v>
                </c:pt>
                <c:pt idx="159">
                  <c:v>-83147.923243590514</c:v>
                </c:pt>
                <c:pt idx="160">
                  <c:v>570474.84398902173</c:v>
                </c:pt>
                <c:pt idx="161">
                  <c:v>1223345.9907931061</c:v>
                </c:pt>
                <c:pt idx="162">
                  <c:v>1874734.7528766303</c:v>
                </c:pt>
                <c:pt idx="163">
                  <c:v>2524056.911041643</c:v>
                </c:pt>
                <c:pt idx="164">
                  <c:v>3170842.8766678199</c:v>
                </c:pt>
                <c:pt idx="165">
                  <c:v>3814713.6220219075</c:v>
                </c:pt>
                <c:pt idx="166">
                  <c:v>4455362.2992588989</c:v>
                </c:pt>
                <c:pt idx="167">
                  <c:v>5092540.0446964772</c:v>
                </c:pt>
                <c:pt idx="168">
                  <c:v>5726044.9029421499</c:v>
                </c:pt>
                <c:pt idx="169">
                  <c:v>6355713.1046332568</c:v>
                </c:pt>
                <c:pt idx="170">
                  <c:v>6981412.1392465523</c:v>
                </c:pt>
                <c:pt idx="171">
                  <c:v>7603035.2107743854</c:v>
                </c:pt>
                <c:pt idx="172">
                  <c:v>8220496.7685881462</c:v>
                </c:pt>
                <c:pt idx="173">
                  <c:v>8833728.8814091422</c:v>
                </c:pt>
                <c:pt idx="174">
                  <c:v>9442678.2776248548</c:v>
                </c:pt>
                <c:pt idx="175">
                  <c:v>10047303.916103862</c:v>
                </c:pt>
                <c:pt idx="176">
                  <c:v>10647574.982229784</c:v>
                </c:pt>
                <c:pt idx="177">
                  <c:v>11243469.226924583</c:v>
                </c:pt>
                <c:pt idx="178">
                  <c:v>11834971.583965166</c:v>
                </c:pt>
                <c:pt idx="179">
                  <c:v>12422073.014343753</c:v>
                </c:pt>
                <c:pt idx="180">
                  <c:v>13004769.536813844</c:v>
                </c:pt>
                <c:pt idx="181">
                  <c:v>13583061.411851721</c:v>
                </c:pt>
                <c:pt idx="182">
                  <c:v>14156952.452601632</c:v>
                </c:pt>
                <c:pt idx="183">
                  <c:v>14726449.441371305</c:v>
                </c:pt>
                <c:pt idx="184">
                  <c:v>15291561.634210307</c:v>
                </c:pt>
                <c:pt idx="185">
                  <c:v>15852300.339268176</c:v>
                </c:pt>
                <c:pt idx="186">
                  <c:v>16408678.557167832</c:v>
                </c:pt>
                <c:pt idx="187">
                  <c:v>16960710.673676718</c:v>
                </c:pt>
                <c:pt idx="188">
                  <c:v>17508412.196616597</c:v>
                </c:pt>
                <c:pt idx="189">
                  <c:v>18051799.530302927</c:v>
                </c:pt>
                <c:pt idx="190">
                  <c:v>18590889.781908307</c:v>
                </c:pt>
                <c:pt idx="191">
                  <c:v>19125700.595050581</c:v>
                </c:pt>
                <c:pt idx="192">
                  <c:v>19656250.006652877</c:v>
                </c:pt>
                <c:pt idx="193">
                  <c:v>20182556.323740628</c:v>
                </c:pt>
                <c:pt idx="194">
                  <c:v>20704638.017353591</c:v>
                </c:pt>
                <c:pt idx="195">
                  <c:v>21222513.631178234</c:v>
                </c:pt>
                <c:pt idx="196">
                  <c:v>21736201.702863067</c:v>
                </c:pt>
                <c:pt idx="197">
                  <c:v>22245720.696279056</c:v>
                </c:pt>
                <c:pt idx="198">
                  <c:v>22751088.943239186</c:v>
                </c:pt>
                <c:pt idx="199">
                  <c:v>23252324.593403708</c:v>
                </c:pt>
                <c:pt idx="200">
                  <c:v>23749445.57127738</c:v>
                </c:pt>
                <c:pt idx="201">
                  <c:v>24242469.539357353</c:v>
                </c:pt>
                <c:pt idx="202">
                  <c:v>24731413.866619952</c:v>
                </c:pt>
                <c:pt idx="203">
                  <c:v>25216295.601645052</c:v>
                </c:pt>
                <c:pt idx="204">
                  <c:v>25697131.449771006</c:v>
                </c:pt>
                <c:pt idx="205">
                  <c:v>26173937.753753845</c:v>
                </c:pt>
                <c:pt idx="206">
                  <c:v>26646730.477473795</c:v>
                </c:pt>
                <c:pt idx="207">
                  <c:v>27115525.192291606</c:v>
                </c:pt>
                <c:pt idx="208">
                  <c:v>27580337.065708514</c:v>
                </c:pt>
                <c:pt idx="209">
                  <c:v>28041180.852027979</c:v>
                </c:pt>
                <c:pt idx="210">
                  <c:v>28498070.88475547</c:v>
                </c:pt>
                <c:pt idx="211">
                  <c:v>28951021.070505813</c:v>
                </c:pt>
                <c:pt idx="212">
                  <c:v>29400044.884216275</c:v>
                </c:pt>
                <c:pt idx="213">
                  <c:v>29845155.365488559</c:v>
                </c:pt>
                <c:pt idx="214">
                  <c:v>30286365.115904558</c:v>
                </c:pt>
                <c:pt idx="215">
                  <c:v>30723686.297179703</c:v>
                </c:pt>
                <c:pt idx="216">
                  <c:v>31157130.630034134</c:v>
                </c:pt>
                <c:pt idx="217">
                  <c:v>31586709.393676437</c:v>
                </c:pt>
                <c:pt idx="218">
                  <c:v>32012433.425807253</c:v>
                </c:pt>
                <c:pt idx="219">
                  <c:v>32434313.12306105</c:v>
                </c:pt>
                <c:pt idx="220">
                  <c:v>32852358.441814136</c:v>
                </c:pt>
                <c:pt idx="221">
                  <c:v>33266578.899295337</c:v>
                </c:pt>
                <c:pt idx="222">
                  <c:v>33676983.574943312</c:v>
                </c:pt>
                <c:pt idx="223">
                  <c:v>34083581.11196094</c:v>
                </c:pt>
                <c:pt idx="224">
                  <c:v>34486379.719023079</c:v>
                </c:pt>
                <c:pt idx="225">
                  <c:v>34885387.172098905</c:v>
                </c:pt>
                <c:pt idx="226">
                  <c:v>35280610.816354625</c:v>
                </c:pt>
                <c:pt idx="227">
                  <c:v>35672057.568106227</c:v>
                </c:pt>
                <c:pt idx="228">
                  <c:v>36059733.916795351</c:v>
                </c:pt>
                <c:pt idx="229">
                  <c:v>36443645.926964521</c:v>
                </c:pt>
                <c:pt idx="230">
                  <c:v>36823799.240210511</c:v>
                </c:pt>
                <c:pt idx="231">
                  <c:v>37200199.077097103</c:v>
                </c:pt>
                <c:pt idx="232">
                  <c:v>37572850.239010528</c:v>
                </c:pt>
                <c:pt idx="233">
                  <c:v>37941757.109942704</c:v>
                </c:pt>
                <c:pt idx="234">
                  <c:v>38306923.658189014</c:v>
                </c:pt>
                <c:pt idx="235">
                  <c:v>38668353.437948756</c:v>
                </c:pt>
                <c:pt idx="236">
                  <c:v>39026049.59081772</c:v>
                </c:pt>
                <c:pt idx="237">
                  <c:v>39380014.847163297</c:v>
                </c:pt>
                <c:pt idx="238">
                  <c:v>39730251.527373604</c:v>
                </c:pt>
                <c:pt idx="239">
                  <c:v>40076761.54297287</c:v>
                </c:pt>
                <c:pt idx="240">
                  <c:v>40419546.397596069</c:v>
                </c:pt>
                <c:pt idx="241">
                  <c:v>40758607.187816411</c:v>
                </c:pt>
                <c:pt idx="242">
                  <c:v>41093944.60381981</c:v>
                </c:pt>
                <c:pt idx="243">
                  <c:v>41425558.929920964</c:v>
                </c:pt>
                <c:pt idx="244">
                  <c:v>41753450.044915989</c:v>
                </c:pt>
                <c:pt idx="245">
                  <c:v>42077617.42226696</c:v>
                </c:pt>
                <c:pt idx="246">
                  <c:v>42398060.130113922</c:v>
                </c:pt>
                <c:pt idx="247">
                  <c:v>42714776.831110135</c:v>
                </c:pt>
                <c:pt idx="248">
                  <c:v>43027765.78207659</c:v>
                </c:pt>
                <c:pt idx="249">
                  <c:v>43337024.83347182</c:v>
                </c:pt>
                <c:pt idx="250">
                  <c:v>43642551.428673208</c:v>
                </c:pt>
                <c:pt idx="251">
                  <c:v>43944342.603066057</c:v>
                </c:pt>
                <c:pt idx="252">
                  <c:v>44242394.982936643</c:v>
                </c:pt>
                <c:pt idx="253">
                  <c:v>44536704.784165494</c:v>
                </c:pt>
                <c:pt idx="254">
                  <c:v>44827267.810717158</c:v>
                </c:pt>
                <c:pt idx="255">
                  <c:v>45114079.452922508</c:v>
                </c:pt>
                <c:pt idx="256">
                  <c:v>45397134.685549766</c:v>
                </c:pt>
                <c:pt idx="257">
                  <c:v>45676428.065660059</c:v>
                </c:pt>
                <c:pt idx="258">
                  <c:v>45951953.730243422</c:v>
                </c:pt>
                <c:pt idx="259">
                  <c:v>46223705.39363087</c:v>
                </c:pt>
                <c:pt idx="260">
                  <c:v>46491676.344677985</c:v>
                </c:pt>
                <c:pt idx="261">
                  <c:v>46755859.443715371</c:v>
                </c:pt>
                <c:pt idx="262">
                  <c:v>47016247.119260959</c:v>
                </c:pt>
                <c:pt idx="263">
                  <c:v>47272831.364489116</c:v>
                </c:pt>
                <c:pt idx="264">
                  <c:v>47525603.733451009</c:v>
                </c:pt>
                <c:pt idx="265">
                  <c:v>47774555.33704064</c:v>
                </c:pt>
                <c:pt idx="266">
                  <c:v>48019676.838700511</c:v>
                </c:pt>
                <c:pt idx="267">
                  <c:v>48260958.449860603</c:v>
                </c:pt>
                <c:pt idx="268">
                  <c:v>48498389.925104149</c:v>
                </c:pt>
                <c:pt idx="269">
                  <c:v>48731960.557053082</c:v>
                </c:pt>
                <c:pt idx="270">
                  <c:v>48961659.170965888</c:v>
                </c:pt>
                <c:pt idx="271">
                  <c:v>49187474.119040117</c:v>
                </c:pt>
                <c:pt idx="272">
                  <c:v>49409393.274411343</c:v>
                </c:pt>
                <c:pt idx="273">
                  <c:v>49627404.02483999</c:v>
                </c:pt>
                <c:pt idx="274">
                  <c:v>49841493.26607696</c:v>
                </c:pt>
                <c:pt idx="275">
                  <c:v>50051647.394898452</c:v>
                </c:pt>
                <c:pt idx="276">
                  <c:v>50257852.301799953</c:v>
                </c:pt>
                <c:pt idx="277">
                  <c:v>50460093.363338687</c:v>
                </c:pt>
                <c:pt idx="278">
                  <c:v>50658355.434113398</c:v>
                </c:pt>
                <c:pt idx="279">
                  <c:v>50852622.838369563</c:v>
                </c:pt>
                <c:pt idx="280">
                  <c:v>51042879.361217618</c:v>
                </c:pt>
                <c:pt idx="281">
                  <c:v>51229108.239451051</c:v>
                </c:pt>
                <c:pt idx="282">
                  <c:v>51411292.151950493</c:v>
                </c:pt>
                <c:pt idx="283">
                  <c:v>51589413.209659174</c:v>
                </c:pt>
                <c:pt idx="284">
                  <c:v>51763452.945114359</c:v>
                </c:pt>
                <c:pt idx="285">
                  <c:v>51933392.301518485</c:v>
                </c:pt>
                <c:pt idx="286">
                  <c:v>52099211.621332839</c:v>
                </c:pt>
                <c:pt idx="287">
                  <c:v>52260890.634375691</c:v>
                </c:pt>
                <c:pt idx="288">
                  <c:v>52418408.445405737</c:v>
                </c:pt>
                <c:pt idx="289">
                  <c:v>52571743.521170795</c:v>
                </c:pt>
                <c:pt idx="290">
                  <c:v>52720873.676900327</c:v>
                </c:pt>
                <c:pt idx="291">
                  <c:v>52865776.062219448</c:v>
                </c:pt>
                <c:pt idx="292">
                  <c:v>53006427.1464606</c:v>
                </c:pt>
                <c:pt idx="293">
                  <c:v>53142802.703347884</c:v>
                </c:pt>
                <c:pt idx="294">
                  <c:v>53274877.795027502</c:v>
                </c:pt>
                <c:pt idx="295">
                  <c:v>53402626.755416356</c:v>
                </c:pt>
                <c:pt idx="296">
                  <c:v>53526023.17283918</c:v>
                </c:pt>
                <c:pt idx="297">
                  <c:v>53645039.871922895</c:v>
                </c:pt>
                <c:pt idx="298">
                  <c:v>53759648.894715101</c:v>
                </c:pt>
                <c:pt idx="299">
                  <c:v>53869821.480991572</c:v>
                </c:pt>
                <c:pt idx="300">
                  <c:v>53975528.047715746</c:v>
                </c:pt>
                <c:pt idx="301">
                  <c:v>54076738.167610832</c:v>
                </c:pt>
                <c:pt idx="302">
                  <c:v>54173420.546802893</c:v>
                </c:pt>
                <c:pt idx="303">
                  <c:v>54265543.001490846</c:v>
                </c:pt>
                <c:pt idx="304">
                  <c:v>54353072.43359644</c:v>
                </c:pt>
                <c:pt idx="305">
                  <c:v>54435974.805344686</c:v>
                </c:pt>
                <c:pt idx="306">
                  <c:v>54514215.112721927</c:v>
                </c:pt>
                <c:pt idx="307">
                  <c:v>54587757.357755691</c:v>
                </c:pt>
                <c:pt idx="308">
                  <c:v>54656564.519556761</c:v>
                </c:pt>
                <c:pt idx="309">
                  <c:v>54720598.524060391</c:v>
                </c:pt>
                <c:pt idx="310">
                  <c:v>54779820.212399334</c:v>
                </c:pt>
                <c:pt idx="311">
                  <c:v>54834189.307837293</c:v>
                </c:pt>
                <c:pt idx="312">
                  <c:v>54883664.381186582</c:v>
                </c:pt>
                <c:pt idx="313">
                  <c:v>54928202.814628996</c:v>
                </c:pt>
                <c:pt idx="314">
                  <c:v>54967760.763853364</c:v>
                </c:pt>
                <c:pt idx="315">
                  <c:v>55002293.118417695</c:v>
                </c:pt>
                <c:pt idx="316">
                  <c:v>55031753.460237555</c:v>
                </c:pt>
                <c:pt idx="317">
                  <c:v>55056094.020095646</c:v>
                </c:pt>
                <c:pt idx="318">
                  <c:v>55075265.632060364</c:v>
                </c:pt>
                <c:pt idx="319">
                  <c:v>55089217.68569345</c:v>
                </c:pt>
                <c:pt idx="320">
                  <c:v>55097898.075918332</c:v>
                </c:pt>
                <c:pt idx="321">
                  <c:v>55101253.150411792</c:v>
                </c:pt>
                <c:pt idx="322">
                  <c:v>55099227.654371746</c:v>
                </c:pt>
                <c:pt idx="323">
                  <c:v>55091764.67250336</c:v>
                </c:pt>
                <c:pt idx="324">
                  <c:v>55078805.568054147</c:v>
                </c:pt>
                <c:pt idx="325">
                  <c:v>55060289.918716267</c:v>
                </c:pt>
                <c:pt idx="326">
                  <c:v>55036155.449200638</c:v>
                </c:pt>
                <c:pt idx="327">
                  <c:v>55006337.960272849</c:v>
                </c:pt>
                <c:pt idx="328">
                  <c:v>54970771.254024692</c:v>
                </c:pt>
                <c:pt idx="329">
                  <c:v>54929387.055137746</c:v>
                </c:pt>
                <c:pt idx="330">
                  <c:v>54882114.927876502</c:v>
                </c:pt>
                <c:pt idx="331">
                  <c:v>54828882.188527577</c:v>
                </c:pt>
                <c:pt idx="332">
                  <c:v>54769613.812979057</c:v>
                </c:pt>
                <c:pt idx="333">
                  <c:v>54704232.339109145</c:v>
                </c:pt>
                <c:pt idx="334">
                  <c:v>54632657.763626128</c:v>
                </c:pt>
                <c:pt idx="335">
                  <c:v>54554807.432971977</c:v>
                </c:pt>
                <c:pt idx="336">
                  <c:v>54470595.92786926</c:v>
                </c:pt>
                <c:pt idx="337">
                  <c:v>54379934.941055149</c:v>
                </c:pt>
                <c:pt idx="338">
                  <c:v>54282733.147706963</c:v>
                </c:pt>
                <c:pt idx="339">
                  <c:v>54178896.068020217</c:v>
                </c:pt>
                <c:pt idx="340">
                  <c:v>54068325.921352342</c:v>
                </c:pt>
                <c:pt idx="341">
                  <c:v>53950921.471292377</c:v>
                </c:pt>
                <c:pt idx="342">
                  <c:v>53826577.860958599</c:v>
                </c:pt>
                <c:pt idx="343">
                  <c:v>53695186.437761351</c:v>
                </c:pt>
                <c:pt idx="344">
                  <c:v>53556634.566796742</c:v>
                </c:pt>
                <c:pt idx="345">
                  <c:v>53410805.431957372</c:v>
                </c:pt>
                <c:pt idx="346">
                  <c:v>53257577.823757753</c:v>
                </c:pt>
                <c:pt idx="347">
                  <c:v>53096825.912773781</c:v>
                </c:pt>
                <c:pt idx="348">
                  <c:v>52928419.00748574</c:v>
                </c:pt>
                <c:pt idx="349">
                  <c:v>52752221.295191802</c:v>
                </c:pt>
                <c:pt idx="350">
                  <c:v>52568091.564521737</c:v>
                </c:pt>
                <c:pt idx="351">
                  <c:v>52375882.90792691</c:v>
                </c:pt>
                <c:pt idx="352">
                  <c:v>52175442.402350023</c:v>
                </c:pt>
                <c:pt idx="353">
                  <c:v>51966610.766083926</c:v>
                </c:pt>
                <c:pt idx="354">
                  <c:v>51749221.989610083</c:v>
                </c:pt>
                <c:pt idx="355">
                  <c:v>51523102.937960386</c:v>
                </c:pt>
                <c:pt idx="356">
                  <c:v>51288072.921866544</c:v>
                </c:pt>
                <c:pt idx="357">
                  <c:v>51043943.234644584</c:v>
                </c:pt>
                <c:pt idx="358">
                  <c:v>50790516.651402138</c:v>
                </c:pt>
                <c:pt idx="359">
                  <c:v>50527586.886746563</c:v>
                </c:pt>
                <c:pt idx="360">
                  <c:v>50254938.00670433</c:v>
                </c:pt>
                <c:pt idx="361">
                  <c:v>49972343.790027358</c:v>
                </c:pt>
                <c:pt idx="362">
                  <c:v>49679567.033448607</c:v>
                </c:pt>
                <c:pt idx="363">
                  <c:v>49376358.794744246</c:v>
                </c:pt>
                <c:pt idx="364">
                  <c:v>49062457.566646956</c:v>
                </c:pt>
                <c:pt idx="365">
                  <c:v>48737588.37371555</c:v>
                </c:pt>
                <c:pt idx="366">
                  <c:v>48401461.783177234</c:v>
                </c:pt>
                <c:pt idx="367">
                  <c:v>48053772.819492854</c:v>
                </c:pt>
                <c:pt idx="368">
                  <c:v>47694199.770919181</c:v>
                </c:pt>
                <c:pt idx="369">
                  <c:v>47322402.87461517</c:v>
                </c:pt>
                <c:pt idx="370">
                  <c:v>46938022.864811502</c:v>
                </c:pt>
                <c:pt idx="371">
                  <c:v>46540679.366174608</c:v>
                </c:pt>
                <c:pt idx="372">
                  <c:v>46129969.111672558</c:v>
                </c:pt>
                <c:pt idx="373">
                  <c:v>45705463.96089939</c:v>
                </c:pt>
                <c:pt idx="374">
                  <c:v>45266708.690821514</c:v>
                </c:pt>
                <c:pt idx="375">
                  <c:v>44813218.526132368</c:v>
                </c:pt>
                <c:pt idx="376">
                  <c:v>44344476.370660357</c:v>
                </c:pt>
                <c:pt idx="377">
                  <c:v>43859929.694343552</c:v>
                </c:pt>
                <c:pt idx="378">
                  <c:v>43358987.021876037</c:v>
                </c:pt>
                <c:pt idx="379">
                  <c:v>42841013.958878189</c:v>
                </c:pt>
                <c:pt idx="380">
                  <c:v>42305328.678875066</c:v>
                </c:pt>
                <c:pt idx="381">
                  <c:v>41751196.778873764</c:v>
                </c:pt>
                <c:pt idx="382">
                  <c:v>41177825.392116614</c:v>
                </c:pt>
                <c:pt idx="383">
                  <c:v>40584356.42260918</c:v>
                </c:pt>
                <c:pt idx="384">
                  <c:v>39969858.73589766</c:v>
                </c:pt>
                <c:pt idx="385">
                  <c:v>39333319.102455787</c:v>
                </c:pt>
                <c:pt idx="386">
                  <c:v>38673631.641452678</c:v>
                </c:pt>
                <c:pt idx="387">
                  <c:v>37989585.450233154</c:v>
                </c:pt>
                <c:pt idx="388">
                  <c:v>37279850.023913525</c:v>
                </c:pt>
                <c:pt idx="389">
                  <c:v>36542957.96363955</c:v>
                </c:pt>
                <c:pt idx="390">
                  <c:v>35777284.332228489</c:v>
                </c:pt>
                <c:pt idx="391">
                  <c:v>34981021.829268135</c:v>
                </c:pt>
                <c:pt idx="392">
                  <c:v>34152150.705753997</c:v>
                </c:pt>
                <c:pt idx="393">
                  <c:v>33288401.993948951</c:v>
                </c:pt>
                <c:pt idx="394">
                  <c:v>32387212.151192326</c:v>
                </c:pt>
                <c:pt idx="395">
                  <c:v>31445666.54628852</c:v>
                </c:pt>
                <c:pt idx="396">
                  <c:v>30460428.260827042</c:v>
                </c:pt>
                <c:pt idx="397">
                  <c:v>29427647.289621603</c:v>
                </c:pt>
                <c:pt idx="398">
                  <c:v>28342843.171360336</c:v>
                </c:pt>
                <c:pt idx="399">
                  <c:v>27200750.981132064</c:v>
                </c:pt>
                <c:pt idx="400">
                  <c:v>25995115.830745067</c:v>
                </c:pt>
                <c:pt idx="401">
                  <c:v>24718413.447271246</c:v>
                </c:pt>
                <c:pt idx="402">
                  <c:v>23361462.07619033</c:v>
                </c:pt>
                <c:pt idx="403">
                  <c:v>21912870.295819189</c:v>
                </c:pt>
                <c:pt idx="404">
                  <c:v>20358229.553408664</c:v>
                </c:pt>
                <c:pt idx="405">
                  <c:v>18678896.134536244</c:v>
                </c:pt>
                <c:pt idx="406">
                  <c:v>16850088.621963978</c:v>
                </c:pt>
                <c:pt idx="407">
                  <c:v>14837802.316671995</c:v>
                </c:pt>
                <c:pt idx="408">
                  <c:v>12593625.310139449</c:v>
                </c:pt>
                <c:pt idx="409">
                  <c:v>10045922.016626984</c:v>
                </c:pt>
                <c:pt idx="410">
                  <c:v>7086499.2829301218</c:v>
                </c:pt>
                <c:pt idx="411">
                  <c:v>3571101.8903835295</c:v>
                </c:pt>
                <c:pt idx="412">
                  <c:v>-461545.42158973869</c:v>
                </c:pt>
                <c:pt idx="413">
                  <c:v>-3928224.3511304795</c:v>
                </c:pt>
                <c:pt idx="414">
                  <c:v>-5620722.8762689885</c:v>
                </c:pt>
                <c:pt idx="415">
                  <c:v>-5834547.9272814933</c:v>
                </c:pt>
                <c:pt idx="416">
                  <c:v>-5373001.3373114243</c:v>
                </c:pt>
                <c:pt idx="417">
                  <c:v>-4608029.6881571133</c:v>
                </c:pt>
                <c:pt idx="418">
                  <c:v>-3694607.3067384595</c:v>
                </c:pt>
                <c:pt idx="419">
                  <c:v>-2704887.768859596</c:v>
                </c:pt>
                <c:pt idx="420">
                  <c:v>-1676206.4134907364</c:v>
                </c:pt>
                <c:pt idx="421">
                  <c:v>-629494.83505167521</c:v>
                </c:pt>
                <c:pt idx="422">
                  <c:v>422795.58433766256</c:v>
                </c:pt>
                <c:pt idx="423">
                  <c:v>1472927.3213249198</c:v>
                </c:pt>
                <c:pt idx="424">
                  <c:v>2515936.4582915702</c:v>
                </c:pt>
                <c:pt idx="425">
                  <c:v>3548566.3017365346</c:v>
                </c:pt>
                <c:pt idx="426">
                  <c:v>4568649.6106669065</c:v>
                </c:pt>
                <c:pt idx="427">
                  <c:v>5574734.8603183888</c:v>
                </c:pt>
                <c:pt idx="428">
                  <c:v>6565851.8287374526</c:v>
                </c:pt>
                <c:pt idx="429">
                  <c:v>7541360.0333307208</c:v>
                </c:pt>
                <c:pt idx="430">
                  <c:v>8500848.1763723176</c:v>
                </c:pt>
                <c:pt idx="431">
                  <c:v>9444065.9478443675</c:v>
                </c:pt>
                <c:pt idx="432">
                  <c:v>10370876.892341834</c:v>
                </c:pt>
                <c:pt idx="433">
                  <c:v>11281225.301532192</c:v>
                </c:pt>
                <c:pt idx="434">
                  <c:v>12175112.63238276</c:v>
                </c:pt>
                <c:pt idx="435">
                  <c:v>13052580.508851716</c:v>
                </c:pt>
                <c:pt idx="436">
                  <c:v>13913698.344162406</c:v>
                </c:pt>
                <c:pt idx="437">
                  <c:v>14758554.250470713</c:v>
                </c:pt>
                <c:pt idx="438">
                  <c:v>15587248.315710628</c:v>
                </c:pt>
                <c:pt idx="439">
                  <c:v>16399887.603159139</c:v>
                </c:pt>
                <c:pt idx="440">
                  <c:v>17196582.416416042</c:v>
                </c:pt>
                <c:pt idx="441">
                  <c:v>17977443.501411423</c:v>
                </c:pt>
                <c:pt idx="442">
                  <c:v>18742579.947063383</c:v>
                </c:pt>
                <c:pt idx="443">
                  <c:v>19492097.60983485</c:v>
                </c:pt>
                <c:pt idx="444">
                  <c:v>20226097.932926334</c:v>
                </c:pt>
                <c:pt idx="445">
                  <c:v>20944677.063701283</c:v>
                </c:pt>
                <c:pt idx="446">
                  <c:v>21647925.196905043</c:v>
                </c:pt>
                <c:pt idx="447">
                  <c:v>22335926.088868875</c:v>
                </c:pt>
                <c:pt idx="448">
                  <c:v>23008756.700964782</c:v>
                </c:pt>
                <c:pt idx="449">
                  <c:v>23666486.94034382</c:v>
                </c:pt>
                <c:pt idx="450">
                  <c:v>24309179.473334868</c:v>
                </c:pt>
                <c:pt idx="451">
                  <c:v>24936889.592436455</c:v>
                </c:pt>
                <c:pt idx="452">
                  <c:v>25549665.122058958</c:v>
                </c:pt>
                <c:pt idx="453">
                  <c:v>26147546.351401504</c:v>
                </c:pt>
                <c:pt idx="454">
                  <c:v>26730565.985322341</c:v>
                </c:pt>
                <c:pt idx="455">
                  <c:v>27298749.105963733</c:v>
                </c:pt>
                <c:pt idx="456">
                  <c:v>27852113.139357675</c:v>
                </c:pt>
                <c:pt idx="457">
                  <c:v>28390667.822367411</c:v>
                </c:pt>
                <c:pt idx="458">
                  <c:v>28914415.166187968</c:v>
                </c:pt>
                <c:pt idx="459">
                  <c:v>29423349.413293988</c:v>
                </c:pt>
                <c:pt idx="460">
                  <c:v>29917456.98522884</c:v>
                </c:pt>
                <c:pt idx="461">
                  <c:v>30396716.41900833</c:v>
                </c:pt>
                <c:pt idx="462">
                  <c:v>30861098.290190913</c:v>
                </c:pt>
                <c:pt idx="463">
                  <c:v>31310565.120863482</c:v>
                </c:pt>
                <c:pt idx="464">
                  <c:v>31745071.270922083</c:v>
                </c:pt>
                <c:pt idx="465">
                  <c:v>32164562.811101958</c:v>
                </c:pt>
                <c:pt idx="466">
                  <c:v>32568977.376239061</c:v>
                </c:pt>
                <c:pt idx="467">
                  <c:v>32958243.997232124</c:v>
                </c:pt>
                <c:pt idx="468">
                  <c:v>33332282.9101246</c:v>
                </c:pt>
                <c:pt idx="469">
                  <c:v>33691005.340642549</c:v>
                </c:pt>
                <c:pt idx="470">
                  <c:v>34034313.262409091</c:v>
                </c:pt>
                <c:pt idx="471">
                  <c:v>34362099.126909271</c:v>
                </c:pt>
                <c:pt idx="472">
                  <c:v>34674245.563100487</c:v>
                </c:pt>
                <c:pt idx="473">
                  <c:v>34970625.044351861</c:v>
                </c:pt>
                <c:pt idx="474">
                  <c:v>35251099.520148672</c:v>
                </c:pt>
                <c:pt idx="475">
                  <c:v>35515520.009712368</c:v>
                </c:pt>
                <c:pt idx="476">
                  <c:v>35763726.154358469</c:v>
                </c:pt>
                <c:pt idx="477">
                  <c:v>35995545.725038774</c:v>
                </c:pt>
                <c:pt idx="478">
                  <c:v>36210794.081084661</c:v>
                </c:pt>
                <c:pt idx="479">
                  <c:v>36409273.575676844</c:v>
                </c:pt>
                <c:pt idx="480">
                  <c:v>36590772.903005175</c:v>
                </c:pt>
                <c:pt idx="481">
                  <c:v>36755066.381438419</c:v>
                </c:pt>
                <c:pt idx="482">
                  <c:v>36901913.166285597</c:v>
                </c:pt>
                <c:pt idx="483">
                  <c:v>37031056.384881757</c:v>
                </c:pt>
                <c:pt idx="484">
                  <c:v>37142222.185752787</c:v>
                </c:pt>
                <c:pt idx="485">
                  <c:v>37235118.692483887</c:v>
                </c:pt>
                <c:pt idx="486">
                  <c:v>37309434.851606898</c:v>
                </c:pt>
                <c:pt idx="487">
                  <c:v>37364839.162300475</c:v>
                </c:pt>
                <c:pt idx="488">
                  <c:v>37400978.273923643</c:v>
                </c:pt>
                <c:pt idx="489">
                  <c:v>37417475.435329638</c:v>
                </c:pt>
                <c:pt idx="490">
                  <c:v>37413928.77747374</c:v>
                </c:pt>
                <c:pt idx="491">
                  <c:v>37389909.40796341</c:v>
                </c:pt>
                <c:pt idx="492">
                  <c:v>37344959.292812668</c:v>
                </c:pt>
                <c:pt idx="493">
                  <c:v>37278588.89664425</c:v>
                </c:pt>
                <c:pt idx="494">
                  <c:v>37190274.547796249</c:v>
                </c:pt>
                <c:pt idx="495">
                  <c:v>37079455.48906257</c:v>
                </c:pt>
                <c:pt idx="496">
                  <c:v>36945530.567914441</c:v>
                </c:pt>
                <c:pt idx="497">
                  <c:v>36787854.511740826</c:v>
                </c:pt>
                <c:pt idx="498">
                  <c:v>36605733.723565035</c:v>
                </c:pt>
                <c:pt idx="499">
                  <c:v>36398421.521401666</c:v>
                </c:pt>
                <c:pt idx="500">
                  <c:v>36165112.729345992</c:v>
                </c:pt>
                <c:pt idx="501">
                  <c:v>35904937.509903096</c:v>
                </c:pt>
                <c:pt idx="502">
                  <c:v>35616954.30400984</c:v>
                </c:pt>
                <c:pt idx="503">
                  <c:v>35300141.716421373</c:v>
                </c:pt>
                <c:pt idx="504">
                  <c:v>34953389.147960678</c:v>
                </c:pt>
                <c:pt idx="505">
                  <c:v>34575485.93033994</c:v>
                </c:pt>
                <c:pt idx="506">
                  <c:v>34165108.660858259</c:v>
                </c:pt>
                <c:pt idx="507">
                  <c:v>33720806.359182797</c:v>
                </c:pt>
                <c:pt idx="508">
                  <c:v>33240982.971022509</c:v>
                </c:pt>
                <c:pt idx="509">
                  <c:v>32723876.616015639</c:v>
                </c:pt>
                <c:pt idx="510">
                  <c:v>32167534.808625937</c:v>
                </c:pt>
                <c:pt idx="511">
                  <c:v>31569784.655699838</c:v>
                </c:pt>
                <c:pt idx="512">
                  <c:v>30928196.730120998</c:v>
                </c:pt>
                <c:pt idx="513">
                  <c:v>30240040.903873589</c:v>
                </c:pt>
                <c:pt idx="514">
                  <c:v>29502231.847052209</c:v>
                </c:pt>
                <c:pt idx="515">
                  <c:v>28711261.088401057</c:v>
                </c:pt>
                <c:pt idx="516">
                  <c:v>27863111.374940239</c:v>
                </c:pt>
                <c:pt idx="517">
                  <c:v>26953147.386561591</c:v>
                </c:pt>
                <c:pt idx="518">
                  <c:v>25975974.374349497</c:v>
                </c:pt>
                <c:pt idx="519">
                  <c:v>24925252.539394736</c:v>
                </c:pt>
                <c:pt idx="520">
                  <c:v>23793449.186067738</c:v>
                </c:pt>
                <c:pt idx="521">
                  <c:v>22571501.56327226</c:v>
                </c:pt>
                <c:pt idx="522">
                  <c:v>21248348.568663284</c:v>
                </c:pt>
                <c:pt idx="523">
                  <c:v>19810265.077051084</c:v>
                </c:pt>
                <c:pt idx="524">
                  <c:v>18239891.277063902</c:v>
                </c:pt>
                <c:pt idx="525">
                  <c:v>16514778.198588707</c:v>
                </c:pt>
                <c:pt idx="526">
                  <c:v>14605149.239247039</c:v>
                </c:pt>
                <c:pt idx="527">
                  <c:v>12470389.660441589</c:v>
                </c:pt>
                <c:pt idx="528">
                  <c:v>10053626.628247719</c:v>
                </c:pt>
                <c:pt idx="529">
                  <c:v>7274757.1748472871</c:v>
                </c:pt>
                <c:pt idx="530">
                  <c:v>4033302.0558384927</c:v>
                </c:pt>
                <c:pt idx="531">
                  <c:v>320709.11924118455</c:v>
                </c:pt>
                <c:pt idx="532">
                  <c:v>-3145137.7877989919</c:v>
                </c:pt>
                <c:pt idx="533">
                  <c:v>-4946077.1014059205</c:v>
                </c:pt>
                <c:pt idx="534">
                  <c:v>-4882391.1244198801</c:v>
                </c:pt>
                <c:pt idx="535">
                  <c:v>-3908209.7316640024</c:v>
                </c:pt>
                <c:pt idx="536">
                  <c:v>-2588094.2508831592</c:v>
                </c:pt>
                <c:pt idx="537">
                  <c:v>-1140457.6601399097</c:v>
                </c:pt>
                <c:pt idx="538">
                  <c:v>344774.09472297924</c:v>
                </c:pt>
                <c:pt idx="539">
                  <c:v>1826613.2319310955</c:v>
                </c:pt>
                <c:pt idx="540">
                  <c:v>3284930.8096891805</c:v>
                </c:pt>
                <c:pt idx="541">
                  <c:v>4709399.2196630975</c:v>
                </c:pt>
                <c:pt idx="542">
                  <c:v>6094650.5418740492</c:v>
                </c:pt>
                <c:pt idx="543">
                  <c:v>7437965.4471360818</c:v>
                </c:pt>
                <c:pt idx="544">
                  <c:v>8738092.040033944</c:v>
                </c:pt>
                <c:pt idx="545">
                  <c:v>9994608.7533649392</c:v>
                </c:pt>
                <c:pt idx="546">
                  <c:v>11207565.763193088</c:v>
                </c:pt>
                <c:pt idx="547">
                  <c:v>12377276.317105766</c:v>
                </c:pt>
                <c:pt idx="548">
                  <c:v>13504192.141507655</c:v>
                </c:pt>
                <c:pt idx="549">
                  <c:v>14588827.624953654</c:v>
                </c:pt>
                <c:pt idx="550">
                  <c:v>15631713.088009188</c:v>
                </c:pt>
                <c:pt idx="551">
                  <c:v>16633365.784740414</c:v>
                </c:pt>
                <c:pt idx="552">
                  <c:v>17594271.89736753</c:v>
                </c:pt>
                <c:pt idx="553">
                  <c:v>18514875.425601941</c:v>
                </c:pt>
                <c:pt idx="554">
                  <c:v>19395571.424361408</c:v>
                </c:pt>
                <c:pt idx="555">
                  <c:v>20236701.97838562</c:v>
                </c:pt>
                <c:pt idx="556">
                  <c:v>21038553.877121836</c:v>
                </c:pt>
                <c:pt idx="557">
                  <c:v>21801357.313053839</c:v>
                </c:pt>
                <c:pt idx="558">
                  <c:v>22525285.155169621</c:v>
                </c:pt>
                <c:pt idx="559">
                  <c:v>23210452.49604148</c:v>
                </c:pt>
                <c:pt idx="560">
                  <c:v>23856916.265929975</c:v>
                </c:pt>
                <c:pt idx="561">
                  <c:v>24464674.768798791</c:v>
                </c:pt>
                <c:pt idx="562">
                  <c:v>25033667.03461162</c:v>
                </c:pt>
                <c:pt idx="563">
                  <c:v>25563771.907020129</c:v>
                </c:pt>
                <c:pt idx="564">
                  <c:v>26054806.800156321</c:v>
                </c:pt>
                <c:pt idx="565">
                  <c:v>26506526.065650336</c:v>
                </c:pt>
                <c:pt idx="566">
                  <c:v>26918618.913052358</c:v>
                </c:pt>
                <c:pt idx="567">
                  <c:v>27290706.824660856</c:v>
                </c:pt>
                <c:pt idx="568">
                  <c:v>27622340.399953138</c:v>
                </c:pt>
                <c:pt idx="569">
                  <c:v>27912995.555603109</c:v>
                </c:pt>
                <c:pt idx="570">
                  <c:v>28162068.994371813</c:v>
                </c:pt>
                <c:pt idx="571">
                  <c:v>28368872.839607071</c:v>
                </c:pt>
                <c:pt idx="572">
                  <c:v>28532628.311044443</c:v>
                </c:pt>
                <c:pt idx="573">
                  <c:v>28652458.291099437</c:v>
                </c:pt>
                <c:pt idx="574">
                  <c:v>28727378.597528435</c:v>
                </c:pt>
                <c:pt idx="575">
                  <c:v>28756287.736363877</c:v>
                </c:pt>
                <c:pt idx="576">
                  <c:v>28737954.855886351</c:v>
                </c:pt>
                <c:pt idx="577">
                  <c:v>28671005.554671876</c:v>
                </c:pt>
                <c:pt idx="578">
                  <c:v>28553905.109790258</c:v>
                </c:pt>
                <c:pt idx="579">
                  <c:v>28384938.578626152</c:v>
                </c:pt>
                <c:pt idx="580">
                  <c:v>28162187.08065702</c:v>
                </c:pt>
                <c:pt idx="581">
                  <c:v>27883499.371378381</c:v>
                </c:pt>
                <c:pt idx="582">
                  <c:v>27546457.561715424</c:v>
                </c:pt>
                <c:pt idx="583">
                  <c:v>27148335.48727053</c:v>
                </c:pt>
                <c:pt idx="584">
                  <c:v>26686047.755608045</c:v>
                </c:pt>
                <c:pt idx="585">
                  <c:v>26156086.841824915</c:v>
                </c:pt>
                <c:pt idx="586">
                  <c:v>25554444.681041926</c:v>
                </c:pt>
                <c:pt idx="587">
                  <c:v>24876513.896671828</c:v>
                </c:pt>
                <c:pt idx="588">
                  <c:v>24116961.913010344</c:v>
                </c:pt>
                <c:pt idx="589">
                  <c:v>23269568.427938841</c:v>
                </c:pt>
                <c:pt idx="590">
                  <c:v>22327012.585421871</c:v>
                </c:pt>
                <c:pt idx="591">
                  <c:v>21280589.912665721</c:v>
                </c:pt>
                <c:pt idx="592">
                  <c:v>20119829.415781047</c:v>
                </c:pt>
                <c:pt idx="593">
                  <c:v>18831966.139112063</c:v>
                </c:pt>
                <c:pt idx="594">
                  <c:v>17401200.88541314</c:v>
                </c:pt>
                <c:pt idx="595">
                  <c:v>15807642.654135689</c:v>
                </c:pt>
                <c:pt idx="596">
                  <c:v>14025779.163971849</c:v>
                </c:pt>
                <c:pt idx="597">
                  <c:v>12022277.748624548</c:v>
                </c:pt>
                <c:pt idx="598">
                  <c:v>9753033.0631141961</c:v>
                </c:pt>
                <c:pt idx="599">
                  <c:v>7160508.6468720417</c:v>
                </c:pt>
                <c:pt idx="600">
                  <c:v>4179621.232069158</c:v>
                </c:pt>
                <c:pt idx="601">
                  <c:v>804956.09831395047</c:v>
                </c:pt>
                <c:pt idx="602">
                  <c:v>-2525017.7540435665</c:v>
                </c:pt>
                <c:pt idx="603">
                  <c:v>-4440997.0011929106</c:v>
                </c:pt>
                <c:pt idx="604">
                  <c:v>-4239504.7838066844</c:v>
                </c:pt>
                <c:pt idx="605">
                  <c:v>-2780694.3587475293</c:v>
                </c:pt>
                <c:pt idx="606">
                  <c:v>-911558.54180695559</c:v>
                </c:pt>
                <c:pt idx="607">
                  <c:v>1042312.8686949257</c:v>
                </c:pt>
                <c:pt idx="608">
                  <c:v>2965568.510372173</c:v>
                </c:pt>
                <c:pt idx="609">
                  <c:v>4814910.7439729962</c:v>
                </c:pt>
                <c:pt idx="610">
                  <c:v>6573912.2646885719</c:v>
                </c:pt>
                <c:pt idx="611">
                  <c:v>8237071.6304289624</c:v>
                </c:pt>
                <c:pt idx="612">
                  <c:v>9803566.1709401496</c:v>
                </c:pt>
                <c:pt idx="613">
                  <c:v>11274585.456202723</c:v>
                </c:pt>
                <c:pt idx="614">
                  <c:v>12652119.518880012</c:v>
                </c:pt>
                <c:pt idx="615">
                  <c:v>13938385.058583057</c:v>
                </c:pt>
                <c:pt idx="616">
                  <c:v>15135548.272639833</c:v>
                </c:pt>
                <c:pt idx="617">
                  <c:v>16245591.550055642</c:v>
                </c:pt>
                <c:pt idx="618">
                  <c:v>17270251.789122723</c:v>
                </c:pt>
                <c:pt idx="619">
                  <c:v>18210994.633726772</c:v>
                </c:pt>
                <c:pt idx="620">
                  <c:v>19069006.346382622</c:v>
                </c:pt>
                <c:pt idx="621">
                  <c:v>19845193.685931563</c:v>
                </c:pt>
                <c:pt idx="622">
                  <c:v>20540186.587530639</c:v>
                </c:pt>
                <c:pt idx="623">
                  <c:v>21154340.758518483</c:v>
                </c:pt>
                <c:pt idx="624">
                  <c:v>21687738.522088706</c:v>
                </c:pt>
                <c:pt idx="625">
                  <c:v>22140186.868731253</c:v>
                </c:pt>
                <c:pt idx="626">
                  <c:v>22511211.972913723</c:v>
                </c:pt>
                <c:pt idx="627">
                  <c:v>22800049.534067571</c:v>
                </c:pt>
                <c:pt idx="628">
                  <c:v>23005630.275127705</c:v>
                </c:pt>
                <c:pt idx="629">
                  <c:v>23126559.81021294</c:v>
                </c:pt>
                <c:pt idx="630">
                  <c:v>23161091.884410534</c:v>
                </c:pt>
                <c:pt idx="631">
                  <c:v>23107093.685615066</c:v>
                </c:pt>
                <c:pt idx="632">
                  <c:v>22962001.508942865</c:v>
                </c:pt>
                <c:pt idx="633">
                  <c:v>22722764.480110306</c:v>
                </c:pt>
                <c:pt idx="634">
                  <c:v>22385773.255985819</c:v>
                </c:pt>
                <c:pt idx="635">
                  <c:v>21946769.529468339</c:v>
                </c:pt>
                <c:pt idx="636">
                  <c:v>21400730.64049593</c:v>
                </c:pt>
                <c:pt idx="637">
                  <c:v>20741721.442559257</c:v>
                </c:pt>
                <c:pt idx="638">
                  <c:v>19962702.516553324</c:v>
                </c:pt>
                <c:pt idx="639">
                  <c:v>19055279.477250084</c:v>
                </c:pt>
                <c:pt idx="640">
                  <c:v>18009372.011270814</c:v>
                </c:pt>
                <c:pt idx="641">
                  <c:v>16812773.05241023</c:v>
                </c:pt>
                <c:pt idx="642">
                  <c:v>15450558.706052933</c:v>
                </c:pt>
                <c:pt idx="643">
                  <c:v>13904302.797699967</c:v>
                </c:pt>
                <c:pt idx="644">
                  <c:v>12151066.495939769</c:v>
                </c:pt>
                <c:pt idx="645">
                  <c:v>10162253.988009173</c:v>
                </c:pt>
                <c:pt idx="646">
                  <c:v>7902977.1723146364</c:v>
                </c:pt>
                <c:pt idx="647">
                  <c:v>5334990.3343843184</c:v>
                </c:pt>
                <c:pt idx="648">
                  <c:v>2437480.6611527312</c:v>
                </c:pt>
                <c:pt idx="649">
                  <c:v>-685728.60943512712</c:v>
                </c:pt>
                <c:pt idx="650">
                  <c:v>-3385062.3107034783</c:v>
                </c:pt>
                <c:pt idx="651">
                  <c:v>-4295449.3327874513</c:v>
                </c:pt>
                <c:pt idx="652">
                  <c:v>-3083330.3448121944</c:v>
                </c:pt>
                <c:pt idx="653">
                  <c:v>-849346.84934271174</c:v>
                </c:pt>
                <c:pt idx="654">
                  <c:v>1576871.8828599639</c:v>
                </c:pt>
                <c:pt idx="655">
                  <c:v>3914959.8549131388</c:v>
                </c:pt>
                <c:pt idx="656">
                  <c:v>6083587.7591161914</c:v>
                </c:pt>
                <c:pt idx="657">
                  <c:v>8063045.3606942128</c:v>
                </c:pt>
                <c:pt idx="658">
                  <c:v>9853349.5010848455</c:v>
                </c:pt>
                <c:pt idx="659">
                  <c:v>11460685.052147614</c:v>
                </c:pt>
                <c:pt idx="660">
                  <c:v>12892675.356660059</c:v>
                </c:pt>
                <c:pt idx="661">
                  <c:v>14156671.015309855</c:v>
                </c:pt>
                <c:pt idx="662">
                  <c:v>15259149.110509625</c:v>
                </c:pt>
                <c:pt idx="663">
                  <c:v>16205537.812513262</c:v>
                </c:pt>
                <c:pt idx="664">
                  <c:v>17000202.621031158</c:v>
                </c:pt>
                <c:pt idx="665">
                  <c:v>17646487.57172399</c:v>
                </c:pt>
                <c:pt idx="666">
                  <c:v>18146766.940624867</c:v>
                </c:pt>
                <c:pt idx="667">
                  <c:v>18502488.613858737</c:v>
                </c:pt>
                <c:pt idx="668">
                  <c:v>18714200.980768599</c:v>
                </c:pt>
                <c:pt idx="669">
                  <c:v>18781559.480386108</c:v>
                </c:pt>
                <c:pt idx="670">
                  <c:v>18703310.306064725</c:v>
                </c:pt>
                <c:pt idx="671">
                  <c:v>18477248.754063193</c:v>
                </c:pt>
                <c:pt idx="672">
                  <c:v>18100148.947385527</c:v>
                </c:pt>
                <c:pt idx="673">
                  <c:v>17567660.498003133</c:v>
                </c:pt>
                <c:pt idx="674">
                  <c:v>16874166.359407358</c:v>
                </c:pt>
                <c:pt idx="675">
                  <c:v>16012595.192599986</c:v>
                </c:pt>
                <c:pt idx="676">
                  <c:v>14974182.418895576</c:v>
                </c:pt>
                <c:pt idx="677">
                  <c:v>13748180.633584417</c:v>
                </c:pt>
                <c:pt idx="678">
                  <c:v>12321543.111868519</c:v>
                </c:pt>
                <c:pt idx="679">
                  <c:v>10678675.551178383</c:v>
                </c:pt>
                <c:pt idx="680">
                  <c:v>8801568.968889093</c:v>
                </c:pt>
                <c:pt idx="681">
                  <c:v>6671316.6381814377</c:v>
                </c:pt>
                <c:pt idx="682">
                  <c:v>4274368.9901866782</c:v>
                </c:pt>
                <c:pt idx="683">
                  <c:v>1625667.9831782258</c:v>
                </c:pt>
                <c:pt idx="684">
                  <c:v>-1144409.1672581462</c:v>
                </c:pt>
                <c:pt idx="685">
                  <c:v>-3493271.7284186478</c:v>
                </c:pt>
                <c:pt idx="686">
                  <c:v>-4174473.9121236256</c:v>
                </c:pt>
                <c:pt idx="687">
                  <c:v>-2627329.1592008919</c:v>
                </c:pt>
                <c:pt idx="688">
                  <c:v>107562.96731467918</c:v>
                </c:pt>
                <c:pt idx="689">
                  <c:v>2945700.7257576482</c:v>
                </c:pt>
                <c:pt idx="690">
                  <c:v>5519333.7624411304</c:v>
                </c:pt>
                <c:pt idx="691">
                  <c:v>7752395.6292662704</c:v>
                </c:pt>
                <c:pt idx="692">
                  <c:v>9647148.618130317</c:v>
                </c:pt>
                <c:pt idx="693">
                  <c:v>11224029.333022958</c:v>
                </c:pt>
                <c:pt idx="694">
                  <c:v>12505283.726180313</c:v>
                </c:pt>
                <c:pt idx="695">
                  <c:v>13510624.914644282</c:v>
                </c:pt>
                <c:pt idx="696">
                  <c:v>14256351.39799507</c:v>
                </c:pt>
                <c:pt idx="697">
                  <c:v>14755459.013668757</c:v>
                </c:pt>
                <c:pt idx="698">
                  <c:v>15017992.447360748</c:v>
                </c:pt>
                <c:pt idx="699">
                  <c:v>15051403.007986479</c:v>
                </c:pt>
                <c:pt idx="700">
                  <c:v>14860847.441689391</c:v>
                </c:pt>
                <c:pt idx="701">
                  <c:v>14449419.015403682</c:v>
                </c:pt>
                <c:pt idx="702">
                  <c:v>13818323.086801779</c:v>
                </c:pt>
                <c:pt idx="703">
                  <c:v>12967022.407709632</c:v>
                </c:pt>
                <c:pt idx="704">
                  <c:v>11893397.084362317</c:v>
                </c:pt>
                <c:pt idx="705">
                  <c:v>10594007.683900468</c:v>
                </c:pt>
                <c:pt idx="706">
                  <c:v>9064654.1314288396</c:v>
                </c:pt>
                <c:pt idx="707">
                  <c:v>7301683.5872709025</c:v>
                </c:pt>
                <c:pt idx="708">
                  <c:v>5305193.1480393223</c:v>
                </c:pt>
                <c:pt idx="709">
                  <c:v>3087262.9866249519</c:v>
                </c:pt>
                <c:pt idx="710">
                  <c:v>694577.65175778698</c:v>
                </c:pt>
                <c:pt idx="711">
                  <c:v>-1724721.0852924525</c:v>
                </c:pt>
                <c:pt idx="712">
                  <c:v>-3725919.8273977335</c:v>
                </c:pt>
                <c:pt idx="713">
                  <c:v>-4274597.913037654</c:v>
                </c:pt>
                <c:pt idx="714">
                  <c:v>-2579152.4764278093</c:v>
                </c:pt>
                <c:pt idx="715">
                  <c:v>533406.17360882508</c:v>
                </c:pt>
                <c:pt idx="716">
                  <c:v>3683901.0676752254</c:v>
                </c:pt>
                <c:pt idx="717">
                  <c:v>6324593.355549382</c:v>
                </c:pt>
                <c:pt idx="718">
                  <c:v>8383378.2271837462</c:v>
                </c:pt>
                <c:pt idx="719">
                  <c:v>9903753.3091313969</c:v>
                </c:pt>
                <c:pt idx="720">
                  <c:v>10944184.156752078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6-470A-902B-181DD8531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2224"/>
        <c:axId val="57022640"/>
      </c:scatterChart>
      <c:valAx>
        <c:axId val="5702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022640"/>
        <c:crosses val="autoZero"/>
        <c:crossBetween val="midCat"/>
      </c:valAx>
      <c:valAx>
        <c:axId val="570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02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0</xdr:row>
      <xdr:rowOff>0</xdr:rowOff>
    </xdr:from>
    <xdr:to>
      <xdr:col>6</xdr:col>
      <xdr:colOff>714375</xdr:colOff>
      <xdr:row>2</xdr:row>
      <xdr:rowOff>123825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2025" y="0"/>
          <a:ext cx="151447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1028700</xdr:colOff>
      <xdr:row>0</xdr:row>
      <xdr:rowOff>0</xdr:rowOff>
    </xdr:from>
    <xdr:to>
      <xdr:col>8</xdr:col>
      <xdr:colOff>533400</xdr:colOff>
      <xdr:row>2</xdr:row>
      <xdr:rowOff>200025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25" y="0"/>
          <a:ext cx="169545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1066800</xdr:colOff>
      <xdr:row>2</xdr:row>
      <xdr:rowOff>76200</xdr:rowOff>
    </xdr:from>
    <xdr:to>
      <xdr:col>8</xdr:col>
      <xdr:colOff>561975</xdr:colOff>
      <xdr:row>5</xdr:row>
      <xdr:rowOff>47625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8925" y="457200"/>
          <a:ext cx="16859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295275</xdr:colOff>
      <xdr:row>2</xdr:row>
      <xdr:rowOff>9524</xdr:rowOff>
    </xdr:from>
    <xdr:to>
      <xdr:col>6</xdr:col>
      <xdr:colOff>742950</xdr:colOff>
      <xdr:row>4</xdr:row>
      <xdr:rowOff>190499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2025" y="390524"/>
          <a:ext cx="15430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390525</xdr:colOff>
      <xdr:row>4</xdr:row>
      <xdr:rowOff>103414</xdr:rowOff>
    </xdr:from>
    <xdr:to>
      <xdr:col>22</xdr:col>
      <xdr:colOff>149679</xdr:colOff>
      <xdr:row>41</xdr:row>
      <xdr:rowOff>54429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6</xdr:row>
      <xdr:rowOff>200025</xdr:rowOff>
    </xdr:from>
    <xdr:to>
      <xdr:col>10</xdr:col>
      <xdr:colOff>638175</xdr:colOff>
      <xdr:row>40</xdr:row>
      <xdr:rowOff>47625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P3000"/>
  <sheetViews>
    <sheetView showGridLines="0" tabSelected="1" zoomScale="70" zoomScaleNormal="70" workbookViewId="0">
      <selection activeCell="F10" sqref="F10"/>
    </sheetView>
  </sheetViews>
  <sheetFormatPr baseColWidth="10" defaultRowHeight="15" x14ac:dyDescent="0.25"/>
  <cols>
    <col min="3" max="3" width="13.140625" bestFit="1" customWidth="1"/>
    <col min="4" max="4" width="16.42578125" style="13" customWidth="1"/>
    <col min="5" max="6" width="31.5703125" customWidth="1"/>
    <col min="7" max="7" width="14.5703125" customWidth="1"/>
    <col min="8" max="10" width="16.42578125" customWidth="1"/>
    <col min="12" max="12" width="13.42578125" customWidth="1"/>
    <col min="13" max="13" width="3.7109375" customWidth="1"/>
    <col min="15" max="15" width="19.5703125" customWidth="1"/>
    <col min="16" max="16" width="12.7109375" bestFit="1" customWidth="1"/>
    <col min="23" max="23" width="13" customWidth="1"/>
  </cols>
  <sheetData>
    <row r="1" spans="2:16" ht="15.75" thickBot="1" x14ac:dyDescent="0.3"/>
    <row r="2" spans="2:16" ht="20.25" thickBot="1" x14ac:dyDescent="0.4">
      <c r="B2" s="16" t="s">
        <v>21</v>
      </c>
      <c r="C2" s="17"/>
      <c r="E2" s="1" t="s">
        <v>20</v>
      </c>
    </row>
    <row r="4" spans="2:16" ht="18" x14ac:dyDescent="0.35">
      <c r="E4" s="1" t="s">
        <v>1</v>
      </c>
      <c r="P4" s="1"/>
    </row>
    <row r="5" spans="2:16" x14ac:dyDescent="0.25">
      <c r="C5" s="15">
        <f>6/60</f>
        <v>0.1</v>
      </c>
      <c r="D5" s="15"/>
    </row>
    <row r="6" spans="2:16" s="1" customFormat="1" x14ac:dyDescent="0.25">
      <c r="C6" s="8">
        <f>C5*3600</f>
        <v>360</v>
      </c>
      <c r="D6" s="13"/>
      <c r="E6" s="1" t="s">
        <v>2</v>
      </c>
      <c r="F6" s="3">
        <v>5.9721900000000004E+24</v>
      </c>
      <c r="H6" s="1" t="s">
        <v>12</v>
      </c>
      <c r="I6" s="14">
        <v>6.6738400000000001E-11</v>
      </c>
      <c r="J6" s="14"/>
    </row>
    <row r="7" spans="2:16" s="1" customFormat="1" x14ac:dyDescent="0.25">
      <c r="D7" s="13"/>
    </row>
    <row r="8" spans="2:16" ht="18" x14ac:dyDescent="0.35">
      <c r="C8" s="11"/>
      <c r="E8" s="1" t="s">
        <v>16</v>
      </c>
      <c r="F8" s="1" t="s">
        <v>17</v>
      </c>
      <c r="G8" s="4" t="s">
        <v>10</v>
      </c>
      <c r="H8" s="4" t="s">
        <v>11</v>
      </c>
      <c r="I8" s="6">
        <f>MAX(I9:I3000)/1000</f>
        <v>13.242466183465693</v>
      </c>
    </row>
    <row r="9" spans="2:16" x14ac:dyDescent="0.25">
      <c r="C9" s="11">
        <f>D9/86400</f>
        <v>0</v>
      </c>
      <c r="D9" s="13">
        <v>0</v>
      </c>
      <c r="E9" s="12">
        <v>110000000</v>
      </c>
      <c r="F9" s="12">
        <v>100000000</v>
      </c>
      <c r="G9" s="9">
        <v>-1600</v>
      </c>
      <c r="H9" s="5">
        <v>-910</v>
      </c>
      <c r="I9" s="5">
        <f>SQRT(G9^2+H9^2)</f>
        <v>1840.6792224611002</v>
      </c>
      <c r="J9" t="str">
        <f>IF(I9=$I$8,"&lt;--------&lt;&lt;&lt;","")</f>
        <v/>
      </c>
    </row>
    <row r="10" spans="2:16" x14ac:dyDescent="0.25">
      <c r="C10" s="11">
        <f t="shared" ref="C10:C73" si="0">D10/86400</f>
        <v>4.1666666666666666E-3</v>
      </c>
      <c r="D10" s="13">
        <f t="shared" ref="D10:D73" si="1">h+D9</f>
        <v>360</v>
      </c>
      <c r="E10" s="12">
        <f t="array" ref="E10:H10">DatosSiguientes(MasaK21,G9,H9,E9,F9,h)</f>
        <v>109423131.80161601</v>
      </c>
      <c r="F10" s="12">
        <v>99671609.951383322</v>
      </c>
      <c r="G10" s="9">
        <v>-1604.8233243554894</v>
      </c>
      <c r="H10" s="5">
        <v>-914.38915898153618</v>
      </c>
      <c r="I10" s="5">
        <f t="shared" ref="I10:I12" si="2">SQRT(G10^2+H10^2)</f>
        <v>1847.042348312124</v>
      </c>
      <c r="J10" t="str">
        <f t="shared" ref="J10:J73" si="3">IF(I10=$I$8,"&lt;--------&lt;&lt;&lt;","")</f>
        <v/>
      </c>
    </row>
    <row r="11" spans="2:16" x14ac:dyDescent="0.25">
      <c r="C11" s="11">
        <f t="shared" si="0"/>
        <v>8.3333333333333332E-3</v>
      </c>
      <c r="D11" s="13">
        <f t="shared" si="1"/>
        <v>720</v>
      </c>
      <c r="E11" s="12">
        <f t="array" ref="E11:H11">DatosSiguientes(MasaK21,G10,H10,E10,F10,h)</f>
        <v>108844520.34674314</v>
      </c>
      <c r="F11" s="12">
        <v>99341631.987268761</v>
      </c>
      <c r="G11" s="9">
        <v>-1609.6847582716232</v>
      </c>
      <c r="H11" s="5">
        <v>-918.82175276605244</v>
      </c>
      <c r="I11" s="5">
        <f t="shared" si="2"/>
        <v>1853.4612039015153</v>
      </c>
      <c r="J11" t="str">
        <f t="shared" si="3"/>
        <v/>
      </c>
    </row>
    <row r="12" spans="2:16" x14ac:dyDescent="0.25">
      <c r="C12" s="11">
        <f t="shared" si="0"/>
        <v>1.2500000000000001E-2</v>
      </c>
      <c r="D12" s="13">
        <f t="shared" si="1"/>
        <v>1080</v>
      </c>
      <c r="E12" s="12">
        <f t="array" ref="E12:H12">DatosSiguientes(MasaK21,G11,H11,E11,F11,h)</f>
        <v>108264151.8095919</v>
      </c>
      <c r="F12" s="12">
        <v>99010050.332325101</v>
      </c>
      <c r="G12" s="9">
        <v>-1614.5848925685841</v>
      </c>
      <c r="H12" s="5">
        <v>-923.29855247646856</v>
      </c>
      <c r="I12" s="5">
        <f t="shared" si="2"/>
        <v>1859.9367172879427</v>
      </c>
      <c r="J12" t="str">
        <f t="shared" si="3"/>
        <v/>
      </c>
    </row>
    <row r="13" spans="2:16" x14ac:dyDescent="0.25">
      <c r="C13" s="11">
        <f t="shared" si="0"/>
        <v>1.6666666666666666E-2</v>
      </c>
      <c r="D13" s="13">
        <f t="shared" si="1"/>
        <v>1440</v>
      </c>
      <c r="E13" s="12">
        <f t="array" ref="E13:H13">DatosSiguientes(MasaK21,G12,H12,E12,F12,h)</f>
        <v>107682012.14927393</v>
      </c>
      <c r="F13" s="12">
        <v>98676848.930106983</v>
      </c>
      <c r="G13" s="9">
        <v>-1619.5243314201377</v>
      </c>
      <c r="H13" s="5">
        <v>-927.82034873532598</v>
      </c>
      <c r="I13" s="5">
        <f t="shared" ref="I13:I76" si="4">SQRT(G13^2+H13^2)</f>
        <v>1866.4698389176251</v>
      </c>
      <c r="J13" t="str">
        <f t="shared" si="3"/>
        <v/>
      </c>
    </row>
    <row r="14" spans="2:16" x14ac:dyDescent="0.25">
      <c r="C14" s="11">
        <f t="shared" si="0"/>
        <v>2.0833333333333332E-2</v>
      </c>
      <c r="D14" s="13">
        <f t="shared" si="1"/>
        <v>1800</v>
      </c>
      <c r="E14" s="12">
        <f t="array" ref="E14:H14">DatosSiguientes(MasaK21,G13,H13,E13,F13,h)</f>
        <v>107098087.10492304</v>
      </c>
      <c r="F14" s="12">
        <v>98342011.435919553</v>
      </c>
      <c r="G14" s="9">
        <v>-1624.5036927515241</v>
      </c>
      <c r="H14" s="5">
        <v>-932.38795230598885</v>
      </c>
      <c r="I14" s="5">
        <f t="shared" si="4"/>
        <v>1873.0615423334848</v>
      </c>
      <c r="J14" t="str">
        <f t="shared" si="3"/>
        <v/>
      </c>
    </row>
    <row r="15" spans="2:16" x14ac:dyDescent="0.25">
      <c r="C15" s="11">
        <f t="shared" si="0"/>
        <v>2.5000000000000001E-2</v>
      </c>
      <c r="D15" s="13">
        <f t="shared" si="1"/>
        <v>2160</v>
      </c>
      <c r="E15" s="12">
        <f t="array" ref="E15:H15">DatosSiguientes(MasaK21,G14,H14,E14,F14,h)</f>
        <v>106512362.19067039</v>
      </c>
      <c r="F15" s="12">
        <v>98005521.209447697</v>
      </c>
      <c r="G15" s="9">
        <v>-1629.5236086520908</v>
      </c>
      <c r="H15" s="5">
        <v>-937.00219475984852</v>
      </c>
      <c r="I15" s="5">
        <f t="shared" si="4"/>
        <v>1879.712824912174</v>
      </c>
      <c r="J15" t="str">
        <f t="shared" si="3"/>
        <v/>
      </c>
    </row>
    <row r="16" spans="2:16" x14ac:dyDescent="0.25">
      <c r="C16" s="11">
        <f t="shared" si="0"/>
        <v>2.9166666666666667E-2</v>
      </c>
      <c r="D16" s="13">
        <f t="shared" si="1"/>
        <v>2520</v>
      </c>
      <c r="E16" s="12">
        <f t="array" ref="E16:H16">DatosSiguientes(MasaK21,G15,H15,E15,F15,h)</f>
        <v>105924822.69046842</v>
      </c>
      <c r="F16" s="12">
        <v>97667361.307140186</v>
      </c>
      <c r="G16" s="9">
        <v>-1634.5847258033239</v>
      </c>
      <c r="H16" s="5">
        <v>-941.66392917078929</v>
      </c>
      <c r="I16" s="5">
        <f t="shared" si="4"/>
        <v>1886.4247086302958</v>
      </c>
      <c r="J16" t="str">
        <f t="shared" si="3"/>
        <v/>
      </c>
    </row>
    <row r="17" spans="3:10" x14ac:dyDescent="0.25">
      <c r="C17" s="11">
        <f t="shared" si="0"/>
        <v>3.3333333333333333E-2</v>
      </c>
      <c r="D17" s="13">
        <f t="shared" si="1"/>
        <v>2880</v>
      </c>
      <c r="E17" s="12">
        <f t="array" ref="E17:H17">DatosSiguientes(MasaK21,G16,H16,E16,F16,h)</f>
        <v>105335453.65275769</v>
      </c>
      <c r="F17" s="12">
        <v>97327514.474338561</v>
      </c>
      <c r="G17" s="9">
        <v>-1639.6877059229637</v>
      </c>
      <c r="H17" s="5">
        <v>-946.37403083824188</v>
      </c>
      <c r="I17" s="5">
        <f t="shared" si="4"/>
        <v>1893.1982408611975</v>
      </c>
      <c r="J17" t="str">
        <f t="shared" si="3"/>
        <v/>
      </c>
    </row>
    <row r="18" spans="3:10" x14ac:dyDescent="0.25">
      <c r="C18" s="11">
        <f t="shared" si="0"/>
        <v>3.7499999999999999E-2</v>
      </c>
      <c r="D18" s="13">
        <f t="shared" si="1"/>
        <v>3240</v>
      </c>
      <c r="E18" s="12">
        <f t="array" ref="E18:H18">DatosSiguientes(MasaK21,G17,H17,E17,F17,h)</f>
        <v>104744239.88497089</v>
      </c>
      <c r="F18" s="12">
        <v>96985963.137140438</v>
      </c>
      <c r="G18" s="9">
        <v>-1644.8332262259305</v>
      </c>
      <c r="H18" s="5">
        <v>-951.13339804022689</v>
      </c>
      <c r="I18" s="5">
        <f t="shared" si="4"/>
        <v>1900.0344952037981</v>
      </c>
      <c r="J18" t="str">
        <f t="shared" si="3"/>
        <v/>
      </c>
    </row>
    <row r="19" spans="3:10" x14ac:dyDescent="0.25">
      <c r="C19" s="11">
        <f t="shared" si="0"/>
        <v>4.1666666666666664E-2</v>
      </c>
      <c r="D19" s="13">
        <f t="shared" si="1"/>
        <v>3600</v>
      </c>
      <c r="E19" s="12">
        <f t="array" ref="E19:H19">DatosSiguientes(MasaK21,G18,H18,E18,F18,h)</f>
        <v>104151165.94786771</v>
      </c>
      <c r="F19" s="12">
        <v>96642689.393985987</v>
      </c>
      <c r="G19" s="9">
        <v>-1650.0219799028207</v>
      </c>
      <c r="H19" s="5">
        <v>-955.94295281787106</v>
      </c>
      <c r="I19" s="5">
        <f t="shared" si="4"/>
        <v>1906.9345723449912</v>
      </c>
      <c r="J19" t="str">
        <f t="shared" si="3"/>
        <v/>
      </c>
    </row>
    <row r="20" spans="3:10" x14ac:dyDescent="0.25">
      <c r="C20" s="11">
        <f t="shared" si="0"/>
        <v>4.583333333333333E-2</v>
      </c>
      <c r="D20" s="13">
        <f t="shared" si="1"/>
        <v>3960</v>
      </c>
      <c r="E20" s="12">
        <f t="array" ref="E20:H20">DatosSiguientes(MasaK21,G19,H19,E19,F19,h)</f>
        <v>103556216.14969417</v>
      </c>
      <c r="F20" s="12">
        <v>96297675.006956041</v>
      </c>
      <c r="G20" s="9">
        <v>-1655.254676616777</v>
      </c>
      <c r="H20" s="5">
        <v>-960.80364179296282</v>
      </c>
      <c r="I20" s="5">
        <f t="shared" si="4"/>
        <v>1913.8996009572527</v>
      </c>
      <c r="J20" t="str">
        <f t="shared" si="3"/>
        <v/>
      </c>
    </row>
    <row r="21" spans="3:10" x14ac:dyDescent="0.25">
      <c r="C21" s="11">
        <f t="shared" si="0"/>
        <v>0.05</v>
      </c>
      <c r="D21" s="13">
        <f t="shared" si="1"/>
        <v>4320</v>
      </c>
      <c r="E21" s="12">
        <f t="array" ref="E21:H21">DatosSiguientes(MasaK21,G20,H20,E20,F20,h)</f>
        <v>102959374.54015963</v>
      </c>
      <c r="F21" s="12">
        <v>95950901.392769665</v>
      </c>
      <c r="G21" s="9">
        <v>-1660.5320430195775</v>
      </c>
      <c r="H21" s="5">
        <v>-965.71643702020697</v>
      </c>
      <c r="I21" s="5">
        <f t="shared" si="4"/>
        <v>1920.9307386331698</v>
      </c>
      <c r="J21" t="str">
        <f t="shared" si="3"/>
        <v/>
      </c>
    </row>
    <row r="22" spans="3:10" x14ac:dyDescent="0.25">
      <c r="C22" s="11">
        <f t="shared" si="0"/>
        <v>5.4166666666666669E-2</v>
      </c>
      <c r="D22" s="13">
        <f t="shared" si="1"/>
        <v>4680</v>
      </c>
      <c r="E22" s="12">
        <f t="array" ref="E22:H22">DatosSiguientes(MasaK21,G21,H21,E21,F21,h)</f>
        <v>102360624.90422429</v>
      </c>
      <c r="F22" s="12">
        <v>95602349.613468364</v>
      </c>
      <c r="G22" s="9">
        <v>-1665.8548232878334</v>
      </c>
      <c r="H22" s="5">
        <v>-970.68233687593181</v>
      </c>
      <c r="I22" s="5">
        <f t="shared" si="4"/>
        <v>1928.0291728587142</v>
      </c>
      <c r="J22" t="str">
        <f t="shared" si="3"/>
        <v/>
      </c>
    </row>
    <row r="23" spans="3:10" x14ac:dyDescent="0.25">
      <c r="C23" s="11">
        <f t="shared" si="0"/>
        <v>5.8333333333333334E-2</v>
      </c>
      <c r="D23" s="13">
        <f t="shared" si="1"/>
        <v>5040</v>
      </c>
      <c r="E23" s="12">
        <f t="array" ref="E23:H23">DatosSiguientes(MasaK21,G22,H22,E22,F22,h)</f>
        <v>101759950.75569004</v>
      </c>
      <c r="F23" s="12">
        <v>95252000.366773382</v>
      </c>
      <c r="G23" s="9">
        <v>-1671.2237796802353</v>
      </c>
      <c r="H23" s="5">
        <v>-975.70236698510837</v>
      </c>
      <c r="I23" s="5">
        <f t="shared" si="4"/>
        <v>1935.1961220271796</v>
      </c>
      <c r="J23" t="str">
        <f t="shared" si="3"/>
        <v/>
      </c>
    </row>
    <row r="24" spans="3:10" x14ac:dyDescent="0.25">
      <c r="C24" s="11">
        <f t="shared" si="0"/>
        <v>6.25E-2</v>
      </c>
      <c r="D24" s="13">
        <f t="shared" si="1"/>
        <v>5400</v>
      </c>
      <c r="E24" s="12">
        <f t="array" ref="E24:H24">DatosSiguientes(MasaK21,G23,H23,E23,F23,h)</f>
        <v>101157335.33058657</v>
      </c>
      <c r="F24" s="12">
        <v>94899833.976102099</v>
      </c>
      <c r="G24" s="9">
        <v>-1676.6396931168363</v>
      </c>
      <c r="H24" s="5">
        <v>-980.77758118864983</v>
      </c>
      <c r="I24" s="5">
        <f t="shared" si="4"/>
        <v>1942.4328364958151</v>
      </c>
      <c r="J24" t="str">
        <f t="shared" si="3"/>
        <v/>
      </c>
    </row>
    <row r="25" spans="3:10" x14ac:dyDescent="0.25">
      <c r="C25" s="11">
        <f t="shared" si="0"/>
        <v>6.6666666666666666E-2</v>
      </c>
      <c r="D25" s="13">
        <f t="shared" si="1"/>
        <v>5760</v>
      </c>
      <c r="E25" s="12">
        <f t="array" ref="E25:H25">DatosSiguientes(MasaK21,G24,H24,E24,F24,h)</f>
        <v>100552761.58034489</v>
      </c>
      <c r="F25" s="12">
        <v>94545830.380228594</v>
      </c>
      <c r="G25" s="9">
        <v>-1682.103363781416</v>
      </c>
      <c r="H25" s="5">
        <v>-985.90906255307698</v>
      </c>
      <c r="I25" s="5">
        <f t="shared" si="4"/>
        <v>1949.7405996873126</v>
      </c>
      <c r="J25" t="str">
        <f t="shared" si="3"/>
        <v/>
      </c>
    </row>
    <row r="26" spans="3:10" x14ac:dyDescent="0.25">
      <c r="C26" s="11">
        <f t="shared" si="0"/>
        <v>7.0833333333333331E-2</v>
      </c>
      <c r="D26" s="13">
        <f t="shared" si="1"/>
        <v>6120</v>
      </c>
      <c r="E26" s="12">
        <f t="array" ref="E26:H26">DatosSiguientes(MasaK21,G25,H25,E25,F25,h)</f>
        <v>99946212.164749593</v>
      </c>
      <c r="F26" s="12">
        <v>94189969.122572586</v>
      </c>
      <c r="G26" s="9">
        <v>-1687.6156117480289</v>
      </c>
      <c r="H26" s="5">
        <v>-991.09792442476214</v>
      </c>
      <c r="I26" s="5">
        <f t="shared" si="4"/>
        <v>1957.1207292384254</v>
      </c>
      <c r="J26" t="str">
        <f t="shared" si="3"/>
        <v/>
      </c>
    </row>
    <row r="27" spans="3:10" x14ac:dyDescent="0.25">
      <c r="C27" s="11">
        <f t="shared" si="0"/>
        <v>7.4999999999999997E-2</v>
      </c>
      <c r="D27" s="13">
        <f t="shared" si="1"/>
        <v>6480</v>
      </c>
      <c r="E27" s="12">
        <f t="array" ref="E27:H27">DatosSiguientes(MasaK21,G26,H26,E26,F26,h)</f>
        <v>99337669.444661021</v>
      </c>
      <c r="F27" s="12">
        <v>93832229.340100527</v>
      </c>
      <c r="G27" s="9">
        <v>-1693.1772776328983</v>
      </c>
      <c r="H27" s="5">
        <v>-996.34531153109776</v>
      </c>
      <c r="I27" s="5">
        <f t="shared" si="4"/>
        <v>1964.5745781981282</v>
      </c>
      <c r="J27" t="str">
        <f t="shared" si="3"/>
        <v/>
      </c>
    </row>
    <row r="28" spans="3:10" x14ac:dyDescent="0.25">
      <c r="C28" s="11">
        <f t="shared" si="0"/>
        <v>7.9166666666666663E-2</v>
      </c>
      <c r="D28" s="13">
        <f t="shared" si="1"/>
        <v>6840</v>
      </c>
      <c r="E28" s="12">
        <f t="array" ref="E28:H28">DatosSiguientes(MasaK21,G27,H27,E27,F27,h)</f>
        <v>98727115.474497974</v>
      </c>
      <c r="F28" s="12">
        <v>93472589.751821339</v>
      </c>
      <c r="G28" s="9">
        <v>-1698.7892232728843</v>
      </c>
      <c r="H28" s="5">
        <v>-1001.6524011310794</v>
      </c>
      <c r="I28" s="5">
        <f t="shared" si="4"/>
        <v>1972.1035362778866</v>
      </c>
      <c r="J28" t="str">
        <f t="shared" si="3"/>
        <v/>
      </c>
    </row>
    <row r="29" spans="3:10" x14ac:dyDescent="0.25">
      <c r="C29" s="11">
        <f t="shared" si="0"/>
        <v>8.3333333333333329E-2</v>
      </c>
      <c r="D29" s="13">
        <f t="shared" si="1"/>
        <v>7200</v>
      </c>
      <c r="E29" s="12">
        <f t="array" ref="E29:H29">DatosSiguientes(MasaK21,G28,H28,E28,F28,h)</f>
        <v>98114531.994471133</v>
      </c>
      <c r="F29" s="12">
        <v>93111028.646858513</v>
      </c>
      <c r="G29" s="9">
        <v>-1704.452332431825</v>
      </c>
      <c r="H29" s="5">
        <v>-1007.0204042179462</v>
      </c>
      <c r="I29" s="5">
        <f t="shared" si="4"/>
        <v>1979.7090311567415</v>
      </c>
      <c r="J29" t="str">
        <f t="shared" si="3"/>
        <v/>
      </c>
    </row>
    <row r="30" spans="3:10" x14ac:dyDescent="0.25">
      <c r="C30" s="11">
        <f t="shared" si="0"/>
        <v>8.7499999999999994E-2</v>
      </c>
      <c r="D30" s="13">
        <f t="shared" si="1"/>
        <v>7560</v>
      </c>
      <c r="E30" s="12">
        <f t="array" ref="E30:H30">DatosSiguientes(MasaK21,G29,H29,E29,F29,h)</f>
        <v>97499900.422556907</v>
      </c>
      <c r="F30" s="12">
        <v>92747523.872079477</v>
      </c>
      <c r="G30" s="9">
        <v>-1710.1675115361204</v>
      </c>
      <c r="H30" s="5">
        <v>-1012.4505667766884</v>
      </c>
      <c r="I30" s="5">
        <f t="shared" si="4"/>
        <v>1987.3925298440879</v>
      </c>
      <c r="J30" t="str">
        <f t="shared" si="3"/>
        <v/>
      </c>
    </row>
    <row r="31" spans="3:10" x14ac:dyDescent="0.25">
      <c r="C31" s="11">
        <f t="shared" si="0"/>
        <v>9.166666666666666E-2</v>
      </c>
      <c r="D31" s="13">
        <f t="shared" si="1"/>
        <v>7920</v>
      </c>
      <c r="E31" s="12">
        <f t="array" ref="E31:H31">DatosSiguientes(MasaK21,G30,H30,E30,F30,h)</f>
        <v>96883201.846201017</v>
      </c>
      <c r="F31" s="12">
        <v>92382052.819261774</v>
      </c>
      <c r="G31" s="9">
        <v>-1715.935690441012</v>
      </c>
      <c r="H31" s="5">
        <v>-1017.9441710994056</v>
      </c>
      <c r="I31" s="5">
        <f t="shared" si="4"/>
        <v>1995.1555401032092</v>
      </c>
      <c r="J31" t="str">
        <f t="shared" si="3"/>
        <v/>
      </c>
    </row>
    <row r="32" spans="3:10" x14ac:dyDescent="0.25">
      <c r="C32" s="11">
        <f t="shared" si="0"/>
        <v>9.583333333333334E-2</v>
      </c>
      <c r="D32" s="13">
        <f t="shared" si="1"/>
        <v>8280</v>
      </c>
      <c r="E32" s="12">
        <f t="array" ref="E32:H32">DatosSiguientes(MasaK21,G31,H31,E31,F31,h)</f>
        <v>96264417.013740405</v>
      </c>
      <c r="F32" s="12">
        <v>92014592.411774784</v>
      </c>
      <c r="G32" s="9">
        <v>-1721.7578232290905</v>
      </c>
      <c r="H32" s="5">
        <v>-1023.502537161688</v>
      </c>
      <c r="I32" s="5">
        <f t="shared" si="4"/>
        <v>2002.9996119388013</v>
      </c>
      <c r="J32" t="str">
        <f t="shared" si="3"/>
        <v/>
      </c>
    </row>
    <row r="33" spans="3:10" x14ac:dyDescent="0.25">
      <c r="C33" s="11">
        <f t="shared" si="0"/>
        <v>0.1</v>
      </c>
      <c r="D33" s="13">
        <f t="shared" si="1"/>
        <v>8640</v>
      </c>
      <c r="E33" s="12">
        <f t="array" ref="E33:H33">DatosSiguientes(MasaK21,G32,H32,E32,F32,h)</f>
        <v>95643526.325531498</v>
      </c>
      <c r="F33" s="12">
        <v>91645119.090754271</v>
      </c>
      <c r="G33" s="9">
        <v>-1727.6348890426564</v>
      </c>
      <c r="H33" s="5">
        <v>-1029.1270240633994</v>
      </c>
      <c r="I33" s="5">
        <f t="shared" si="4"/>
        <v>2010.9263391519391</v>
      </c>
      <c r="J33" t="str">
        <f t="shared" si="3"/>
        <v/>
      </c>
    </row>
    <row r="34" spans="3:10" x14ac:dyDescent="0.25">
      <c r="C34" s="11">
        <f t="shared" si="0"/>
        <v>0.10416666666666667</v>
      </c>
      <c r="D34" s="13">
        <f t="shared" si="1"/>
        <v>9000</v>
      </c>
      <c r="E34" s="12">
        <f t="array" ref="E34:H34">DatosSiguientes(MasaK21,G33,H33,E33,F33,h)</f>
        <v>95020509.824772522</v>
      </c>
      <c r="F34" s="12">
        <v>91273608.800746113</v>
      </c>
      <c r="G34" s="9">
        <v>-1733.567892951653</v>
      </c>
      <c r="H34" s="5">
        <v>-1034.8190315374525</v>
      </c>
      <c r="I34" s="5">
        <f t="shared" si="4"/>
        <v>2018.9373609661459</v>
      </c>
      <c r="J34" t="str">
        <f t="shared" si="3"/>
        <v/>
      </c>
    </row>
    <row r="35" spans="3:10" x14ac:dyDescent="0.25">
      <c r="C35" s="11">
        <f t="shared" si="0"/>
        <v>0.10833333333333334</v>
      </c>
      <c r="D35" s="13">
        <f t="shared" si="1"/>
        <v>9360</v>
      </c>
      <c r="E35" s="12">
        <f t="array" ref="E35:H35">DatosSiguientes(MasaK21,G34,H34,E34,F34,h)</f>
        <v>94395347.18800661</v>
      </c>
      <c r="F35" s="12">
        <v>90900036.974793896</v>
      </c>
      <c r="G35" s="9">
        <v>-1739.5578668589937</v>
      </c>
      <c r="H35" s="5">
        <v>-1040.5800015304046</v>
      </c>
      <c r="I35" s="5">
        <f t="shared" si="4"/>
        <v>2027.0343637284568</v>
      </c>
      <c r="J35" t="str">
        <f t="shared" si="3"/>
        <v/>
      </c>
    </row>
    <row r="36" spans="3:10" x14ac:dyDescent="0.25">
      <c r="C36" s="11">
        <f t="shared" si="0"/>
        <v>0.1125</v>
      </c>
      <c r="D36" s="13">
        <f t="shared" si="1"/>
        <v>9720</v>
      </c>
      <c r="E36" s="12">
        <f t="array" ref="E36:H36">DatosSiguientes(MasaK21,G35,H35,E35,F35,h)</f>
        <v>93768017.715291858</v>
      </c>
      <c r="F36" s="12">
        <v>90524378.518943816</v>
      </c>
      <c r="G36" s="9">
        <v>-1745.6058704452118</v>
      </c>
      <c r="H36" s="5">
        <v>-1046.4114198589514</v>
      </c>
      <c r="I36" s="5">
        <f t="shared" si="4"/>
        <v>2035.2190826896285</v>
      </c>
      <c r="J36" t="str">
        <f t="shared" si="3"/>
        <v/>
      </c>
    </row>
    <row r="37" spans="3:10" x14ac:dyDescent="0.25">
      <c r="C37" s="11">
        <f t="shared" si="0"/>
        <v>0.11666666666666667</v>
      </c>
      <c r="D37" s="13">
        <f t="shared" si="1"/>
        <v>10080</v>
      </c>
      <c r="E37" s="12">
        <f t="array" ref="E37:H37">DatosSiguientes(MasaK21,G36,H36,E36,F36,h)</f>
        <v>93138500.320023909</v>
      </c>
      <c r="F37" s="12">
        <v>90146607.796138808</v>
      </c>
      <c r="G37" s="9">
        <v>-1751.7129921544811</v>
      </c>
      <c r="H37" s="5">
        <v>-1052.3148179466641</v>
      </c>
      <c r="I37" s="5">
        <f t="shared" si="4"/>
        <v>2043.4933038678953</v>
      </c>
      <c r="J37" t="str">
        <f t="shared" si="3"/>
        <v/>
      </c>
    </row>
    <row r="38" spans="3:10" x14ac:dyDescent="0.25">
      <c r="C38" s="11">
        <f t="shared" si="0"/>
        <v>0.12083333333333333</v>
      </c>
      <c r="D38" s="13">
        <f t="shared" si="1"/>
        <v>10440</v>
      </c>
      <c r="E38" s="12">
        <f t="array" ref="E38:H38">DatosSiguientes(MasaK21,G37,H37,E37,F37,h)</f>
        <v>92506773.518395752</v>
      </c>
      <c r="F38" s="12">
        <v>89766698.6094722</v>
      </c>
      <c r="G38" s="9">
        <v>-1757.8803502241769</v>
      </c>
      <c r="H38" s="5">
        <v>-1058.2917746456094</v>
      </c>
      <c r="I38" s="5">
        <f t="shared" si="4"/>
        <v>2051.85886600098</v>
      </c>
      <c r="J38" t="str">
        <f t="shared" si="3"/>
        <v/>
      </c>
    </row>
    <row r="39" spans="3:10" x14ac:dyDescent="0.25">
      <c r="C39" s="11">
        <f t="shared" si="0"/>
        <v>0.125</v>
      </c>
      <c r="D39" s="13">
        <f t="shared" si="1"/>
        <v>10800</v>
      </c>
      <c r="E39" s="12">
        <f t="array" ref="E39:H39">DatosSiguientes(MasaK21,G38,H38,E38,F38,h)</f>
        <v>91872815.418478549</v>
      </c>
      <c r="F39" s="12">
        <v>89384624.184769392</v>
      </c>
      <c r="G39" s="9">
        <v>-1764.109093760283</v>
      </c>
      <c r="H39" s="5">
        <v>-1064.3439181477972</v>
      </c>
      <c r="I39" s="5">
        <f t="shared" si="4"/>
        <v>2060.3176625913616</v>
      </c>
      <c r="J39" t="str">
        <f t="shared" si="3"/>
        <v/>
      </c>
    </row>
    <row r="40" spans="3:10" x14ac:dyDescent="0.25">
      <c r="C40" s="11">
        <f t="shared" si="0"/>
        <v>0.12916666666666668</v>
      </c>
      <c r="D40" s="13">
        <f t="shared" si="1"/>
        <v>11160</v>
      </c>
      <c r="E40" s="12">
        <f t="array" ref="E40:H40">DatosSiguientes(MasaK21,G39,H39,E39,F39,h)</f>
        <v>91236603.708906695</v>
      </c>
      <c r="F40" s="12">
        <v>89000357.152464271</v>
      </c>
      <c r="G40" s="9">
        <v>-1770.4004038610865</v>
      </c>
      <c r="H40" s="5">
        <v>-1070.4729279917437</v>
      </c>
      <c r="I40" s="5">
        <f t="shared" si="4"/>
        <v>2068.8716440501366</v>
      </c>
      <c r="J40" t="str">
        <f t="shared" si="3"/>
        <v/>
      </c>
    </row>
    <row r="41" spans="3:10" x14ac:dyDescent="0.25">
      <c r="C41" s="11">
        <f t="shared" si="0"/>
        <v>0.13333333333333333</v>
      </c>
      <c r="D41" s="13">
        <f t="shared" si="1"/>
        <v>11520</v>
      </c>
      <c r="E41" s="12">
        <f t="array" ref="E41:H41">DatosSiguientes(MasaK21,G40,H40,E40,F40,h)</f>
        <v>90598115.647149175</v>
      </c>
      <c r="F41" s="12">
        <v>88613869.528735191</v>
      </c>
      <c r="G41" s="9">
        <v>-1776.7554947917622</v>
      </c>
      <c r="H41" s="5">
        <v>-1076.6805371697947</v>
      </c>
      <c r="I41" s="5">
        <f t="shared" si="4"/>
        <v>2077.5228199451763</v>
      </c>
      <c r="J41" t="str">
        <f t="shared" si="3"/>
        <v/>
      </c>
    </row>
    <row r="42" spans="3:10" x14ac:dyDescent="0.25">
      <c r="C42" s="11">
        <f t="shared" si="0"/>
        <v>0.13750000000000001</v>
      </c>
      <c r="D42" s="13">
        <f t="shared" si="1"/>
        <v>11880</v>
      </c>
      <c r="E42" s="12">
        <f t="array" ref="E42:H42">DatosSiguientes(MasaK21,G41,H41,E41,F41,h)</f>
        <v>89957328.047348395</v>
      </c>
      <c r="F42" s="12">
        <v>88225132.695863023</v>
      </c>
      <c r="G42" s="9">
        <v>-1783.1756152126065</v>
      </c>
      <c r="H42" s="5">
        <v>-1082.9685343422466</v>
      </c>
      <c r="I42" s="5">
        <f t="shared" si="4"/>
        <v>2086.273261359655</v>
      </c>
      <c r="J42" t="str">
        <f t="shared" si="3"/>
        <v/>
      </c>
    </row>
    <row r="43" spans="3:10" x14ac:dyDescent="0.25">
      <c r="C43" s="11">
        <f t="shared" si="0"/>
        <v>0.14166666666666666</v>
      </c>
      <c r="D43" s="13">
        <f t="shared" si="1"/>
        <v>12240</v>
      </c>
      <c r="E43" s="12">
        <f t="array" ref="E43:H43">DatosSiguientes(MasaK21,G42,H42,E42,F42,h)</f>
        <v>89314217.267706633</v>
      </c>
      <c r="F43" s="12">
        <v>87834117.381771773</v>
      </c>
      <c r="G43" s="9">
        <v>-1789.6620494638564</v>
      </c>
      <c r="H43" s="5">
        <v>-1089.3387661647223</v>
      </c>
      <c r="I43" s="5">
        <f t="shared" si="4"/>
        <v>2095.1251033674457</v>
      </c>
      <c r="J43" t="str">
        <f t="shared" si="3"/>
        <v/>
      </c>
    </row>
    <row r="44" spans="3:10" x14ac:dyDescent="0.25">
      <c r="C44" s="11">
        <f t="shared" si="0"/>
        <v>0.14583333333333334</v>
      </c>
      <c r="D44" s="13">
        <f t="shared" si="1"/>
        <v>12600</v>
      </c>
      <c r="E44" s="12">
        <f t="array" ref="E44:H44">DatosSiguientes(MasaK21,G43,H43,E43,F43,h)</f>
        <v>88668759.197399303</v>
      </c>
      <c r="F44" s="12">
        <v>87440793.638709694</v>
      </c>
      <c r="G44" s="9">
        <v>-1796.2161189102169</v>
      </c>
      <c r="H44" s="5">
        <v>-1095.7931397357158</v>
      </c>
      <c r="I44" s="5">
        <f t="shared" si="4"/>
        <v>2104.0805476323239</v>
      </c>
      <c r="J44" t="str">
        <f t="shared" si="3"/>
        <v/>
      </c>
    </row>
    <row r="45" spans="3:10" x14ac:dyDescent="0.25">
      <c r="C45" s="11">
        <f t="shared" si="0"/>
        <v>0.15</v>
      </c>
      <c r="D45" s="13">
        <f t="shared" si="1"/>
        <v>12960</v>
      </c>
      <c r="E45" s="12">
        <f t="array" ref="E45:H45">DatosSiguientes(MasaK21,G44,H44,E44,F44,h)</f>
        <v>88020929.242992744</v>
      </c>
      <c r="F45" s="12">
        <v>87045130.821026355</v>
      </c>
      <c r="G45" s="9">
        <v>-1802.8391833484218</v>
      </c>
      <c r="H45" s="5">
        <v>-1102.3336251717089</v>
      </c>
      <c r="I45" s="5">
        <f t="shared" si="4"/>
        <v>2113.1418651384024</v>
      </c>
      <c r="J45" t="str">
        <f t="shared" si="3"/>
        <v/>
      </c>
    </row>
    <row r="46" spans="3:10" x14ac:dyDescent="0.25">
      <c r="C46" s="11">
        <f t="shared" si="0"/>
        <v>0.15416666666666667</v>
      </c>
      <c r="D46" s="13">
        <f t="shared" si="1"/>
        <v>13320</v>
      </c>
      <c r="E46" s="12">
        <f t="array" ref="E46:H46">DatosSiguientes(MasaK21,G45,H45,E45,F45,h)</f>
        <v>87370702.314343378</v>
      </c>
      <c r="F46" s="12">
        <v>86647097.561998248</v>
      </c>
      <c r="G46" s="9">
        <v>-1809.5326424813691</v>
      </c>
      <c r="H46" s="5">
        <v>-1108.9622583177957</v>
      </c>
      <c r="I46" s="5">
        <f t="shared" si="4"/>
        <v>2122.3113990597403</v>
      </c>
      <c r="J46" t="str">
        <f t="shared" si="3"/>
        <v/>
      </c>
    </row>
    <row r="47" spans="3:10" x14ac:dyDescent="0.25">
      <c r="C47" s="11">
        <f t="shared" si="0"/>
        <v>0.15833333333333333</v>
      </c>
      <c r="D47" s="13">
        <f t="shared" si="1"/>
        <v>13680</v>
      </c>
      <c r="E47" s="12">
        <f t="array" ref="E47:H47">DatosSiguientes(MasaK21,G46,H46,E46,F46,h)</f>
        <v>86718052.809953466</v>
      </c>
      <c r="F47" s="12">
        <v>86246661.749652624</v>
      </c>
      <c r="G47" s="9">
        <v>-1816.2979374626027</v>
      </c>
      <c r="H47" s="5">
        <v>-1115.6811436023252</v>
      </c>
      <c r="I47" s="5">
        <f t="shared" si="4"/>
        <v>2131.5915677776306</v>
      </c>
      <c r="J47" t="str">
        <f t="shared" si="3"/>
        <v/>
      </c>
    </row>
    <row r="48" spans="3:10" x14ac:dyDescent="0.25">
      <c r="C48" s="11">
        <f t="shared" si="0"/>
        <v>0.16250000000000001</v>
      </c>
      <c r="D48" s="13">
        <f t="shared" si="1"/>
        <v>14040</v>
      </c>
      <c r="E48" s="12">
        <f t="array" ref="E48:H48">DatosSiguientes(MasaK21,G47,H47,E47,F47,h)</f>
        <v>86062954.601757467</v>
      </c>
      <c r="F48" s="12">
        <v>85843790.501536161</v>
      </c>
      <c r="G48" s="9">
        <v>-1823.1365525151632</v>
      </c>
      <c r="H48" s="5">
        <v>-1122.4924570446965</v>
      </c>
      <c r="I48" s="5">
        <f t="shared" si="4"/>
        <v>2140.9848680546797</v>
      </c>
      <c r="J48" t="str">
        <f t="shared" si="3"/>
        <v/>
      </c>
    </row>
    <row r="49" spans="3:10" x14ac:dyDescent="0.25">
      <c r="C49" s="11">
        <f t="shared" si="0"/>
        <v>0.16666666666666666</v>
      </c>
      <c r="D49" s="13">
        <f t="shared" si="1"/>
        <v>14400</v>
      </c>
      <c r="E49" s="12">
        <f t="array" ref="E49:H49">DatosSiguientes(MasaK21,G48,H48,E48,F48,h)</f>
        <v>85405381.019311503</v>
      </c>
      <c r="F49" s="12">
        <v>85438450.138371408</v>
      </c>
      <c r="G49" s="9">
        <v>-1830.0500166290967</v>
      </c>
      <c r="H49" s="5">
        <v>-1129.398449426114</v>
      </c>
      <c r="I49" s="5">
        <f t="shared" si="4"/>
        <v>2150.493878375446</v>
      </c>
      <c r="J49" t="str">
        <f t="shared" si="3"/>
        <v/>
      </c>
    </row>
    <row r="50" spans="3:10" x14ac:dyDescent="0.25">
      <c r="C50" s="11">
        <f t="shared" si="0"/>
        <v>0.17083333333333334</v>
      </c>
      <c r="D50" s="13">
        <f t="shared" si="1"/>
        <v>14760</v>
      </c>
      <c r="E50" s="12">
        <f t="array" ref="E50:H50">DatosSiguientes(MasaK21,G49,H49,E49,F49,h)</f>
        <v>84745304.833356664</v>
      </c>
      <c r="F50" s="12">
        <v>85030606.156540617</v>
      </c>
      <c r="G50" s="9">
        <v>-1837.0399053422036</v>
      </c>
      <c r="H50" s="5">
        <v>-1136.4014496338409</v>
      </c>
      <c r="I50" s="5">
        <f t="shared" si="4"/>
        <v>2160.1212624641207</v>
      </c>
      <c r="J50" t="str">
        <f t="shared" si="3"/>
        <v/>
      </c>
    </row>
    <row r="51" spans="3:10" x14ac:dyDescent="0.25">
      <c r="C51" s="11">
        <f t="shared" si="0"/>
        <v>0.17499999999999999</v>
      </c>
      <c r="D51" s="13">
        <f t="shared" si="1"/>
        <v>15120</v>
      </c>
      <c r="E51" s="12">
        <f t="array" ref="E51:H51">DatosSiguientes(MasaK21,G50,H50,E50,F50,h)</f>
        <v>84082698.238725469</v>
      </c>
      <c r="F51" s="12">
        <v>84620223.199332267</v>
      </c>
      <c r="G51" s="9">
        <v>-1844.1078426089157</v>
      </c>
      <c r="H51" s="5">
        <v>-1143.5038681902886</v>
      </c>
      <c r="I51" s="5">
        <f t="shared" si="4"/>
        <v>2169.8697729905043</v>
      </c>
      <c r="J51" t="str">
        <f t="shared" si="3"/>
        <v/>
      </c>
    </row>
    <row r="52" spans="3:10" x14ac:dyDescent="0.25">
      <c r="C52" s="11">
        <f t="shared" si="0"/>
        <v>0.17916666666666667</v>
      </c>
      <c r="D52" s="13">
        <f t="shared" si="1"/>
        <v>15480</v>
      </c>
      <c r="E52" s="12">
        <f t="array" ref="E52:H52">DatosSiguientes(MasaK21,G51,H51,E51,F51,h)</f>
        <v>83417532.83655861</v>
      </c>
      <c r="F52" s="12">
        <v>84207265.026881769</v>
      </c>
      <c r="G52" s="9">
        <v>-1851.2555027625269</v>
      </c>
      <c r="H52" s="5">
        <v>-1150.7082009791359</v>
      </c>
      <c r="I52" s="5">
        <f t="shared" si="4"/>
        <v>2179.7422554763616</v>
      </c>
      <c r="J52" t="str">
        <f t="shared" si="3"/>
        <v/>
      </c>
    </row>
    <row r="53" spans="3:10" x14ac:dyDescent="0.25">
      <c r="C53" s="11">
        <f t="shared" si="0"/>
        <v>0.18333333333333332</v>
      </c>
      <c r="D53" s="13">
        <f t="shared" si="1"/>
        <v>15840</v>
      </c>
      <c r="E53" s="12">
        <f t="array" ref="E53:H53">DatosSiguientes(MasaK21,G52,H52,E52,F52,h)</f>
        <v>82749779.615797609</v>
      </c>
      <c r="F53" s="12">
        <v>83791694.484732836</v>
      </c>
      <c r="G53" s="9">
        <v>-1858.4846125763656</v>
      </c>
      <c r="H53" s="5">
        <v>-1158.0170331816157</v>
      </c>
      <c r="I53" s="5">
        <f t="shared" si="4"/>
        <v>2189.7416524151599</v>
      </c>
      <c r="J53" t="str">
        <f t="shared" si="3"/>
        <v/>
      </c>
    </row>
    <row r="54" spans="3:10" x14ac:dyDescent="0.25">
      <c r="C54" s="11">
        <f t="shared" si="0"/>
        <v>0.1875</v>
      </c>
      <c r="D54" s="13">
        <f t="shared" si="1"/>
        <v>16200</v>
      </c>
      <c r="E54" s="12">
        <f t="array" ref="E54:H54">DatosSiguientes(MasaK21,G53,H53,E53,F53,h)</f>
        <v>82079408.933916479</v>
      </c>
      <c r="F54" s="12">
        <v>83373473.470941469</v>
      </c>
      <c r="G54" s="9">
        <v>-1865.7969534298852</v>
      </c>
      <c r="H54" s="5">
        <v>-1165.4330434371248</v>
      </c>
      <c r="I54" s="5">
        <f t="shared" si="4"/>
        <v>2199.8710076191651</v>
      </c>
      <c r="J54" t="str">
        <f t="shared" si="3"/>
        <v/>
      </c>
    </row>
    <row r="55" spans="3:10" x14ac:dyDescent="0.25">
      <c r="C55" s="11">
        <f t="shared" si="0"/>
        <v>0.19166666666666668</v>
      </c>
      <c r="D55" s="13">
        <f t="shared" si="1"/>
        <v>16560</v>
      </c>
      <c r="E55" s="12">
        <f t="array" ref="E55:H55">DatosSiguientes(MasaK21,G54,H54,E54,F54,h)</f>
        <v>81406390.496853605</v>
      </c>
      <c r="F55" s="12">
        <v>82952562.90163897</v>
      </c>
      <c r="G55" s="9">
        <v>-1873.1943635860707</v>
      </c>
      <c r="H55" s="5">
        <v>-1172.9590082434208</v>
      </c>
      <c r="I55" s="5">
        <f t="shared" si="4"/>
        <v>2210.1334708089494</v>
      </c>
      <c r="J55" t="str">
        <f t="shared" si="3"/>
        <v/>
      </c>
    </row>
    <row r="56" spans="3:10" x14ac:dyDescent="0.25">
      <c r="C56" s="11">
        <f t="shared" si="0"/>
        <v>0.19583333333333333</v>
      </c>
      <c r="D56" s="13">
        <f t="shared" si="1"/>
        <v>16920</v>
      </c>
      <c r="E56" s="12">
        <f t="array" ref="E56:H56">DatosSiguientes(MasaK21,G55,H55,E55,F55,h)</f>
        <v>80730693.338102445</v>
      </c>
      <c r="F56" s="12">
        <v>82528922.67496483</v>
      </c>
      <c r="G56" s="9">
        <v>-1880.6787405870157</v>
      </c>
      <c r="H56" s="5">
        <v>-1180.597806612891</v>
      </c>
      <c r="I56" s="5">
        <f t="shared" si="4"/>
        <v>2220.5323024615363</v>
      </c>
      <c r="J56" t="str">
        <f t="shared" si="3"/>
        <v/>
      </c>
    </row>
    <row r="57" spans="3:10" x14ac:dyDescent="0.25">
      <c r="C57" s="11">
        <f t="shared" si="0"/>
        <v>0.2</v>
      </c>
      <c r="D57" s="13">
        <f t="shared" si="1"/>
        <v>17280</v>
      </c>
      <c r="E57" s="12">
        <f t="array" ref="E57:H57">DatosSiguientes(MasaK21,G56,H56,E56,F56,h)</f>
        <v>80052285.796917275</v>
      </c>
      <c r="F57" s="12">
        <v>82102511.633274034</v>
      </c>
      <c r="G57" s="9">
        <v>-1888.2520437750143</v>
      </c>
      <c r="H57" s="5">
        <v>-1188.3524250026865</v>
      </c>
      <c r="I57" s="5">
        <f t="shared" si="4"/>
        <v>2231.0708789346618</v>
      </c>
      <c r="J57" t="str">
        <f t="shared" si="3"/>
        <v/>
      </c>
    </row>
    <row r="58" spans="3:10" x14ac:dyDescent="0.25">
      <c r="C58" s="11">
        <f t="shared" si="0"/>
        <v>0.20416666666666666</v>
      </c>
      <c r="D58" s="13">
        <f t="shared" si="1"/>
        <v>17640</v>
      </c>
      <c r="E58" s="12">
        <f t="array" ref="E58:H58">DatosSiguientes(MasaK21,G57,H57,E57,F57,h)</f>
        <v>79371135.495587304</v>
      </c>
      <c r="F58" s="12">
        <v>81673287.523516715</v>
      </c>
      <c r="G58" s="9">
        <v>-1895.9162969470462</v>
      </c>
      <c r="H58" s="5">
        <v>-1196.22596253797</v>
      </c>
      <c r="I58" s="5">
        <f t="shared" si="4"/>
        <v>2241.7526978860296</v>
      </c>
      <c r="J58" t="str">
        <f t="shared" si="3"/>
        <v/>
      </c>
    </row>
    <row r="59" spans="3:10" x14ac:dyDescent="0.25">
      <c r="C59" s="11">
        <f t="shared" si="0"/>
        <v>0.20833333333333334</v>
      </c>
      <c r="D59" s="13">
        <f t="shared" si="1"/>
        <v>18000</v>
      </c>
      <c r="E59" s="12">
        <f t="array" ref="E59:H59">DatosSiguientes(MasaK21,G58,H58,E58,F58,h)</f>
        <v>78687209.315729633</v>
      </c>
      <c r="F59" s="12">
        <v>81241206.955681041</v>
      </c>
      <c r="G59" s="9">
        <v>-1903.6735911511114</v>
      </c>
      <c r="H59" s="5">
        <v>-1204.2216365490931</v>
      </c>
      <c r="I59" s="5">
        <f t="shared" si="4"/>
        <v>2252.5813840079441</v>
      </c>
      <c r="J59" t="str">
        <f t="shared" si="3"/>
        <v/>
      </c>
    </row>
    <row r="60" spans="3:10" x14ac:dyDescent="0.25">
      <c r="C60" s="11">
        <f t="shared" si="0"/>
        <v>0.21249999999999999</v>
      </c>
      <c r="D60" s="13">
        <f t="shared" si="1"/>
        <v>18360</v>
      </c>
      <c r="E60" s="12">
        <f t="array" ref="E60:H60">DatosSiguientes(MasaK21,G59,H59,E59,F59,h)</f>
        <v>78000473.373548403</v>
      </c>
      <c r="F60" s="12">
        <v>80806225.35918206</v>
      </c>
      <c r="G60" s="9">
        <v>-1911.5260876334919</v>
      </c>
      <c r="H60" s="5">
        <v>-1212.3427884452476</v>
      </c>
      <c r="I60" s="5">
        <f t="shared" si="4"/>
        <v>2263.5606950993392</v>
      </c>
      <c r="J60" t="str">
        <f t="shared" si="3"/>
        <v/>
      </c>
    </row>
    <row r="61" spans="3:10" x14ac:dyDescent="0.25">
      <c r="C61" s="11">
        <f t="shared" si="0"/>
        <v>0.21666666666666667</v>
      </c>
      <c r="D61" s="13">
        <f t="shared" si="1"/>
        <v>18720</v>
      </c>
      <c r="E61" s="12">
        <f t="array" ref="E61:H61">DatosSiguientes(MasaK21,G60,H60,E60,F60,h)</f>
        <v>77310892.994003966</v>
      </c>
      <c r="F61" s="12">
        <v>80368296.937071085</v>
      </c>
      <c r="G61" s="9">
        <v>-1919.4760209467011</v>
      </c>
      <c r="H61" s="5">
        <v>-1220.5928899490254</v>
      </c>
      <c r="I61" s="5">
        <f t="shared" si="4"/>
        <v>2274.6945284990452</v>
      </c>
      <c r="J61" t="str">
        <f t="shared" si="3"/>
        <v/>
      </c>
    </row>
    <row r="62" spans="3:10" x14ac:dyDescent="0.25">
      <c r="C62" s="11">
        <f t="shared" si="0"/>
        <v>0.22083333333333333</v>
      </c>
      <c r="D62" s="13">
        <f t="shared" si="1"/>
        <v>19080</v>
      </c>
      <c r="E62" s="12">
        <f t="array" ref="E62:H62">DatosSiguientes(MasaK21,G61,H61,E61,F61,h)</f>
        <v>76618432.683832407</v>
      </c>
      <c r="F62" s="12">
        <v>79927374.617930949</v>
      </c>
      <c r="G62" s="9">
        <v>-1927.525702228611</v>
      </c>
      <c r="H62" s="5">
        <v>-1228.9755497183851</v>
      </c>
      <c r="I62" s="5">
        <f t="shared" si="4"/>
        <v>2285.9869279060863</v>
      </c>
      <c r="J62" t="str">
        <f t="shared" si="3"/>
        <v/>
      </c>
    </row>
    <row r="63" spans="3:10" x14ac:dyDescent="0.25">
      <c r="C63" s="11">
        <f t="shared" si="0"/>
        <v>0.22500000000000001</v>
      </c>
      <c r="D63" s="13">
        <f t="shared" si="1"/>
        <v>19440</v>
      </c>
      <c r="E63" s="12">
        <f t="array" ref="E63:H63">DatosSiguientes(MasaK21,G62,H62,E62,F62,h)</f>
        <v>75923056.103351727</v>
      </c>
      <c r="F63" s="12">
        <v>79483410.005312368</v>
      </c>
      <c r="G63" s="9">
        <v>-1935.6775226640534</v>
      </c>
      <c r="H63" s="5">
        <v>-1237.4945203847994</v>
      </c>
      <c r="I63" s="5">
        <f t="shared" si="4"/>
        <v>2297.442090614963</v>
      </c>
      <c r="J63" t="str">
        <f t="shared" si="3"/>
        <v/>
      </c>
    </row>
    <row r="64" spans="3:10" x14ac:dyDescent="0.25">
      <c r="C64" s="11">
        <f t="shared" si="0"/>
        <v>0.22916666666666666</v>
      </c>
      <c r="D64" s="13">
        <f t="shared" si="1"/>
        <v>19800</v>
      </c>
      <c r="E64" s="12">
        <f t="array" ref="E64:H64">DatosSiguientes(MasaK21,G63,H63,E63,F63,h)</f>
        <v>75224726.036986813</v>
      </c>
      <c r="F64" s="12">
        <v>79036353.324556112</v>
      </c>
      <c r="G64" s="9">
        <v>-1943.9339571410524</v>
      </c>
      <c r="H64" s="5">
        <v>-1246.1537060388489</v>
      </c>
      <c r="I64" s="5">
        <f t="shared" si="4"/>
        <v>2309.0643751962457</v>
      </c>
      <c r="J64" t="str">
        <f t="shared" si="3"/>
        <v/>
      </c>
    </row>
    <row r="65" spans="3:10" x14ac:dyDescent="0.25">
      <c r="C65" s="11">
        <f t="shared" si="0"/>
        <v>0.23333333333333334</v>
      </c>
      <c r="D65" s="13">
        <f t="shared" si="1"/>
        <v>20160</v>
      </c>
      <c r="E65" s="12">
        <f t="array" ref="E65:H65">DatosSiguientes(MasaK21,G64,H64,E64,F64,h)</f>
        <v>74523404.362440765</v>
      </c>
      <c r="F65" s="12">
        <v>78586153.366833612</v>
      </c>
      <c r="G65" s="9">
        <v>-1952.2975681147961</v>
      </c>
      <c r="H65" s="5">
        <v>-1254.9571701972643</v>
      </c>
      <c r="I65" s="5">
        <f t="shared" si="4"/>
        <v>2320.8583096553898</v>
      </c>
      <c r="J65" t="str">
        <f t="shared" si="3"/>
        <v/>
      </c>
    </row>
    <row r="66" spans="3:10" x14ac:dyDescent="0.25">
      <c r="C66" s="11">
        <f t="shared" si="0"/>
        <v>0.23749999999999999</v>
      </c>
      <c r="D66" s="13">
        <f t="shared" si="1"/>
        <v>20520</v>
      </c>
      <c r="E66" s="12">
        <f t="array" ref="E66:H66">DatosSiguientes(MasaK21,G65,H65,E65,F65,h)</f>
        <v>73819052.01843527</v>
      </c>
      <c r="F66" s="12">
        <v>78132757.430226192</v>
      </c>
      <c r="G66" s="9">
        <v>-1960.7710096934829</v>
      </c>
      <c r="H66" s="5">
        <v>-1263.909144288443</v>
      </c>
      <c r="I66" s="5">
        <f t="shared" si="4"/>
        <v>2332.828600105534</v>
      </c>
      <c r="J66" t="str">
        <f t="shared" si="3"/>
        <v/>
      </c>
    </row>
    <row r="67" spans="3:10" x14ac:dyDescent="0.25">
      <c r="C67" s="11">
        <f t="shared" si="0"/>
        <v>0.24166666666666667</v>
      </c>
      <c r="D67" s="13">
        <f t="shared" si="1"/>
        <v>20880</v>
      </c>
      <c r="E67" s="12">
        <f t="array" ref="E67:H67">DatosSiguientes(MasaK21,G66,H66,E66,F66,h)</f>
        <v>73111628.970937416</v>
      </c>
      <c r="F67" s="12">
        <v>77676111.257648855</v>
      </c>
      <c r="G67" s="9">
        <v>-1969.3570319612952</v>
      </c>
      <c r="H67" s="5">
        <v>-1273.014036696781</v>
      </c>
      <c r="I67" s="5">
        <f t="shared" si="4"/>
        <v>2344.9801399931803</v>
      </c>
      <c r="J67" t="str">
        <f t="shared" si="3"/>
        <v/>
      </c>
    </row>
    <row r="68" spans="3:10" x14ac:dyDescent="0.25">
      <c r="C68" s="11">
        <f t="shared" si="0"/>
        <v>0.24583333333333332</v>
      </c>
      <c r="D68" s="13">
        <f t="shared" si="1"/>
        <v>21240</v>
      </c>
      <c r="E68" s="12">
        <f t="array" ref="E68:H68">DatosSiguientes(MasaK21,G67,H67,E67,F67,h)</f>
        <v>72401094.177784488</v>
      </c>
      <c r="F68" s="12">
        <v>77216158.971409664</v>
      </c>
      <c r="G68" s="9">
        <v>-1978.0584855549803</v>
      </c>
      <c r="H68" s="5">
        <v>-1282.2764424098291</v>
      </c>
      <c r="I68" s="5">
        <f t="shared" si="4"/>
        <v>2357.3180199190924</v>
      </c>
      <c r="J68" t="str">
        <f t="shared" si="3"/>
        <v/>
      </c>
    </row>
    <row r="69" spans="3:10" x14ac:dyDescent="0.25">
      <c r="C69" s="11">
        <f t="shared" si="0"/>
        <v>0.25</v>
      </c>
      <c r="D69" s="13">
        <f t="shared" si="1"/>
        <v>21600</v>
      </c>
      <c r="E69" s="12">
        <f t="array" ref="E69:H69">DatosSiguientes(MasaK21,G68,H68,E68,F68,h)</f>
        <v>71687405.551612452</v>
      </c>
      <c r="F69" s="12">
        <v>76752843.004178956</v>
      </c>
      <c r="G69" s="9">
        <v>-1986.8783265118511</v>
      </c>
      <c r="H69" s="5">
        <v>-1291.70115331633</v>
      </c>
      <c r="I69" s="5">
        <f t="shared" si="4"/>
        <v>2369.8475381005569</v>
      </c>
      <c r="J69" t="str">
        <f t="shared" si="3"/>
        <v/>
      </c>
    </row>
    <row r="70" spans="3:10" x14ac:dyDescent="0.25">
      <c r="C70" s="11">
        <f t="shared" si="0"/>
        <v>0.25416666666666665</v>
      </c>
      <c r="D70" s="13">
        <f t="shared" si="1"/>
        <v>21960</v>
      </c>
      <c r="E70" s="12">
        <f t="array" ref="E70:H70">DatosSiguientes(MasaK21,G69,H69,E69,F69,h)</f>
        <v>70970519.920986786</v>
      </c>
      <c r="F70" s="12">
        <v>76286104.026124641</v>
      </c>
      <c r="G70" s="9">
        <v>-1995.8196214084751</v>
      </c>
      <c r="H70" s="5">
        <v>-1301.2931692076602</v>
      </c>
      <c r="I70" s="5">
        <f t="shared" si="4"/>
        <v>2382.5742115253379</v>
      </c>
      <c r="J70" t="str">
        <f t="shared" si="3"/>
        <v/>
      </c>
    </row>
    <row r="71" spans="3:10" x14ac:dyDescent="0.25">
      <c r="C71" s="11">
        <f t="shared" si="0"/>
        <v>0.25833333333333336</v>
      </c>
      <c r="D71" s="13">
        <f t="shared" si="1"/>
        <v>22320</v>
      </c>
      <c r="E71" s="12">
        <f t="array" ref="E71:H71">DatosSiguientes(MasaK21,G70,H70,E70,F70,h)</f>
        <v>70250392.989627302</v>
      </c>
      <c r="F71" s="12">
        <v>75815880.867950037</v>
      </c>
      <c r="G71" s="9">
        <v>-2004.8855528109152</v>
      </c>
      <c r="H71" s="5">
        <v>-1311.057709540157</v>
      </c>
      <c r="I71" s="5">
        <f t="shared" si="4"/>
        <v>2395.503787852278</v>
      </c>
      <c r="J71" t="str">
        <f t="shared" si="3"/>
        <v/>
      </c>
    </row>
    <row r="72" spans="3:10" x14ac:dyDescent="0.25">
      <c r="C72" s="11">
        <f t="shared" si="0"/>
        <v>0.26250000000000001</v>
      </c>
      <c r="D72" s="13">
        <f t="shared" si="1"/>
        <v>22680</v>
      </c>
      <c r="E72" s="12">
        <f t="array" ref="E72:H72">DatosSiguientes(MasaK21,G71,H71,E71,F71,h)</f>
        <v>69526979.293610692</v>
      </c>
      <c r="F72" s="12">
        <v>75342110.439548969</v>
      </c>
      <c r="G72" s="9">
        <v>-2014.0794250591312</v>
      </c>
      <c r="H72" s="5">
        <v>-1321.0002260212907</v>
      </c>
      <c r="I72" s="5">
        <f t="shared" si="4"/>
        <v>2408.6422581186316</v>
      </c>
      <c r="J72" t="str">
        <f t="shared" si="3"/>
        <v/>
      </c>
    </row>
    <row r="73" spans="3:10" x14ac:dyDescent="0.25">
      <c r="C73" s="11">
        <f t="shared" si="0"/>
        <v>0.26666666666666666</v>
      </c>
      <c r="D73" s="13">
        <f t="shared" si="1"/>
        <v>23040</v>
      </c>
      <c r="E73" s="12">
        <f t="array" ref="E73:H73">DatosSiguientes(MasaK21,G72,H72,E72,F72,h)</f>
        <v>68800232.156426236</v>
      </c>
      <c r="F73" s="12">
        <v>74864727.643969163</v>
      </c>
      <c r="G73" s="9">
        <v>-2023.4046704100583</v>
      </c>
      <c r="H73" s="5">
        <v>-1331.1264160887304</v>
      </c>
      <c r="I73" s="5">
        <f t="shared" si="4"/>
        <v>2421.9958703198618</v>
      </c>
      <c r="J73" t="str">
        <f t="shared" si="3"/>
        <v/>
      </c>
    </row>
    <row r="74" spans="3:10" x14ac:dyDescent="0.25">
      <c r="C74" s="11">
        <f t="shared" ref="C74:C137" si="5">D74/86400</f>
        <v>0.27083333333333331</v>
      </c>
      <c r="D74" s="13">
        <f t="shared" ref="D74:D137" si="6">h+D73</f>
        <v>23400</v>
      </c>
      <c r="E74" s="12">
        <f t="array" ref="E74:H74">DatosSiguientes(MasaK21,G73,H73,E73,F73,h)</f>
        <v>68070103.641750544</v>
      </c>
      <c r="F74" s="12">
        <v>74383665.28634873</v>
      </c>
      <c r="G74" s="9">
        <v>-2032.8648555659756</v>
      </c>
      <c r="H74" s="5">
        <v>-1341.4422373581115</v>
      </c>
      <c r="I74" s="5">
        <f t="shared" si="4"/>
        <v>2435.5711439339257</v>
      </c>
      <c r="J74" t="str">
        <f t="shared" ref="J74:J137" si="7">IF(I74=$I$8,"&lt;--------&lt;&lt;&lt;","")</f>
        <v/>
      </c>
    </row>
    <row r="75" spans="3:10" x14ac:dyDescent="0.25">
      <c r="C75" s="11">
        <f t="shared" si="5"/>
        <v>0.27500000000000002</v>
      </c>
      <c r="D75" s="13">
        <f t="shared" si="6"/>
        <v>23760</v>
      </c>
      <c r="E75" s="12">
        <f t="array" ref="E75:H75">DatosSiguientes(MasaK21,G74,H74,E74,F74,h)</f>
        <v>67336544.503797591</v>
      </c>
      <c r="F75" s="12">
        <v>73898853.977462158</v>
      </c>
      <c r="G75" s="9">
        <v>-2042.4636886170749</v>
      </c>
      <c r="H75" s="5">
        <v>-1351.9539231228346</v>
      </c>
      <c r="I75" s="5">
        <f t="shared" si="4"/>
        <v>2449.3748854690439</v>
      </c>
      <c r="J75" t="str">
        <f t="shared" si="7"/>
        <v/>
      </c>
    </row>
    <row r="76" spans="3:10" x14ac:dyDescent="0.25">
      <c r="C76" s="11">
        <f t="shared" si="5"/>
        <v>0.27916666666666667</v>
      </c>
      <c r="D76" s="13">
        <f t="shared" si="6"/>
        <v>24120</v>
      </c>
      <c r="E76" s="12">
        <f t="array" ref="E76:H76">DatosSiguientes(MasaK21,G75,H75,E75,F75,h)</f>
        <v>66599504.135089181</v>
      </c>
      <c r="F76" s="12">
        <v>73410222.031480476</v>
      </c>
      <c r="G76" s="9">
        <v>-2052.2050264296636</v>
      </c>
      <c r="H76" s="5">
        <v>-1362.6679989975967</v>
      </c>
      <c r="I76" s="5">
        <f t="shared" si="4"/>
        <v>2463.4142051216822</v>
      </c>
      <c r="J76" t="str">
        <f t="shared" si="7"/>
        <v/>
      </c>
    </row>
    <row r="77" spans="3:10" x14ac:dyDescent="0.25">
      <c r="C77" s="11">
        <f t="shared" si="5"/>
        <v>0.28333333333333333</v>
      </c>
      <c r="D77" s="13">
        <f t="shared" si="6"/>
        <v>24480</v>
      </c>
      <c r="E77" s="12">
        <f t="array" ref="E77:H77">DatosSiguientes(MasaK21,G76,H76,E76,F76,h)</f>
        <v>65858930.511479281</v>
      </c>
      <c r="F77" s="12">
        <v>72917695.357515708</v>
      </c>
      <c r="G77" s="9">
        <v>-2062.0928825142141</v>
      </c>
      <c r="H77" s="5">
        <v>-1373.5913008067039</v>
      </c>
      <c r="I77" s="5">
        <f t="shared" ref="I77:I140" si="8">SQRT(G77^2+H77^2)</f>
        <v>2477.6965346401148</v>
      </c>
      <c r="J77" t="str">
        <f t="shared" si="7"/>
        <v/>
      </c>
    </row>
    <row r="78" spans="3:10" x14ac:dyDescent="0.25">
      <c r="C78" s="11">
        <f t="shared" si="5"/>
        <v>0.28749999999999998</v>
      </c>
      <c r="D78" s="13">
        <f t="shared" si="6"/>
        <v>24840</v>
      </c>
      <c r="E78" s="12">
        <f t="array" ref="E78:H78">DatosSiguientes(MasaK21,G77,H77,E77,F77,h)</f>
        <v>65114770.134252831</v>
      </c>
      <c r="F78" s="12">
        <v>72421197.344481349</v>
      </c>
      <c r="G78" s="9">
        <v>-2072.1314354105216</v>
      </c>
      <c r="H78" s="5">
        <v>-1384.730993828648</v>
      </c>
      <c r="I78" s="5">
        <f t="shared" si="8"/>
        <v>2492.2296464985211</v>
      </c>
      <c r="J78" t="str">
        <f t="shared" si="7"/>
        <v/>
      </c>
    </row>
    <row r="79" spans="3:10" x14ac:dyDescent="0.25">
      <c r="C79" s="11">
        <f t="shared" si="5"/>
        <v>0.29166666666666669</v>
      </c>
      <c r="D79" s="13">
        <f t="shared" si="6"/>
        <v>25200</v>
      </c>
      <c r="E79" s="12">
        <f t="array" ref="E79:H79">DatosSiguientes(MasaK21,G78,H78,E78,F78,h)</f>
        <v>64366967.96910543</v>
      </c>
      <c r="F79" s="12">
        <v>71920648.738758579</v>
      </c>
      <c r="G79" s="9">
        <v>-2082.3250376306019</v>
      </c>
      <c r="H79" s="5">
        <v>-1396.0945935200998</v>
      </c>
      <c r="I79" s="5">
        <f t="shared" si="8"/>
        <v>2507.0216744973186</v>
      </c>
      <c r="J79" t="str">
        <f t="shared" si="7"/>
        <v/>
      </c>
    </row>
    <row r="80" spans="3:10" x14ac:dyDescent="0.25">
      <c r="C80" s="11">
        <f t="shared" si="5"/>
        <v>0.29583333333333334</v>
      </c>
      <c r="D80" s="13">
        <f t="shared" si="6"/>
        <v>25560</v>
      </c>
      <c r="E80" s="12">
        <f t="array" ref="E80:H80">DatosSiguientes(MasaK21,G79,H79,E79,F79,h)</f>
        <v>63615467.381795265</v>
      </c>
      <c r="F80" s="12">
        <v>71415967.514110968</v>
      </c>
      <c r="G80" s="9">
        <v>-2092.6782252036655</v>
      </c>
      <c r="H80" s="5">
        <v>-1407.6899878555505</v>
      </c>
      <c r="I80" s="5">
        <f t="shared" si="8"/>
        <v>2522.0811359173845</v>
      </c>
      <c r="J80" t="str">
        <f t="shared" si="7"/>
        <v/>
      </c>
    </row>
    <row r="81" spans="3:10" x14ac:dyDescent="0.25">
      <c r="C81" s="11">
        <f t="shared" si="5"/>
        <v>0.3</v>
      </c>
      <c r="D81" s="13">
        <f t="shared" si="6"/>
        <v>25920</v>
      </c>
      <c r="E81" s="12">
        <f t="array" ref="E81:H81">DatosSiguientes(MasaK21,G80,H80,E80,F80,h)</f>
        <v>62860210.070241712</v>
      </c>
      <c r="F81" s="12">
        <v>70907068.733238935</v>
      </c>
      <c r="G81" s="9">
        <v>-2103.1957278716081</v>
      </c>
      <c r="H81" s="5">
        <v>-1419.5254614335049</v>
      </c>
      <c r="I81" s="5">
        <f t="shared" si="8"/>
        <v>2537.4169553692568</v>
      </c>
      <c r="J81" t="str">
        <f t="shared" si="7"/>
        <v/>
      </c>
    </row>
    <row r="82" spans="3:10" x14ac:dyDescent="0.25">
      <c r="C82" s="11">
        <f t="shared" si="5"/>
        <v>0.30416666666666664</v>
      </c>
      <c r="D82" s="13">
        <f t="shared" si="6"/>
        <v>26280</v>
      </c>
      <c r="E82" s="12">
        <f t="array" ref="E82:H82">DatosSiguientes(MasaK21,G81,H81,E81,F81,h)</f>
        <v>62101135.992826991</v>
      </c>
      <c r="F82" s="12">
        <v>70393864.400307909</v>
      </c>
      <c r="G82" s="9">
        <v>-2113.8824799879699</v>
      </c>
      <c r="H82" s="5">
        <v>-1431.6097215166126</v>
      </c>
      <c r="I82" s="5">
        <f t="shared" si="8"/>
        <v>2553.0384904934281</v>
      </c>
      <c r="J82" t="str">
        <f t="shared" si="7"/>
        <v/>
      </c>
    </row>
    <row r="83" spans="3:10" x14ac:dyDescent="0.25">
      <c r="C83" s="11">
        <f t="shared" si="5"/>
        <v>0.30833333333333335</v>
      </c>
      <c r="D83" s="13">
        <f t="shared" si="6"/>
        <v>26640</v>
      </c>
      <c r="E83" s="12">
        <f t="array" ref="E83:H83">DatosSiguientes(MasaK21,G82,H82,E82,F82,h)</f>
        <v>61338183.292637058</v>
      </c>
      <c r="F83" s="12">
        <v>69876263.303720415</v>
      </c>
      <c r="G83" s="9">
        <v>-2124.7436321783339</v>
      </c>
      <c r="H83" s="5">
        <v>-1443.9519261916823</v>
      </c>
      <c r="I83" s="5">
        <f t="shared" si="8"/>
        <v>2568.9555596847231</v>
      </c>
      <c r="J83" t="str">
        <f t="shared" si="7"/>
        <v/>
      </c>
    </row>
    <row r="84" spans="3:10" x14ac:dyDescent="0.25">
      <c r="C84" s="11">
        <f t="shared" si="5"/>
        <v>0.3125</v>
      </c>
      <c r="D84" s="13">
        <f t="shared" si="6"/>
        <v>27000</v>
      </c>
      <c r="E84" s="12">
        <f t="array" ref="E84:H84">DatosSiguientes(MasaK21,G83,H83,E83,F83,h)</f>
        <v>60571288.217356339</v>
      </c>
      <c r="F84" s="12">
        <v>69354170.848331749</v>
      </c>
      <c r="G84" s="9">
        <v>-2135.7845638256658</v>
      </c>
      <c r="H84" s="5">
        <v>-1456.5617148564431</v>
      </c>
      <c r="I84" s="5">
        <f t="shared" si="8"/>
        <v>2585.17847203274</v>
      </c>
      <c r="J84" t="str">
        <f t="shared" si="7"/>
        <v/>
      </c>
    </row>
    <row r="85" spans="3:10" x14ac:dyDescent="0.25">
      <c r="C85" s="11">
        <f t="shared" si="5"/>
        <v>0.31666666666666665</v>
      </c>
      <c r="D85" s="13">
        <f t="shared" si="6"/>
        <v>27360</v>
      </c>
      <c r="E85" s="12">
        <f t="array" ref="E85:H85">DatosSiguientes(MasaK21,G84,H84,E84,F84,h)</f>
        <v>59800385.034506679</v>
      </c>
      <c r="F85" s="12">
        <v>68827488.87623015</v>
      </c>
      <c r="G85" s="9">
        <v>-2147.0108964502438</v>
      </c>
      <c r="H85" s="5">
        <v>-1469.4492412635425</v>
      </c>
      <c r="I85" s="5">
        <f t="shared" si="8"/>
        <v>2601.718059691726</v>
      </c>
      <c r="J85" t="str">
        <f t="shared" si="7"/>
        <v/>
      </c>
    </row>
    <row r="86" spans="3:10" x14ac:dyDescent="0.25">
      <c r="C86" s="11">
        <f t="shared" si="5"/>
        <v>0.32083333333333336</v>
      </c>
      <c r="D86" s="13">
        <f t="shared" si="6"/>
        <v>27720</v>
      </c>
      <c r="E86" s="12">
        <f t="array" ref="E86:H86">DatosSiguientes(MasaK21,G85,H85,E85,F85,h)</f>
        <v>59025405.941694722</v>
      </c>
      <c r="F86" s="12">
        <v>68296115.475114495</v>
      </c>
      <c r="G86" s="9">
        <v>-2158.4285080606383</v>
      </c>
      <c r="H86" s="5">
        <v>-1482.6252093789983</v>
      </c>
      <c r="I86" s="5">
        <f t="shared" si="8"/>
        <v>2618.5857129173737</v>
      </c>
      <c r="J86" t="str">
        <f t="shared" si="7"/>
        <v/>
      </c>
    </row>
    <row r="87" spans="3:10" x14ac:dyDescent="0.25">
      <c r="C87" s="11">
        <f t="shared" si="5"/>
        <v>0.32500000000000001</v>
      </c>
      <c r="D87" s="13">
        <f t="shared" si="6"/>
        <v>28080</v>
      </c>
      <c r="E87" s="12">
        <f t="array" ref="E87:H87">DatosSiguientes(MasaK21,G86,H86,E86,F86,h)</f>
        <v>58246280.971503049</v>
      </c>
      <c r="F87" s="12">
        <v>67759944.77320461</v>
      </c>
      <c r="G87" s="9">
        <v>-2170.0435485597718</v>
      </c>
      <c r="H87" s="5">
        <v>-1496.1009123426147</v>
      </c>
      <c r="I87" s="5">
        <f t="shared" si="8"/>
        <v>2635.7934180353154</v>
      </c>
      <c r="J87" t="str">
        <f t="shared" si="7"/>
        <v/>
      </c>
    </row>
    <row r="88" spans="3:10" x14ac:dyDescent="0.25">
      <c r="C88" s="11">
        <f t="shared" si="5"/>
        <v>0.32916666666666666</v>
      </c>
      <c r="D88" s="13">
        <f t="shared" si="6"/>
        <v>28440</v>
      </c>
      <c r="E88" s="12">
        <f t="array" ref="E88:H88">DatosSiguientes(MasaK21,G87,H87,E87,F87,h)</f>
        <v>57462937.890628561</v>
      </c>
      <c r="F88" s="12">
        <v>67218866.719509527</v>
      </c>
      <c r="G88" s="9">
        <v>-2181.8624562985033</v>
      </c>
      <c r="H88" s="5">
        <v>-1509.8882748522658</v>
      </c>
      <c r="I88" s="5">
        <f t="shared" si="8"/>
        <v>2653.3537986369797</v>
      </c>
      <c r="J88" t="str">
        <f t="shared" si="7"/>
        <v/>
      </c>
    </row>
    <row r="89" spans="3:10" x14ac:dyDescent="0.25">
      <c r="C89" s="11">
        <f t="shared" si="5"/>
        <v>0.33333333333333331</v>
      </c>
      <c r="D89" s="13">
        <f t="shared" si="6"/>
        <v>28800</v>
      </c>
      <c r="E89" s="12">
        <f t="array" ref="E89:H89">DatosSiguientes(MasaK21,G88,H88,E88,F88,h)</f>
        <v>56675302.092836693</v>
      </c>
      <c r="F89" s="12">
        <v>66672766.848156162</v>
      </c>
      <c r="G89" s="9">
        <v>-2193.891975878546</v>
      </c>
      <c r="H89" s="5">
        <v>-1523.9998993330826</v>
      </c>
      <c r="I89" s="5">
        <f t="shared" si="8"/>
        <v>2671.2801603335274</v>
      </c>
      <c r="J89" t="str">
        <f t="shared" si="7"/>
        <v/>
      </c>
    </row>
    <row r="90" spans="3:10" x14ac:dyDescent="0.25">
      <c r="C90" s="11">
        <f t="shared" si="5"/>
        <v>0.33750000000000002</v>
      </c>
      <c r="D90" s="13">
        <f t="shared" si="6"/>
        <v>29160</v>
      </c>
      <c r="E90" s="12">
        <f t="array" ref="E90:H90">DatosSiguientes(MasaK21,G89,H89,E89,F89,h)</f>
        <v>55883296.4852615</v>
      </c>
      <c r="F90" s="12">
        <v>66121526.025342718</v>
      </c>
      <c r="G90" s="9">
        <v>-2206.1391773169603</v>
      </c>
      <c r="H90" s="5">
        <v>-1538.4491162971804</v>
      </c>
      <c r="I90" s="5">
        <f t="shared" si="8"/>
        <v>2689.5865394384186</v>
      </c>
      <c r="J90" t="str">
        <f t="shared" si="7"/>
        <v/>
      </c>
    </row>
    <row r="91" spans="3:10" x14ac:dyDescent="0.25">
      <c r="C91" s="11">
        <f t="shared" si="5"/>
        <v>0.34166666666666667</v>
      </c>
      <c r="D91" s="13">
        <f t="shared" si="6"/>
        <v>29520</v>
      </c>
      <c r="E91" s="12">
        <f t="array" ref="E91:H91">DatosSiguientes(MasaK21,G90,H90,E90,F90,h)</f>
        <v>55086841.367539145</v>
      </c>
      <c r="F91" s="12">
        <v>65565020.177326135</v>
      </c>
      <c r="G91" s="9">
        <v>-2218.6114766961086</v>
      </c>
      <c r="H91" s="5">
        <v>-1553.2500393505102</v>
      </c>
      <c r="I91" s="5">
        <f t="shared" si="8"/>
        <v>2708.28775599456</v>
      </c>
      <c r="J91" t="str">
        <f t="shared" si="7"/>
        <v/>
      </c>
    </row>
    <row r="92" spans="3:10" x14ac:dyDescent="0.25">
      <c r="C92" s="11">
        <f t="shared" si="5"/>
        <v>0.34583333333333333</v>
      </c>
      <c r="D92" s="13">
        <f t="shared" si="6"/>
        <v>29880</v>
      </c>
      <c r="E92" s="12">
        <f t="array" ref="E92:H92">DatosSiguientes(MasaK21,G91,H91,E91,F91,h)</f>
        <v>54285854.303215377</v>
      </c>
      <c r="F92" s="12">
        <v>65003119.99767793</v>
      </c>
      <c r="G92" s="9">
        <v>-2231.3166584359415</v>
      </c>
      <c r="H92" s="5">
        <v>-1568.4176253617288</v>
      </c>
      <c r="I92" s="5">
        <f t="shared" si="8"/>
        <v>2727.3994716137677</v>
      </c>
      <c r="J92" t="str">
        <f t="shared" si="7"/>
        <v/>
      </c>
    </row>
    <row r="93" spans="3:10" x14ac:dyDescent="0.25">
      <c r="C93" s="11">
        <f t="shared" si="5"/>
        <v>0.35</v>
      </c>
      <c r="D93" s="13">
        <f t="shared" si="6"/>
        <v>30240</v>
      </c>
      <c r="E93" s="12">
        <f t="array" ref="E93:H93">DatosSiguientes(MasaK21,G92,H92,E92,F92,h)</f>
        <v>53480249.982815705</v>
      </c>
      <c r="F93" s="12">
        <v>64435690.63184534</v>
      </c>
      <c r="G93" s="9">
        <v>-2244.2628993400099</v>
      </c>
      <c r="H93" s="5">
        <v>-1583.9677403748751</v>
      </c>
      <c r="I93" s="5">
        <f t="shared" si="8"/>
        <v>2746.9382526555482</v>
      </c>
      <c r="J93" t="str">
        <f t="shared" si="7"/>
        <v/>
      </c>
    </row>
    <row r="94" spans="3:10" x14ac:dyDescent="0.25">
      <c r="C94" s="11">
        <f t="shared" si="5"/>
        <v>0.35416666666666669</v>
      </c>
      <c r="D94" s="13">
        <f t="shared" si="6"/>
        <v>30600</v>
      </c>
      <c r="E94" s="12">
        <f t="array" ref="E94:H94">DatosSiguientes(MasaK21,G93,H93,E93,F93,h)</f>
        <v>52669940.077909589</v>
      </c>
      <c r="F94" s="12">
        <v>63862591.33683145</v>
      </c>
      <c r="G94" s="9">
        <v>-2257.4587945828475</v>
      </c>
      <c r="H94" s="5">
        <v>-1599.9172319245308</v>
      </c>
      <c r="I94" s="5">
        <f t="shared" si="8"/>
        <v>2766.9216393400984</v>
      </c>
      <c r="J94" t="str">
        <f t="shared" si="7"/>
        <v/>
      </c>
    </row>
    <row r="95" spans="3:10" x14ac:dyDescent="0.25">
      <c r="C95" s="11">
        <f t="shared" si="5"/>
        <v>0.35833333333333334</v>
      </c>
      <c r="D95" s="13">
        <f t="shared" si="6"/>
        <v>30960</v>
      </c>
      <c r="E95" s="12">
        <f t="array" ref="E95:H95">DatosSiguientes(MasaK21,G94,H94,E94,F94,h)</f>
        <v>51854833.085436262</v>
      </c>
      <c r="F95" s="12">
        <v>63283675.113554895</v>
      </c>
      <c r="G95" s="9">
        <v>-2270.9133858245368</v>
      </c>
      <c r="H95" s="5">
        <v>-1616.2840085007635</v>
      </c>
      <c r="I95" s="5">
        <f t="shared" si="8"/>
        <v>2787.36822146848</v>
      </c>
      <c r="J95" t="str">
        <f t="shared" si="7"/>
        <v/>
      </c>
    </row>
    <row r="96" spans="3:10" x14ac:dyDescent="0.25">
      <c r="C96" s="11">
        <f t="shared" si="5"/>
        <v>0.36249999999999999</v>
      </c>
      <c r="D96" s="13">
        <f t="shared" si="6"/>
        <v>31320</v>
      </c>
      <c r="E96" s="12">
        <f t="array" ref="E96:H96">DatosSiguientes(MasaK21,G95,H95,E95,F95,h)</f>
        <v>51034834.161489286</v>
      </c>
      <c r="F96" s="12">
        <v>62698788.309162326</v>
      </c>
      <c r="G96" s="9">
        <v>-2284.6361916586711</v>
      </c>
      <c r="H96" s="5">
        <v>-1633.0871270134903</v>
      </c>
      <c r="I96" s="5">
        <f t="shared" si="8"/>
        <v>2808.2977215127694</v>
      </c>
      <c r="J96" t="str">
        <f t="shared" si="7"/>
        <v/>
      </c>
    </row>
    <row r="97" spans="3:10" x14ac:dyDescent="0.25">
      <c r="C97" s="11">
        <f t="shared" si="5"/>
        <v>0.36666666666666664</v>
      </c>
      <c r="D97" s="13">
        <f t="shared" si="6"/>
        <v>31680</v>
      </c>
      <c r="E97" s="12">
        <f t="array" ref="E97:H97">DatosSiguientes(MasaK21,G96,H96,E96,F96,h)</f>
        <v>50209844.943678625</v>
      </c>
      <c r="F97" s="12">
        <v>62107770.186239503</v>
      </c>
      <c r="G97" s="9">
        <v>-2298.6372406227738</v>
      </c>
      <c r="H97" s="5">
        <v>-1650.3468892244125</v>
      </c>
      <c r="I97" s="5">
        <f t="shared" si="8"/>
        <v>2829.7310859427216</v>
      </c>
      <c r="J97" t="str">
        <f t="shared" si="7"/>
        <v/>
      </c>
    </row>
    <row r="98" spans="3:10" x14ac:dyDescent="0.25">
      <c r="C98" s="11">
        <f t="shared" si="5"/>
        <v>0.37083333333333335</v>
      </c>
      <c r="D98" s="13">
        <f t="shared" si="6"/>
        <v>32040</v>
      </c>
      <c r="E98" s="12">
        <f t="array" ref="E98:H98">DatosSiguientes(MasaK21,G97,H97,E97,F97,h)</f>
        <v>49379763.361101866</v>
      </c>
      <c r="F98" s="12">
        <v>61510452.455493703</v>
      </c>
      <c r="G98" s="9">
        <v>-2312.9271070258924</v>
      </c>
      <c r="H98" s="5">
        <v>-1668.0849482522462</v>
      </c>
      <c r="I98" s="5">
        <f t="shared" si="8"/>
        <v>2851.6905857755437</v>
      </c>
      <c r="J98" t="str">
        <f t="shared" si="7"/>
        <v/>
      </c>
    </row>
    <row r="99" spans="3:10" x14ac:dyDescent="0.25">
      <c r="C99" s="11">
        <f t="shared" si="5"/>
        <v>0.375</v>
      </c>
      <c r="D99" s="13">
        <f t="shared" si="6"/>
        <v>32400</v>
      </c>
      <c r="E99" s="12">
        <f t="array" ref="E99:H99">DatosSiguientes(MasaK21,G98,H98,E98,F98,h)</f>
        <v>48544483.430859365</v>
      </c>
      <c r="F99" s="12">
        <v>60906658.768053219</v>
      </c>
      <c r="G99" s="9">
        <v>-2327.5169498769046</v>
      </c>
      <c r="H99" s="5">
        <v>-1686.3244264170933</v>
      </c>
      <c r="I99" s="5">
        <f t="shared" si="8"/>
        <v>2874.1999274746404</v>
      </c>
      <c r="J99" t="str">
        <f t="shared" si="7"/>
        <v/>
      </c>
    </row>
    <row r="100" spans="3:10" x14ac:dyDescent="0.25">
      <c r="C100" s="11">
        <f t="shared" si="5"/>
        <v>0.37916666666666665</v>
      </c>
      <c r="D100" s="13">
        <f t="shared" si="6"/>
        <v>32760</v>
      </c>
      <c r="E100" s="12">
        <f t="array" ref="E100:H100">DatosSiguientes(MasaK21,G99,H99,E99,F99,h)</f>
        <v>47703895.039940223</v>
      </c>
      <c r="F100" s="12">
        <v>60296204.16304034</v>
      </c>
      <c r="G100" s="9">
        <v>-2342.4185552294457</v>
      </c>
      <c r="H100" s="5">
        <v>-1705.0900458766816</v>
      </c>
      <c r="I100" s="5">
        <f t="shared" si="8"/>
        <v>2897.2843754852488</v>
      </c>
      <c r="J100" t="str">
        <f t="shared" si="7"/>
        <v/>
      </c>
    </row>
    <row r="101" spans="3:10" x14ac:dyDescent="0.25">
      <c r="C101" s="11">
        <f t="shared" si="5"/>
        <v>0.38333333333333336</v>
      </c>
      <c r="D101" s="13">
        <f t="shared" si="6"/>
        <v>33120</v>
      </c>
      <c r="E101" s="12">
        <f t="array" ref="E101:H101">DatosSiguientes(MasaK21,G100,H100,E100,F100,h)</f>
        <v>46857883.711185686</v>
      </c>
      <c r="F101" s="12">
        <v>59678894.465511866</v>
      </c>
      <c r="G101" s="9">
        <v>-2357.6443822957749</v>
      </c>
      <c r="H101" s="5">
        <v>-1724.4082737259355</v>
      </c>
      <c r="I101" s="5">
        <f t="shared" si="8"/>
        <v>2920.9708878839047</v>
      </c>
      <c r="J101" t="str">
        <f t="shared" si="7"/>
        <v/>
      </c>
    </row>
    <row r="102" spans="3:10" x14ac:dyDescent="0.25">
      <c r="C102" s="11">
        <f t="shared" si="5"/>
        <v>0.38750000000000001</v>
      </c>
      <c r="D102" s="13">
        <f t="shared" si="6"/>
        <v>33480</v>
      </c>
      <c r="E102" s="12">
        <f t="array" ref="E102:H102">DatosSiguientes(MasaK21,G101,H101,E101,F101,h)</f>
        <v>46006330.351902343</v>
      </c>
      <c r="F102" s="12">
        <v>59054525.629213341</v>
      </c>
      <c r="G102" s="9">
        <v>-2373.2076137228046</v>
      </c>
      <c r="H102" s="5">
        <v>-1744.3074834880963</v>
      </c>
      <c r="I102" s="5">
        <f t="shared" si="8"/>
        <v>2945.2882668398461</v>
      </c>
      <c r="J102" t="str">
        <f t="shared" si="7"/>
        <v/>
      </c>
    </row>
    <row r="103" spans="3:10" x14ac:dyDescent="0.25">
      <c r="C103" s="11">
        <f t="shared" si="5"/>
        <v>0.39166666666666666</v>
      </c>
      <c r="D103" s="13">
        <f t="shared" si="6"/>
        <v>33840</v>
      </c>
      <c r="E103" s="12">
        <f t="array" ref="E103:H103">DatosSiguientes(MasaK21,G102,H102,E102,F102,h)</f>
        <v>45149110.983547725</v>
      </c>
      <c r="F103" s="12">
        <v>58422883.017844453</v>
      </c>
      <c r="G103" s="9">
        <v>-2389.1222104695353</v>
      </c>
      <c r="H103" s="5">
        <v>-1764.818135227943</v>
      </c>
      <c r="I103" s="5">
        <f t="shared" si="8"/>
        <v>2970.2673258459872</v>
      </c>
      <c r="J103" t="str">
        <f t="shared" si="7"/>
        <v/>
      </c>
    </row>
    <row r="104" spans="3:10" x14ac:dyDescent="0.25">
      <c r="C104" s="11">
        <f t="shared" si="5"/>
        <v>0.39583333333333331</v>
      </c>
      <c r="D104" s="13">
        <f t="shared" si="6"/>
        <v>34200</v>
      </c>
      <c r="E104" s="12">
        <f t="array" ref="E104:H104">DatosSiguientes(MasaK21,G103,H103,E103,F103,h)</f>
        <v>44286096.450743377</v>
      </c>
      <c r="F104" s="12">
        <v>57783740.617665969</v>
      </c>
      <c r="G104" s="9">
        <v>-2405.4029717768271</v>
      </c>
      <c r="H104" s="5">
        <v>-1785.9729768747659</v>
      </c>
      <c r="I104" s="5">
        <f t="shared" si="8"/>
        <v>2995.9410759825873</v>
      </c>
      <c r="J104" t="str">
        <f t="shared" si="7"/>
        <v/>
      </c>
    </row>
    <row r="105" spans="3:10" x14ac:dyDescent="0.25">
      <c r="C105" s="11">
        <f t="shared" si="5"/>
        <v>0.4</v>
      </c>
      <c r="D105" s="13">
        <f t="shared" si="6"/>
        <v>34560</v>
      </c>
      <c r="E105" s="12">
        <f t="array" ref="E105:H105">DatosSiguientes(MasaK21,G104,H104,E104,F104,h)</f>
        <v>43417152.10768342</v>
      </c>
      <c r="F105" s="12">
        <v>57136860.173270643</v>
      </c>
      <c r="G105" s="9">
        <v>-2422.0656007784951</v>
      </c>
      <c r="H105" s="5">
        <v>-1807.8072697659484</v>
      </c>
      <c r="I105" s="5">
        <f t="shared" si="8"/>
        <v>3022.3449338374839</v>
      </c>
      <c r="J105" t="str">
        <f t="shared" si="7"/>
        <v/>
      </c>
    </row>
    <row r="106" spans="3:10" x14ac:dyDescent="0.25">
      <c r="C106" s="11">
        <f t="shared" si="5"/>
        <v>0.40416666666666667</v>
      </c>
      <c r="D106" s="13">
        <f t="shared" si="6"/>
        <v>34920</v>
      </c>
      <c r="E106" s="12">
        <f t="array" ref="E106:H106">DatosSiguientes(MasaK21,G105,H105,E105,F105,h)</f>
        <v>42542137.47979708</v>
      </c>
      <c r="F106" s="12">
        <v>56481990.237166226</v>
      </c>
      <c r="G106" s="9">
        <v>-2439.1267763678225</v>
      </c>
      <c r="H106" s="5">
        <v>-1830.3590419252666</v>
      </c>
      <c r="I106" s="5">
        <f t="shared" si="8"/>
        <v>3049.5169541342225</v>
      </c>
      <c r="J106" t="str">
        <f t="shared" si="7"/>
        <v/>
      </c>
    </row>
    <row r="107" spans="3:10" x14ac:dyDescent="0.25">
      <c r="C107" s="11">
        <f t="shared" si="5"/>
        <v>0.40833333333333333</v>
      </c>
      <c r="D107" s="13">
        <f t="shared" si="6"/>
        <v>35280</v>
      </c>
      <c r="E107" s="12">
        <f t="array" ref="E107:H107">DatosSiguientes(MasaK21,G106,H106,E106,F106,h)</f>
        <v>41660905.89828971</v>
      </c>
      <c r="F107" s="12">
        <v>55818865.122445375</v>
      </c>
      <c r="G107" s="9">
        <v>-2456.6042320064685</v>
      </c>
      <c r="H107" s="5">
        <v>-1853.6693731905937</v>
      </c>
      <c r="I107" s="5">
        <f t="shared" si="8"/>
        <v>3077.498090627661</v>
      </c>
      <c r="J107" t="str">
        <f t="shared" si="7"/>
        <v/>
      </c>
    </row>
    <row r="108" spans="3:10" x14ac:dyDescent="0.25">
      <c r="C108" s="11">
        <f t="shared" si="5"/>
        <v>0.41249999999999998</v>
      </c>
      <c r="D108" s="13">
        <f t="shared" si="6"/>
        <v>35640</v>
      </c>
      <c r="E108" s="12">
        <f t="array" ref="E108:H108">DatosSiguientes(MasaK21,G107,H107,E107,F107,h)</f>
        <v>40773304.104924604</v>
      </c>
      <c r="F108" s="12">
        <v>55147203.746206552</v>
      </c>
      <c r="G108" s="9">
        <v>-2474.5168422441016</v>
      </c>
      <c r="H108" s="5">
        <v>-1877.7827170251001</v>
      </c>
      <c r="I108" s="5">
        <f t="shared" si="8"/>
        <v>3106.3324894331395</v>
      </c>
      <c r="J108" t="str">
        <f t="shared" si="7"/>
        <v/>
      </c>
    </row>
    <row r="109" spans="3:10" x14ac:dyDescent="0.25">
      <c r="C109" s="11">
        <f t="shared" si="5"/>
        <v>0.41666666666666669</v>
      </c>
      <c r="D109" s="13">
        <f t="shared" si="6"/>
        <v>36000</v>
      </c>
      <c r="E109" s="12">
        <f t="array" ref="E109:H109">DatosSiguientes(MasaK21,G108,H108,E108,F108,h)</f>
        <v>39879171.824115299</v>
      </c>
      <c r="F109" s="12">
        <v>54466708.349494033</v>
      </c>
      <c r="G109" s="9">
        <v>-2492.8847178075794</v>
      </c>
      <c r="H109" s="5">
        <v>-1902.7472647111113</v>
      </c>
      <c r="I109" s="5">
        <f t="shared" si="8"/>
        <v>3136.067819681869</v>
      </c>
      <c r="J109" t="str">
        <f t="shared" si="7"/>
        <v/>
      </c>
    </row>
    <row r="110" spans="3:10" x14ac:dyDescent="0.25">
      <c r="C110" s="11">
        <f t="shared" si="5"/>
        <v>0.42083333333333334</v>
      </c>
      <c r="D110" s="13">
        <f t="shared" si="6"/>
        <v>36360</v>
      </c>
      <c r="E110" s="12">
        <f t="array" ref="E110:H110">DatosSiguientes(MasaK21,G109,H109,E109,F109,h)</f>
        <v>38978341.299070589</v>
      </c>
      <c r="F110" s="12">
        <v>53777063.077285394</v>
      </c>
      <c r="G110" s="9">
        <v>-2511.729310218574</v>
      </c>
      <c r="H110" s="5">
        <v>-1928.6153586702278</v>
      </c>
      <c r="I110" s="5">
        <f t="shared" si="8"/>
        <v>3166.7556472689466</v>
      </c>
      <c r="J110" t="str">
        <f t="shared" si="7"/>
        <v/>
      </c>
    </row>
    <row r="111" spans="3:10" x14ac:dyDescent="0.25">
      <c r="C111" s="11">
        <f t="shared" si="5"/>
        <v>0.42499999999999999</v>
      </c>
      <c r="D111" s="13">
        <f t="shared" si="6"/>
        <v>36720</v>
      </c>
      <c r="E111" s="12">
        <f t="array" ref="E111:H111">DatosSiguientes(MasaK21,G110,H110,E110,F110,h)</f>
        <v>38070636.788369723</v>
      </c>
      <c r="F111" s="12">
        <v>53077932.399399213</v>
      </c>
      <c r="G111" s="9">
        <v>-2531.0735270084697</v>
      </c>
      <c r="H111" s="5">
        <v>-1955.443962919665</v>
      </c>
      <c r="I111" s="5">
        <f t="shared" si="8"/>
        <v>3198.4518585156256</v>
      </c>
      <c r="J111" t="str">
        <f t="shared" si="7"/>
        <v/>
      </c>
    </row>
    <row r="112" spans="3:10" x14ac:dyDescent="0.25">
      <c r="C112" s="11">
        <f t="shared" si="5"/>
        <v>0.42916666666666664</v>
      </c>
      <c r="D112" s="13">
        <f t="shared" si="6"/>
        <v>37080</v>
      </c>
      <c r="E112" s="12">
        <f t="array" ref="E112:H112">DatosSiguientes(MasaK21,G111,H111,E111,F111,h)</f>
        <v>37155874.01893881</v>
      </c>
      <c r="F112" s="12">
        <v>52368959.350034624</v>
      </c>
      <c r="G112" s="9">
        <v>-2550.9418587188097</v>
      </c>
      <c r="H112" s="5">
        <v>-1983.2952002169559</v>
      </c>
      <c r="I112" s="5">
        <f t="shared" si="8"/>
        <v>3231.2171418472312</v>
      </c>
      <c r="J112" t="str">
        <f t="shared" si="7"/>
        <v/>
      </c>
    </row>
    <row r="113" spans="3:10" x14ac:dyDescent="0.25">
      <c r="C113" s="11">
        <f t="shared" si="5"/>
        <v>0.43333333333333335</v>
      </c>
      <c r="D113" s="13">
        <f t="shared" si="6"/>
        <v>37440</v>
      </c>
      <c r="E113" s="12">
        <f t="array" ref="E113:H113">DatosSiguientes(MasaK21,G112,H112,E112,F112,h)</f>
        <v>36233859.590948783</v>
      </c>
      <c r="F113" s="12">
        <v>51649763.559875824</v>
      </c>
      <c r="G113" s="9">
        <v>-2571.3605190035432</v>
      </c>
      <c r="H113" s="5">
        <v>-2012.2369673319574</v>
      </c>
      <c r="I113" s="5">
        <f t="shared" si="8"/>
        <v>3265.1175371473969</v>
      </c>
      <c r="J113" t="str">
        <f t="shared" si="7"/>
        <v/>
      </c>
    </row>
    <row r="114" spans="3:10" x14ac:dyDescent="0.25">
      <c r="C114" s="11">
        <f t="shared" si="5"/>
        <v>0.4375</v>
      </c>
      <c r="D114" s="13">
        <f t="shared" si="6"/>
        <v>37800</v>
      </c>
      <c r="E114" s="12">
        <f t="array" ref="E114:H114">DatosSiguientes(MasaK21,G113,H113,E113,F113,h)</f>
        <v>35304390.329657115</v>
      </c>
      <c r="F114" s="12">
        <v>50919939.050159223</v>
      </c>
      <c r="G114" s="9">
        <v>-2592.3575992834935</v>
      </c>
      <c r="H114" s="5">
        <v>-2042.3436422046971</v>
      </c>
      <c r="I114" s="5">
        <f t="shared" si="8"/>
        <v>3300.2250643580091</v>
      </c>
      <c r="J114" t="str">
        <f t="shared" si="7"/>
        <v/>
      </c>
    </row>
    <row r="115" spans="3:10" x14ac:dyDescent="0.25">
      <c r="C115" s="11">
        <f t="shared" si="5"/>
        <v>0.44166666666666665</v>
      </c>
      <c r="D115" s="13">
        <f t="shared" si="6"/>
        <v>38160</v>
      </c>
      <c r="E115" s="12">
        <f t="array" ref="E115:H115">DatosSiguientes(MasaK21,G114,H114,E114,F114,h)</f>
        <v>34367252.578668945</v>
      </c>
      <c r="F115" s="12">
        <v>50179051.752631895</v>
      </c>
      <c r="G115" s="9">
        <v>-2613.9632395396607</v>
      </c>
      <c r="H115" s="5">
        <v>-2073.6968996137912</v>
      </c>
      <c r="I115" s="5">
        <f t="shared" si="8"/>
        <v>3336.6184452425073</v>
      </c>
      <c r="J115" t="str">
        <f t="shared" si="7"/>
        <v/>
      </c>
    </row>
    <row r="116" spans="3:10" x14ac:dyDescent="0.25">
      <c r="C116" s="11">
        <f t="shared" si="5"/>
        <v>0.44583333333333336</v>
      </c>
      <c r="D116" s="13">
        <f t="shared" si="6"/>
        <v>38520</v>
      </c>
      <c r="E116" s="12">
        <f t="array" ref="E116:H116">DatosSiguientes(MasaK21,G115,H115,E115,F115,h)</f>
        <v>33422221.428498466</v>
      </c>
      <c r="F116" s="12">
        <v>49426636.7127041</v>
      </c>
      <c r="G116" s="9">
        <v>-2636.2098169629953</v>
      </c>
      <c r="H116" s="5">
        <v>-2106.3866555406316</v>
      </c>
      <c r="I116" s="5">
        <f t="shared" si="8"/>
        <v>3374.3839351341921</v>
      </c>
      <c r="J116" t="str">
        <f t="shared" si="7"/>
        <v/>
      </c>
    </row>
    <row r="117" spans="3:10" x14ac:dyDescent="0.25">
      <c r="C117" s="11">
        <f t="shared" si="5"/>
        <v>0.45</v>
      </c>
      <c r="D117" s="13">
        <f t="shared" si="6"/>
        <v>38880</v>
      </c>
      <c r="E117" s="12">
        <f t="array" ref="E117:H117">DatosSiguientes(MasaK21,G116,H116,E116,F116,h)</f>
        <v>32469059.873672474</v>
      </c>
      <c r="F117" s="12">
        <v>48662194.925031573</v>
      </c>
      <c r="G117" s="9">
        <v>-2659.1321542925025</v>
      </c>
      <c r="H117" s="5">
        <v>-2140.5121648623085</v>
      </c>
      <c r="I117" s="5">
        <f t="shared" si="8"/>
        <v>3413.6162851023273</v>
      </c>
      <c r="J117" t="str">
        <f t="shared" si="7"/>
        <v/>
      </c>
    </row>
    <row r="118" spans="3:10" x14ac:dyDescent="0.25">
      <c r="C118" s="11">
        <f t="shared" si="5"/>
        <v>0.45416666666666666</v>
      </c>
      <c r="D118" s="13">
        <f t="shared" si="6"/>
        <v>39240</v>
      </c>
      <c r="E118" s="12">
        <f t="array" ref="E118:H118">DatosSiguientes(MasaK21,G117,H117,E117,F117,h)</f>
        <v>31507517.890944384</v>
      </c>
      <c r="F118" s="12">
        <v>47885189.740889214</v>
      </c>
      <c r="G118" s="9">
        <v>-2682.7677497524455</v>
      </c>
      <c r="H118" s="5">
        <v>-2176.1833025952419</v>
      </c>
      <c r="I118" s="5">
        <f t="shared" si="8"/>
        <v>3454.419859485256</v>
      </c>
      <c r="J118" t="str">
        <f t="shared" si="7"/>
        <v/>
      </c>
    </row>
    <row r="119" spans="3:10" x14ac:dyDescent="0.25">
      <c r="C119" s="11">
        <f t="shared" si="5"/>
        <v>0.45833333333333331</v>
      </c>
      <c r="D119" s="13">
        <f t="shared" si="6"/>
        <v>39600</v>
      </c>
      <c r="E119" s="12">
        <f t="array" ref="E119:H119">DatosSiguientes(MasaK21,G118,H118,E118,F118,h)</f>
        <v>30537331.430496395</v>
      </c>
      <c r="F119" s="12">
        <v>47095042.774545975</v>
      </c>
      <c r="G119" s="9">
        <v>-2707.1570305141527</v>
      </c>
      <c r="H119" s="5">
        <v>-2213.5220659783031</v>
      </c>
      <c r="I119" s="5">
        <f t="shared" si="8"/>
        <v>3496.9099394229556</v>
      </c>
      <c r="J119" t="str">
        <f t="shared" si="7"/>
        <v/>
      </c>
    </row>
    <row r="120" spans="3:10" x14ac:dyDescent="0.25">
      <c r="C120" s="11">
        <f t="shared" si="5"/>
        <v>0.46250000000000002</v>
      </c>
      <c r="D120" s="13">
        <f t="shared" si="6"/>
        <v>39960</v>
      </c>
      <c r="E120" s="12">
        <f t="array" ref="E120:H120">DatosSiguientes(MasaK21,G119,H119,E119,F119,h)</f>
        <v>29558221.311331362</v>
      </c>
      <c r="F120" s="12">
        <v>46291129.220807791</v>
      </c>
      <c r="G120" s="9">
        <v>-2732.3436315138038</v>
      </c>
      <c r="H120" s="5">
        <v>-2252.6643436782938</v>
      </c>
      <c r="I120" s="5">
        <f t="shared" si="8"/>
        <v>3541.2142502189272</v>
      </c>
      <c r="J120" t="str">
        <f t="shared" si="7"/>
        <v/>
      </c>
    </row>
    <row r="121" spans="3:10" x14ac:dyDescent="0.25">
      <c r="C121" s="11">
        <f t="shared" si="5"/>
        <v>0.46666666666666667</v>
      </c>
      <c r="D121" s="13">
        <f t="shared" si="6"/>
        <v>40320</v>
      </c>
      <c r="E121" s="12">
        <f t="array" ref="E121:H121">DatosSiguientes(MasaK21,G120,H120,E120,F120,h)</f>
        <v>28569892.011445414</v>
      </c>
      <c r="F121" s="12">
        <v>45472772.477158807</v>
      </c>
      <c r="G121" s="9">
        <v>-2758.3747011859086</v>
      </c>
      <c r="H121" s="5">
        <v>-2293.7620099271649</v>
      </c>
      <c r="I121" s="5">
        <f t="shared" si="8"/>
        <v>3587.4747595387425</v>
      </c>
      <c r="J121" t="str">
        <f t="shared" si="7"/>
        <v/>
      </c>
    </row>
    <row r="122" spans="3:10" x14ac:dyDescent="0.25">
      <c r="C122" s="11">
        <f t="shared" si="5"/>
        <v>0.47083333333333333</v>
      </c>
      <c r="D122" s="13">
        <f t="shared" si="6"/>
        <v>40680</v>
      </c>
      <c r="E122" s="12">
        <f t="array" ref="E122:H122">DatosSiguientes(MasaK21,G121,H121,E121,F121,h)</f>
        <v>27572030.342910808</v>
      </c>
      <c r="F122" s="12">
        <v>44639237.94044134</v>
      </c>
      <c r="G122" s="9">
        <v>-2785.3012351174539</v>
      </c>
      <c r="H122" s="5">
        <v>-2336.9854162809984</v>
      </c>
      <c r="I122" s="5">
        <f t="shared" si="8"/>
        <v>3635.8498052390569</v>
      </c>
      <c r="J122" t="str">
        <f t="shared" si="7"/>
        <v/>
      </c>
    </row>
    <row r="123" spans="3:10" x14ac:dyDescent="0.25">
      <c r="C123" s="11">
        <f t="shared" si="5"/>
        <v>0.47499999999999998</v>
      </c>
      <c r="D123" s="13">
        <f t="shared" si="6"/>
        <v>41040</v>
      </c>
      <c r="E123" s="12">
        <f t="array" ref="E123:H123">DatosSiguientes(MasaK21,G122,H122,E122,F122,h)</f>
        <v>26564304.001816679</v>
      </c>
      <c r="F123" s="12">
        <v>43789725.818361513</v>
      </c>
      <c r="G123" s="9">
        <v>-2813.1784376277028</v>
      </c>
      <c r="H123" s="5">
        <v>-2382.5263730513839</v>
      </c>
      <c r="I123" s="5">
        <f t="shared" si="8"/>
        <v>3686.5166268740504</v>
      </c>
      <c r="J123" t="str">
        <f t="shared" si="7"/>
        <v/>
      </c>
    </row>
    <row r="124" spans="3:10" x14ac:dyDescent="0.25">
      <c r="C124" s="11">
        <f t="shared" si="5"/>
        <v>0.47916666666666669</v>
      </c>
      <c r="D124" s="13">
        <f t="shared" si="6"/>
        <v>41400</v>
      </c>
      <c r="E124" s="12">
        <f t="array" ref="E124:H124">DatosSiguientes(MasaK21,G123,H123,E123,F123,h)</f>
        <v>25546359.983318679</v>
      </c>
      <c r="F124" s="12">
        <v>42923362.758397847</v>
      </c>
      <c r="G124" s="9">
        <v>-2842.0661095834134</v>
      </c>
      <c r="H124" s="5">
        <v>-2430.6017378578563</v>
      </c>
      <c r="I124" s="5">
        <f t="shared" si="8"/>
        <v>3739.6743948264038</v>
      </c>
      <c r="J124" t="str">
        <f t="shared" si="7"/>
        <v/>
      </c>
    </row>
    <row r="125" spans="3:10" x14ac:dyDescent="0.25">
      <c r="C125" s="11">
        <f t="shared" si="5"/>
        <v>0.48333333333333334</v>
      </c>
      <c r="D125" s="13">
        <f t="shared" si="6"/>
        <v>41760</v>
      </c>
      <c r="E125" s="12">
        <f t="array" ref="E125:H125">DatosSiguientes(MasaK21,G124,H124,E124,F124,h)</f>
        <v>24517822.85315698</v>
      </c>
      <c r="F125" s="12">
        <v>42039192.048358284</v>
      </c>
      <c r="G125" s="9">
        <v>-2872.029057981576</v>
      </c>
      <c r="H125" s="5">
        <v>-2481.4577623619589</v>
      </c>
      <c r="I125" s="5">
        <f t="shared" si="8"/>
        <v>3795.5478571975559</v>
      </c>
      <c r="J125" t="str">
        <f t="shared" si="7"/>
        <v/>
      </c>
    </row>
    <row r="126" spans="3:10" x14ac:dyDescent="0.25">
      <c r="C126" s="11">
        <f t="shared" si="5"/>
        <v>0.48749999999999999</v>
      </c>
      <c r="D126" s="13">
        <f t="shared" si="6"/>
        <v>42120</v>
      </c>
      <c r="E126" s="12">
        <f t="array" ref="E126:H126">DatosSiguientes(MasaK21,G125,H125,E125,F125,h)</f>
        <v>23478292.869414039</v>
      </c>
      <c r="F126" s="12">
        <v>41136162.080367252</v>
      </c>
      <c r="G126" s="9">
        <v>-2903.1375183680993</v>
      </c>
      <c r="H126" s="5">
        <v>-2535.3753931437859</v>
      </c>
      <c r="I126" s="5">
        <f t="shared" si="8"/>
        <v>3854.3917593720921</v>
      </c>
      <c r="J126" t="str">
        <f t="shared" si="7"/>
        <v/>
      </c>
    </row>
    <row r="127" spans="3:10" x14ac:dyDescent="0.25">
      <c r="C127" s="11">
        <f t="shared" si="5"/>
        <v>0.49166666666666664</v>
      </c>
      <c r="D127" s="13">
        <f t="shared" si="6"/>
        <v>42480</v>
      </c>
      <c r="E127" s="12">
        <f t="array" ref="E127:H127">DatosSiguientes(MasaK21,G126,H126,E126,F126,h)</f>
        <v>22427343.952776484</v>
      </c>
      <c r="F127" s="12">
        <v>40213112.688613839</v>
      </c>
      <c r="G127" s="9">
        <v>-2935.4675740627558</v>
      </c>
      <c r="H127" s="5">
        <v>-2592.6767832640794</v>
      </c>
      <c r="I127" s="5">
        <f t="shared" si="8"/>
        <v>3916.4962378190094</v>
      </c>
      <c r="J127" t="str">
        <f t="shared" si="7"/>
        <v/>
      </c>
    </row>
    <row r="128" spans="3:10" x14ac:dyDescent="0.25">
      <c r="C128" s="11">
        <f t="shared" si="5"/>
        <v>0.49583333333333335</v>
      </c>
      <c r="D128" s="13">
        <f t="shared" si="6"/>
        <v>42840</v>
      </c>
      <c r="E128" s="12">
        <f t="array" ref="E128:H128">DatosSiguientes(MasaK21,G127,H127,E127,F127,h)</f>
        <v>21364521.511358935</v>
      </c>
      <c r="F128" s="12">
        <v>39268758.863964789</v>
      </c>
      <c r="G128" s="9">
        <v>-2969.1015449236279</v>
      </c>
      <c r="H128" s="5">
        <v>-2653.7333536751071</v>
      </c>
      <c r="I128" s="5">
        <f t="shared" si="8"/>
        <v>3982.1934529195846</v>
      </c>
      <c r="J128" t="str">
        <f t="shared" si="7"/>
        <v/>
      </c>
    </row>
    <row r="129" spans="3:10" x14ac:dyDescent="0.25">
      <c r="C129" s="11">
        <f t="shared" si="5"/>
        <v>0.5</v>
      </c>
      <c r="D129" s="13">
        <f t="shared" si="6"/>
        <v>43200</v>
      </c>
      <c r="E129" s="12">
        <f t="array" ref="E129:H129">DatosSiguientes(MasaK21,G128,H128,E128,F128,h)</f>
        <v>20289340.139165532</v>
      </c>
      <c r="F129" s="12">
        <v>38301671.205931932</v>
      </c>
      <c r="G129" s="9">
        <v>-3004.1283005952791</v>
      </c>
      <c r="H129" s="5">
        <v>-2718.9758576185291</v>
      </c>
      <c r="I129" s="5">
        <f t="shared" si="8"/>
        <v>4051.8658122832617</v>
      </c>
      <c r="J129" t="str">
        <f t="shared" si="7"/>
        <v/>
      </c>
    </row>
    <row r="130" spans="3:10" x14ac:dyDescent="0.25">
      <c r="C130" s="11">
        <f t="shared" si="5"/>
        <v>0.50416666666666665</v>
      </c>
      <c r="D130" s="13">
        <f t="shared" si="6"/>
        <v>43560</v>
      </c>
      <c r="E130" s="12">
        <f t="array" ref="E130:H130">DatosSiguientes(MasaK21,G129,H129,E129,F129,h)</f>
        <v>19201281.228571862</v>
      </c>
      <c r="F130" s="12">
        <v>37310252.280701295</v>
      </c>
      <c r="G130" s="9">
        <v>-3040.6434249250992</v>
      </c>
      <c r="H130" s="5">
        <v>-2788.9070603294535</v>
      </c>
      <c r="I130" s="5">
        <f t="shared" si="8"/>
        <v>4125.9562562751089</v>
      </c>
      <c r="J130" t="str">
        <f t="shared" si="7"/>
        <v/>
      </c>
    </row>
    <row r="131" spans="3:10" x14ac:dyDescent="0.25">
      <c r="C131" s="11">
        <f t="shared" si="5"/>
        <v>0.5083333333333333</v>
      </c>
      <c r="D131" s="13">
        <f t="shared" si="6"/>
        <v>43920</v>
      </c>
      <c r="E131" s="12">
        <f t="array" ref="E131:H131">DatosSiguientes(MasaK21,G130,H130,E130,F130,h)</f>
        <v>18099790.571736895</v>
      </c>
      <c r="F131" s="12">
        <v>36292707.792943276</v>
      </c>
      <c r="G131" s="9">
        <v>-3078.7491130469407</v>
      </c>
      <c r="H131" s="5">
        <v>-2864.1178716595423</v>
      </c>
      <c r="I131" s="5">
        <f t="shared" si="8"/>
        <v>4204.9812465511559</v>
      </c>
      <c r="J131" t="str">
        <f t="shared" si="7"/>
        <v/>
      </c>
    </row>
    <row r="132" spans="3:10" x14ac:dyDescent="0.25">
      <c r="C132" s="11">
        <f t="shared" si="5"/>
        <v>0.51249999999999996</v>
      </c>
      <c r="D132" s="13">
        <f t="shared" si="6"/>
        <v>44280</v>
      </c>
      <c r="E132" s="12">
        <f t="array" ref="E132:H132">DatosSiguientes(MasaK21,G131,H131,E131,F131,h)</f>
        <v>16984276.081639055</v>
      </c>
      <c r="F132" s="12">
        <v>35247011.119355954</v>
      </c>
      <c r="G132" s="9">
        <v>-3118.5536097188419</v>
      </c>
      <c r="H132" s="5">
        <v>-2945.3080927144515</v>
      </c>
      <c r="I132" s="5">
        <f t="shared" si="8"/>
        <v>4289.5473394869605</v>
      </c>
      <c r="J132" t="str">
        <f t="shared" si="7"/>
        <v/>
      </c>
    </row>
    <row r="133" spans="3:10" x14ac:dyDescent="0.25">
      <c r="C133" s="11">
        <f t="shared" si="5"/>
        <v>0.51666666666666672</v>
      </c>
      <c r="D133" s="13">
        <f t="shared" si="6"/>
        <v>44640</v>
      </c>
      <c r="E133" s="12">
        <f t="array" ref="E133:H133">DatosSiguientes(MasaK21,G132,H132,E132,F132,h)</f>
        <v>15854105.853765957</v>
      </c>
      <c r="F133" s="12">
        <v>34170859.248982422</v>
      </c>
      <c r="G133" s="9">
        <v>-3160.1698784650366</v>
      </c>
      <c r="H133" s="5">
        <v>-3033.3134093607114</v>
      </c>
      <c r="I133" s="5">
        <f t="shared" si="8"/>
        <v>4380.3725754968864</v>
      </c>
      <c r="J133" t="str">
        <f t="shared" si="7"/>
        <v/>
      </c>
    </row>
    <row r="134" spans="3:10" x14ac:dyDescent="0.25">
      <c r="C134" s="11">
        <f t="shared" si="5"/>
        <v>0.52083333333333337</v>
      </c>
      <c r="D134" s="13">
        <f t="shared" si="6"/>
        <v>45000</v>
      </c>
      <c r="E134" s="12">
        <f t="array" ref="E134:H134">DatosSiguientes(MasaK21,G133,H133,E133,F133,h)</f>
        <v>14708606.936730584</v>
      </c>
      <c r="F134" s="12">
        <v>33061617.461557936</v>
      </c>
      <c r="G134" s="9">
        <v>-3203.7129939536972</v>
      </c>
      <c r="H134" s="5">
        <v>-3129.140965219769</v>
      </c>
      <c r="I134" s="5">
        <f t="shared" si="8"/>
        <v>4478.3144293187215</v>
      </c>
      <c r="J134" t="str">
        <f t="shared" si="7"/>
        <v/>
      </c>
    </row>
    <row r="135" spans="3:10" x14ac:dyDescent="0.25">
      <c r="C135" s="11">
        <f t="shared" si="5"/>
        <v>0.52500000000000002</v>
      </c>
      <c r="D135" s="13">
        <f t="shared" si="6"/>
        <v>45360</v>
      </c>
      <c r="E135" s="12">
        <f t="array" ref="E135:H135">DatosSiguientes(MasaK21,G134,H134,E134,F134,h)</f>
        <v>13547065.422561888</v>
      </c>
      <c r="F135" s="12">
        <v>31916249.045082163</v>
      </c>
      <c r="G135" s="9">
        <v>-3249.295418094619</v>
      </c>
      <c r="H135" s="5">
        <v>-3234.0169040900823</v>
      </c>
      <c r="I135" s="5">
        <f t="shared" si="8"/>
        <v>4584.4068373117898</v>
      </c>
      <c r="J135" t="str">
        <f t="shared" si="7"/>
        <v/>
      </c>
    </row>
    <row r="136" spans="3:10" x14ac:dyDescent="0.25">
      <c r="C136" s="11">
        <f t="shared" si="5"/>
        <v>0.52916666666666667</v>
      </c>
      <c r="D136" s="13">
        <f t="shared" si="6"/>
        <v>45720</v>
      </c>
      <c r="E136" s="12">
        <f t="array" ref="E136:H136">DatosSiguientes(MasaK21,G135,H135,E135,F135,h)</f>
        <v>12368728.872249993</v>
      </c>
      <c r="F136" s="12">
        <v>30731224.839991659</v>
      </c>
      <c r="G136" s="9">
        <v>-3297.018750304796</v>
      </c>
      <c r="H136" s="5">
        <v>-3349.45090196827</v>
      </c>
      <c r="I136" s="5">
        <f t="shared" si="8"/>
        <v>4699.9099974954261</v>
      </c>
      <c r="J136" t="str">
        <f t="shared" si="7"/>
        <v/>
      </c>
    </row>
    <row r="137" spans="3:10" x14ac:dyDescent="0.25">
      <c r="C137" s="11">
        <f t="shared" si="5"/>
        <v>0.53333333333333333</v>
      </c>
      <c r="D137" s="13">
        <f t="shared" si="6"/>
        <v>46080</v>
      </c>
      <c r="E137" s="12">
        <f t="array" ref="E137:H137">DatosSiguientes(MasaK21,G136,H136,E136,F136,h)</f>
        <v>11172812.779789148</v>
      </c>
      <c r="F137" s="12">
        <v>29502405.127444651</v>
      </c>
      <c r="G137" s="9">
        <v>-3346.9595411443456</v>
      </c>
      <c r="H137" s="5">
        <v>-3477.3252788484456</v>
      </c>
      <c r="I137" s="5">
        <f t="shared" si="8"/>
        <v>4826.3784833947275</v>
      </c>
      <c r="J137" t="str">
        <f t="shared" si="7"/>
        <v/>
      </c>
    </row>
    <row r="138" spans="3:10" x14ac:dyDescent="0.25">
      <c r="C138" s="11">
        <f t="shared" ref="C138:C201" si="9">D138/86400</f>
        <v>0.53749999999999998</v>
      </c>
      <c r="D138" s="13">
        <f t="shared" ref="D138:D201" si="10">h+D137</f>
        <v>46440</v>
      </c>
      <c r="E138" s="12">
        <f t="array" ref="E138:H138">DatosSiguientes(MasaK21,G137,H137,E137,F137,h)</f>
        <v>9958513.9707309976</v>
      </c>
      <c r="F138" s="12">
        <v>28224882.899429079</v>
      </c>
      <c r="G138" s="9">
        <v>-3399.1449536231567</v>
      </c>
      <c r="H138" s="5">
        <v>-3620.0204323491726</v>
      </c>
      <c r="I138" s="5">
        <f t="shared" si="8"/>
        <v>4965.7561706518836</v>
      </c>
      <c r="J138" t="str">
        <f t="shared" ref="J138:J201" si="11">IF(I138=$I$8,"&lt;--------&lt;&lt;&lt;","")</f>
        <v/>
      </c>
    </row>
    <row r="139" spans="3:10" x14ac:dyDescent="0.25">
      <c r="C139" s="11">
        <f t="shared" si="9"/>
        <v>0.54166666666666663</v>
      </c>
      <c r="D139" s="13">
        <f t="shared" si="10"/>
        <v>46800</v>
      </c>
      <c r="E139" s="12">
        <f t="array" ref="E139:H139">DatosSiguientes(MasaK21,G138,H138,E138,F138,h)</f>
        <v>8725035.9522989355</v>
      </c>
      <c r="F139" s="12">
        <v>26892772.080862559</v>
      </c>
      <c r="G139" s="9">
        <v>-3453.5107043327489</v>
      </c>
      <c r="H139" s="5">
        <v>-3780.595226353721</v>
      </c>
      <c r="I139" s="5">
        <f t="shared" si="8"/>
        <v>5120.5113465814547</v>
      </c>
      <c r="J139" t="str">
        <f t="shared" si="11"/>
        <v/>
      </c>
    </row>
    <row r="140" spans="3:10" x14ac:dyDescent="0.25">
      <c r="C140" s="11">
        <f t="shared" si="9"/>
        <v>0.54583333333333328</v>
      </c>
      <c r="D140" s="13">
        <f t="shared" si="10"/>
        <v>47160</v>
      </c>
      <c r="E140" s="12">
        <f t="array" ref="E140:H140">DatosSiguientes(MasaK21,G139,H139,E139,F139,h)</f>
        <v>7471635.1163258357</v>
      </c>
      <c r="F140" s="12">
        <v>25498915.44456793</v>
      </c>
      <c r="G140" s="9">
        <v>-3509.8272732955811</v>
      </c>
      <c r="H140" s="5">
        <v>-3963.0527530608906</v>
      </c>
      <c r="I140" s="5">
        <f t="shared" si="8"/>
        <v>5293.8336403699914</v>
      </c>
      <c r="J140" t="str">
        <f t="shared" si="11"/>
        <v/>
      </c>
    </row>
    <row r="141" spans="3:10" x14ac:dyDescent="0.25">
      <c r="C141" s="11">
        <f t="shared" si="9"/>
        <v>0.55000000000000004</v>
      </c>
      <c r="D141" s="13">
        <f t="shared" si="10"/>
        <v>47520</v>
      </c>
      <c r="E141" s="12">
        <f t="array" ref="E141:H141">DatosSiguientes(MasaK21,G140,H140,E140,F140,h)</f>
        <v>6197704.0597670488</v>
      </c>
      <c r="F141" s="12">
        <v>24034472.259076197</v>
      </c>
      <c r="G141" s="9">
        <v>-3567.5674853643482</v>
      </c>
      <c r="H141" s="5">
        <v>-4172.7427218931834</v>
      </c>
      <c r="I141" s="5">
        <f t="shared" ref="I141:I204" si="12">SQRT(G141^2+H141^2)</f>
        <v>5489.92892356007</v>
      </c>
      <c r="J141" t="str">
        <f t="shared" si="11"/>
        <v/>
      </c>
    </row>
    <row r="142" spans="3:10" x14ac:dyDescent="0.25">
      <c r="C142" s="11">
        <f t="shared" si="9"/>
        <v>0.5541666666666667</v>
      </c>
      <c r="D142" s="13">
        <f t="shared" si="10"/>
        <v>47880</v>
      </c>
      <c r="E142" s="12">
        <f t="array" ref="E142:H142">DatosSiguientes(MasaK21,G141,H141,E141,F141,h)</f>
        <v>4902922.8281813674</v>
      </c>
      <c r="F142" s="12">
        <v>22488320.379901487</v>
      </c>
      <c r="G142" s="9">
        <v>-3625.6615790005471</v>
      </c>
      <c r="H142" s="5">
        <v>-4416.9899401885277</v>
      </c>
      <c r="I142" s="5">
        <f t="shared" si="12"/>
        <v>5714.4747805172256</v>
      </c>
      <c r="J142" t="str">
        <f t="shared" si="11"/>
        <v/>
      </c>
    </row>
    <row r="143" spans="3:10" x14ac:dyDescent="0.25">
      <c r="C143" s="11">
        <f t="shared" si="9"/>
        <v>0.55833333333333335</v>
      </c>
      <c r="D143" s="13">
        <f t="shared" si="10"/>
        <v>48240</v>
      </c>
      <c r="E143" s="12">
        <f t="array" ref="E143:H143">DatosSiguientes(MasaK21,G142,H142,E142,F142,h)</f>
        <v>3587539.0230375044</v>
      </c>
      <c r="F143" s="12">
        <v>20846162.154961504</v>
      </c>
      <c r="G143" s="9">
        <v>-3682.026227354248</v>
      </c>
      <c r="H143" s="5">
        <v>-4706.1113094780439</v>
      </c>
      <c r="I143" s="5">
        <f t="shared" si="12"/>
        <v>5975.3494287883877</v>
      </c>
      <c r="J143" t="str">
        <f t="shared" si="11"/>
        <v/>
      </c>
    </row>
    <row r="144" spans="3:10" x14ac:dyDescent="0.25">
      <c r="C144" s="11">
        <f t="shared" si="9"/>
        <v>0.5625</v>
      </c>
      <c r="D144" s="13">
        <f t="shared" si="10"/>
        <v>48600</v>
      </c>
      <c r="E144" s="12">
        <f t="array" ref="E144:H144">DatosSiguientes(MasaK21,G143,H143,E143,F143,h)</f>
        <v>2252903.8795772595</v>
      </c>
      <c r="F144" s="12">
        <v>19089138.863349278</v>
      </c>
      <c r="G144" s="9">
        <v>-3732.6134585360014</v>
      </c>
      <c r="H144" s="5">
        <v>-5055.1291994787771</v>
      </c>
      <c r="I144" s="5">
        <f t="shared" si="12"/>
        <v>6283.8471062134404</v>
      </c>
      <c r="J144" t="str">
        <f t="shared" si="11"/>
        <v/>
      </c>
    </row>
    <row r="145" spans="3:10" x14ac:dyDescent="0.25">
      <c r="C145" s="11">
        <f t="shared" si="9"/>
        <v>0.56666666666666665</v>
      </c>
      <c r="D145" s="13">
        <f t="shared" si="10"/>
        <v>48960</v>
      </c>
      <c r="E145" s="12">
        <f t="array" ref="E145:H145">DatosSiguientes(MasaK21,G144,H144,E144,F144,h)</f>
        <v>902547.16052207805</v>
      </c>
      <c r="F145" s="12">
        <v>17191593.09391408</v>
      </c>
      <c r="G145" s="9">
        <v>-3769.3683139927844</v>
      </c>
      <c r="H145" s="5">
        <v>-5486.7917418278785</v>
      </c>
      <c r="I145" s="5">
        <f t="shared" si="12"/>
        <v>6656.8026187294608</v>
      </c>
      <c r="J145" t="str">
        <f t="shared" si="11"/>
        <v/>
      </c>
    </row>
    <row r="146" spans="3:10" x14ac:dyDescent="0.25">
      <c r="C146" s="11">
        <f t="shared" si="9"/>
        <v>0.5708333333333333</v>
      </c>
      <c r="D146" s="13">
        <f t="shared" si="10"/>
        <v>49320</v>
      </c>
      <c r="E146" s="12">
        <f t="array" ref="E146:H146">DatosSiguientes(MasaK21,G145,H145,E145,F145,h)</f>
        <v>-455527.30782514176</v>
      </c>
      <c r="F146" s="12">
        <v>15117281.435224462</v>
      </c>
      <c r="G146" s="9">
        <v>-3775.48984349177</v>
      </c>
      <c r="H146" s="5">
        <v>-6037.1619175588885</v>
      </c>
      <c r="I146" s="5">
        <f t="shared" si="12"/>
        <v>7120.5089408786525</v>
      </c>
      <c r="J146" t="str">
        <f t="shared" si="11"/>
        <v/>
      </c>
    </row>
    <row r="147" spans="3:10" x14ac:dyDescent="0.25">
      <c r="C147" s="11">
        <f t="shared" si="9"/>
        <v>0.57499999999999996</v>
      </c>
      <c r="D147" s="13">
        <f t="shared" si="10"/>
        <v>49680</v>
      </c>
      <c r="E147" s="12">
        <f t="array" ref="E147:H147">DatosSiguientes(MasaK21,G146,H146,E146,F146,h)</f>
        <v>-1803509.4232625701</v>
      </c>
      <c r="F147" s="12">
        <v>12812636.290322274</v>
      </c>
      <c r="G147" s="9">
        <v>-3713.2996867161655</v>
      </c>
      <c r="H147" s="5">
        <v>-6766.4222207865987</v>
      </c>
      <c r="I147" s="5">
        <f t="shared" si="12"/>
        <v>7718.3589080400379</v>
      </c>
      <c r="J147" t="str">
        <f t="shared" si="11"/>
        <v/>
      </c>
    </row>
    <row r="148" spans="3:10" x14ac:dyDescent="0.25">
      <c r="C148" s="11">
        <f t="shared" si="9"/>
        <v>0.57916666666666672</v>
      </c>
      <c r="D148" s="13">
        <f t="shared" si="10"/>
        <v>50040</v>
      </c>
      <c r="E148" s="12">
        <f t="array" ref="E148:H148">DatosSiguientes(MasaK21,G147,H147,E147,F147,h)</f>
        <v>-3099937.7732845242</v>
      </c>
      <c r="F148" s="12">
        <v>10194314.170345336</v>
      </c>
      <c r="G148" s="9">
        <v>-3489.0800356280242</v>
      </c>
      <c r="H148" s="5">
        <v>-7779.8117790852803</v>
      </c>
      <c r="I148" s="5">
        <f t="shared" si="12"/>
        <v>8526.3797014332013</v>
      </c>
      <c r="J148" t="str">
        <f t="shared" si="11"/>
        <v/>
      </c>
    </row>
    <row r="149" spans="3:10" x14ac:dyDescent="0.25">
      <c r="C149" s="11">
        <f t="shared" si="9"/>
        <v>0.58333333333333337</v>
      </c>
      <c r="D149" s="13">
        <f t="shared" si="10"/>
        <v>50400</v>
      </c>
      <c r="E149" s="12">
        <f t="array" ref="E149:H149">DatosSiguientes(MasaK21,G148,H148,E148,F148,h)</f>
        <v>-4238261.9774088096</v>
      </c>
      <c r="F149" s="12">
        <v>7127455.6693484848</v>
      </c>
      <c r="G149" s="9">
        <v>-2834.9433206180047</v>
      </c>
      <c r="H149" s="5">
        <v>-9258.291004230563</v>
      </c>
      <c r="I149" s="5">
        <f t="shared" si="12"/>
        <v>9682.6058450260789</v>
      </c>
      <c r="J149" t="str">
        <f t="shared" si="11"/>
        <v/>
      </c>
    </row>
    <row r="150" spans="3:10" x14ac:dyDescent="0.25">
      <c r="C150" s="11">
        <f t="shared" si="9"/>
        <v>0.58750000000000002</v>
      </c>
      <c r="D150" s="13">
        <f t="shared" si="10"/>
        <v>50760</v>
      </c>
      <c r="E150" s="12">
        <f t="array" ref="E150:H150">DatosSiguientes(MasaK21,G149,H149,E149,F149,h)</f>
        <v>-4905430.374029492</v>
      </c>
      <c r="F150" s="12">
        <v>3416786.1331794844</v>
      </c>
      <c r="G150" s="9">
        <v>-871.54777171911837</v>
      </c>
      <c r="H150" s="5">
        <v>-11356.539752263883</v>
      </c>
      <c r="I150" s="5">
        <f t="shared" si="12"/>
        <v>11389.933742701858</v>
      </c>
      <c r="J150" t="str">
        <f t="shared" si="11"/>
        <v/>
      </c>
    </row>
    <row r="151" spans="3:10" x14ac:dyDescent="0.25">
      <c r="C151" s="11">
        <f t="shared" si="9"/>
        <v>0.59166666666666667</v>
      </c>
      <c r="D151" s="13">
        <f t="shared" si="10"/>
        <v>51120</v>
      </c>
      <c r="E151" s="12">
        <f t="array" ref="E151:H151">DatosSiguientes(MasaK21,G150,H150,E150,F150,h)</f>
        <v>-4238952.3002946051</v>
      </c>
      <c r="F151" s="12">
        <v>-864317.9530211488</v>
      </c>
      <c r="G151" s="9">
        <v>4574.203736912933</v>
      </c>
      <c r="H151" s="5">
        <v>-12427.371837739634</v>
      </c>
      <c r="I151" s="5">
        <f t="shared" si="12"/>
        <v>13242.466183465693</v>
      </c>
      <c r="J151" t="str">
        <f t="shared" si="11"/>
        <v/>
      </c>
    </row>
    <row r="152" spans="3:10" x14ac:dyDescent="0.25">
      <c r="C152" s="11">
        <f t="shared" si="9"/>
        <v>0.59583333333333333</v>
      </c>
      <c r="D152" s="13">
        <f t="shared" si="10"/>
        <v>51480</v>
      </c>
      <c r="E152" s="12">
        <f t="array" ref="E152:H152">DatosSiguientes(MasaK21,G151,H151,E151,F151,h)</f>
        <v>-1621414.970547389</v>
      </c>
      <c r="F152" s="12">
        <v>-4464063.5559252826</v>
      </c>
      <c r="G152" s="9">
        <v>9967.6703172382677</v>
      </c>
      <c r="H152" s="5">
        <v>-7571.2148450611066</v>
      </c>
      <c r="I152" s="5">
        <f t="shared" si="12"/>
        <v>12517.098137476853</v>
      </c>
      <c r="J152" t="str">
        <f t="shared" si="11"/>
        <v/>
      </c>
    </row>
    <row r="153" spans="3:10" x14ac:dyDescent="0.25">
      <c r="C153" s="11">
        <f t="shared" si="9"/>
        <v>0.6</v>
      </c>
      <c r="D153" s="13">
        <f t="shared" si="10"/>
        <v>51840</v>
      </c>
      <c r="E153" s="12">
        <f t="array" ref="E153:H153">DatosSiguientes(MasaK21,G152,H152,E152,F152,h)</f>
        <v>1982407.6555466698</v>
      </c>
      <c r="F153" s="12">
        <v>-6367415.0929391487</v>
      </c>
      <c r="G153" s="9">
        <v>10053.566494395393</v>
      </c>
      <c r="H153" s="5">
        <v>-3002.9603605714824</v>
      </c>
      <c r="I153" s="5">
        <f t="shared" si="12"/>
        <v>10492.472072128343</v>
      </c>
      <c r="J153" t="str">
        <f t="shared" si="11"/>
        <v/>
      </c>
    </row>
    <row r="154" spans="3:10" x14ac:dyDescent="0.25">
      <c r="C154" s="11">
        <f t="shared" si="9"/>
        <v>0.60416666666666663</v>
      </c>
      <c r="D154" s="13">
        <f t="shared" si="10"/>
        <v>52200</v>
      </c>
      <c r="E154" s="12">
        <f t="array" ref="E154:H154">DatosSiguientes(MasaK21,G153,H153,E153,F153,h)</f>
        <v>5401695.5672931466</v>
      </c>
      <c r="F154" s="12">
        <v>-7062094.3503443021</v>
      </c>
      <c r="G154" s="9">
        <v>8942.4774597516989</v>
      </c>
      <c r="H154" s="5">
        <v>-856.36884723492551</v>
      </c>
      <c r="I154" s="5">
        <f t="shared" si="12"/>
        <v>8983.3885990021427</v>
      </c>
      <c r="J154" t="str">
        <f t="shared" si="11"/>
        <v/>
      </c>
    </row>
    <row r="155" spans="3:10" x14ac:dyDescent="0.25">
      <c r="C155" s="11">
        <f t="shared" si="9"/>
        <v>0.60833333333333328</v>
      </c>
      <c r="D155" s="13">
        <f t="shared" si="10"/>
        <v>52560</v>
      </c>
      <c r="E155" s="12">
        <f t="array" ref="E155:H155">DatosSiguientes(MasaK21,G154,H154,E154,F154,h)</f>
        <v>8440893.1503500417</v>
      </c>
      <c r="F155" s="12">
        <v>-7180694.7197593916</v>
      </c>
      <c r="G155" s="9">
        <v>7941.9535572310551</v>
      </c>
      <c r="H155" s="5">
        <v>197.47790603998428</v>
      </c>
      <c r="I155" s="5">
        <f t="shared" si="12"/>
        <v>7944.4083372261866</v>
      </c>
      <c r="J155" t="str">
        <f t="shared" si="11"/>
        <v/>
      </c>
    </row>
    <row r="156" spans="3:10" x14ac:dyDescent="0.25">
      <c r="C156" s="11">
        <f t="shared" si="9"/>
        <v>0.61250000000000004</v>
      </c>
      <c r="D156" s="13">
        <f t="shared" si="10"/>
        <v>52920</v>
      </c>
      <c r="E156" s="12">
        <f t="array" ref="E156:H156">DatosSiguientes(MasaK21,G155,H155,E155,F155,h)</f>
        <v>11157596.098442439</v>
      </c>
      <c r="F156" s="12">
        <v>-7005173.3143356973</v>
      </c>
      <c r="G156" s="9">
        <v>7150.8405988378217</v>
      </c>
      <c r="H156" s="5">
        <v>777.64101298054015</v>
      </c>
      <c r="I156" s="5">
        <f t="shared" si="12"/>
        <v>7192.999848120161</v>
      </c>
      <c r="J156" t="str">
        <f t="shared" si="11"/>
        <v/>
      </c>
    </row>
    <row r="157" spans="3:10" x14ac:dyDescent="0.25">
      <c r="C157" s="11">
        <f t="shared" si="9"/>
        <v>0.6166666666666667</v>
      </c>
      <c r="D157" s="13">
        <f t="shared" si="10"/>
        <v>53280</v>
      </c>
      <c r="E157" s="12">
        <f t="array" ref="E157:H157">DatosSiguientes(MasaK21,G156,H156,E156,F156,h)</f>
        <v>13619063.55409755</v>
      </c>
      <c r="F157" s="12">
        <v>-6662433.3176271087</v>
      </c>
      <c r="G157" s="9">
        <v>6523.978599246132</v>
      </c>
      <c r="H157" s="5">
        <v>1126.4700798449546</v>
      </c>
      <c r="I157" s="5">
        <f t="shared" si="12"/>
        <v>6620.5159620838785</v>
      </c>
      <c r="J157" t="str">
        <f t="shared" si="11"/>
        <v/>
      </c>
    </row>
    <row r="158" spans="3:10" x14ac:dyDescent="0.25">
      <c r="C158" s="11">
        <f t="shared" si="9"/>
        <v>0.62083333333333335</v>
      </c>
      <c r="D158" s="13">
        <f t="shared" si="10"/>
        <v>53640</v>
      </c>
      <c r="E158" s="12">
        <f t="array" ref="E158:H158">DatosSiguientes(MasaK21,G157,H157,E157,F157,h)</f>
        <v>15876322.971942175</v>
      </c>
      <c r="F158" s="12">
        <v>-6216745.5523418942</v>
      </c>
      <c r="G158" s="9">
        <v>6016.3514998906785</v>
      </c>
      <c r="H158" s="5">
        <v>1349.5730606284562</v>
      </c>
      <c r="I158" s="5">
        <f t="shared" si="12"/>
        <v>6165.8602657059037</v>
      </c>
      <c r="J158" t="str">
        <f t="shared" si="11"/>
        <v/>
      </c>
    </row>
    <row r="159" spans="3:10" x14ac:dyDescent="0.25">
      <c r="C159" s="11">
        <f t="shared" si="9"/>
        <v>0.625</v>
      </c>
      <c r="D159" s="13">
        <f t="shared" si="10"/>
        <v>54000</v>
      </c>
      <c r="E159" s="12">
        <f t="array" ref="E159:H159">DatosSiguientes(MasaK21,G158,H158,E158,F158,h)</f>
        <v>17966519.328365877</v>
      </c>
      <c r="F159" s="12">
        <v>-5704097.9301936533</v>
      </c>
      <c r="G159" s="9">
        <v>5595.8504802410043</v>
      </c>
      <c r="H159" s="5">
        <v>1498.4692846395469</v>
      </c>
      <c r="I159" s="5">
        <f t="shared" si="12"/>
        <v>5793.0089585828919</v>
      </c>
      <c r="J159" t="str">
        <f t="shared" si="11"/>
        <v/>
      </c>
    </row>
    <row r="160" spans="3:10" x14ac:dyDescent="0.25">
      <c r="C160" s="11">
        <f t="shared" si="9"/>
        <v>0.62916666666666665</v>
      </c>
      <c r="D160" s="13">
        <f t="shared" si="10"/>
        <v>54360</v>
      </c>
      <c r="E160" s="12">
        <f t="array" ref="E160:H160">DatosSiguientes(MasaK21,G159,H159,E159,F159,h)</f>
        <v>19917057.477345202</v>
      </c>
      <c r="F160" s="12">
        <v>-5146245.4660403915</v>
      </c>
      <c r="G160" s="9">
        <v>5240.4725696441237</v>
      </c>
      <c r="H160" s="5">
        <v>1600.7110717674623</v>
      </c>
      <c r="I160" s="5">
        <f t="shared" si="12"/>
        <v>5479.4916450772535</v>
      </c>
      <c r="J160" t="str">
        <f t="shared" si="11"/>
        <v/>
      </c>
    </row>
    <row r="161" spans="3:10" x14ac:dyDescent="0.25">
      <c r="C161" s="11">
        <f t="shared" si="9"/>
        <v>0.6333333333333333</v>
      </c>
      <c r="D161" s="13">
        <f t="shared" si="10"/>
        <v>54720</v>
      </c>
      <c r="E161" s="12">
        <f t="array" ref="E161:H161">DatosSiguientes(MasaK21,G160,H160,E160,F160,h)</f>
        <v>21748637.864864733</v>
      </c>
      <c r="F161" s="12">
        <v>-4557131.4907901119</v>
      </c>
      <c r="G161" s="9">
        <v>4934.9740276866087</v>
      </c>
      <c r="H161" s="5">
        <v>1672.1443462896439</v>
      </c>
      <c r="I161" s="5">
        <f t="shared" si="12"/>
        <v>5210.5695819909952</v>
      </c>
      <c r="J161" t="str">
        <f t="shared" si="11"/>
        <v/>
      </c>
    </row>
    <row r="162" spans="3:10" x14ac:dyDescent="0.25">
      <c r="C162" s="11">
        <f t="shared" si="9"/>
        <v>0.63749999999999996</v>
      </c>
      <c r="D162" s="13">
        <f t="shared" si="10"/>
        <v>55080</v>
      </c>
      <c r="E162" s="12">
        <f t="array" ref="E162:H162">DatosSiguientes(MasaK21,G161,H161,E161,F161,h)</f>
        <v>23477272.402697124</v>
      </c>
      <c r="F162" s="12">
        <v>-3946108.8175322516</v>
      </c>
      <c r="G162" s="9">
        <v>4668.5511824933446</v>
      </c>
      <c r="H162" s="5">
        <v>1722.4260606984703</v>
      </c>
      <c r="I162" s="5">
        <f t="shared" si="12"/>
        <v>4976.1553108934668</v>
      </c>
      <c r="J162" t="str">
        <f t="shared" si="11"/>
        <v/>
      </c>
    </row>
    <row r="163" spans="3:10" x14ac:dyDescent="0.25">
      <c r="C163" s="11">
        <f t="shared" si="9"/>
        <v>0.64166666666666672</v>
      </c>
      <c r="D163" s="13">
        <f t="shared" si="10"/>
        <v>55440</v>
      </c>
      <c r="E163" s="12">
        <f t="array" ref="E163:H163">DatosSiguientes(MasaK21,G162,H162,E162,F162,h)</f>
        <v>25115616.081716355</v>
      </c>
      <c r="F163" s="12">
        <v>-3319681.8272529808</v>
      </c>
      <c r="G163" s="9">
        <v>4433.3581453912702</v>
      </c>
      <c r="H163" s="5">
        <v>1757.7238852974783</v>
      </c>
      <c r="I163" s="5">
        <f t="shared" si="12"/>
        <v>4769.0940127295025</v>
      </c>
      <c r="J163" t="str">
        <f t="shared" si="11"/>
        <v/>
      </c>
    </row>
    <row r="164" spans="3:10" x14ac:dyDescent="0.25">
      <c r="C164" s="11">
        <f t="shared" si="9"/>
        <v>0.64583333333333337</v>
      </c>
      <c r="D164" s="13">
        <f t="shared" si="10"/>
        <v>55800</v>
      </c>
      <c r="E164" s="12">
        <f t="array" ref="E164:H164">DatosSiguientes(MasaK21,G163,H163,E163,F163,h)</f>
        <v>26673862.086129285</v>
      </c>
      <c r="F164" s="12">
        <v>-2682507.8290107832</v>
      </c>
      <c r="G164" s="9">
        <v>4223.5641013472368</v>
      </c>
      <c r="H164" s="5">
        <v>1782.1316604925087</v>
      </c>
      <c r="I164" s="5">
        <f t="shared" si="12"/>
        <v>4584.1560808418026</v>
      </c>
      <c r="J164" t="str">
        <f t="shared" si="11"/>
        <v/>
      </c>
    </row>
    <row r="165" spans="3:10" x14ac:dyDescent="0.25">
      <c r="C165" s="11">
        <f t="shared" si="9"/>
        <v>0.65</v>
      </c>
      <c r="D165" s="13">
        <f t="shared" si="10"/>
        <v>56160</v>
      </c>
      <c r="E165" s="12">
        <f t="array" ref="E165:H165">DatosSiguientes(MasaK21,G164,H164,E164,F164,h)</f>
        <v>28160357.56426027</v>
      </c>
      <c r="F165" s="12">
        <v>-2038002.1654808321</v>
      </c>
      <c r="G165" s="9">
        <v>4034.7441104915792</v>
      </c>
      <c r="H165" s="5">
        <v>1798.4553591183312</v>
      </c>
      <c r="I165" s="5">
        <f t="shared" si="12"/>
        <v>4417.4202557474573</v>
      </c>
      <c r="J165" t="str">
        <f t="shared" si="11"/>
        <v/>
      </c>
    </row>
    <row r="166" spans="3:10" x14ac:dyDescent="0.25">
      <c r="C166" s="11">
        <f t="shared" si="9"/>
        <v>0.65416666666666667</v>
      </c>
      <c r="D166" s="13">
        <f t="shared" si="10"/>
        <v>56520</v>
      </c>
      <c r="E166" s="12">
        <f t="array" ref="E166:H166">DatosSiguientes(MasaK21,G165,H165,E165,F165,h)</f>
        <v>29582037.304939747</v>
      </c>
      <c r="F166" s="12">
        <v>-1388719.4107765909</v>
      </c>
      <c r="G166" s="9">
        <v>3863.476671061062</v>
      </c>
      <c r="H166" s="5">
        <v>1808.6710559052303</v>
      </c>
      <c r="I166" s="5">
        <f t="shared" si="12"/>
        <v>4265.8812660811845</v>
      </c>
      <c r="J166" t="str">
        <f t="shared" si="11"/>
        <v/>
      </c>
    </row>
    <row r="167" spans="3:10" x14ac:dyDescent="0.25">
      <c r="C167" s="11">
        <f t="shared" si="9"/>
        <v>0.65833333333333333</v>
      </c>
      <c r="D167" s="13">
        <f t="shared" si="10"/>
        <v>56880</v>
      </c>
      <c r="E167" s="12">
        <f t="array" ref="E167:H167">DatosSiguientes(MasaK21,G166,H166,E166,F166,h)</f>
        <v>30944736.008229896</v>
      </c>
      <c r="F167" s="12">
        <v>-736602.09413316078</v>
      </c>
      <c r="G167" s="9">
        <v>3707.0716805508737</v>
      </c>
      <c r="H167" s="5">
        <v>1814.2029254471597</v>
      </c>
      <c r="I167" s="5">
        <f t="shared" si="12"/>
        <v>4127.1918660807751</v>
      </c>
      <c r="J167" t="str">
        <f t="shared" si="11"/>
        <v/>
      </c>
    </row>
    <row r="168" spans="3:10" x14ac:dyDescent="0.25">
      <c r="C168" s="11">
        <f t="shared" si="9"/>
        <v>0.66249999999999998</v>
      </c>
      <c r="D168" s="13">
        <f t="shared" si="10"/>
        <v>57240</v>
      </c>
      <c r="E168" s="12">
        <f t="array" ref="E168:H168">DatosSiguientes(MasaK21,G167,H167,E167,F167,h)</f>
        <v>32253417.746542521</v>
      </c>
      <c r="F168" s="12">
        <v>-83147.923243590369</v>
      </c>
      <c r="G168" s="9">
        <v>3563.3824211859383</v>
      </c>
      <c r="H168" s="5">
        <v>1816.0980239393425</v>
      </c>
      <c r="I168" s="5">
        <f t="shared" si="12"/>
        <v>3999.4882562864645</v>
      </c>
      <c r="J168" t="str">
        <f t="shared" si="11"/>
        <v/>
      </c>
    </row>
    <row r="169" spans="3:10" x14ac:dyDescent="0.25">
      <c r="C169" s="11">
        <f t="shared" si="9"/>
        <v>0.66666666666666663</v>
      </c>
      <c r="D169" s="13">
        <f t="shared" si="10"/>
        <v>57600</v>
      </c>
      <c r="E169" s="12">
        <f t="array" ref="E169:H169">DatosSiguientes(MasaK21,G168,H168,E168,F168,h)</f>
        <v>33512347.704859972</v>
      </c>
      <c r="F169" s="12">
        <v>570474.84398902184</v>
      </c>
      <c r="G169" s="9">
        <v>3430.6729027998986</v>
      </c>
      <c r="H169" s="5">
        <v>1815.1395717973921</v>
      </c>
      <c r="I169" s="5">
        <f t="shared" si="12"/>
        <v>3881.2688944609727</v>
      </c>
      <c r="J169" t="str">
        <f t="shared" si="11"/>
        <v/>
      </c>
    </row>
    <row r="170" spans="3:10" x14ac:dyDescent="0.25">
      <c r="C170" s="11">
        <f t="shared" si="9"/>
        <v>0.67083333333333328</v>
      </c>
      <c r="D170" s="13">
        <f t="shared" si="10"/>
        <v>57960</v>
      </c>
      <c r="E170" s="12">
        <f t="array" ref="E170:H170">DatosSiguientes(MasaK21,G169,H169,E169,F169,h)</f>
        <v>34725222.871521316</v>
      </c>
      <c r="F170" s="12">
        <v>1223345.9907931064</v>
      </c>
      <c r="G170" s="9">
        <v>3307.5224675409099</v>
      </c>
      <c r="H170" s="5">
        <v>1811.9223548919658</v>
      </c>
      <c r="I170" s="5">
        <f t="shared" si="12"/>
        <v>3771.3084590689682</v>
      </c>
      <c r="J170" t="str">
        <f t="shared" si="11"/>
        <v/>
      </c>
    </row>
    <row r="171" spans="3:10" x14ac:dyDescent="0.25">
      <c r="C171" s="11">
        <f t="shared" si="9"/>
        <v>0.67500000000000004</v>
      </c>
      <c r="D171" s="13">
        <f t="shared" si="10"/>
        <v>58320</v>
      </c>
      <c r="E171" s="12">
        <f t="array" ref="E171:H171">DatosSiguientes(MasaK21,G170,H170,E170,F170,h)</f>
        <v>35895272.99333629</v>
      </c>
      <c r="F171" s="12">
        <v>1874734.7528766305</v>
      </c>
      <c r="G171" s="9">
        <v>3192.7559869867287</v>
      </c>
      <c r="H171" s="5">
        <v>1806.9041011276122</v>
      </c>
      <c r="I171" s="5">
        <f t="shared" si="12"/>
        <v>3668.5955382286807</v>
      </c>
      <c r="J171" t="str">
        <f t="shared" si="11"/>
        <v/>
      </c>
    </row>
    <row r="172" spans="3:10" x14ac:dyDescent="0.25">
      <c r="C172" s="11">
        <f t="shared" si="9"/>
        <v>0.6791666666666667</v>
      </c>
      <c r="D172" s="13">
        <f t="shared" si="10"/>
        <v>58680</v>
      </c>
      <c r="E172" s="12">
        <f t="array" ref="E172:H172">DatosSiguientes(MasaK21,G171,H171,E171,F171,h)</f>
        <v>37025339.625386067</v>
      </c>
      <c r="F172" s="12">
        <v>2524056.9110416435</v>
      </c>
      <c r="G172" s="9">
        <v>3085.391968845352</v>
      </c>
      <c r="H172" s="5">
        <v>1800.4412220113475</v>
      </c>
      <c r="I172" s="5">
        <f t="shared" si="12"/>
        <v>3572.2866899694814</v>
      </c>
      <c r="J172" t="str">
        <f t="shared" si="11"/>
        <v/>
      </c>
    </row>
    <row r="173" spans="3:10" x14ac:dyDescent="0.25">
      <c r="C173" s="11">
        <f t="shared" si="9"/>
        <v>0.68333333333333335</v>
      </c>
      <c r="D173" s="13">
        <f t="shared" si="10"/>
        <v>59040</v>
      </c>
      <c r="E173" s="12">
        <f t="array" ref="E173:H173">DatosSiguientes(MasaK21,G172,H172,E172,F172,h)</f>
        <v>38117938.79448732</v>
      </c>
      <c r="F173" s="12">
        <v>3170842.8766678204</v>
      </c>
      <c r="G173" s="9">
        <v>2984.6034150505088</v>
      </c>
      <c r="H173" s="5">
        <v>1792.8141425785236</v>
      </c>
      <c r="I173" s="5">
        <f t="shared" si="12"/>
        <v>3481.6720257601414</v>
      </c>
      <c r="J173" t="str">
        <f t="shared" si="11"/>
        <v/>
      </c>
    </row>
    <row r="174" spans="3:10" x14ac:dyDescent="0.25">
      <c r="C174" s="11">
        <f t="shared" si="9"/>
        <v>0.6875</v>
      </c>
      <c r="D174" s="13">
        <f t="shared" si="10"/>
        <v>59400</v>
      </c>
      <c r="E174" s="12">
        <f t="array" ref="E174:H174">DatosSiguientes(MasaK21,G173,H173,E173,F173,h)</f>
        <v>39175311.231938899</v>
      </c>
      <c r="F174" s="12">
        <v>3814713.6220219079</v>
      </c>
      <c r="G174" s="9">
        <v>2889.6879041249413</v>
      </c>
      <c r="H174" s="5">
        <v>1784.245553833073</v>
      </c>
      <c r="I174" s="5">
        <f t="shared" si="12"/>
        <v>3396.1490514432794</v>
      </c>
      <c r="J174" t="str">
        <f t="shared" si="11"/>
        <v/>
      </c>
    </row>
    <row r="175" spans="3:10" x14ac:dyDescent="0.25">
      <c r="C175" s="11">
        <f t="shared" si="9"/>
        <v>0.69166666666666665</v>
      </c>
      <c r="D175" s="13">
        <f t="shared" si="10"/>
        <v>59760</v>
      </c>
      <c r="E175" s="12">
        <f t="array" ref="E175:H175">DatosSiguientes(MasaK21,G174,H174,E174,F174,h)</f>
        <v>40199463.05471535</v>
      </c>
      <c r="F175" s="12">
        <v>4455362.2992588989</v>
      </c>
      <c r="G175" s="9">
        <v>2800.0444446331394</v>
      </c>
      <c r="H175" s="5">
        <v>1774.9137641502093</v>
      </c>
      <c r="I175" s="5">
        <f t="shared" si="12"/>
        <v>3315.2025220325186</v>
      </c>
      <c r="J175" t="str">
        <f t="shared" si="11"/>
        <v/>
      </c>
    </row>
    <row r="176" spans="3:10" x14ac:dyDescent="0.25">
      <c r="C176" s="11">
        <f t="shared" si="9"/>
        <v>0.6958333333333333</v>
      </c>
      <c r="D176" s="13">
        <f t="shared" si="10"/>
        <v>60120</v>
      </c>
      <c r="E176" s="12">
        <f t="array" ref="E176:H176">DatosSiguientes(MasaK21,G175,H175,E175,F175,h)</f>
        <v>41192199.020699546</v>
      </c>
      <c r="F176" s="12">
        <v>5092540.0446964772</v>
      </c>
      <c r="G176" s="9">
        <v>2715.1553663901545</v>
      </c>
      <c r="H176" s="5">
        <v>1764.9625993918908</v>
      </c>
      <c r="I176" s="5">
        <f t="shared" si="12"/>
        <v>3238.3887414715105</v>
      </c>
      <c r="J176" t="str">
        <f t="shared" si="11"/>
        <v/>
      </c>
    </row>
    <row r="177" spans="3:10" x14ac:dyDescent="0.25">
      <c r="C177" s="11">
        <f t="shared" si="9"/>
        <v>0.7</v>
      </c>
      <c r="D177" s="13">
        <f t="shared" si="10"/>
        <v>60480</v>
      </c>
      <c r="E177" s="12">
        <f t="array" ref="E177:H177">DatosSiguientes(MasaK21,G176,H176,E176,F176,h)</f>
        <v>42155149.947855256</v>
      </c>
      <c r="F177" s="12">
        <v>5726044.9029421499</v>
      </c>
      <c r="G177" s="9">
        <v>2634.5720066971417</v>
      </c>
      <c r="H177" s="5">
        <v>1754.508835306292</v>
      </c>
      <c r="I177" s="5">
        <f t="shared" si="12"/>
        <v>3165.3231922885921</v>
      </c>
      <c r="J177" t="str">
        <f t="shared" si="11"/>
        <v/>
      </c>
    </row>
    <row r="178" spans="3:10" x14ac:dyDescent="0.25">
      <c r="C178" s="11">
        <f t="shared" si="9"/>
        <v>0.70416666666666672</v>
      </c>
      <c r="D178" s="13">
        <f t="shared" si="10"/>
        <v>60840</v>
      </c>
      <c r="E178" s="12">
        <f t="array" ref="E178:H178">DatosSiguientes(MasaK21,G177,H177,E177,F177,h)</f>
        <v>43089795.500986487</v>
      </c>
      <c r="F178" s="12">
        <v>6355713.1046332559</v>
      </c>
      <c r="G178" s="9">
        <v>2557.9032884763442</v>
      </c>
      <c r="H178" s="5">
        <v>1743.6478407554098</v>
      </c>
      <c r="I178" s="5">
        <f t="shared" si="12"/>
        <v>3095.6706907823868</v>
      </c>
      <c r="J178" t="str">
        <f t="shared" si="11"/>
        <v/>
      </c>
    </row>
    <row r="179" spans="3:10" x14ac:dyDescent="0.25">
      <c r="C179" s="11">
        <f t="shared" si="9"/>
        <v>0.70833333333333337</v>
      </c>
      <c r="D179" s="13">
        <f t="shared" si="10"/>
        <v>61200</v>
      </c>
      <c r="E179" s="12">
        <f t="array" ref="E179:H179">DatosSiguientes(MasaK21,G178,H178,E178,F178,h)</f>
        <v>43997483.267534979</v>
      </c>
      <c r="F179" s="12">
        <v>6981412.1392465513</v>
      </c>
      <c r="G179" s="9">
        <v>2484.8065256819636</v>
      </c>
      <c r="H179" s="5">
        <v>1732.4579070962322</v>
      </c>
      <c r="I179" s="5">
        <f t="shared" si="12"/>
        <v>3029.1374795363663</v>
      </c>
      <c r="J179" t="str">
        <f t="shared" si="11"/>
        <v/>
      </c>
    </row>
    <row r="180" spans="3:10" x14ac:dyDescent="0.25">
      <c r="C180" s="11">
        <f t="shared" si="9"/>
        <v>0.71250000000000002</v>
      </c>
      <c r="D180" s="13">
        <f t="shared" si="10"/>
        <v>61560</v>
      </c>
      <c r="E180" s="12">
        <f t="array" ref="E180:H180">DatosSiguientes(MasaK21,G179,H179,E179,F179,h)</f>
        <v>44879444.835162856</v>
      </c>
      <c r="F180" s="12">
        <v>7603035.2107743844</v>
      </c>
      <c r="G180" s="9">
        <v>2414.9799611395865</v>
      </c>
      <c r="H180" s="5">
        <v>1721.0036013917281</v>
      </c>
      <c r="I180" s="5">
        <f t="shared" si="12"/>
        <v>2965.4648216947467</v>
      </c>
      <c r="J180" t="str">
        <f t="shared" si="11"/>
        <v/>
      </c>
    </row>
    <row r="181" spans="3:10" x14ac:dyDescent="0.25">
      <c r="C181" s="11">
        <f t="shared" si="9"/>
        <v>0.71666666666666667</v>
      </c>
      <c r="D181" s="13">
        <f t="shared" si="10"/>
        <v>61920</v>
      </c>
      <c r="E181" s="12">
        <f t="array" ref="E181:H181">DatosSiguientes(MasaK21,G180,H180,E180,F180,h)</f>
        <v>45736809.427750915</v>
      </c>
      <c r="F181" s="12">
        <v>8220496.7685881443</v>
      </c>
      <c r="G181" s="9">
        <v>2348.156664349623</v>
      </c>
      <c r="H181" s="5">
        <v>1709.3383864624955</v>
      </c>
      <c r="I181" s="5">
        <f t="shared" si="12"/>
        <v>2904.4237706925196</v>
      </c>
      <c r="J181" t="str">
        <f t="shared" si="11"/>
        <v/>
      </c>
    </row>
    <row r="182" spans="3:10" x14ac:dyDescent="0.25">
      <c r="C182" s="11">
        <f t="shared" si="9"/>
        <v>0.72083333333333333</v>
      </c>
      <c r="D182" s="13">
        <f t="shared" si="10"/>
        <v>62280</v>
      </c>
      <c r="E182" s="12">
        <f t="array" ref="E182:H182">DatosSiguientes(MasaK21,G181,H181,E181,F181,h)</f>
        <v>46570615.538423114</v>
      </c>
      <c r="F182" s="12">
        <v>8833728.8814091403</v>
      </c>
      <c r="G182" s="9">
        <v>2284.0995060514679</v>
      </c>
      <c r="H182" s="5">
        <v>1697.5066847652593</v>
      </c>
      <c r="I182" s="5">
        <f t="shared" si="12"/>
        <v>2845.81086834092</v>
      </c>
      <c r="J182" t="str">
        <f t="shared" si="11"/>
        <v/>
      </c>
    </row>
    <row r="183" spans="3:10" x14ac:dyDescent="0.25">
      <c r="C183" s="11">
        <f t="shared" si="9"/>
        <v>0.72499999999999998</v>
      </c>
      <c r="D183" s="13">
        <f t="shared" si="10"/>
        <v>62640</v>
      </c>
      <c r="E183" s="12">
        <f t="array" ref="E183:H183">DatosSiguientes(MasaK21,G182,H182,E182,F182,h)</f>
        <v>47381820.908102497</v>
      </c>
      <c r="F183" s="12">
        <v>9442678.277624853</v>
      </c>
      <c r="G183" s="9">
        <v>2222.5969921673332</v>
      </c>
      <c r="H183" s="5">
        <v>1685.5455164331408</v>
      </c>
      <c r="I183" s="5">
        <f t="shared" si="12"/>
        <v>2789.4445822706607</v>
      </c>
      <c r="J183" t="str">
        <f t="shared" si="11"/>
        <v/>
      </c>
    </row>
    <row r="184" spans="3:10" x14ac:dyDescent="0.25">
      <c r="C184" s="11">
        <f t="shared" si="9"/>
        <v>0.72916666666666663</v>
      </c>
      <c r="D184" s="13">
        <f t="shared" si="10"/>
        <v>63000</v>
      </c>
      <c r="E184" s="12">
        <f t="array" ref="E184:H184">DatosSiguientes(MasaK21,G183,H183,E183,F183,h)</f>
        <v>48171311.12867377</v>
      </c>
      <c r="F184" s="12">
        <v>10047303.91610386</v>
      </c>
      <c r="G184" s="9">
        <v>2163.4597887841974</v>
      </c>
      <c r="H184" s="5">
        <v>1673.4858084502307</v>
      </c>
      <c r="I184" s="5">
        <f t="shared" si="12"/>
        <v>2735.1623368221649</v>
      </c>
      <c r="J184" t="str">
        <f t="shared" si="11"/>
        <v/>
      </c>
    </row>
    <row r="185" spans="3:10" x14ac:dyDescent="0.25">
      <c r="C185" s="11">
        <f t="shared" si="9"/>
        <v>0.73333333333333328</v>
      </c>
      <c r="D185" s="13">
        <f t="shared" si="10"/>
        <v>63360</v>
      </c>
      <c r="E185" s="12">
        <f t="array" ref="E185:H185">DatosSiguientes(MasaK21,G184,H184,E184,F184,h)</f>
        <v>48939907.095864877</v>
      </c>
      <c r="F185" s="12">
        <v>10647574.982229782</v>
      </c>
      <c r="G185" s="9">
        <v>2106.5178067219563</v>
      </c>
      <c r="H185" s="5">
        <v>1661.3534478048871</v>
      </c>
      <c r="I185" s="5">
        <f t="shared" si="12"/>
        <v>2682.8180237522388</v>
      </c>
      <c r="J185" t="str">
        <f t="shared" si="11"/>
        <v/>
      </c>
    </row>
    <row r="186" spans="3:10" x14ac:dyDescent="0.25">
      <c r="C186" s="11">
        <f t="shared" si="9"/>
        <v>0.73750000000000004</v>
      </c>
      <c r="D186" s="13">
        <f t="shared" si="10"/>
        <v>63720</v>
      </c>
      <c r="E186" s="12">
        <f t="array" ref="E186:H186">DatosSiguientes(MasaK21,G185,H185,E185,F185,h)</f>
        <v>49688371.4946777</v>
      </c>
      <c r="F186" s="12">
        <v>11243469.226924581</v>
      </c>
      <c r="G186" s="9">
        <v>2051.6177422381811</v>
      </c>
      <c r="H186" s="5">
        <v>1649.1701338328864</v>
      </c>
      <c r="I186" s="5">
        <f t="shared" si="12"/>
        <v>2632.2799035423404</v>
      </c>
      <c r="J186" t="str">
        <f t="shared" si="11"/>
        <v/>
      </c>
    </row>
    <row r="187" spans="3:10" x14ac:dyDescent="0.25">
      <c r="C187" s="11">
        <f t="shared" si="9"/>
        <v>0.7416666666666667</v>
      </c>
      <c r="D187" s="13">
        <f t="shared" si="10"/>
        <v>64080</v>
      </c>
      <c r="E187" s="12">
        <f t="array" ref="E187:H187">DatosSiguientes(MasaK21,G186,H186,E186,F186,h)</f>
        <v>50417414.466814965</v>
      </c>
      <c r="F187" s="12">
        <v>11834971.583965164</v>
      </c>
      <c r="G187" s="9">
        <v>1998.6209918577326</v>
      </c>
      <c r="H187" s="5">
        <v>1636.954071948127</v>
      </c>
      <c r="I187" s="5">
        <f t="shared" si="12"/>
        <v>2583.4288267265929</v>
      </c>
      <c r="J187" t="str">
        <f t="shared" si="11"/>
        <v/>
      </c>
    </row>
    <row r="188" spans="3:10" x14ac:dyDescent="0.25">
      <c r="C188" s="11">
        <f t="shared" si="9"/>
        <v>0.74583333333333335</v>
      </c>
      <c r="D188" s="13">
        <f t="shared" si="10"/>
        <v>64440</v>
      </c>
      <c r="E188" s="12">
        <f t="array" ref="E188:H188">DatosSiguientes(MasaK21,G187,H187,E187,F187,h)</f>
        <v>51127698.583004139</v>
      </c>
      <c r="F188" s="12">
        <v>12422073.014343752</v>
      </c>
      <c r="G188" s="9">
        <v>1947.4018758598929</v>
      </c>
      <c r="H188" s="5">
        <v>1624.7205412662474</v>
      </c>
      <c r="I188" s="5">
        <f t="shared" si="12"/>
        <v>2536.1567189972939</v>
      </c>
      <c r="J188" t="str">
        <f t="shared" si="11"/>
        <v/>
      </c>
    </row>
    <row r="189" spans="3:10" x14ac:dyDescent="0.25">
      <c r="C189" s="11">
        <f t="shared" si="9"/>
        <v>0.75</v>
      </c>
      <c r="D189" s="13">
        <f t="shared" si="10"/>
        <v>64800</v>
      </c>
      <c r="E189" s="12">
        <f t="array" ref="E189:H189">DatosSiguientes(MasaK21,G188,H188,E188,F188,h)</f>
        <v>51819843.221866637</v>
      </c>
      <c r="F189" s="12">
        <v>13004769.536813842</v>
      </c>
      <c r="G189" s="9">
        <v>1897.846117820638</v>
      </c>
      <c r="H189" s="5">
        <v>1612.4823613453684</v>
      </c>
      <c r="I189" s="5">
        <f t="shared" si="12"/>
        <v>2490.3652849686132</v>
      </c>
      <c r="J189" t="str">
        <f t="shared" si="11"/>
        <v/>
      </c>
    </row>
    <row r="190" spans="3:10" x14ac:dyDescent="0.25">
      <c r="C190" s="11">
        <f t="shared" si="9"/>
        <v>0.75416666666666665</v>
      </c>
      <c r="D190" s="13">
        <f t="shared" si="10"/>
        <v>65160</v>
      </c>
      <c r="E190" s="12">
        <f t="array" ref="E190:H190">DatosSiguientes(MasaK21,G189,H189,E189,F189,h)</f>
        <v>52494428.439857341</v>
      </c>
      <c r="F190" s="12">
        <v>13583061.411851719</v>
      </c>
      <c r="G190" s="9">
        <v>1849.8495376832548</v>
      </c>
      <c r="H190" s="5">
        <v>1600.2502777539501</v>
      </c>
      <c r="I190" s="5">
        <f t="shared" si="12"/>
        <v>2445.9648941713258</v>
      </c>
      <c r="J190" t="str">
        <f t="shared" si="11"/>
        <v/>
      </c>
    </row>
    <row r="191" spans="3:10" x14ac:dyDescent="0.25">
      <c r="C191" s="11">
        <f t="shared" si="9"/>
        <v>0.7583333333333333</v>
      </c>
      <c r="D191" s="13">
        <f t="shared" si="10"/>
        <v>65520</v>
      </c>
      <c r="E191" s="12">
        <f t="array" ref="E191:H191">DatosSiguientes(MasaK21,G190,H190,E190,F190,h)</f>
        <v>53151998.402919844</v>
      </c>
      <c r="F191" s="12">
        <v>14156952.45260163</v>
      </c>
      <c r="G191" s="9">
        <v>1803.3169237750717</v>
      </c>
      <c r="H191" s="5">
        <v>1588.0332819677767</v>
      </c>
      <c r="I191" s="5">
        <f t="shared" si="12"/>
        <v>2402.8736196918339</v>
      </c>
      <c r="J191" t="str">
        <f t="shared" si="11"/>
        <v/>
      </c>
    </row>
    <row r="192" spans="3:10" x14ac:dyDescent="0.25">
      <c r="C192" s="11">
        <f t="shared" si="9"/>
        <v>0.76249999999999996</v>
      </c>
      <c r="D192" s="13">
        <f t="shared" si="10"/>
        <v>65880</v>
      </c>
      <c r="E192" s="12">
        <f t="array" ref="E192:H192">DatosSiguientes(MasaK21,G191,H191,E191,F191,h)</f>
        <v>53793064.439188026</v>
      </c>
      <c r="F192" s="12">
        <v>14726449.441371303</v>
      </c>
      <c r="G192" s="9">
        <v>1758.1610554926128</v>
      </c>
      <c r="H192" s="5">
        <v>1575.8388778637377</v>
      </c>
      <c r="I192" s="5">
        <f t="shared" si="12"/>
        <v>2361.016405287719</v>
      </c>
      <c r="J192" t="str">
        <f t="shared" si="11"/>
        <v/>
      </c>
    </row>
    <row r="193" spans="3:10" x14ac:dyDescent="0.25">
      <c r="C193" s="11">
        <f t="shared" si="9"/>
        <v>0.76666666666666672</v>
      </c>
      <c r="D193" s="13">
        <f t="shared" si="10"/>
        <v>66240</v>
      </c>
      <c r="E193" s="12">
        <f t="array" ref="E193:H193">DatosSiguientes(MasaK21,G192,H192,E192,F192,h)</f>
        <v>54418107.762790687</v>
      </c>
      <c r="F193" s="12">
        <v>15291561.634210305</v>
      </c>
      <c r="G193" s="9">
        <v>1714.3018534110643</v>
      </c>
      <c r="H193" s="5">
        <v>1563.6733045751644</v>
      </c>
      <c r="I193" s="5">
        <f t="shared" si="12"/>
        <v>2320.3243411319945</v>
      </c>
      <c r="J193" t="str">
        <f t="shared" si="11"/>
        <v/>
      </c>
    </row>
    <row r="194" spans="3:10" x14ac:dyDescent="0.25">
      <c r="C194" s="11">
        <f t="shared" si="9"/>
        <v>0.77083333333333337</v>
      </c>
      <c r="D194" s="13">
        <f t="shared" si="10"/>
        <v>66600</v>
      </c>
      <c r="E194" s="12">
        <f t="array" ref="E194:H194">DatosSiguientes(MasaK21,G193,H193,E193,F193,h)</f>
        <v>55027581.911175571</v>
      </c>
      <c r="F194" s="12">
        <v>15852300.339268174</v>
      </c>
      <c r="G194" s="9">
        <v>1671.665637616057</v>
      </c>
      <c r="H194" s="5">
        <v>1551.5417235241089</v>
      </c>
      <c r="I194" s="5">
        <f t="shared" si="12"/>
        <v>2280.7340318025822</v>
      </c>
      <c r="J194" t="str">
        <f t="shared" si="11"/>
        <v/>
      </c>
    </row>
    <row r="195" spans="3:10" x14ac:dyDescent="0.25">
      <c r="C195" s="11">
        <f t="shared" si="9"/>
        <v>0.77500000000000002</v>
      </c>
      <c r="D195" s="13">
        <f t="shared" si="10"/>
        <v>66960</v>
      </c>
      <c r="E195" s="12">
        <f t="array" ref="E195:H195">DatosSiguientes(MasaK21,G194,H194,E194,F194,h)</f>
        <v>55621914.932043985</v>
      </c>
      <c r="F195" s="12">
        <v>16408678.55716783</v>
      </c>
      <c r="G195" s="9">
        <v>1630.184478319587</v>
      </c>
      <c r="H195" s="5">
        <v>1539.4483759184238</v>
      </c>
      <c r="I195" s="5">
        <f t="shared" si="12"/>
        <v>2242.1870429275023</v>
      </c>
      <c r="J195" t="str">
        <f t="shared" si="11"/>
        <v/>
      </c>
    </row>
    <row r="196" spans="3:10" x14ac:dyDescent="0.25">
      <c r="C196" s="11">
        <f t="shared" si="9"/>
        <v>0.77916666666666667</v>
      </c>
      <c r="D196" s="13">
        <f t="shared" si="10"/>
        <v>67320</v>
      </c>
      <c r="E196" s="12">
        <f t="array" ref="E196:H196">DatosSiguientes(MasaK21,G195,H195,E195,F195,h)</f>
        <v>56201511.350726306</v>
      </c>
      <c r="F196" s="12">
        <v>16960710.673676714</v>
      </c>
      <c r="G196" s="9">
        <v>1589.7956254710766</v>
      </c>
      <c r="H196" s="5">
        <v>1527.396715797604</v>
      </c>
      <c r="I196" s="5">
        <f t="shared" si="12"/>
        <v>2204.6294151617135</v>
      </c>
      <c r="J196" t="str">
        <f t="shared" si="11"/>
        <v/>
      </c>
    </row>
    <row r="197" spans="3:10" x14ac:dyDescent="0.25">
      <c r="C197" s="11">
        <f t="shared" si="9"/>
        <v>0.78333333333333333</v>
      </c>
      <c r="D197" s="13">
        <f t="shared" si="10"/>
        <v>67680</v>
      </c>
      <c r="E197" s="12">
        <f t="array" ref="E197:H197">DatosSiguientes(MasaK21,G196,H196,E196,F196,h)</f>
        <v>56766753.94443351</v>
      </c>
      <c r="F197" s="12">
        <v>17508412.196616594</v>
      </c>
      <c r="G197" s="9">
        <v>1550.4410062356314</v>
      </c>
      <c r="H197" s="5">
        <v>1515.3895227572905</v>
      </c>
      <c r="I197" s="5">
        <f t="shared" si="12"/>
        <v>2168.0112360178223</v>
      </c>
      <c r="J197" t="str">
        <f t="shared" si="11"/>
        <v/>
      </c>
    </row>
    <row r="198" spans="3:10" x14ac:dyDescent="0.25">
      <c r="C198" s="11">
        <f t="shared" si="9"/>
        <v>0.78749999999999998</v>
      </c>
      <c r="D198" s="13">
        <f t="shared" si="10"/>
        <v>68040</v>
      </c>
      <c r="E198" s="12">
        <f t="array" ref="E198:H198">DatosSiguientes(MasaK21,G197,H197,E197,F197,h)</f>
        <v>57318005.34613283</v>
      </c>
      <c r="F198" s="12">
        <v>18051799.530302923</v>
      </c>
      <c r="G198" s="9">
        <v>1512.0667809827989</v>
      </c>
      <c r="H198" s="5">
        <v>1503.4289977223252</v>
      </c>
      <c r="I198" s="5">
        <f t="shared" si="12"/>
        <v>2132.2862615849776</v>
      </c>
      <c r="J198" t="str">
        <f t="shared" si="11"/>
        <v/>
      </c>
    </row>
    <row r="199" spans="3:10" x14ac:dyDescent="0.25">
      <c r="C199" s="11">
        <f t="shared" si="9"/>
        <v>0.79166666666666663</v>
      </c>
      <c r="D199" s="13">
        <f t="shared" si="10"/>
        <v>68400</v>
      </c>
      <c r="E199" s="12">
        <f t="array" ref="E199:H199">DatosSiguientes(MasaK21,G198,H198,E198,F198,h)</f>
        <v>57855609.497689486</v>
      </c>
      <c r="F199" s="12">
        <v>18590889.781908303</v>
      </c>
      <c r="G199" s="9">
        <v>1474.6229498875073</v>
      </c>
      <c r="H199" s="5">
        <v>1491.5168445297811</v>
      </c>
      <c r="I199" s="5">
        <f t="shared" si="12"/>
        <v>2097.4115814143415</v>
      </c>
      <c r="J199" t="str">
        <f t="shared" si="11"/>
        <v/>
      </c>
    </row>
    <row r="200" spans="3:10" x14ac:dyDescent="0.25">
      <c r="C200" s="11">
        <f t="shared" si="9"/>
        <v>0.79583333333333328</v>
      </c>
      <c r="D200" s="13">
        <f t="shared" si="10"/>
        <v>68760</v>
      </c>
      <c r="E200" s="12">
        <f t="array" ref="E200:H200">DatosSiguientes(MasaK21,G199,H199,E199,F199,h)</f>
        <v>58379892.969290391</v>
      </c>
      <c r="F200" s="12">
        <v>19125700.595050577</v>
      </c>
      <c r="G200" s="9">
        <v>1438.0630034508565</v>
      </c>
      <c r="H200" s="5">
        <v>1479.6543395939632</v>
      </c>
      <c r="I200" s="5">
        <f t="shared" si="12"/>
        <v>2063.3473208777395</v>
      </c>
      <c r="J200" t="str">
        <f t="shared" si="11"/>
        <v/>
      </c>
    </row>
    <row r="201" spans="3:10" x14ac:dyDescent="0.25">
      <c r="C201" s="11">
        <f t="shared" si="9"/>
        <v>0.8</v>
      </c>
      <c r="D201" s="13">
        <f t="shared" si="10"/>
        <v>69120</v>
      </c>
      <c r="E201" s="12">
        <f t="array" ref="E201:H201">DatosSiguientes(MasaK21,G200,H200,E200,F200,h)</f>
        <v>58891166.159936517</v>
      </c>
      <c r="F201" s="12">
        <v>19656250.006652873</v>
      </c>
      <c r="G201" s="9">
        <v>1402.3436112498603</v>
      </c>
      <c r="H201" s="5">
        <v>1467.8423915299009</v>
      </c>
      <c r="I201" s="5">
        <f t="shared" si="12"/>
        <v>2030.0563761594203</v>
      </c>
      <c r="J201" t="str">
        <f t="shared" si="11"/>
        <v/>
      </c>
    </row>
    <row r="202" spans="3:10" x14ac:dyDescent="0.25">
      <c r="C202" s="11">
        <f t="shared" ref="C202:C265" si="13">D202/86400</f>
        <v>0.8041666666666667</v>
      </c>
      <c r="D202" s="13">
        <f t="shared" ref="D202:D265" si="14">h+D201</f>
        <v>69480</v>
      </c>
      <c r="E202" s="12">
        <f t="array" ref="E202:H202">DatosSiguientes(MasaK21,G201,H201,E201,F201,h)</f>
        <v>59389724.391892314</v>
      </c>
      <c r="F202" s="12">
        <v>20182556.32374062</v>
      </c>
      <c r="G202" s="9">
        <v>1367.4243440601279</v>
      </c>
      <c r="H202" s="5">
        <v>1456.0815922909267</v>
      </c>
      <c r="I202" s="5">
        <f t="shared" si="12"/>
        <v>1997.5041777520144</v>
      </c>
      <c r="J202" t="str">
        <f t="shared" ref="J202:J265" si="15">IF(I202=$I$8,"&lt;--------&lt;&lt;&lt;","")</f>
        <v/>
      </c>
    </row>
    <row r="203" spans="3:10" x14ac:dyDescent="0.25">
      <c r="C203" s="11">
        <f t="shared" si="13"/>
        <v>0.80833333333333335</v>
      </c>
      <c r="D203" s="13">
        <f t="shared" si="14"/>
        <v>69840</v>
      </c>
      <c r="E203" s="12">
        <f t="array" ref="E203:H203">DatosSiguientes(MasaK21,G202,H202,E202,F202,h)</f>
        <v>59875848.910358086</v>
      </c>
      <c r="F203" s="12">
        <v>20704638.017353583</v>
      </c>
      <c r="G203" s="9">
        <v>1333.2674251941762</v>
      </c>
      <c r="H203" s="5">
        <v>1444.3722611144149</v>
      </c>
      <c r="I203" s="5">
        <f t="shared" si="12"/>
        <v>1965.6584789226931</v>
      </c>
      <c r="J203" t="str">
        <f t="shared" si="15"/>
        <v/>
      </c>
    </row>
    <row r="204" spans="3:10" x14ac:dyDescent="0.25">
      <c r="C204" s="11">
        <f t="shared" si="13"/>
        <v>0.8125</v>
      </c>
      <c r="D204" s="13">
        <f t="shared" si="14"/>
        <v>70200</v>
      </c>
      <c r="E204" s="12">
        <f t="array" ref="E204:H204">DatosSiguientes(MasaK21,G203,H203,E203,F203,h)</f>
        <v>60349807.798240326</v>
      </c>
      <c r="F204" s="12">
        <v>21222513.631178226</v>
      </c>
      <c r="G204" s="9">
        <v>1299.8375074849309</v>
      </c>
      <c r="H204" s="5">
        <v>1432.7144823558203</v>
      </c>
      <c r="I204" s="5">
        <f t="shared" si="12"/>
        <v>1934.4891661151128</v>
      </c>
      <c r="J204" t="str">
        <f t="shared" si="15"/>
        <v/>
      </c>
    </row>
    <row r="205" spans="3:10" x14ac:dyDescent="0.25">
      <c r="C205" s="11">
        <f t="shared" si="13"/>
        <v>0.81666666666666665</v>
      </c>
      <c r="D205" s="13">
        <f t="shared" si="14"/>
        <v>70560</v>
      </c>
      <c r="E205" s="12">
        <f t="array" ref="E205:H205">DatosSiguientes(MasaK21,G204,H204,E204,F204,h)</f>
        <v>60811856.814698569</v>
      </c>
      <c r="F205" s="12">
        <v>21736201.70286306</v>
      </c>
      <c r="G205" s="9">
        <v>1267.1014728386588</v>
      </c>
      <c r="H205" s="5">
        <v>1421.1081381154734</v>
      </c>
      <c r="I205" s="5">
        <f t="shared" ref="I205:I268" si="16">SQRT(G205^2+H205^2)</f>
        <v>1903.9680886737376</v>
      </c>
      <c r="J205" t="str">
        <f t="shared" si="15"/>
        <v/>
      </c>
    </row>
    <row r="206" spans="3:10" x14ac:dyDescent="0.25">
      <c r="C206" s="11">
        <f t="shared" si="13"/>
        <v>0.8208333333333333</v>
      </c>
      <c r="D206" s="13">
        <f t="shared" si="14"/>
        <v>70920</v>
      </c>
      <c r="E206" s="12">
        <f t="array" ref="E206:H206">DatosSiguientes(MasaK21,G205,H205,E205,F205,h)</f>
        <v>61262240.16511552</v>
      </c>
      <c r="F206" s="12">
        <v>22245720.696279049</v>
      </c>
      <c r="G206" s="9">
        <v>1235.0282516999453</v>
      </c>
      <c r="H206" s="5">
        <v>1409.5529364178012</v>
      </c>
      <c r="I206" s="5">
        <f t="shared" si="16"/>
        <v>1874.0689056331598</v>
      </c>
      <c r="J206" t="str">
        <f t="shared" si="15"/>
        <v/>
      </c>
    </row>
    <row r="207" spans="3:10" x14ac:dyDescent="0.25">
      <c r="C207" s="11">
        <f t="shared" si="13"/>
        <v>0.82499999999999996</v>
      </c>
      <c r="D207" s="13">
        <f t="shared" si="14"/>
        <v>71280</v>
      </c>
      <c r="E207" s="12">
        <f t="array" ref="E207:H207">DatosSiguientes(MasaK21,G206,H206,E206,F206,h)</f>
        <v>61701191.209244251</v>
      </c>
      <c r="F207" s="12">
        <v>22751088.943239179</v>
      </c>
      <c r="G207" s="9">
        <v>1203.5886601263333</v>
      </c>
      <c r="H207" s="5">
        <v>1398.0484355829087</v>
      </c>
      <c r="I207" s="5">
        <f t="shared" si="16"/>
        <v>1844.7669476171022</v>
      </c>
      <c r="J207" t="str">
        <f t="shared" si="15"/>
        <v/>
      </c>
    </row>
    <row r="208" spans="3:10" x14ac:dyDescent="0.25">
      <c r="C208" s="11">
        <f t="shared" si="13"/>
        <v>0.82916666666666672</v>
      </c>
      <c r="D208" s="13">
        <f t="shared" si="14"/>
        <v>71640</v>
      </c>
      <c r="E208" s="12">
        <f t="array" ref="E208:H208">DatosSiguientes(MasaK21,G207,H207,E207,F207,h)</f>
        <v>62128933.113512024</v>
      </c>
      <c r="F208" s="12">
        <v>23252324.593403701</v>
      </c>
      <c r="G208" s="9">
        <v>1172.7552524723947</v>
      </c>
      <c r="H208" s="5">
        <v>1386.5940653310963</v>
      </c>
      <c r="I208" s="5">
        <f t="shared" si="16"/>
        <v>1816.0390921489015</v>
      </c>
      <c r="J208" t="str">
        <f t="shared" si="15"/>
        <v/>
      </c>
    </row>
    <row r="209" spans="3:10" x14ac:dyDescent="0.25">
      <c r="C209" s="11">
        <f t="shared" si="13"/>
        <v>0.83333333333333337</v>
      </c>
      <c r="D209" s="13">
        <f t="shared" si="14"/>
        <v>72000</v>
      </c>
      <c r="E209" s="12">
        <f t="array" ref="E209:H209">DatosSiguientes(MasaK21,G208,H208,E208,F208,h)</f>
        <v>62545679.452786431</v>
      </c>
      <c r="F209" s="12">
        <v>23749445.571277373</v>
      </c>
      <c r="G209" s="9">
        <v>1142.5021879409746</v>
      </c>
      <c r="H209" s="5">
        <v>1375.1891450781941</v>
      </c>
      <c r="I209" s="5">
        <f t="shared" si="16"/>
        <v>1787.8636508947791</v>
      </c>
      <c r="J209" t="str">
        <f t="shared" si="15"/>
        <v/>
      </c>
    </row>
    <row r="210" spans="3:10" x14ac:dyDescent="0.25">
      <c r="C210" s="11">
        <f t="shared" si="13"/>
        <v>0.83750000000000002</v>
      </c>
      <c r="D210" s="13">
        <f t="shared" si="14"/>
        <v>72360</v>
      </c>
      <c r="E210" s="12">
        <f t="array" ref="E210:H210">DatosSiguientes(MasaK21,G209,H209,E209,F209,h)</f>
        <v>62951634.766322248</v>
      </c>
      <c r="F210" s="12">
        <v>24242469.539357346</v>
      </c>
      <c r="G210" s="9">
        <v>1112.8051094802165</v>
      </c>
      <c r="H210" s="5">
        <v>1363.8328998105351</v>
      </c>
      <c r="I210" s="5">
        <f t="shared" si="16"/>
        <v>1760.2202675491751</v>
      </c>
      <c r="J210" t="str">
        <f t="shared" si="15"/>
        <v/>
      </c>
    </row>
    <row r="211" spans="3:10" x14ac:dyDescent="0.25">
      <c r="C211" s="11">
        <f t="shared" si="13"/>
        <v>0.84166666666666667</v>
      </c>
      <c r="D211" s="13">
        <f t="shared" si="14"/>
        <v>72720</v>
      </c>
      <c r="E211" s="12">
        <f t="array" ref="E211:H211">DatosSiguientes(MasaK21,G210,H210,E210,F210,h)</f>
        <v>63346995.072093718</v>
      </c>
      <c r="F211" s="12">
        <v>24731413.866619945</v>
      </c>
      <c r="G211" s="9">
        <v>1083.6410336946201</v>
      </c>
      <c r="H211" s="5">
        <v>1352.524473870568</v>
      </c>
      <c r="I211" s="5">
        <f t="shared" si="16"/>
        <v>1733.0898252328416</v>
      </c>
      <c r="J211" t="str">
        <f t="shared" si="15"/>
        <v/>
      </c>
    </row>
    <row r="212" spans="3:10" x14ac:dyDescent="0.25">
      <c r="C212" s="11">
        <f t="shared" si="13"/>
        <v>0.84583333333333333</v>
      </c>
      <c r="D212" s="13">
        <f t="shared" si="14"/>
        <v>73080</v>
      </c>
      <c r="E212" s="12">
        <f t="array" ref="E212:H212">DatosSiguientes(MasaK21,G211,H211,E211,F211,h)</f>
        <v>63731948.343267046</v>
      </c>
      <c r="F212" s="12">
        <v>25216295.601645045</v>
      </c>
      <c r="G212" s="9">
        <v>1054.9882506016531</v>
      </c>
      <c r="H212" s="5">
        <v>1341.2629429355477</v>
      </c>
      <c r="I212" s="5">
        <f t="shared" si="16"/>
        <v>1706.4543624133821</v>
      </c>
      <c r="J212" t="str">
        <f t="shared" si="15"/>
        <v/>
      </c>
    </row>
    <row r="213" spans="3:10" x14ac:dyDescent="0.25">
      <c r="C213" s="11">
        <f t="shared" si="13"/>
        <v>0.85</v>
      </c>
      <c r="D213" s="13">
        <f t="shared" si="14"/>
        <v>73440</v>
      </c>
      <c r="E213" s="12">
        <f t="array" ref="E213:H213">DatosSiguientes(MasaK21,G212,H212,E212,F212,h)</f>
        <v>64106674.950172491</v>
      </c>
      <c r="F213" s="12">
        <v>25697131.449770994</v>
      </c>
      <c r="G213" s="9">
        <v>1026.8262322063683</v>
      </c>
      <c r="H213" s="5">
        <v>1330.047324430848</v>
      </c>
      <c r="I213" s="5">
        <f t="shared" si="16"/>
        <v>1680.2969964779393</v>
      </c>
      <c r="J213" t="str">
        <f t="shared" si="15"/>
        <v/>
      </c>
    </row>
    <row r="214" spans="3:10" x14ac:dyDescent="0.25">
      <c r="C214" s="11">
        <f t="shared" si="13"/>
        <v>0.85416666666666663</v>
      </c>
      <c r="D214" s="13">
        <f t="shared" si="14"/>
        <v>73800</v>
      </c>
      <c r="E214" s="12">
        <f t="array" ref="E214:H214">DatosSiguientes(MasaK21,G213,H213,E213,F213,h)</f>
        <v>64471348.070787556</v>
      </c>
      <c r="F214" s="12">
        <v>26173937.753753833</v>
      </c>
      <c r="G214" s="9">
        <v>999.13554898843006</v>
      </c>
      <c r="H214" s="5">
        <v>1318.8765865849211</v>
      </c>
      <c r="I214" s="5">
        <f t="shared" si="16"/>
        <v>1654.6018541916073</v>
      </c>
      <c r="J214" t="str">
        <f t="shared" si="15"/>
        <v/>
      </c>
    </row>
    <row r="215" spans="3:10" x14ac:dyDescent="0.25">
      <c r="C215" s="11">
        <f t="shared" si="13"/>
        <v>0.85833333333333328</v>
      </c>
      <c r="D215" s="13">
        <f t="shared" si="14"/>
        <v>74160</v>
      </c>
      <c r="E215" s="12">
        <f t="array" ref="E215:H215">DatosSiguientes(MasaK21,G214,H214,E214,F214,h)</f>
        <v>64826134.072435789</v>
      </c>
      <c r="F215" s="12">
        <v>26646730.477473784</v>
      </c>
      <c r="G215" s="9">
        <v>971.8977935017474</v>
      </c>
      <c r="H215" s="5">
        <v>1307.7496563037012</v>
      </c>
      <c r="I215" s="5">
        <f t="shared" si="16"/>
        <v>1629.3540083652827</v>
      </c>
      <c r="J215" t="str">
        <f t="shared" si="15"/>
        <v/>
      </c>
    </row>
    <row r="216" spans="3:10" x14ac:dyDescent="0.25">
      <c r="C216" s="11">
        <f t="shared" si="13"/>
        <v>0.86250000000000004</v>
      </c>
      <c r="D216" s="13">
        <f t="shared" si="14"/>
        <v>74520</v>
      </c>
      <c r="E216" s="12">
        <f t="array" ref="E216:H216">DatosSiguientes(MasaK21,G215,H215,E215,F215,h)</f>
        <v>65171192.867134303</v>
      </c>
      <c r="F216" s="12">
        <v>27115525.192291591</v>
      </c>
      <c r="G216" s="9">
        <v>945.09551037889594</v>
      </c>
      <c r="H216" s="5">
        <v>1296.6654260174582</v>
      </c>
      <c r="I216" s="5">
        <f t="shared" si="16"/>
        <v>1604.5394201350687</v>
      </c>
      <c r="J216" t="str">
        <f t="shared" si="15"/>
        <v/>
      </c>
    </row>
    <row r="217" spans="3:10" x14ac:dyDescent="0.25">
      <c r="C217" s="11">
        <f t="shared" si="13"/>
        <v>0.8666666666666667</v>
      </c>
      <c r="D217" s="13">
        <f t="shared" si="14"/>
        <v>74880</v>
      </c>
      <c r="E217" s="12">
        <f t="array" ref="E217:H217">DatosSiguientes(MasaK21,G216,H216,E216,F216,h)</f>
        <v>65506678.242782786</v>
      </c>
      <c r="F217" s="12">
        <v>27580337.065708499</v>
      </c>
      <c r="G217" s="9">
        <v>918.71213211267616</v>
      </c>
      <c r="H217" s="5">
        <v>1285.6227596320223</v>
      </c>
      <c r="I217" s="5">
        <f t="shared" si="16"/>
        <v>1580.1448863236801</v>
      </c>
      <c r="J217" t="str">
        <f t="shared" si="15"/>
        <v/>
      </c>
    </row>
    <row r="218" spans="3:10" x14ac:dyDescent="0.25">
      <c r="C218" s="11">
        <f t="shared" si="13"/>
        <v>0.87083333333333335</v>
      </c>
      <c r="D218" s="13">
        <f t="shared" si="14"/>
        <v>75240</v>
      </c>
      <c r="E218" s="12">
        <f t="array" ref="E218:H218">DatosSiguientes(MasaK21,G217,H217,E217,F217,h)</f>
        <v>65832738.172173359</v>
      </c>
      <c r="F218" s="12">
        <v>28041180.85202796</v>
      </c>
      <c r="G218" s="9">
        <v>892.73192005717237</v>
      </c>
      <c r="H218" s="5">
        <v>1274.6204976983233</v>
      </c>
      <c r="I218" s="5">
        <f t="shared" si="16"/>
        <v>1556.1579914140104</v>
      </c>
      <c r="J218" t="str">
        <f t="shared" si="15"/>
        <v/>
      </c>
    </row>
    <row r="219" spans="3:10" x14ac:dyDescent="0.25">
      <c r="C219" s="11">
        <f t="shared" si="13"/>
        <v>0.875</v>
      </c>
      <c r="D219" s="13">
        <f t="shared" si="14"/>
        <v>75600</v>
      </c>
      <c r="E219" s="12">
        <f t="array" ref="E219:H219">DatosSiguientes(MasaK21,G218,H218,E218,F218,h)</f>
        <v>66149515.101611003</v>
      </c>
      <c r="F219" s="12">
        <v>28498070.884755448</v>
      </c>
      <c r="G219" s="9">
        <v>867.13991015196257</v>
      </c>
      <c r="H219" s="5">
        <v>1263.6574618988384</v>
      </c>
      <c r="I219" s="5">
        <f t="shared" si="16"/>
        <v>1532.5670637172677</v>
      </c>
      <c r="J219" t="str">
        <f t="shared" si="15"/>
        <v/>
      </c>
    </row>
    <row r="220" spans="3:10" x14ac:dyDescent="0.25">
      <c r="C220" s="11">
        <f t="shared" si="13"/>
        <v>0.87916666666666665</v>
      </c>
      <c r="D220" s="13">
        <f t="shared" si="14"/>
        <v>75960</v>
      </c>
      <c r="E220" s="12">
        <f t="array" ref="E220:H220">DatosSiguientes(MasaK21,G219,H219,E219,F219,h)</f>
        <v>66457146.220765196</v>
      </c>
      <c r="F220" s="12">
        <v>28951021.07050579</v>
      </c>
      <c r="G220" s="9">
        <v>841.92186292688132</v>
      </c>
      <c r="H220" s="5">
        <v>1252.7324589363948</v>
      </c>
      <c r="I220" s="5">
        <f t="shared" si="16"/>
        <v>1509.3611353639315</v>
      </c>
      <c r="J220" t="str">
        <f t="shared" si="15"/>
        <v/>
      </c>
    </row>
    <row r="221" spans="3:10" x14ac:dyDescent="0.25">
      <c r="C221" s="11">
        <f t="shared" si="13"/>
        <v>0.8833333333333333</v>
      </c>
      <c r="D221" s="13">
        <f t="shared" si="14"/>
        <v>76320</v>
      </c>
      <c r="E221" s="12">
        <f t="array" ref="E221:H221">DatosSiguientes(MasaK21,G220,H220,E220,F220,h)</f>
        <v>66755763.71522259</v>
      </c>
      <c r="F221" s="12">
        <v>29400044.884216253</v>
      </c>
      <c r="G221" s="9">
        <v>817.06421739198061</v>
      </c>
      <c r="H221" s="5">
        <v>1241.8442838995065</v>
      </c>
      <c r="I221" s="5">
        <f t="shared" si="16"/>
        <v>1486.5299057860384</v>
      </c>
      <c r="J221" t="str">
        <f t="shared" si="15"/>
        <v/>
      </c>
    </row>
    <row r="222" spans="3:10" x14ac:dyDescent="0.25">
      <c r="C222" s="11">
        <f t="shared" si="13"/>
        <v>0.88749999999999996</v>
      </c>
      <c r="D222" s="13">
        <f t="shared" si="14"/>
        <v>76680</v>
      </c>
      <c r="E222" s="12">
        <f t="array" ref="E222:H222">DatosSiguientes(MasaK21,G221,H221,E221,F221,h)</f>
        <v>67045495.003075756</v>
      </c>
      <c r="F222" s="12">
        <v>29845155.365488533</v>
      </c>
      <c r="G222" s="9">
        <v>792.55404845893077</v>
      </c>
      <c r="H222" s="5">
        <v>1230.991723168727</v>
      </c>
      <c r="I222" s="5">
        <f t="shared" si="16"/>
        <v>1464.0637083947381</v>
      </c>
      <c r="J222" t="str">
        <f t="shared" si="15"/>
        <v/>
      </c>
    </row>
    <row r="223" spans="3:10" x14ac:dyDescent="0.25">
      <c r="C223" s="11">
        <f t="shared" si="13"/>
        <v>0.89166666666666672</v>
      </c>
      <c r="D223" s="13">
        <f t="shared" si="14"/>
        <v>77040</v>
      </c>
      <c r="E223" s="12">
        <f t="array" ref="E223:H223">DatosSiguientes(MasaK21,G222,H222,E222,F222,h)</f>
        <v>67326462.956762195</v>
      </c>
      <c r="F223" s="12">
        <v>30286365.115904532</v>
      </c>
      <c r="G223" s="9">
        <v>768.37902757680672</v>
      </c>
      <c r="H223" s="5">
        <v>1220.1735569201619</v>
      </c>
      <c r="I223" s="5">
        <f t="shared" si="16"/>
        <v>1441.9534801882753</v>
      </c>
      <c r="J223" t="str">
        <f t="shared" si="15"/>
        <v/>
      </c>
    </row>
    <row r="224" spans="3:10" x14ac:dyDescent="0.25">
      <c r="C224" s="11">
        <f t="shared" si="13"/>
        <v>0.89583333333333337</v>
      </c>
      <c r="D224" s="13">
        <f t="shared" si="14"/>
        <v>77400</v>
      </c>
      <c r="E224" s="12">
        <f t="array" ref="E224:H224">DatosSiguientes(MasaK21,G223,H223,E223,F223,h)</f>
        <v>67598786.111259595</v>
      </c>
      <c r="F224" s="12">
        <v>30723686.297179677</v>
      </c>
      <c r="G224" s="9">
        <v>744.5273862976419</v>
      </c>
      <c r="H224" s="5">
        <v>1209.3885612750889</v>
      </c>
      <c r="I224" s="5">
        <f t="shared" si="16"/>
        <v>1420.1907340530804</v>
      </c>
      <c r="J224" t="str">
        <f t="shared" si="15"/>
        <v/>
      </c>
    </row>
    <row r="225" spans="3:10" x14ac:dyDescent="0.25">
      <c r="C225" s="11">
        <f t="shared" si="13"/>
        <v>0.9</v>
      </c>
      <c r="D225" s="13">
        <f t="shared" si="14"/>
        <v>77760</v>
      </c>
      <c r="E225" s="12">
        <f t="array" ref="E225:H225">DatosSiguientes(MasaK21,G224,H224,E224,F224,h)</f>
        <v>67862578.859646022</v>
      </c>
      <c r="F225" s="12">
        <v>31157130.630034108</v>
      </c>
      <c r="G225" s="9">
        <v>720.98788251585415</v>
      </c>
      <c r="H225" s="5">
        <v>1198.6355101384099</v>
      </c>
      <c r="I225" s="5">
        <f t="shared" si="16"/>
        <v>1398.7675335449637</v>
      </c>
      <c r="J225" t="str">
        <f t="shared" si="15"/>
        <v/>
      </c>
    </row>
    <row r="226" spans="3:10" x14ac:dyDescent="0.25">
      <c r="C226" s="11">
        <f t="shared" si="13"/>
        <v>0.90416666666666667</v>
      </c>
      <c r="D226" s="13">
        <f t="shared" si="14"/>
        <v>78120</v>
      </c>
      <c r="E226" s="12">
        <f t="array" ref="E226:H226">DatosSiguientes(MasaK21,G225,H225,E225,F225,h)</f>
        <v>68117951.636946082</v>
      </c>
      <c r="F226" s="12">
        <v>31586709.393676411</v>
      </c>
      <c r="G226" s="9">
        <v>697.74976915112393</v>
      </c>
      <c r="H226" s="5">
        <v>1187.9131767632778</v>
      </c>
      <c r="I226" s="5">
        <f t="shared" si="16"/>
        <v>1377.6764699588468</v>
      </c>
      <c r="J226" t="str">
        <f t="shared" si="15"/>
        <v/>
      </c>
    </row>
    <row r="227" spans="3:10" x14ac:dyDescent="0.25">
      <c r="C227" s="11">
        <f t="shared" si="13"/>
        <v>0.90833333333333333</v>
      </c>
      <c r="D227" s="13">
        <f t="shared" si="14"/>
        <v>78480</v>
      </c>
      <c r="E227" s="12">
        <f t="array" ref="E227:H227">DatosSiguientes(MasaK21,G226,H226,E226,F226,h)</f>
        <v>68365011.093105331</v>
      </c>
      <c r="F227" s="12">
        <v>32012433.425807223</v>
      </c>
      <c r="G227" s="9">
        <v>674.80276506693906</v>
      </c>
      <c r="H227" s="5">
        <v>1177.2203350745729</v>
      </c>
      <c r="I227" s="5">
        <f t="shared" si="16"/>
        <v>1356.9106415144204</v>
      </c>
      <c r="J227" t="str">
        <f t="shared" si="15"/>
        <v/>
      </c>
    </row>
    <row r="228" spans="3:10" x14ac:dyDescent="0.25">
      <c r="C228" s="11">
        <f t="shared" si="13"/>
        <v>0.91249999999999998</v>
      </c>
      <c r="D228" s="13">
        <f t="shared" si="14"/>
        <v>78840</v>
      </c>
      <c r="E228" s="12">
        <f t="array" ref="E228:H228">DatosSiguientes(MasaK21,G227,H227,E227,F227,h)</f>
        <v>68603860.255864069</v>
      </c>
      <c r="F228" s="12">
        <v>32434313.12306102</v>
      </c>
      <c r="G228" s="9">
        <v>652.13702803716353</v>
      </c>
      <c r="H228" s="5">
        <v>1166.5557607798503</v>
      </c>
      <c r="I228" s="5">
        <f t="shared" si="16"/>
        <v>1336.4636345018146</v>
      </c>
      <c r="J228" t="str">
        <f t="shared" si="15"/>
        <v/>
      </c>
    </row>
    <row r="229" spans="3:10" x14ac:dyDescent="0.25">
      <c r="C229" s="11">
        <f t="shared" si="13"/>
        <v>0.91666666666666663</v>
      </c>
      <c r="D229" s="13">
        <f t="shared" si="14"/>
        <v>79200</v>
      </c>
      <c r="E229" s="12">
        <f t="array" ref="E229:H229">DatosSiguientes(MasaK21,G228,H228,E228,F228,h)</f>
        <v>68834598.684237123</v>
      </c>
      <c r="F229" s="12">
        <v>32852358.441814106</v>
      </c>
      <c r="G229" s="9">
        <v>629.74312959094118</v>
      </c>
      <c r="H229" s="5">
        <v>1155.9182322928516</v>
      </c>
      <c r="I229" s="5">
        <f t="shared" si="16"/>
        <v>1316.3295062460704</v>
      </c>
      <c r="J229" t="str">
        <f t="shared" si="15"/>
        <v/>
      </c>
    </row>
    <row r="230" spans="3:10" x14ac:dyDescent="0.25">
      <c r="C230" s="11">
        <f t="shared" si="13"/>
        <v>0.92083333333333328</v>
      </c>
      <c r="D230" s="13">
        <f t="shared" si="14"/>
        <v>79560</v>
      </c>
      <c r="E230" s="12">
        <f t="array" ref="E230:H230">DatosSiguientes(MasaK21,G229,H229,E229,F229,h)</f>
        <v>69057322.613248304</v>
      </c>
      <c r="F230" s="12">
        <v>33266578.899295308</v>
      </c>
      <c r="G230" s="9">
        <v>607.61203158227272</v>
      </c>
      <c r="H230" s="5">
        <v>1145.3065314916039</v>
      </c>
      <c r="I230" s="5">
        <f t="shared" si="16"/>
        <v>1296.5027697621263</v>
      </c>
      <c r="J230" t="str">
        <f t="shared" si="15"/>
        <v/>
      </c>
    </row>
    <row r="231" spans="3:10" x14ac:dyDescent="0.25">
      <c r="C231" s="11">
        <f t="shared" si="13"/>
        <v>0.92500000000000004</v>
      </c>
      <c r="D231" s="13">
        <f t="shared" si="14"/>
        <v>79920</v>
      </c>
      <c r="E231" s="12">
        <f t="array" ref="E231:H231">DatosSiguientes(MasaK21,G230,H230,E230,F230,h)</f>
        <v>69272125.090515196</v>
      </c>
      <c r="F231" s="12">
        <v>33676983.574943274</v>
      </c>
      <c r="G231" s="9">
        <v>585.73506434493572</v>
      </c>
      <c r="H231" s="5">
        <v>1134.7194443304509</v>
      </c>
      <c r="I231" s="5">
        <f t="shared" si="16"/>
        <v>1276.9783799833001</v>
      </c>
      <c r="J231" t="str">
        <f t="shared" si="15"/>
        <v/>
      </c>
    </row>
    <row r="232" spans="3:10" x14ac:dyDescent="0.25">
      <c r="C232" s="11">
        <f t="shared" si="13"/>
        <v>0.9291666666666667</v>
      </c>
      <c r="D232" s="13">
        <f t="shared" si="14"/>
        <v>80280</v>
      </c>
      <c r="E232" s="12">
        <f t="array" ref="E232:H232">DatosSiguientes(MasaK21,G231,H231,E231,F231,h)</f>
        <v>69479096.105232403</v>
      </c>
      <c r="F232" s="12">
        <v>34083581.111960895</v>
      </c>
      <c r="G232" s="9">
        <v>564.10390630624636</v>
      </c>
      <c r="H232" s="5">
        <v>1124.1557613230175</v>
      </c>
      <c r="I232" s="5">
        <f t="shared" si="16"/>
        <v>1257.7517214560669</v>
      </c>
      <c r="J232" t="str">
        <f t="shared" si="15"/>
        <v/>
      </c>
    </row>
    <row r="233" spans="3:10" x14ac:dyDescent="0.25">
      <c r="C233" s="11">
        <f t="shared" si="13"/>
        <v>0.93333333333333335</v>
      </c>
      <c r="D233" s="13">
        <f t="shared" si="14"/>
        <v>80640</v>
      </c>
      <c r="E233" s="12">
        <f t="array" ref="E233:H233">DatosSiguientes(MasaK21,G232,H232,E232,F232,h)</f>
        <v>69678322.710057572</v>
      </c>
      <c r="F233" s="12">
        <v>34486379.719023027</v>
      </c>
      <c r="G233" s="9">
        <v>542.71056494466779</v>
      </c>
      <c r="H233" s="5">
        <v>1113.6142779110642</v>
      </c>
      <c r="I233" s="5">
        <f t="shared" si="16"/>
        <v>1238.8185974023563</v>
      </c>
      <c r="J233" t="str">
        <f t="shared" si="15"/>
        <v/>
      </c>
    </row>
    <row r="234" spans="3:10" x14ac:dyDescent="0.25">
      <c r="C234" s="11">
        <f t="shared" si="13"/>
        <v>0.9375</v>
      </c>
      <c r="D234" s="13">
        <f t="shared" si="14"/>
        <v>81000</v>
      </c>
      <c r="E234" s="12">
        <f t="array" ref="E234:H234">DatosSiguientes(MasaK21,G233,H233,E233,F233,h)</f>
        <v>69869889.136365205</v>
      </c>
      <c r="F234" s="12">
        <v>34885387.172098845</v>
      </c>
      <c r="G234" s="9">
        <v>521.5473589866001</v>
      </c>
      <c r="H234" s="5">
        <v>1103.0937947323907</v>
      </c>
      <c r="I234" s="5">
        <f t="shared" si="16"/>
        <v>1220.17522005776</v>
      </c>
      <c r="J234" t="str">
        <f t="shared" si="15"/>
        <v/>
      </c>
    </row>
    <row r="235" spans="3:10" x14ac:dyDescent="0.25">
      <c r="C235" s="11">
        <f t="shared" si="13"/>
        <v>0.94166666666666665</v>
      </c>
      <c r="D235" s="13">
        <f t="shared" si="14"/>
        <v>81360</v>
      </c>
      <c r="E235" s="12">
        <f t="array" ref="E235:H235">DatosSiguientes(MasaK21,G234,H234,E234,F234,h)</f>
        <v>70053876.903297246</v>
      </c>
      <c r="F235" s="12">
        <v>35280610.816354565</v>
      </c>
      <c r="G235" s="9">
        <v>500.60690174697442</v>
      </c>
      <c r="H235" s="5">
        <v>1092.5931177993805</v>
      </c>
      <c r="I235" s="5">
        <f t="shared" si="16"/>
        <v>1201.8182022000149</v>
      </c>
      <c r="J235" t="str">
        <f t="shared" si="15"/>
        <v/>
      </c>
    </row>
    <row r="236" spans="3:10" x14ac:dyDescent="0.25">
      <c r="C236" s="11">
        <f t="shared" si="13"/>
        <v>0.9458333333333333</v>
      </c>
      <c r="D236" s="13">
        <f t="shared" si="14"/>
        <v>81720</v>
      </c>
      <c r="E236" s="12">
        <f t="array" ref="E236:H236">DatosSiguientes(MasaK21,G235,H235,E235,F235,h)</f>
        <v>70230364.921006501</v>
      </c>
      <c r="F236" s="12">
        <v>35672057.568106167</v>
      </c>
      <c r="G236" s="9">
        <v>479.88208552663684</v>
      </c>
      <c r="H236" s="5">
        <v>1082.1110585983893</v>
      </c>
      <c r="I236" s="5">
        <f t="shared" si="16"/>
        <v>1183.7445497869551</v>
      </c>
      <c r="J236" t="str">
        <f t="shared" si="15"/>
        <v/>
      </c>
    </row>
    <row r="237" spans="3:10" x14ac:dyDescent="0.25">
      <c r="C237" s="11">
        <f t="shared" si="13"/>
        <v>0.95</v>
      </c>
      <c r="D237" s="13">
        <f t="shared" si="14"/>
        <v>82080</v>
      </c>
      <c r="E237" s="12">
        <f t="array" ref="E237:H237">DatosSiguientes(MasaK21,G236,H236,E236,F236,h)</f>
        <v>70399429.58845897</v>
      </c>
      <c r="F237" s="12">
        <v>36059733.916795291</v>
      </c>
      <c r="G237" s="9">
        <v>459.36606698704668</v>
      </c>
      <c r="H237" s="5">
        <v>1071.6464341189724</v>
      </c>
      <c r="I237" s="5">
        <f t="shared" si="16"/>
        <v>1165.9516556268775</v>
      </c>
      <c r="J237" t="str">
        <f t="shared" si="15"/>
        <v/>
      </c>
    </row>
    <row r="238" spans="3:10" x14ac:dyDescent="0.25">
      <c r="C238" s="11">
        <f t="shared" si="13"/>
        <v>0.95416666666666672</v>
      </c>
      <c r="D238" s="13">
        <f t="shared" si="14"/>
        <v>82440</v>
      </c>
      <c r="E238" s="12">
        <f t="array" ref="E238:H238">DatosSiguientes(MasaK21,G237,H237,E237,F237,h)</f>
        <v>70561144.886133969</v>
      </c>
      <c r="F238" s="12">
        <v>36443645.926964462</v>
      </c>
      <c r="G238" s="9">
        <v>439.05225342961728</v>
      </c>
      <c r="H238" s="5">
        <v>1061.1980668208721</v>
      </c>
      <c r="I238" s="5">
        <f t="shared" si="16"/>
        <v>1148.4372940069393</v>
      </c>
      <c r="J238" t="str">
        <f t="shared" si="15"/>
        <v/>
      </c>
    </row>
    <row r="239" spans="3:10" x14ac:dyDescent="0.25">
      <c r="C239" s="11">
        <f t="shared" si="13"/>
        <v>0.95833333333333337</v>
      </c>
      <c r="D239" s="13">
        <f t="shared" si="14"/>
        <v>82800</v>
      </c>
      <c r="E239" s="12">
        <f t="array" ref="E239:H239">DatosSiguientes(MasaK21,G238,H238,E238,F238,h)</f>
        <v>70715582.463935673</v>
      </c>
      <c r="F239" s="12">
        <v>36823799.240210451</v>
      </c>
      <c r="G239" s="9">
        <v>418.93428991317722</v>
      </c>
      <c r="H239" s="5">
        <v>1050.7647845457448</v>
      </c>
      <c r="I239" s="5">
        <f t="shared" si="16"/>
        <v>1131.1996162068494</v>
      </c>
      <c r="J239" t="str">
        <f t="shared" si="15"/>
        <v/>
      </c>
    </row>
    <row r="240" spans="3:10" x14ac:dyDescent="0.25">
      <c r="C240" s="11">
        <f t="shared" si="13"/>
        <v>0.96250000000000002</v>
      </c>
      <c r="D240" s="13">
        <f t="shared" si="14"/>
        <v>83160</v>
      </c>
      <c r="E240" s="12">
        <f t="array" ref="E240:H240">DatosSiguientes(MasaK21,G239,H239,E239,F239,h)</f>
        <v>70862811.724606797</v>
      </c>
      <c r="F240" s="12">
        <v>37200199.077097043</v>
      </c>
      <c r="G240" s="9">
        <v>399.00604714859395</v>
      </c>
      <c r="H240" s="5">
        <v>1040.3454203797764</v>
      </c>
      <c r="I240" s="5">
        <f t="shared" si="16"/>
        <v>1114.2371468257193</v>
      </c>
      <c r="J240" t="str">
        <f t="shared" si="15"/>
        <v/>
      </c>
    </row>
    <row r="241" spans="3:10" x14ac:dyDescent="0.25">
      <c r="C241" s="11">
        <f t="shared" si="13"/>
        <v>0.96666666666666667</v>
      </c>
      <c r="D241" s="13">
        <f t="shared" si="14"/>
        <v>83520</v>
      </c>
      <c r="E241" s="12">
        <f t="array" ref="E241:H241">DatosSiguientes(MasaK21,G240,H240,E240,F240,h)</f>
        <v>71002899.902914181</v>
      </c>
      <c r="F241" s="12">
        <v>37572850.239010468</v>
      </c>
      <c r="G241" s="9">
        <v>379.261610114642</v>
      </c>
      <c r="H241" s="5">
        <v>1029.9388124726001</v>
      </c>
      <c r="I241" s="5">
        <f t="shared" si="16"/>
        <v>1097.5487808494986</v>
      </c>
      <c r="J241" t="str">
        <f t="shared" si="15"/>
        <v/>
      </c>
    </row>
    <row r="242" spans="3:10" x14ac:dyDescent="0.25">
      <c r="C242" s="11">
        <f t="shared" si="13"/>
        <v>0.97083333333333333</v>
      </c>
      <c r="D242" s="13">
        <f t="shared" si="14"/>
        <v>83880</v>
      </c>
      <c r="E242" s="12">
        <f t="array" ref="E242:H242">DatosSiguientes(MasaK21,G241,H241,E241,F241,h)</f>
        <v>71135912.140856698</v>
      </c>
      <c r="F242" s="12">
        <v>37941757.109942645</v>
      </c>
      <c r="G242" s="9">
        <v>359.69526734376802</v>
      </c>
      <c r="H242" s="5">
        <v>1019.5438038172775</v>
      </c>
      <c r="I242" s="5">
        <f t="shared" si="16"/>
        <v>1081.1337813849441</v>
      </c>
      <c r="J242" t="str">
        <f t="shared" si="15"/>
        <v/>
      </c>
    </row>
    <row r="243" spans="3:10" x14ac:dyDescent="0.25">
      <c r="C243" s="11">
        <f t="shared" si="13"/>
        <v>0.97499999999999998</v>
      </c>
      <c r="D243" s="13">
        <f t="shared" si="14"/>
        <v>84240</v>
      </c>
      <c r="E243" s="12">
        <f t="array" ref="E243:H243">DatosSiguientes(MasaK21,G242,H242,E242,F242,h)</f>
        <v>71261911.559128076</v>
      </c>
      <c r="F243" s="12">
        <v>38306923.658188954</v>
      </c>
      <c r="G243" s="9">
        <v>340.30150083055617</v>
      </c>
      <c r="H243" s="5">
        <v>1009.1592419955319</v>
      </c>
      <c r="I243" s="5">
        <f t="shared" si="16"/>
        <v>1064.9917779835325</v>
      </c>
      <c r="J243" t="str">
        <f t="shared" si="15"/>
        <v/>
      </c>
    </row>
    <row r="244" spans="3:10" x14ac:dyDescent="0.25">
      <c r="C244" s="11">
        <f t="shared" si="13"/>
        <v>0.97916666666666663</v>
      </c>
      <c r="D244" s="13">
        <f t="shared" si="14"/>
        <v>84600</v>
      </c>
      <c r="E244" s="12">
        <f t="array" ref="E244:H244">DatosSiguientes(MasaK21,G243,H243,E243,F243,h)</f>
        <v>71380959.325051084</v>
      </c>
      <c r="F244" s="12">
        <v>38668353.437948696</v>
      </c>
      <c r="G244" s="9">
        <v>321.0749765194675</v>
      </c>
      <c r="H244" s="5">
        <v>998.78397889191035</v>
      </c>
      <c r="I244" s="5">
        <f t="shared" si="16"/>
        <v>1049.1227654751051</v>
      </c>
      <c r="J244" t="str">
        <f t="shared" si="15"/>
        <v/>
      </c>
    </row>
    <row r="245" spans="3:10" x14ac:dyDescent="0.25">
      <c r="C245" s="11">
        <f t="shared" si="13"/>
        <v>0.98333333333333328</v>
      </c>
      <c r="D245" s="13">
        <f t="shared" si="14"/>
        <v>84960</v>
      </c>
      <c r="E245" s="12">
        <f t="array" ref="E245:H245">DatosSiguientes(MasaK21,G244,H244,E244,F244,h)</f>
        <v>71493114.71718432</v>
      </c>
      <c r="F245" s="12">
        <v>39026049.59081766</v>
      </c>
      <c r="G245" s="9">
        <v>302.01053533186013</v>
      </c>
      <c r="H245" s="5">
        <v>988.41687038009729</v>
      </c>
      <c r="I245" s="5">
        <f t="shared" si="16"/>
        <v>1033.5271032263367</v>
      </c>
      <c r="J245" t="str">
        <f t="shared" si="15"/>
        <v/>
      </c>
    </row>
    <row r="246" spans="3:10" x14ac:dyDescent="0.25">
      <c r="C246" s="11">
        <f t="shared" si="13"/>
        <v>0.98750000000000004</v>
      </c>
      <c r="D246" s="13">
        <f t="shared" si="14"/>
        <v>85320</v>
      </c>
      <c r="E246" s="12">
        <f t="array" ref="E246:H246">DatosSiguientes(MasaK21,G245,H245,E245,F245,h)</f>
        <v>71598435.18678923</v>
      </c>
      <c r="F246" s="12">
        <v>39380014.847163238</v>
      </c>
      <c r="G246" s="9">
        <v>283.10318469542165</v>
      </c>
      <c r="H246" s="5">
        <v>978.05677598420243</v>
      </c>
      <c r="I246" s="5">
        <f t="shared" si="16"/>
        <v>1018.2055147332991</v>
      </c>
      <c r="J246" t="str">
        <f t="shared" si="15"/>
        <v/>
      </c>
    </row>
    <row r="247" spans="3:10" x14ac:dyDescent="0.25">
      <c r="C247" s="11">
        <f t="shared" si="13"/>
        <v>0.9916666666666667</v>
      </c>
      <c r="D247" s="13">
        <f t="shared" si="14"/>
        <v>85680</v>
      </c>
      <c r="E247" s="12">
        <f t="array" ref="E247:H247">DatosSiguientes(MasaK21,G246,H246,E246,F246,h)</f>
        <v>71696976.416331962</v>
      </c>
      <c r="F247" s="12">
        <v>39730251.527373537</v>
      </c>
      <c r="G247" s="9">
        <v>264.34809054199451</v>
      </c>
      <c r="H247" s="5">
        <v>967.7025585174822</v>
      </c>
      <c r="I247" s="5">
        <f t="shared" si="16"/>
        <v>1003.1590874504799</v>
      </c>
      <c r="J247" t="str">
        <f t="shared" si="15"/>
        <v/>
      </c>
    </row>
    <row r="248" spans="3:10" x14ac:dyDescent="0.25">
      <c r="C248" s="11">
        <f t="shared" si="13"/>
        <v>0.99583333333333335</v>
      </c>
      <c r="D248" s="13">
        <f t="shared" si="14"/>
        <v>86040</v>
      </c>
      <c r="E248" s="12">
        <f t="array" ref="E248:H248">DatosSiguientes(MasaK21,G247,H247,E247,F247,h)</f>
        <v>71788792.37518315</v>
      </c>
      <c r="F248" s="12">
        <v>40076761.542972803</v>
      </c>
      <c r="G248" s="9">
        <v>245.74056974237661</v>
      </c>
      <c r="H248" s="5">
        <v>957.35308370064081</v>
      </c>
      <c r="I248" s="5">
        <f t="shared" si="16"/>
        <v>988.38927275058688</v>
      </c>
      <c r="J248" t="str">
        <f t="shared" si="15"/>
        <v/>
      </c>
    </row>
    <row r="249" spans="3:10" x14ac:dyDescent="0.25">
      <c r="C249" s="11">
        <f t="shared" si="13"/>
        <v>1</v>
      </c>
      <c r="D249" s="13">
        <f t="shared" si="14"/>
        <v>86400</v>
      </c>
      <c r="E249" s="12">
        <f t="array" ref="E249:H249">DatosSiguientes(MasaK21,G248,H248,E248,F248,h)</f>
        <v>71873935.372667611</v>
      </c>
      <c r="F249" s="12">
        <v>40419546.397596002</v>
      </c>
      <c r="G249" s="9">
        <v>227.27608294905352</v>
      </c>
      <c r="H249" s="5">
        <v>947.00721976156512</v>
      </c>
      <c r="I249" s="5">
        <f t="shared" si="16"/>
        <v>973.89788590036187</v>
      </c>
      <c r="J249" t="str">
        <f t="shared" si="15"/>
        <v/>
      </c>
    </row>
    <row r="250" spans="3:10" x14ac:dyDescent="0.25">
      <c r="C250" s="11">
        <f t="shared" si="13"/>
        <v>1.0041666666666667</v>
      </c>
      <c r="D250" s="13">
        <f t="shared" si="14"/>
        <v>86760</v>
      </c>
      <c r="E250" s="12">
        <f t="array" ref="E250:H250">DatosSiguientes(MasaK21,G249,H249,E249,F249,h)</f>
        <v>71952456.10860604</v>
      </c>
      <c r="F250" s="12">
        <v>40758607.187816344</v>
      </c>
      <c r="G250" s="9">
        <v>208.95022781999131</v>
      </c>
      <c r="H250" s="5">
        <v>936.66383701809843</v>
      </c>
      <c r="I250" s="5">
        <f t="shared" si="16"/>
        <v>959.68710592749608</v>
      </c>
      <c r="J250" t="str">
        <f t="shared" si="15"/>
        <v/>
      </c>
    </row>
    <row r="251" spans="3:10" x14ac:dyDescent="0.25">
      <c r="C251" s="11">
        <f t="shared" si="13"/>
        <v>1.0083333333333333</v>
      </c>
      <c r="D251" s="13">
        <f t="shared" si="14"/>
        <v>87120</v>
      </c>
      <c r="E251" s="12">
        <f t="array" ref="E251:H251">DatosSiguientes(MasaK21,G250,H250,E250,F250,h)</f>
        <v>72024403.721481383</v>
      </c>
      <c r="F251" s="12">
        <v>41093944.603819743</v>
      </c>
      <c r="G251" s="9">
        <v>190.75873259860629</v>
      </c>
      <c r="H251" s="5">
        <v>926.32180744522543</v>
      </c>
      <c r="I251" s="5">
        <f t="shared" si="16"/>
        <v>945.75947524263051</v>
      </c>
      <c r="J251" t="str">
        <f t="shared" si="15"/>
        <v/>
      </c>
    </row>
    <row r="252" spans="3:10" x14ac:dyDescent="0.25">
      <c r="C252" s="11">
        <f t="shared" si="13"/>
        <v>1.0125</v>
      </c>
      <c r="D252" s="13">
        <f t="shared" si="14"/>
        <v>87480</v>
      </c>
      <c r="E252" s="12">
        <f t="array" ref="E252:H252">DatosSiguientes(MasaK21,G251,H251,E251,F251,h)</f>
        <v>72089825.834353969</v>
      </c>
      <c r="F252" s="12">
        <v>41425558.929920897</v>
      </c>
      <c r="G252" s="9">
        <v>172.6974500268482</v>
      </c>
      <c r="H252" s="5">
        <v>915.98000422783764</v>
      </c>
      <c r="I252" s="5">
        <f t="shared" si="16"/>
        <v>932.11789886848817</v>
      </c>
      <c r="J252" t="str">
        <f t="shared" si="15"/>
        <v/>
      </c>
    </row>
    <row r="253" spans="3:10" x14ac:dyDescent="0.25">
      <c r="C253" s="11">
        <f t="shared" si="13"/>
        <v>1.0166666666666666</v>
      </c>
      <c r="D253" s="13">
        <f t="shared" si="14"/>
        <v>87840</v>
      </c>
      <c r="E253" s="12">
        <f t="array" ref="E253:H253">DatosSiguientes(MasaK21,G252,H252,E252,F252,h)</f>
        <v>72148768.598641396</v>
      </c>
      <c r="F253" s="12">
        <v>41753450.044915922</v>
      </c>
      <c r="G253" s="9">
        <v>154.76235157000278</v>
      </c>
      <c r="H253" s="5">
        <v>905.6373013000657</v>
      </c>
      <c r="I253" s="5">
        <f t="shared" si="16"/>
        <v>918.76564311555705</v>
      </c>
      <c r="J253" t="str">
        <f t="shared" si="15"/>
        <v/>
      </c>
    </row>
    <row r="254" spans="3:10" x14ac:dyDescent="0.25">
      <c r="C254" s="11">
        <f t="shared" si="13"/>
        <v>1.0208333333333333</v>
      </c>
      <c r="D254" s="13">
        <f t="shared" si="14"/>
        <v>88200</v>
      </c>
      <c r="E254" s="12">
        <f t="array" ref="E254:H254">DatosSiguientes(MasaK21,G253,H253,E253,F253,h)</f>
        <v>72201276.735872</v>
      </c>
      <c r="F254" s="12">
        <v>42077617.422266893</v>
      </c>
      <c r="G254" s="9">
        <v>136.94952193335013</v>
      </c>
      <c r="H254" s="5">
        <v>895.29257287199584</v>
      </c>
      <c r="I254" s="5">
        <f t="shared" si="16"/>
        <v>905.70633353064898</v>
      </c>
      <c r="J254" t="str">
        <f t="shared" si="15"/>
        <v/>
      </c>
    </row>
    <row r="255" spans="3:10" x14ac:dyDescent="0.25">
      <c r="C255" s="11">
        <f t="shared" si="13"/>
        <v>1.0249999999999999</v>
      </c>
      <c r="D255" s="13">
        <f t="shared" si="14"/>
        <v>88560</v>
      </c>
      <c r="E255" s="12">
        <f t="array" ref="E255:H255">DatosSiguientes(MasaK21,G254,H254,E254,F254,h)</f>
        <v>72247393.577513397</v>
      </c>
      <c r="F255" s="12">
        <v>42398060.130113855</v>
      </c>
      <c r="G255" s="9">
        <v>119.25515385222185</v>
      </c>
      <c r="H255" s="5">
        <v>884.94469294444059</v>
      </c>
      <c r="I255" s="5">
        <f t="shared" si="16"/>
        <v>892.94395193138928</v>
      </c>
      <c r="J255" t="str">
        <f t="shared" si="15"/>
        <v/>
      </c>
    </row>
    <row r="256" spans="3:10" x14ac:dyDescent="0.25">
      <c r="C256" s="11">
        <f t="shared" si="13"/>
        <v>1.0291666666666666</v>
      </c>
      <c r="D256" s="13">
        <f t="shared" si="14"/>
        <v>88920</v>
      </c>
      <c r="E256" s="12">
        <f t="array" ref="E256:H256">DatosSiguientes(MasaK21,G255,H255,E255,F255,h)</f>
        <v>72287161.102971688</v>
      </c>
      <c r="F256" s="12">
        <v>42714776.831110068</v>
      </c>
      <c r="G256" s="9">
        <v>101.67554313829179</v>
      </c>
      <c r="H256" s="5">
        <v>874.59253481229723</v>
      </c>
      <c r="I256" s="5">
        <f t="shared" si="16"/>
        <v>880.48283232659685</v>
      </c>
      <c r="J256" t="str">
        <f t="shared" si="15"/>
        <v/>
      </c>
    </row>
    <row r="257" spans="3:10" x14ac:dyDescent="0.25">
      <c r="C257" s="11">
        <f t="shared" si="13"/>
        <v>1.0333333333333334</v>
      </c>
      <c r="D257" s="13">
        <f t="shared" si="14"/>
        <v>89280</v>
      </c>
      <c r="E257" s="12">
        <f t="array" ref="E257:H257">DatosSiguientes(MasaK21,G256,H256,E256,F256,h)</f>
        <v>72320619.975850478</v>
      </c>
      <c r="F257" s="12">
        <v>43027765.782076523</v>
      </c>
      <c r="G257" s="9">
        <v>84.207083966123037</v>
      </c>
      <c r="H257" s="5">
        <v>864.23497055690461</v>
      </c>
      <c r="I257" s="5">
        <f t="shared" si="16"/>
        <v>868.32765551004502</v>
      </c>
      <c r="J257" t="str">
        <f t="shared" si="15"/>
        <v/>
      </c>
    </row>
    <row r="258" spans="3:10" x14ac:dyDescent="0.25">
      <c r="C258" s="11">
        <f t="shared" si="13"/>
        <v>1.0375000000000001</v>
      </c>
      <c r="D258" s="13">
        <f t="shared" si="14"/>
        <v>89640</v>
      </c>
      <c r="E258" s="12">
        <f t="array" ref="E258:H258">DatosSiguientes(MasaK21,G257,H257,E257,F257,h)</f>
        <v>72347809.578553692</v>
      </c>
      <c r="F258" s="12">
        <v>43337024.833471753</v>
      </c>
      <c r="G258" s="9">
        <v>66.846264385088119</v>
      </c>
      <c r="H258" s="5">
        <v>853.87087052769527</v>
      </c>
      <c r="I258" s="5">
        <f t="shared" si="16"/>
        <v>856.48344210379526</v>
      </c>
      <c r="J258" t="str">
        <f t="shared" si="15"/>
        <v/>
      </c>
    </row>
    <row r="259" spans="3:10" x14ac:dyDescent="0.25">
      <c r="C259" s="11">
        <f t="shared" si="13"/>
        <v>1.0416666666666667</v>
      </c>
      <c r="D259" s="13">
        <f t="shared" si="14"/>
        <v>90000</v>
      </c>
      <c r="E259" s="12">
        <f t="array" ref="E259:H259">DatosSiguientes(MasaK21,G258,H258,E258,F258,h)</f>
        <v>72368768.045310706</v>
      </c>
      <c r="F259" s="12">
        <v>43642551.428673141</v>
      </c>
      <c r="G259" s="9">
        <v>49.589662042785797</v>
      </c>
      <c r="H259" s="5">
        <v>843.49910281333985</v>
      </c>
      <c r="I259" s="5">
        <f t="shared" si="16"/>
        <v>844.95554381779573</v>
      </c>
      <c r="J259" t="str">
        <f t="shared" si="15"/>
        <v/>
      </c>
    </row>
    <row r="260" spans="3:10" x14ac:dyDescent="0.25">
      <c r="C260" s="11">
        <f t="shared" si="13"/>
        <v>1.0458333333333334</v>
      </c>
      <c r="D260" s="13">
        <f t="shared" si="14"/>
        <v>90360</v>
      </c>
      <c r="E260" s="12">
        <f t="array" ref="E260:H260">DatosSiguientes(MasaK21,G259,H259,E259,F259,h)</f>
        <v>72383532.29369767</v>
      </c>
      <c r="F260" s="12">
        <v>43944342.60306599</v>
      </c>
      <c r="G260" s="9">
        <v>32.433940107006222</v>
      </c>
      <c r="H260" s="5">
        <v>833.11853270248309</v>
      </c>
      <c r="I260" s="5">
        <f t="shared" si="16"/>
        <v>833.74963268549823</v>
      </c>
      <c r="J260" t="str">
        <f t="shared" si="15"/>
        <v/>
      </c>
    </row>
    <row r="261" spans="3:10" x14ac:dyDescent="0.25">
      <c r="C261" s="11">
        <f t="shared" si="13"/>
        <v>1.05</v>
      </c>
      <c r="D261" s="13">
        <f t="shared" si="14"/>
        <v>90720</v>
      </c>
      <c r="E261" s="12">
        <f t="array" ref="E261:H261">DatosSiguientes(MasaK21,G260,H260,E260,F260,h)</f>
        <v>72392138.054724276</v>
      </c>
      <c r="F261" s="12">
        <v>44242394.982936576</v>
      </c>
      <c r="G261" s="9">
        <v>15.375843374152367</v>
      </c>
      <c r="H261" s="5">
        <v>822.72802213408693</v>
      </c>
      <c r="I261" s="5">
        <f t="shared" si="16"/>
        <v>822.87168803169618</v>
      </c>
      <c r="J261" t="str">
        <f t="shared" si="15"/>
        <v/>
      </c>
    </row>
    <row r="262" spans="3:10" x14ac:dyDescent="0.25">
      <c r="C262" s="11">
        <f t="shared" si="13"/>
        <v>1.0541666666666667</v>
      </c>
      <c r="D262" s="13">
        <f t="shared" si="14"/>
        <v>91080</v>
      </c>
      <c r="E262" s="12">
        <f t="array" ref="E262:H262">DatosSiguientes(MasaK21,G261,H261,E261,F261,h)</f>
        <v>72394619.901551127</v>
      </c>
      <c r="F262" s="12">
        <v>44536704.784165427</v>
      </c>
      <c r="G262" s="9">
        <v>-1.5878054471848912</v>
      </c>
      <c r="H262" s="5">
        <v>812.32642913731308</v>
      </c>
      <c r="I262" s="5">
        <f t="shared" si="16"/>
        <v>812.32798092957273</v>
      </c>
      <c r="J262" t="str">
        <f t="shared" si="15"/>
        <v/>
      </c>
    </row>
    <row r="263" spans="3:10" x14ac:dyDescent="0.25">
      <c r="C263" s="11">
        <f t="shared" si="13"/>
        <v>1.0583333333333333</v>
      </c>
      <c r="D263" s="13">
        <f t="shared" si="14"/>
        <v>91440</v>
      </c>
      <c r="E263" s="12">
        <f t="array" ref="E263:H263">DatosSiguientes(MasaK21,G262,H262,E262,F262,h)</f>
        <v>72391011.276898786</v>
      </c>
      <c r="F263" s="12">
        <v>44827267.810717091</v>
      </c>
      <c r="G263" s="9">
        <v>-18.460109288071113</v>
      </c>
      <c r="H263" s="5">
        <v>801.91260726080452</v>
      </c>
      <c r="I263" s="5">
        <f t="shared" si="16"/>
        <v>802.12505591007994</v>
      </c>
      <c r="J263" t="str">
        <f t="shared" si="15"/>
        <v/>
      </c>
    </row>
    <row r="264" spans="3:10" x14ac:dyDescent="0.25">
      <c r="C264" s="11">
        <f t="shared" si="13"/>
        <v>1.0625</v>
      </c>
      <c r="D264" s="13">
        <f t="shared" si="14"/>
        <v>91800</v>
      </c>
      <c r="E264" s="12">
        <f t="array" ref="E264:H264">DatosSiguientes(MasaK21,G263,H263,E263,F263,h)</f>
        <v>72381344.519205987</v>
      </c>
      <c r="F264" s="12">
        <v>45114079.452922441</v>
      </c>
      <c r="G264" s="9">
        <v>-35.244100116391678</v>
      </c>
      <c r="H264" s="5">
        <v>791.48540499115234</v>
      </c>
      <c r="I264" s="5">
        <f t="shared" si="16"/>
        <v>792.26970969930608</v>
      </c>
      <c r="J264" t="str">
        <f t="shared" si="15"/>
        <v/>
      </c>
    </row>
    <row r="265" spans="3:10" x14ac:dyDescent="0.25">
      <c r="C265" s="11">
        <f t="shared" si="13"/>
        <v>1.0666666666666667</v>
      </c>
      <c r="D265" s="13">
        <f t="shared" si="14"/>
        <v>92160</v>
      </c>
      <c r="E265" s="12">
        <f t="array" ref="E265:H265">DatosSiguientes(MasaK21,G264,H264,E264,F264,h)</f>
        <v>72365650.887591094</v>
      </c>
      <c r="F265" s="12">
        <v>45397134.685549699</v>
      </c>
      <c r="G265" s="9">
        <v>-51.942742188611007</v>
      </c>
      <c r="H265" s="5">
        <v>781.04366516027096</v>
      </c>
      <c r="I265" s="5">
        <f t="shared" si="16"/>
        <v>782.76896677951015</v>
      </c>
      <c r="J265" t="str">
        <f t="shared" si="15"/>
        <v/>
      </c>
    </row>
    <row r="266" spans="3:10" x14ac:dyDescent="0.25">
      <c r="C266" s="11">
        <f t="shared" ref="C266:C329" si="17">D266/86400</f>
        <v>1.0708333333333333</v>
      </c>
      <c r="D266" s="13">
        <f t="shared" ref="D266:D329" si="18">h+D265</f>
        <v>92520</v>
      </c>
      <c r="E266" s="12">
        <f t="array" ref="E266:H266">DatosSiguientes(MasaK21,G265,H265,E265,F265,h)</f>
        <v>72343960.585667476</v>
      </c>
      <c r="F266" s="12">
        <v>45676428.065659985</v>
      </c>
      <c r="G266" s="9">
        <v>-68.558935164828682</v>
      </c>
      <c r="H266" s="5">
        <v>770.58622434133906</v>
      </c>
      <c r="I266" s="5">
        <f t="shared" si="16"/>
        <v>773.63005159803333</v>
      </c>
      <c r="J266" t="str">
        <f t="shared" ref="J266:J329" si="19">IF(I266=$I$8,"&lt;--------&lt;&lt;&lt;","")</f>
        <v/>
      </c>
    </row>
    <row r="267" spans="3:10" x14ac:dyDescent="0.25">
      <c r="C267" s="11">
        <f t="shared" si="17"/>
        <v>1.075</v>
      </c>
      <c r="D267" s="13">
        <f t="shared" si="18"/>
        <v>92880</v>
      </c>
      <c r="E267" s="12">
        <f t="array" ref="E267:H267">DatosSiguientes(MasaK21,G266,H266,E266,F266,h)</f>
        <v>72316302.784260646</v>
      </c>
      <c r="F267" s="12">
        <v>45951953.730243348</v>
      </c>
      <c r="G267" s="9">
        <v>-85.095517095300863</v>
      </c>
      <c r="H267" s="5">
        <v>760.11191223290507</v>
      </c>
      <c r="I267" s="5">
        <f t="shared" si="16"/>
        <v>764.86035728626973</v>
      </c>
      <c r="J267" t="str">
        <f t="shared" si="19"/>
        <v/>
      </c>
    </row>
    <row r="268" spans="3:10" x14ac:dyDescent="0.25">
      <c r="C268" s="11">
        <f t="shared" si="17"/>
        <v>1.0791666666666666</v>
      </c>
      <c r="D268" s="13">
        <f t="shared" si="18"/>
        <v>93240</v>
      </c>
      <c r="E268" s="12">
        <f t="array" ref="E268:H268">DatosSiguientes(MasaK21,G267,H267,E267,F267,h)</f>
        <v>72282705.643071994</v>
      </c>
      <c r="F268" s="12">
        <v>46223705.393630795</v>
      </c>
      <c r="G268" s="9">
        <v>-101.55526728610232</v>
      </c>
      <c r="H268" s="5">
        <v>749.61955103069738</v>
      </c>
      <c r="I268" s="5">
        <f t="shared" si="16"/>
        <v>756.46741079904825</v>
      </c>
      <c r="J268" t="str">
        <f t="shared" si="19"/>
        <v/>
      </c>
    </row>
    <row r="269" spans="3:10" x14ac:dyDescent="0.25">
      <c r="C269" s="11">
        <f t="shared" si="17"/>
        <v>1.0833333333333333</v>
      </c>
      <c r="D269" s="13">
        <f t="shared" si="18"/>
        <v>93600</v>
      </c>
      <c r="E269" s="12">
        <f t="array" ref="E269:H269">DatosSiguientes(MasaK21,G268,H268,E268,F268,h)</f>
        <v>72243196.331331283</v>
      </c>
      <c r="F269" s="12">
        <v>46491676.34467791</v>
      </c>
      <c r="G269" s="9">
        <v>-117.94090905114813</v>
      </c>
      <c r="H269" s="5">
        <v>739.10795478662374</v>
      </c>
      <c r="I269" s="5">
        <f t="shared" ref="I269:I332" si="20">SQRT(G269^2+H269^2)</f>
        <v>748.45883444360322</v>
      </c>
      <c r="J269" t="str">
        <f t="shared" si="19"/>
        <v/>
      </c>
    </row>
    <row r="270" spans="3:10" x14ac:dyDescent="0.25">
      <c r="C270" s="11">
        <f t="shared" si="17"/>
        <v>1.0874999999999999</v>
      </c>
      <c r="D270" s="13">
        <f t="shared" si="18"/>
        <v>93960</v>
      </c>
      <c r="E270" s="12">
        <f t="array" ref="E270:H270">DatosSiguientes(MasaK21,G269,H269,E269,F269,h)</f>
        <v>72197801.047477752</v>
      </c>
      <c r="F270" s="12">
        <v>46755859.443715289</v>
      </c>
      <c r="G270" s="9">
        <v>-134.25511235737125</v>
      </c>
      <c r="H270" s="5">
        <v>728.57592875438786</v>
      </c>
      <c r="I270" s="5">
        <f t="shared" si="20"/>
        <v>740.84230383692943</v>
      </c>
      <c r="J270" t="str">
        <f t="shared" si="19"/>
        <v/>
      </c>
    </row>
    <row r="271" spans="3:10" x14ac:dyDescent="0.25">
      <c r="C271" s="11">
        <f t="shared" si="17"/>
        <v>1.0916666666666666</v>
      </c>
      <c r="D271" s="13">
        <f t="shared" si="18"/>
        <v>94320</v>
      </c>
      <c r="E271" s="12">
        <f t="array" ref="E271:H271">DatosSiguientes(MasaK21,G270,H270,E270,F270,h)</f>
        <v>72146545.037906915</v>
      </c>
      <c r="F271" s="12">
        <v>47016247.119260877</v>
      </c>
      <c r="G271" s="9">
        <v>-150.50049636946088</v>
      </c>
      <c r="H271" s="5">
        <v>718.02226872110032</v>
      </c>
      <c r="I271" s="5">
        <f t="shared" si="20"/>
        <v>733.62550241035797</v>
      </c>
      <c r="J271" t="str">
        <f t="shared" si="19"/>
        <v/>
      </c>
    </row>
    <row r="272" spans="3:10" x14ac:dyDescent="0.25">
      <c r="C272" s="11">
        <f t="shared" si="17"/>
        <v>1.0958333333333334</v>
      </c>
      <c r="D272" s="13">
        <f t="shared" si="18"/>
        <v>94680</v>
      </c>
      <c r="E272" s="12">
        <f t="array" ref="E272:H272">DatosSiguientes(MasaK21,G271,H271,E271,F271,h)</f>
        <v>72089452.614818379</v>
      </c>
      <c r="F272" s="12">
        <v>47272831.364489034</v>
      </c>
      <c r="G272" s="9">
        <v>-166.67963190020376</v>
      </c>
      <c r="H272" s="5">
        <v>707.44576032420389</v>
      </c>
      <c r="I272" s="5">
        <f t="shared" si="20"/>
        <v>726.81607266974936</v>
      </c>
      <c r="J272" t="str">
        <f t="shared" si="19"/>
        <v/>
      </c>
    </row>
    <row r="273" spans="3:10" x14ac:dyDescent="0.25">
      <c r="C273" s="11">
        <f t="shared" si="17"/>
        <v>1.1000000000000001</v>
      </c>
      <c r="D273" s="13">
        <f t="shared" si="18"/>
        <v>95040</v>
      </c>
      <c r="E273" s="12">
        <f t="array" ref="E273:H273">DatosSiguientes(MasaK21,G272,H272,E272,F272,h)</f>
        <v>72026547.173197359</v>
      </c>
      <c r="F273" s="12">
        <v>47525603.733450927</v>
      </c>
      <c r="G273" s="9">
        <v>-182.79504377213445</v>
      </c>
      <c r="H273" s="5">
        <v>696.84517835298311</v>
      </c>
      <c r="I273" s="5">
        <f t="shared" si="20"/>
        <v>720.42156451723281</v>
      </c>
      <c r="J273" t="str">
        <f t="shared" si="19"/>
        <v/>
      </c>
    </row>
    <row r="274" spans="3:10" x14ac:dyDescent="0.25">
      <c r="C274" s="11">
        <f t="shared" si="17"/>
        <v>1.1041666666666667</v>
      </c>
      <c r="D274" s="13">
        <f t="shared" si="18"/>
        <v>95400</v>
      </c>
      <c r="E274" s="12">
        <f t="array" ref="E274:H274">DatosSiguientes(MasaK21,G273,H273,E273,F273,h)</f>
        <v>71957851.20696111</v>
      </c>
      <c r="F274" s="12">
        <v>47774555.337040558</v>
      </c>
      <c r="G274" s="9">
        <v>-198.84921309588958</v>
      </c>
      <c r="H274" s="5">
        <v>686.21928603387221</v>
      </c>
      <c r="I274" s="5">
        <f t="shared" si="20"/>
        <v>714.44938104367611</v>
      </c>
      <c r="J274" t="str">
        <f t="shared" si="19"/>
        <v/>
      </c>
    </row>
    <row r="275" spans="3:10" x14ac:dyDescent="0.25">
      <c r="C275" s="11">
        <f t="shared" si="17"/>
        <v>1.1083333333333334</v>
      </c>
      <c r="D275" s="13">
        <f t="shared" si="18"/>
        <v>95760</v>
      </c>
      <c r="E275" s="12">
        <f t="array" ref="E275:H275">DatosSiguientes(MasaK21,G274,H274,E274,F274,h)</f>
        <v>71883386.324299186</v>
      </c>
      <c r="F275" s="12">
        <v>48019676.838700429</v>
      </c>
      <c r="G275" s="9">
        <v>-214.84457947037231</v>
      </c>
      <c r="H275" s="5">
        <v>675.56683429872248</v>
      </c>
      <c r="I275" s="5">
        <f t="shared" si="20"/>
        <v>708.90672230710209</v>
      </c>
      <c r="J275" t="str">
        <f t="shared" si="19"/>
        <v/>
      </c>
    </row>
    <row r="276" spans="3:10" x14ac:dyDescent="0.25">
      <c r="C276" s="11">
        <f t="shared" si="17"/>
        <v>1.1125</v>
      </c>
      <c r="D276" s="13">
        <f t="shared" si="18"/>
        <v>96120</v>
      </c>
      <c r="E276" s="12">
        <f t="array" ref="E276:H276">DatosSiguientes(MasaK21,G275,H275,E275,F275,h)</f>
        <v>71803173.262234792</v>
      </c>
      <c r="F276" s="12">
        <v>48260958.449860521</v>
      </c>
      <c r="G276" s="9">
        <v>-230.78354310956652</v>
      </c>
      <c r="H276" s="5">
        <v>664.88656103513529</v>
      </c>
      <c r="I276" s="5">
        <f t="shared" si="20"/>
        <v>703.80052771743067</v>
      </c>
      <c r="J276" t="str">
        <f t="shared" si="19"/>
        <v/>
      </c>
    </row>
    <row r="277" spans="3:10" x14ac:dyDescent="0.25">
      <c r="C277" s="11">
        <f t="shared" si="17"/>
        <v>1.1166666666666667</v>
      </c>
      <c r="D277" s="13">
        <f t="shared" si="18"/>
        <v>96480</v>
      </c>
      <c r="E277" s="12">
        <f t="array" ref="E277:H277">DatosSiguientes(MasaK21,G276,H276,E276,F276,h)</f>
        <v>71717231.900432959</v>
      </c>
      <c r="F277" s="12">
        <v>48498389.925104067</v>
      </c>
      <c r="G277" s="9">
        <v>-246.66846690059279</v>
      </c>
      <c r="H277" s="5">
        <v>654.17719031790989</v>
      </c>
      <c r="I277" s="5">
        <f t="shared" si="20"/>
        <v>699.13741774798734</v>
      </c>
      <c r="J277" t="str">
        <f t="shared" si="19"/>
        <v/>
      </c>
    </row>
    <row r="278" spans="3:10" x14ac:dyDescent="0.25">
      <c r="C278" s="11">
        <f t="shared" si="17"/>
        <v>1.1208333333333333</v>
      </c>
      <c r="D278" s="13">
        <f t="shared" si="18"/>
        <v>96840</v>
      </c>
      <c r="E278" s="12">
        <f t="array" ref="E278:H278">DatosSiguientes(MasaK21,G277,H277,E277,F277,h)</f>
        <v>71625581.274279326</v>
      </c>
      <c r="F278" s="12">
        <v>48731960.557053</v>
      </c>
      <c r="G278" s="9">
        <v>-262.50167839736918</v>
      </c>
      <c r="H278" s="5">
        <v>643.43743162059855</v>
      </c>
      <c r="I278" s="5">
        <f t="shared" si="20"/>
        <v>694.92363578449988</v>
      </c>
      <c r="J278" t="str">
        <f t="shared" si="19"/>
        <v/>
      </c>
    </row>
    <row r="279" spans="3:10" x14ac:dyDescent="0.25">
      <c r="C279" s="11">
        <f t="shared" si="17"/>
        <v>1.125</v>
      </c>
      <c r="D279" s="13">
        <f t="shared" si="18"/>
        <v>97200</v>
      </c>
      <c r="E279" s="12">
        <f t="array" ref="E279:H279">DatosSiguientes(MasaK21,G278,H278,E278,F278,h)</f>
        <v>71528239.58725208</v>
      </c>
      <c r="F279" s="12">
        <v>48961659.170965806</v>
      </c>
      <c r="G279" s="9">
        <v>-278.28547175402838</v>
      </c>
      <c r="H279" s="5">
        <v>632.66597900610122</v>
      </c>
      <c r="I279" s="5">
        <f t="shared" si="20"/>
        <v>691.16499099788803</v>
      </c>
      <c r="J279" t="str">
        <f t="shared" si="19"/>
        <v/>
      </c>
    </row>
    <row r="280" spans="3:10" x14ac:dyDescent="0.25">
      <c r="C280" s="11">
        <f t="shared" si="17"/>
        <v>1.1291666666666667</v>
      </c>
      <c r="D280" s="13">
        <f t="shared" si="18"/>
        <v>97560</v>
      </c>
      <c r="E280" s="12">
        <f t="array" ref="E280:H280">DatosSiguientes(MasaK21,G279,H279,E279,F279,h)</f>
        <v>71425224.222607985</v>
      </c>
      <c r="F280" s="12">
        <v>49187474.119040035</v>
      </c>
      <c r="G280" s="9">
        <v>-294.02210960204729</v>
      </c>
      <c r="H280" s="5">
        <v>621.86151029517077</v>
      </c>
      <c r="I280" s="5">
        <f t="shared" si="20"/>
        <v>687.86680318316644</v>
      </c>
      <c r="J280" t="str">
        <f t="shared" si="19"/>
        <v/>
      </c>
    </row>
    <row r="281" spans="3:10" x14ac:dyDescent="0.25">
      <c r="C281" s="11">
        <f t="shared" si="17"/>
        <v>1.1333333333333333</v>
      </c>
      <c r="D281" s="13">
        <f t="shared" si="18"/>
        <v>97920</v>
      </c>
      <c r="E281" s="12">
        <f t="array" ref="E281:H281">DatosSiguientes(MasaK21,G280,H280,E280,F280,h)</f>
        <v>71316551.754402146</v>
      </c>
      <c r="F281" s="12">
        <v>49409393.274411261</v>
      </c>
      <c r="G281" s="9">
        <v>-309.71382487486403</v>
      </c>
      <c r="H281" s="5">
        <v>611.02268621163489</v>
      </c>
      <c r="I281" s="5">
        <f t="shared" si="20"/>
        <v>685.03385053871614</v>
      </c>
      <c r="J281" t="str">
        <f t="shared" si="19"/>
        <v/>
      </c>
    </row>
    <row r="282" spans="3:10" x14ac:dyDescent="0.25">
      <c r="C282" s="11">
        <f t="shared" si="17"/>
        <v>1.1375</v>
      </c>
      <c r="D282" s="13">
        <f t="shared" si="18"/>
        <v>98280</v>
      </c>
      <c r="E282" s="12">
        <f t="array" ref="E282:H282">DatosSiguientes(MasaK21,G281,H281,E281,F281,h)</f>
        <v>71202237.95785962</v>
      </c>
      <c r="F282" s="12">
        <v>49627404.024839908</v>
      </c>
      <c r="G282" s="9">
        <v>-325.36282258359137</v>
      </c>
      <c r="H282" s="5">
        <v>600.1481495030755</v>
      </c>
      <c r="I282" s="5">
        <f t="shared" si="20"/>
        <v>682.67032136422006</v>
      </c>
      <c r="J282" t="str">
        <f t="shared" si="19"/>
        <v/>
      </c>
    </row>
    <row r="283" spans="3:10" x14ac:dyDescent="0.25">
      <c r="C283" s="11">
        <f t="shared" si="17"/>
        <v>1.1416666666666666</v>
      </c>
      <c r="D283" s="13">
        <f t="shared" si="18"/>
        <v>98640</v>
      </c>
      <c r="E283" s="12">
        <f t="array" ref="E283:H283">DatosSiguientes(MasaK21,G282,H282,E282,F282,h)</f>
        <v>71082297.819116056</v>
      </c>
      <c r="F283" s="12">
        <v>49841493.266076878</v>
      </c>
      <c r="G283" s="9">
        <v>-340.97128154728188</v>
      </c>
      <c r="H283" s="5">
        <v>589.23652403563437</v>
      </c>
      <c r="I283" s="5">
        <f t="shared" si="20"/>
        <v>680.77977062894024</v>
      </c>
      <c r="J283" t="str">
        <f t="shared" si="19"/>
        <v/>
      </c>
    </row>
    <row r="284" spans="3:10" x14ac:dyDescent="0.25">
      <c r="C284" s="11">
        <f t="shared" si="17"/>
        <v>1.1458333333333333</v>
      </c>
      <c r="D284" s="13">
        <f t="shared" si="18"/>
        <v>99000</v>
      </c>
      <c r="E284" s="12">
        <f t="array" ref="E284:H284">DatosSiguientes(MasaK21,G283,H283,E283,F283,h)</f>
        <v>70956745.54434295</v>
      </c>
      <c r="F284" s="12">
        <v>50051647.39489837</v>
      </c>
      <c r="G284" s="9">
        <v>-356.54135608105963</v>
      </c>
      <c r="H284" s="5">
        <v>578.28641386154243</v>
      </c>
      <c r="I284" s="5">
        <f t="shared" si="20"/>
        <v>679.36508230329594</v>
      </c>
      <c r="J284" t="str">
        <f t="shared" si="19"/>
        <v/>
      </c>
    </row>
    <row r="285" spans="3:10" x14ac:dyDescent="0.25">
      <c r="C285" s="11">
        <f t="shared" si="17"/>
        <v>1.1499999999999999</v>
      </c>
      <c r="D285" s="13">
        <f t="shared" si="18"/>
        <v>99360</v>
      </c>
      <c r="E285" s="12">
        <f t="array" ref="E285:H285">DatosSiguientes(MasaK21,G284,H284,E284,F284,h)</f>
        <v>70825594.568272203</v>
      </c>
      <c r="F285" s="12">
        <v>50257852.301799871</v>
      </c>
      <c r="G285" s="9">
        <v>-372.07517764530388</v>
      </c>
      <c r="H285" s="5">
        <v>567.29640225789103</v>
      </c>
      <c r="I285" s="5">
        <f t="shared" si="20"/>
        <v>678.42843825604143</v>
      </c>
      <c r="J285" t="str">
        <f t="shared" si="19"/>
        <v/>
      </c>
    </row>
    <row r="286" spans="3:10" x14ac:dyDescent="0.25">
      <c r="C286" s="11">
        <f t="shared" si="17"/>
        <v>1.1541666666666666</v>
      </c>
      <c r="D286" s="13">
        <f t="shared" si="18"/>
        <v>99720</v>
      </c>
      <c r="E286" s="12">
        <f t="array" ref="E286:H286">DatosSiguientes(MasaK21,G285,H285,E285,F285,h)</f>
        <v>70688857.562133431</v>
      </c>
      <c r="F286" s="12">
        <v>50460093.363338605</v>
      </c>
      <c r="G286" s="9">
        <v>-387.57485645895201</v>
      </c>
      <c r="H286" s="5">
        <v>556.26505073508349</v>
      </c>
      <c r="I286" s="5">
        <f t="shared" si="20"/>
        <v>677.97129439857724</v>
      </c>
      <c r="J286" t="str">
        <f t="shared" si="19"/>
        <v/>
      </c>
    </row>
    <row r="287" spans="3:10" x14ac:dyDescent="0.25">
      <c r="C287" s="11">
        <f t="shared" si="17"/>
        <v>1.1583333333333334</v>
      </c>
      <c r="D287" s="13">
        <f t="shared" si="18"/>
        <v>100080</v>
      </c>
      <c r="E287" s="12">
        <f t="array" ref="E287:H287">DatosSiguientes(MasaK21,G286,H286,E286,F286,h)</f>
        <v>70546546.441016436</v>
      </c>
      <c r="F287" s="12">
        <v>50658355.434113316</v>
      </c>
      <c r="G287" s="9">
        <v>-403.04248307988212</v>
      </c>
      <c r="H287" s="5">
        <v>545.19089801331904</v>
      </c>
      <c r="I287" s="5">
        <f t="shared" si="20"/>
        <v>677.99436461062589</v>
      </c>
      <c r="J287" t="str">
        <f t="shared" si="19"/>
        <v/>
      </c>
    </row>
    <row r="288" spans="3:10" x14ac:dyDescent="0.25">
      <c r="C288" s="11">
        <f t="shared" si="17"/>
        <v>1.1625000000000001</v>
      </c>
      <c r="D288" s="13">
        <f t="shared" si="18"/>
        <v>100440</v>
      </c>
      <c r="E288" s="12">
        <f t="array" ref="E288:H288">DatosSiguientes(MasaK21,G287,H287,E287,F287,h)</f>
        <v>70398672.37067011</v>
      </c>
      <c r="F288" s="12">
        <v>50852622.838369481</v>
      </c>
      <c r="G288" s="9">
        <v>-418.48012995523743</v>
      </c>
      <c r="H288" s="5">
        <v>534.07245896537029</v>
      </c>
      <c r="I288" s="5">
        <f t="shared" si="20"/>
        <v>678.49761281280098</v>
      </c>
      <c r="J288" t="str">
        <f t="shared" si="19"/>
        <v/>
      </c>
    </row>
    <row r="289" spans="3:10" x14ac:dyDescent="0.25">
      <c r="C289" s="11">
        <f t="shared" si="17"/>
        <v>1.1666666666666667</v>
      </c>
      <c r="D289" s="13">
        <f t="shared" si="18"/>
        <v>100800</v>
      </c>
      <c r="E289" s="12">
        <f t="array" ref="E289:H289">DatosSiguientes(MasaK21,G288,H288,E288,F288,h)</f>
        <v>70245245.773748159</v>
      </c>
      <c r="F289" s="12">
        <v>51042879.361217536</v>
      </c>
      <c r="G289" s="9">
        <v>-433.88985294446667</v>
      </c>
      <c r="H289" s="5">
        <v>522.90822352381883</v>
      </c>
      <c r="I289" s="5">
        <f t="shared" si="20"/>
        <v>679.48025336797457</v>
      </c>
      <c r="J289" t="str">
        <f t="shared" si="19"/>
        <v/>
      </c>
    </row>
    <row r="290" spans="3:10" x14ac:dyDescent="0.25">
      <c r="C290" s="11">
        <f t="shared" si="17"/>
        <v>1.1708333333333334</v>
      </c>
      <c r="D290" s="13">
        <f t="shared" si="18"/>
        <v>101160</v>
      </c>
      <c r="E290" s="12">
        <f t="array" ref="E290:H290">DatosSiguientes(MasaK21,G289,H289,E289,F289,h)</f>
        <v>70086276.335510954</v>
      </c>
      <c r="F290" s="12">
        <v>51229108.239450969</v>
      </c>
      <c r="G290" s="9">
        <v>-449.27369281777652</v>
      </c>
      <c r="H290" s="5">
        <v>511.69665555081264</v>
      </c>
      <c r="I290" s="5">
        <f t="shared" si="20"/>
        <v>680.94075980220839</v>
      </c>
      <c r="J290" t="str">
        <f t="shared" si="19"/>
        <v/>
      </c>
    </row>
    <row r="291" spans="3:10" x14ac:dyDescent="0.25">
      <c r="C291" s="11">
        <f t="shared" si="17"/>
        <v>1.175</v>
      </c>
      <c r="D291" s="13">
        <f t="shared" si="18"/>
        <v>101520</v>
      </c>
      <c r="E291" s="12">
        <f t="array" ref="E291:H291">DatosSiguientes(MasaK21,G290,H290,E290,F290,h)</f>
        <v>69921773.008991882</v>
      </c>
      <c r="F291" s="12">
        <v>51411292.151950411</v>
      </c>
      <c r="G291" s="9">
        <v>-464.63367673262064</v>
      </c>
      <c r="H291" s="5">
        <v>500.43619166830018</v>
      </c>
      <c r="I291" s="5">
        <f t="shared" si="20"/>
        <v>682.87688164525321</v>
      </c>
      <c r="J291" t="str">
        <f t="shared" si="19"/>
        <v/>
      </c>
    </row>
    <row r="292" spans="3:10" x14ac:dyDescent="0.25">
      <c r="C292" s="11">
        <f t="shared" si="17"/>
        <v>1.1791666666666667</v>
      </c>
      <c r="D292" s="13">
        <f t="shared" si="18"/>
        <v>101880</v>
      </c>
      <c r="E292" s="12">
        <f t="array" ref="E292:H292">DatosSiguientes(MasaK21,G291,H291,E291,F291,h)</f>
        <v>69751744.019635662</v>
      </c>
      <c r="F292" s="12">
        <v>51589413.209659092</v>
      </c>
      <c r="G292" s="9">
        <v>-479.97181969078929</v>
      </c>
      <c r="H292" s="5">
        <v>489.12524004658053</v>
      </c>
      <c r="I292" s="5">
        <f t="shared" si="20"/>
        <v>685.28566900812439</v>
      </c>
      <c r="J292" t="str">
        <f t="shared" si="19"/>
        <v/>
      </c>
    </row>
    <row r="293" spans="3:10" x14ac:dyDescent="0.25">
      <c r="C293" s="11">
        <f t="shared" si="17"/>
        <v>1.1833333333333333</v>
      </c>
      <c r="D293" s="13">
        <f t="shared" si="18"/>
        <v>102240</v>
      </c>
      <c r="E293" s="12">
        <f t="array" ref="E293:H293">DatosSiguientes(MasaK21,G292,H292,E292,F292,h)</f>
        <v>69576196.869415164</v>
      </c>
      <c r="F293" s="12">
        <v>51763452.945114277</v>
      </c>
      <c r="G293" s="9">
        <v>-495.29012597860873</v>
      </c>
      <c r="H293" s="5">
        <v>477.7621791488877</v>
      </c>
      <c r="I293" s="5">
        <f t="shared" si="20"/>
        <v>688.16350434834885</v>
      </c>
      <c r="J293" t="str">
        <f t="shared" si="19"/>
        <v/>
      </c>
    </row>
    <row r="294" spans="3:10" x14ac:dyDescent="0.25">
      <c r="C294" s="11">
        <f t="shared" si="17"/>
        <v>1.1875</v>
      </c>
      <c r="D294" s="13">
        <f t="shared" si="18"/>
        <v>102600</v>
      </c>
      <c r="E294" s="12">
        <f t="array" ref="E294:H294">DatosSiguientes(MasaK21,G293,H293,E293,F293,h)</f>
        <v>69395138.340432331</v>
      </c>
      <c r="F294" s="12">
        <v>51933392.301518403</v>
      </c>
      <c r="G294" s="9">
        <v>-510.59059059271482</v>
      </c>
      <c r="H294" s="5">
        <v>466.34535642959599</v>
      </c>
      <c r="I294" s="5">
        <f t="shared" si="20"/>
        <v>691.50614072852909</v>
      </c>
      <c r="J294" t="str">
        <f t="shared" si="19"/>
        <v/>
      </c>
    </row>
    <row r="295" spans="3:10" x14ac:dyDescent="0.25">
      <c r="C295" s="11">
        <f t="shared" si="17"/>
        <v>1.1916666666666667</v>
      </c>
      <c r="D295" s="13">
        <f t="shared" si="18"/>
        <v>102960</v>
      </c>
      <c r="E295" s="12">
        <f t="array" ref="E295:H295">DatosSiguientes(MasaK21,G294,H294,E294,F294,h)</f>
        <v>69208574.498007953</v>
      </c>
      <c r="F295" s="12">
        <v>52099211.621332757</v>
      </c>
      <c r="G295" s="9">
        <v>-525.87520065382569</v>
      </c>
      <c r="H295" s="5">
        <v>454.87308698349545</v>
      </c>
      <c r="I295" s="5">
        <f t="shared" si="20"/>
        <v>695.30874575586643</v>
      </c>
      <c r="J295" t="str">
        <f t="shared" si="19"/>
        <v/>
      </c>
    </row>
    <row r="296" spans="3:10" x14ac:dyDescent="0.25">
      <c r="C296" s="11">
        <f t="shared" si="17"/>
        <v>1.1958333333333333</v>
      </c>
      <c r="D296" s="13">
        <f t="shared" si="18"/>
        <v>103320</v>
      </c>
      <c r="E296" s="12">
        <f t="array" ref="E296:H296">DatosSiguientes(MasaK21,G295,H295,E295,F295,h)</f>
        <v>69016510.693264306</v>
      </c>
      <c r="F296" s="12">
        <v>52260890.634375602</v>
      </c>
      <c r="G296" s="9">
        <v>-541.14593681090923</v>
      </c>
      <c r="H296" s="5">
        <v>443.34365214343711</v>
      </c>
      <c r="I296" s="5">
        <f t="shared" si="20"/>
        <v>699.56595030264123</v>
      </c>
      <c r="J296" t="str">
        <f t="shared" si="19"/>
        <v/>
      </c>
    </row>
    <row r="297" spans="3:10" x14ac:dyDescent="0.25">
      <c r="C297" s="11">
        <f t="shared" si="17"/>
        <v>1.2</v>
      </c>
      <c r="D297" s="13">
        <f t="shared" si="18"/>
        <v>103680</v>
      </c>
      <c r="E297" s="12">
        <f t="array" ref="E297:H297">DatosSiguientes(MasaK21,G296,H296,E296,F296,h)</f>
        <v>68818951.565203488</v>
      </c>
      <c r="F297" s="12">
        <v>52418408.445405647</v>
      </c>
      <c r="G297" s="9">
        <v>-556.40477463811601</v>
      </c>
      <c r="H297" s="5">
        <v>431.75529802349115</v>
      </c>
      <c r="I297" s="5">
        <f t="shared" si="20"/>
        <v>704.27190105203431</v>
      </c>
      <c r="J297" t="str">
        <f t="shared" si="19"/>
        <v/>
      </c>
    </row>
    <row r="298" spans="3:10" x14ac:dyDescent="0.25">
      <c r="C298" s="11">
        <f t="shared" si="17"/>
        <v>1.2041666666666666</v>
      </c>
      <c r="D298" s="13">
        <f t="shared" si="18"/>
        <v>104040</v>
      </c>
      <c r="E298" s="12">
        <f t="array" ref="E298:H298">DatosSiguientes(MasaK21,G297,H297,E297,F297,h)</f>
        <v>68615901.042283803</v>
      </c>
      <c r="F298" s="12">
        <v>52571743.521170706</v>
      </c>
      <c r="G298" s="9">
        <v>-571.65368602683407</v>
      </c>
      <c r="H298" s="5">
        <v>420.10623400459127</v>
      </c>
      <c r="I298" s="5">
        <f t="shared" si="20"/>
        <v>709.420315890084</v>
      </c>
      <c r="J298" t="str">
        <f t="shared" si="19"/>
        <v/>
      </c>
    </row>
    <row r="299" spans="3:10" x14ac:dyDescent="0.25">
      <c r="C299" s="11">
        <f t="shared" si="17"/>
        <v>1.2083333333333333</v>
      </c>
      <c r="D299" s="13">
        <f t="shared" si="18"/>
        <v>104400</v>
      </c>
      <c r="E299" s="12">
        <f t="array" ref="E299:H299">DatosSiguientes(MasaK21,G298,H298,E298,F298,h)</f>
        <v>68407362.343495429</v>
      </c>
      <c r="F299" s="12">
        <v>52720873.676900238</v>
      </c>
      <c r="G299" s="9">
        <v>-586.89464057521081</v>
      </c>
      <c r="H299" s="5">
        <v>408.3946311594591</v>
      </c>
      <c r="I299" s="5">
        <f t="shared" si="20"/>
        <v>715.00454117143659</v>
      </c>
      <c r="J299" t="str">
        <f t="shared" si="19"/>
        <v/>
      </c>
    </row>
    <row r="300" spans="3:10" x14ac:dyDescent="0.25">
      <c r="C300" s="11">
        <f t="shared" si="17"/>
        <v>1.2124999999999999</v>
      </c>
      <c r="D300" s="13">
        <f t="shared" si="18"/>
        <v>104760</v>
      </c>
      <c r="E300" s="12">
        <f t="array" ref="E300:H300">DatosSiguientes(MasaK21,G299,H299,E299,F299,h)</f>
        <v>68193337.978935942</v>
      </c>
      <c r="F300" s="12">
        <v>52865776.062219352</v>
      </c>
      <c r="G300" s="9">
        <v>-602.12960697748815</v>
      </c>
      <c r="H300" s="5">
        <v>396.61862061340855</v>
      </c>
      <c r="I300" s="5">
        <f t="shared" si="20"/>
        <v>721.01760992096945</v>
      </c>
      <c r="J300" t="str">
        <f t="shared" si="19"/>
        <v/>
      </c>
    </row>
    <row r="301" spans="3:10" x14ac:dyDescent="0.25">
      <c r="C301" s="11">
        <f t="shared" si="17"/>
        <v>1.2166666666666666</v>
      </c>
      <c r="D301" s="13">
        <f t="shared" si="18"/>
        <v>105120</v>
      </c>
      <c r="E301" s="12">
        <f t="array" ref="E301:H301">DatosSiguientes(MasaK21,G300,H300,E300,F300,h)</f>
        <v>67973829.749885201</v>
      </c>
      <c r="F301" s="12">
        <v>53006427.146460503</v>
      </c>
      <c r="G301" s="9">
        <v>-617.36055441549968</v>
      </c>
      <c r="H301" s="5">
        <v>384.77629183742482</v>
      </c>
      <c r="I301" s="5">
        <f t="shared" si="20"/>
        <v>727.45230009147144</v>
      </c>
      <c r="J301" t="str">
        <f t="shared" si="19"/>
        <v/>
      </c>
    </row>
    <row r="302" spans="3:10" x14ac:dyDescent="0.25">
      <c r="C302" s="11">
        <f t="shared" si="17"/>
        <v>1.2208333333333334</v>
      </c>
      <c r="D302" s="13">
        <f t="shared" si="18"/>
        <v>105480</v>
      </c>
      <c r="E302" s="12">
        <f t="array" ref="E302:H302">DatosSiguientes(MasaK21,G301,H301,E301,F301,h)</f>
        <v>67748838.74837856</v>
      </c>
      <c r="F302" s="12">
        <v>53142802.703347787</v>
      </c>
      <c r="G302" s="9">
        <v>-632.58945395469345</v>
      </c>
      <c r="H302" s="5">
        <v>372.86569086969092</v>
      </c>
      <c r="I302" s="5">
        <f t="shared" si="20"/>
        <v>734.3011920747706</v>
      </c>
      <c r="J302" t="str">
        <f t="shared" si="19"/>
        <v/>
      </c>
    </row>
    <row r="303" spans="3:10" x14ac:dyDescent="0.25">
      <c r="C303" s="11">
        <f t="shared" si="17"/>
        <v>1.2250000000000001</v>
      </c>
      <c r="D303" s="13">
        <f t="shared" si="18"/>
        <v>105840</v>
      </c>
      <c r="E303" s="12">
        <f t="array" ref="E303:H303">DatosSiguientes(MasaK21,G302,H302,E302,F302,h)</f>
        <v>67518365.356276244</v>
      </c>
      <c r="F303" s="12">
        <v>53274877.795027398</v>
      </c>
      <c r="G303" s="9">
        <v>-647.81827994706271</v>
      </c>
      <c r="H303" s="5">
        <v>360.88481846149784</v>
      </c>
      <c r="I303" s="5">
        <f t="shared" si="20"/>
        <v>741.55672475513234</v>
      </c>
      <c r="J303" t="str">
        <f t="shared" si="19"/>
        <v/>
      </c>
    </row>
    <row r="304" spans="3:10" x14ac:dyDescent="0.25">
      <c r="C304" s="11">
        <f t="shared" si="17"/>
        <v>1.2291666666666667</v>
      </c>
      <c r="D304" s="13">
        <f t="shared" si="18"/>
        <v>106200</v>
      </c>
      <c r="E304" s="12">
        <f t="array" ref="E304:H304">DatosSiguientes(MasaK21,G303,H303,E303,F303,h)</f>
        <v>67282409.243825957</v>
      </c>
      <c r="F304" s="12">
        <v>53402626.755416244</v>
      </c>
      <c r="G304" s="9">
        <v>-663.04901144339453</v>
      </c>
      <c r="H304" s="5">
        <v>348.83162814322111</v>
      </c>
      <c r="I304" s="5">
        <f t="shared" si="20"/>
        <v>749.21124949450223</v>
      </c>
      <c r="J304" t="str">
        <f t="shared" si="19"/>
        <v/>
      </c>
    </row>
    <row r="305" spans="3:10" x14ac:dyDescent="0.25">
      <c r="C305" s="11">
        <f t="shared" si="17"/>
        <v>1.2333333333333334</v>
      </c>
      <c r="D305" s="13">
        <f t="shared" si="18"/>
        <v>106560</v>
      </c>
      <c r="E305" s="12">
        <f t="array" ref="E305:H305">DatosSiguientes(MasaK21,G304,H304,E304,F304,h)</f>
        <v>67040969.367715038</v>
      </c>
      <c r="F305" s="12">
        <v>53526023.17283906</v>
      </c>
      <c r="G305" s="9">
        <v>-678.28363361728111</v>
      </c>
      <c r="H305" s="5">
        <v>336.70402420577329</v>
      </c>
      <c r="I305" s="5">
        <f t="shared" si="20"/>
        <v>757.25708154458619</v>
      </c>
      <c r="J305" t="str">
        <f t="shared" si="19"/>
        <v/>
      </c>
    </row>
    <row r="306" spans="3:10" x14ac:dyDescent="0.25">
      <c r="C306" s="11">
        <f t="shared" si="17"/>
        <v>1.2375</v>
      </c>
      <c r="D306" s="13">
        <f t="shared" si="18"/>
        <v>106920</v>
      </c>
      <c r="E306" s="12">
        <f t="array" ref="E306:H306">DatosSiguientes(MasaK21,G305,H305,E305,F305,h)</f>
        <v>66794043.968607321</v>
      </c>
      <c r="F306" s="12">
        <v>53645039.871922776</v>
      </c>
      <c r="G306" s="9">
        <v>-693.52413920338063</v>
      </c>
      <c r="H306" s="5">
        <v>324.49985959265024</v>
      </c>
      <c r="I306" s="5">
        <f t="shared" si="20"/>
        <v>765.68654848667666</v>
      </c>
      <c r="J306" t="str">
        <f t="shared" si="19"/>
        <v/>
      </c>
    </row>
    <row r="307" spans="3:10" x14ac:dyDescent="0.25">
      <c r="C307" s="11">
        <f t="shared" si="17"/>
        <v>1.2416666666666667</v>
      </c>
      <c r="D307" s="13">
        <f t="shared" si="18"/>
        <v>107280</v>
      </c>
      <c r="E307" s="12">
        <f t="array" ref="E307:H307">DatosSiguientes(MasaK21,G306,H306,E306,F306,h)</f>
        <v>66541630.568159267</v>
      </c>
      <c r="F307" s="12">
        <v>53759648.894714981</v>
      </c>
      <c r="G307" s="9">
        <v>-708.77252995246636</v>
      </c>
      <c r="H307" s="5">
        <v>312.21693369737466</v>
      </c>
      <c r="I307" s="5">
        <f t="shared" si="20"/>
        <v>774.492035402954</v>
      </c>
      <c r="J307" t="str">
        <f t="shared" si="19"/>
        <v/>
      </c>
    </row>
    <row r="308" spans="3:10" x14ac:dyDescent="0.25">
      <c r="C308" s="11">
        <f t="shared" si="17"/>
        <v>1.2458333333333333</v>
      </c>
      <c r="D308" s="13">
        <f t="shared" si="18"/>
        <v>107640</v>
      </c>
      <c r="E308" s="12">
        <f t="array" ref="E308:H308">DatosSiguientes(MasaK21,G307,H307,E307,F307,h)</f>
        <v>66283725.965508766</v>
      </c>
      <c r="F308" s="12">
        <v>53869821.480991453</v>
      </c>
      <c r="G308" s="9">
        <v>-724.03081810585957</v>
      </c>
      <c r="H308" s="5">
        <v>299.85299006080254</v>
      </c>
      <c r="I308" s="5">
        <f t="shared" si="20"/>
        <v>783.66602657984606</v>
      </c>
      <c r="J308" t="str">
        <f t="shared" si="19"/>
        <v/>
      </c>
    </row>
    <row r="309" spans="3:10" x14ac:dyDescent="0.25">
      <c r="C309" s="11">
        <f t="shared" si="17"/>
        <v>1.25</v>
      </c>
      <c r="D309" s="13">
        <f t="shared" si="18"/>
        <v>108000</v>
      </c>
      <c r="E309" s="12">
        <f t="array" ref="E309:H309">DatosSiguientes(MasaK21,G308,H308,E308,F308,h)</f>
        <v>66020326.233229168</v>
      </c>
      <c r="F309" s="12">
        <v>53975528.047715627</v>
      </c>
      <c r="G309" s="9">
        <v>-739.30102789191017</v>
      </c>
      <c r="H309" s="5">
        <v>287.40571396239557</v>
      </c>
      <c r="I309" s="5">
        <f t="shared" si="20"/>
        <v>793.2011436327291</v>
      </c>
      <c r="J309" t="str">
        <f t="shared" si="19"/>
        <v/>
      </c>
    </row>
    <row r="310" spans="3:10" x14ac:dyDescent="0.25">
      <c r="C310" s="11">
        <f t="shared" si="17"/>
        <v>1.2541666666666667</v>
      </c>
      <c r="D310" s="13">
        <f t="shared" si="18"/>
        <v>108360</v>
      </c>
      <c r="E310" s="12">
        <f t="array" ref="E310:H310">DatosSiguientes(MasaK21,G309,H309,E309,F309,h)</f>
        <v>65751426.712740116</v>
      </c>
      <c r="F310" s="12">
        <v>54076738.167610712</v>
      </c>
      <c r="G310" s="9">
        <v>-754.58519704726484</v>
      </c>
      <c r="H310" s="5">
        <v>274.87272989917125</v>
      </c>
      <c r="I310" s="5">
        <f t="shared" si="20"/>
        <v>803.09018002032758</v>
      </c>
      <c r="J310" t="str">
        <f t="shared" si="19"/>
        <v/>
      </c>
    </row>
    <row r="311" spans="3:10" x14ac:dyDescent="0.25">
      <c r="C311" s="11">
        <f t="shared" si="17"/>
        <v>1.2583333333333333</v>
      </c>
      <c r="D311" s="13">
        <f t="shared" si="18"/>
        <v>108720</v>
      </c>
      <c r="E311" s="12">
        <f t="array" ref="E311:H311">DatosSiguientes(MasaK21,G310,H310,E310,F310,h)</f>
        <v>65477022.009165771</v>
      </c>
      <c r="F311" s="12">
        <v>54173420.546802774</v>
      </c>
      <c r="G311" s="9">
        <v>-769.88537836574778</v>
      </c>
      <c r="H311" s="5">
        <v>262.2515989456225</v>
      </c>
      <c r="I311" s="5">
        <f t="shared" si="20"/>
        <v>813.32613198575291</v>
      </c>
      <c r="J311" t="str">
        <f t="shared" si="19"/>
        <v/>
      </c>
    </row>
    <row r="312" spans="3:10" x14ac:dyDescent="0.25">
      <c r="C312" s="11">
        <f t="shared" si="17"/>
        <v>1.2625</v>
      </c>
      <c r="D312" s="13">
        <f t="shared" si="18"/>
        <v>109080</v>
      </c>
      <c r="E312" s="12">
        <f t="array" ref="E312:H312">DatosSiguientes(MasaK21,G311,H311,E311,F311,h)</f>
        <v>65197105.985629939</v>
      </c>
      <c r="F312" s="12">
        <v>54265543.001490727</v>
      </c>
      <c r="G312" s="9">
        <v>-785.2036412777735</v>
      </c>
      <c r="H312" s="5">
        <v>249.539815987444</v>
      </c>
      <c r="I312" s="5">
        <f t="shared" si="20"/>
        <v>823.90222601891412</v>
      </c>
      <c r="J312" t="str">
        <f t="shared" si="19"/>
        <v/>
      </c>
    </row>
    <row r="313" spans="3:10" x14ac:dyDescent="0.25">
      <c r="C313" s="11">
        <f t="shared" si="17"/>
        <v>1.2666666666666666</v>
      </c>
      <c r="D313" s="13">
        <f t="shared" si="18"/>
        <v>109440</v>
      </c>
      <c r="E313" s="12">
        <f t="array" ref="E313:H313">DatosSiguientes(MasaK21,G312,H312,E312,F312,h)</f>
        <v>64911671.756976545</v>
      </c>
      <c r="F313" s="12">
        <v>54353072.43359632</v>
      </c>
      <c r="G313" s="9">
        <v>-800.54207346331702</v>
      </c>
      <c r="H313" s="5">
        <v>236.73480682141488</v>
      </c>
      <c r="I313" s="5">
        <f t="shared" si="20"/>
        <v>834.81194298220214</v>
      </c>
      <c r="J313" t="str">
        <f t="shared" si="19"/>
        <v/>
      </c>
    </row>
    <row r="314" spans="3:10" x14ac:dyDescent="0.25">
      <c r="C314" s="11">
        <f t="shared" si="17"/>
        <v>1.2708333333333333</v>
      </c>
      <c r="D314" s="13">
        <f t="shared" si="18"/>
        <v>109800</v>
      </c>
      <c r="E314" s="12">
        <f t="array" ref="E314:H314">DatosSiguientes(MasaK21,G313,H313,E313,F313,h)</f>
        <v>64620711.682902865</v>
      </c>
      <c r="F314" s="12">
        <v>54435974.805344559</v>
      </c>
      <c r="G314" s="9">
        <v>-815.90278250158224</v>
      </c>
      <c r="H314" s="5">
        <v>223.83392511325903</v>
      </c>
      <c r="I314" s="5">
        <f t="shared" si="20"/>
        <v>846.04903907836945</v>
      </c>
      <c r="J314" t="str">
        <f t="shared" si="19"/>
        <v/>
      </c>
    </row>
    <row r="315" spans="3:10" x14ac:dyDescent="0.25">
      <c r="C315" s="11">
        <f t="shared" si="17"/>
        <v>1.2749999999999999</v>
      </c>
      <c r="D315" s="13">
        <f t="shared" si="18"/>
        <v>110160</v>
      </c>
      <c r="E315" s="12">
        <f t="array" ref="E315:H315">DatosSiguientes(MasaK21,G314,H314,E314,F314,h)</f>
        <v>64324217.360491663</v>
      </c>
      <c r="F315" s="12">
        <v>54514215.112721801</v>
      </c>
      <c r="G315" s="9">
        <v>-831.28789756063657</v>
      </c>
      <c r="H315" s="5">
        <v>210.83444920473488</v>
      </c>
      <c r="I315" s="5">
        <f t="shared" si="20"/>
        <v>857.607563867208</v>
      </c>
      <c r="J315" t="str">
        <f t="shared" si="19"/>
        <v/>
      </c>
    </row>
    <row r="316" spans="3:10" x14ac:dyDescent="0.25">
      <c r="C316" s="11">
        <f t="shared" si="17"/>
        <v>1.2791666666666666</v>
      </c>
      <c r="D316" s="13">
        <f t="shared" si="18"/>
        <v>110520</v>
      </c>
      <c r="E316" s="12">
        <f t="array" ref="E316:H316">DatosSiguientes(MasaK21,G315,H315,E315,F315,h)</f>
        <v>64022179.616127275</v>
      </c>
      <c r="F316" s="12">
        <v>54587757.357755557</v>
      </c>
      <c r="G316" s="9">
        <v>-846.69957113041846</v>
      </c>
      <c r="H316" s="5">
        <v>197.73357876059151</v>
      </c>
      <c r="I316" s="5">
        <f t="shared" si="20"/>
        <v>869.48187555687753</v>
      </c>
      <c r="J316" t="str">
        <f t="shared" si="19"/>
        <v/>
      </c>
    </row>
    <row r="317" spans="3:10" x14ac:dyDescent="0.25">
      <c r="C317" s="11">
        <f t="shared" si="17"/>
        <v>1.2833333333333334</v>
      </c>
      <c r="D317" s="13">
        <f t="shared" si="18"/>
        <v>110880</v>
      </c>
      <c r="E317" s="12">
        <f t="array" ref="E317:H317">DatosSiguientes(MasaK21,G316,H316,E316,F316,h)</f>
        <v>63714588.496779315</v>
      </c>
      <c r="F317" s="12">
        <v>54656564.519556627</v>
      </c>
      <c r="G317" s="9">
        <v>-862.13998080267777</v>
      </c>
      <c r="H317" s="5">
        <v>184.52843124536196</v>
      </c>
      <c r="I317" s="5">
        <f t="shared" si="20"/>
        <v>881.66665380761447</v>
      </c>
      <c r="J317" t="str">
        <f t="shared" si="19"/>
        <v/>
      </c>
    </row>
    <row r="318" spans="3:10" x14ac:dyDescent="0.25">
      <c r="C318" s="11">
        <f t="shared" si="17"/>
        <v>1.2875000000000001</v>
      </c>
      <c r="D318" s="13">
        <f t="shared" si="18"/>
        <v>111240</v>
      </c>
      <c r="E318" s="12">
        <f t="array" ref="E318:H318">DatosSiguientes(MasaK21,G317,H317,E317,F317,h)</f>
        <v>63401433.260636553</v>
      </c>
      <c r="F318" s="12">
        <v>54720598.524060257</v>
      </c>
      <c r="G318" s="9">
        <v>-877.6113311015722</v>
      </c>
      <c r="H318" s="5">
        <v>171.21603821924521</v>
      </c>
      <c r="I318" s="5">
        <f t="shared" si="20"/>
        <v>894.15691029112304</v>
      </c>
      <c r="J318" t="str">
        <f t="shared" si="19"/>
        <v/>
      </c>
    </row>
    <row r="319" spans="3:10" x14ac:dyDescent="0.25">
      <c r="C319" s="11">
        <f t="shared" si="17"/>
        <v>1.2916666666666667</v>
      </c>
      <c r="D319" s="13">
        <f t="shared" si="18"/>
        <v>111600</v>
      </c>
      <c r="E319" s="12">
        <f t="array" ref="E319:H319">DatosSiguientes(MasaK21,G318,H318,E318,F318,h)</f>
        <v>63082702.367071882</v>
      </c>
      <c r="F319" s="12">
        <v>54779820.2123992</v>
      </c>
      <c r="G319" s="9">
        <v>-893.11585536882478</v>
      </c>
      <c r="H319" s="5">
        <v>157.79334144154825</v>
      </c>
      <c r="I319" s="5">
        <f t="shared" si="20"/>
        <v>906.94799724927816</v>
      </c>
      <c r="J319" t="str">
        <f t="shared" si="19"/>
        <v/>
      </c>
    </row>
    <row r="320" spans="3:10" x14ac:dyDescent="0.25">
      <c r="C320" s="11">
        <f t="shared" si="17"/>
        <v>1.2958333333333334</v>
      </c>
      <c r="D320" s="13">
        <f t="shared" si="18"/>
        <v>111960</v>
      </c>
      <c r="E320" s="12">
        <f t="array" ref="E320:H320">DatosSiguientes(MasaK21,G319,H319,E319,F319,h)</f>
        <v>62758383.465918139</v>
      </c>
      <c r="F320" s="12">
        <v>54834189.307837158</v>
      </c>
      <c r="G320" s="9">
        <v>-908.65581770754181</v>
      </c>
      <c r="H320" s="5">
        <v>144.25718876931541</v>
      </c>
      <c r="I320" s="5">
        <f t="shared" si="20"/>
        <v>920.03561429185299</v>
      </c>
      <c r="J320" t="str">
        <f t="shared" si="19"/>
        <v/>
      </c>
    </row>
    <row r="321" spans="3:10" x14ac:dyDescent="0.25">
      <c r="C321" s="11">
        <f t="shared" si="17"/>
        <v>1.3</v>
      </c>
      <c r="D321" s="13">
        <f t="shared" si="18"/>
        <v>112320</v>
      </c>
      <c r="E321" s="12">
        <f t="array" ref="E321:H321">DatosSiguientes(MasaK21,G320,H320,E320,F320,h)</f>
        <v>62428463.38603276</v>
      </c>
      <c r="F321" s="12">
        <v>54883664.381186448</v>
      </c>
      <c r="G321" s="9">
        <v>-924.23351498900172</v>
      </c>
      <c r="H321" s="5">
        <v>130.60432983785523</v>
      </c>
      <c r="I321" s="5">
        <f t="shared" si="20"/>
        <v>933.41581366576418</v>
      </c>
      <c r="J321" t="str">
        <f t="shared" si="19"/>
        <v/>
      </c>
    </row>
    <row r="322" spans="3:10" x14ac:dyDescent="0.25">
      <c r="C322" s="11">
        <f t="shared" si="17"/>
        <v>1.3041666666666667</v>
      </c>
      <c r="D322" s="13">
        <f t="shared" si="18"/>
        <v>112680</v>
      </c>
      <c r="E322" s="12">
        <f t="array" ref="E322:H322">DatosSiguientes(MasaK21,G321,H321,E321,F321,h)</f>
        <v>62092928.123127885</v>
      </c>
      <c r="F322" s="12">
        <v>54928202.814628862</v>
      </c>
      <c r="G322" s="9">
        <v>-939.85127892695618</v>
      </c>
      <c r="H322" s="5">
        <v>116.83141150888201</v>
      </c>
      <c r="I322" s="5">
        <f t="shared" si="20"/>
        <v>947.08500421862504</v>
      </c>
      <c r="J322" t="str">
        <f t="shared" si="19"/>
        <v/>
      </c>
    </row>
    <row r="323" spans="3:10" x14ac:dyDescent="0.25">
      <c r="C323" s="11">
        <f t="shared" si="17"/>
        <v>1.3083333333333333</v>
      </c>
      <c r="D323" s="13">
        <f t="shared" si="18"/>
        <v>113040</v>
      </c>
      <c r="E323" s="12">
        <f t="array" ref="E323:H323">DatosSiguientes(MasaK21,G322,H322,E322,F322,h)</f>
        <v>61751762.826840669</v>
      </c>
      <c r="F323" s="12">
        <v>54967760.763853222</v>
      </c>
      <c r="G323" s="9">
        <v>-955.51147822423104</v>
      </c>
      <c r="H323" s="5">
        <v>102.93497307090796</v>
      </c>
      <c r="I323" s="5">
        <f t="shared" si="20"/>
        <v>961.03995426796052</v>
      </c>
      <c r="J323" t="str">
        <f t="shared" si="19"/>
        <v/>
      </c>
    </row>
    <row r="324" spans="3:10" x14ac:dyDescent="0.25">
      <c r="C324" s="11">
        <f t="shared" si="17"/>
        <v>1.3125</v>
      </c>
      <c r="D324" s="13">
        <f t="shared" si="18"/>
        <v>113400</v>
      </c>
      <c r="E324" s="12">
        <f t="array" ref="E324:H324">DatosSiguientes(MasaK21,G323,H323,E323,F323,h)</f>
        <v>61404951.787016906</v>
      </c>
      <c r="F324" s="12">
        <v>55002293.118417546</v>
      </c>
      <c r="G324" s="9">
        <v>-971.2165207966857</v>
      </c>
      <c r="H324" s="5">
        <v>88.911441175349239</v>
      </c>
      <c r="I324" s="5">
        <f t="shared" si="20"/>
        <v>975.27779357488532</v>
      </c>
      <c r="J324" t="str">
        <f t="shared" si="19"/>
        <v/>
      </c>
    </row>
    <row r="325" spans="3:10" x14ac:dyDescent="0.25">
      <c r="C325" s="11">
        <f t="shared" si="17"/>
        <v>1.3166666666666667</v>
      </c>
      <c r="D325" s="13">
        <f t="shared" si="18"/>
        <v>113760</v>
      </c>
      <c r="E325" s="12">
        <f t="array" ref="E325:H325">DatosSiguientes(MasaK21,G324,H324,E324,F324,h)</f>
        <v>61052478.419179127</v>
      </c>
      <c r="F325" s="12">
        <v>55031753.460237406</v>
      </c>
      <c r="G325" s="9">
        <v>-986.96885607987679</v>
      </c>
      <c r="H325" s="5">
        <v>74.757124490531311</v>
      </c>
      <c r="I325" s="5">
        <f t="shared" si="20"/>
        <v>989.79601460791571</v>
      </c>
      <c r="J325" t="str">
        <f t="shared" si="19"/>
        <v/>
      </c>
    </row>
    <row r="326" spans="3:10" x14ac:dyDescent="0.25">
      <c r="C326" s="11">
        <f t="shared" si="17"/>
        <v>1.3208333333333333</v>
      </c>
      <c r="D326" s="13">
        <f t="shared" si="18"/>
        <v>114120</v>
      </c>
      <c r="E326" s="12">
        <f t="array" ref="E326:H326">DatosSiguientes(MasaK21,G325,H325,E325,F325,h)</f>
        <v>60694325.249148414</v>
      </c>
      <c r="F326" s="12">
        <v>55056094.02009549</v>
      </c>
      <c r="G326" s="9">
        <v>-1002.7709774240896</v>
      </c>
      <c r="H326" s="5">
        <v>60.468208054388612</v>
      </c>
      <c r="I326" s="5">
        <f t="shared" si="20"/>
        <v>1004.5924732693217</v>
      </c>
      <c r="J326" t="str">
        <f t="shared" si="19"/>
        <v/>
      </c>
    </row>
    <row r="327" spans="3:10" x14ac:dyDescent="0.25">
      <c r="C327" s="11">
        <f t="shared" si="17"/>
        <v>1.325</v>
      </c>
      <c r="D327" s="13">
        <f t="shared" si="18"/>
        <v>114480</v>
      </c>
      <c r="E327" s="12">
        <f t="array" ref="E327:H327">DatosSiguientes(MasaK21,G326,H326,E326,F326,h)</f>
        <v>60330473.896787003</v>
      </c>
      <c r="F327" s="12">
        <v>55075265.632060207</v>
      </c>
      <c r="G327" s="9">
        <v>-1018.625424583736</v>
      </c>
      <c r="H327" s="5">
        <v>46.040747305138424</v>
      </c>
      <c r="I327" s="5">
        <f t="shared" si="20"/>
        <v>1019.6653892433596</v>
      </c>
      <c r="J327" t="str">
        <f t="shared" si="19"/>
        <v/>
      </c>
    </row>
    <row r="328" spans="3:10" x14ac:dyDescent="0.25">
      <c r="C328" s="11">
        <f t="shared" si="17"/>
        <v>1.3291666666666666</v>
      </c>
      <c r="D328" s="13">
        <f t="shared" si="18"/>
        <v>114840</v>
      </c>
      <c r="E328" s="12">
        <f t="array" ref="E328:H328">DatosSiguientes(MasaK21,G327,H327,E327,F327,h)</f>
        <v>59960905.058826581</v>
      </c>
      <c r="F328" s="12">
        <v>55089217.685693294</v>
      </c>
      <c r="G328" s="9">
        <v>-1034.5347863074885</v>
      </c>
      <c r="H328" s="5">
        <v>31.470661767555683</v>
      </c>
      <c r="I328" s="5">
        <f t="shared" si="20"/>
        <v>1035.0133461131643</v>
      </c>
      <c r="J328" t="str">
        <f t="shared" si="19"/>
        <v/>
      </c>
    </row>
    <row r="329" spans="3:10" x14ac:dyDescent="0.25">
      <c r="C329" s="11">
        <f t="shared" si="17"/>
        <v>1.3333333333333333</v>
      </c>
      <c r="D329" s="13">
        <f t="shared" si="18"/>
        <v>115200</v>
      </c>
      <c r="E329" s="12">
        <f t="array" ref="E329:H329">DatosSiguientes(MasaK21,G328,H328,E328,F328,h)</f>
        <v>59585598.49074477</v>
      </c>
      <c r="F329" s="12">
        <v>55097898.075918175</v>
      </c>
      <c r="G329" s="9">
        <v>-1050.5017030359113</v>
      </c>
      <c r="H329" s="5">
        <v>16.753728370671059</v>
      </c>
      <c r="I329" s="5">
        <f t="shared" si="20"/>
        <v>1050.6352913812045</v>
      </c>
      <c r="J329" t="str">
        <f t="shared" si="19"/>
        <v/>
      </c>
    </row>
    <row r="330" spans="3:10" x14ac:dyDescent="0.25">
      <c r="C330" s="11">
        <f t="shared" ref="C330:C393" si="21">D330/86400</f>
        <v>1.3374999999999999</v>
      </c>
      <c r="D330" s="13">
        <f t="shared" ref="D330:D393" si="22">h+D329</f>
        <v>115560</v>
      </c>
      <c r="E330" s="12">
        <f t="array" ref="E330:H330">DatosSiguientes(MasaK21,G329,H329,E329,F329,h)</f>
        <v>59204532.987649828</v>
      </c>
      <c r="F330" s="12">
        <v>55101253.150411628</v>
      </c>
      <c r="G330" s="9">
        <v>-1066.5288697137819</v>
      </c>
      <c r="H330" s="5">
        <v>1.8855743707429093</v>
      </c>
      <c r="I330" s="5">
        <f t="shared" si="20"/>
        <v>1066.5305365171992</v>
      </c>
      <c r="J330" t="str">
        <f t="shared" ref="J330:J393" si="23">IF(I330=$I$8,"&lt;--------&lt;&lt;&lt;","")</f>
        <v/>
      </c>
    </row>
    <row r="331" spans="3:10" x14ac:dyDescent="0.25">
      <c r="C331" s="11">
        <f t="shared" si="21"/>
        <v>1.3416666666666666</v>
      </c>
      <c r="D331" s="13">
        <f t="shared" si="22"/>
        <v>115920</v>
      </c>
      <c r="E331" s="12">
        <f t="array" ref="E331:H331">DatosSiguientes(MasaK21,G330,H330,E330,F330,h)</f>
        <v>58817686.364130892</v>
      </c>
      <c r="F331" s="12">
        <v>55099227.654371575</v>
      </c>
      <c r="G331" s="9">
        <v>-1082.6190387247557</v>
      </c>
      <c r="H331" s="5">
        <v>-13.138330148802932</v>
      </c>
      <c r="I331" s="5">
        <f t="shared" si="20"/>
        <v>1082.6987571473483</v>
      </c>
      <c r="J331" t="str">
        <f t="shared" si="23"/>
        <v/>
      </c>
    </row>
    <row r="332" spans="3:10" x14ac:dyDescent="0.25">
      <c r="C332" s="11">
        <f t="shared" si="21"/>
        <v>1.3458333333333334</v>
      </c>
      <c r="D332" s="13">
        <f t="shared" si="22"/>
        <v>116280</v>
      </c>
      <c r="E332" s="12">
        <f t="array" ref="E332:H332">DatosSiguientes(MasaK21,G331,H331,E331,F331,h)</f>
        <v>58425035.433028258</v>
      </c>
      <c r="F332" s="12">
        <v>55091764.672503188</v>
      </c>
      <c r="G332" s="9">
        <v>-1098.7750229565277</v>
      </c>
      <c r="H332" s="5">
        <v>-28.322680231132544</v>
      </c>
      <c r="I332" s="5">
        <f t="shared" si="20"/>
        <v>1099.1399934897252</v>
      </c>
      <c r="J332" t="str">
        <f t="shared" si="23"/>
        <v/>
      </c>
    </row>
    <row r="333" spans="3:10" x14ac:dyDescent="0.25">
      <c r="C333" s="11">
        <f t="shared" si="21"/>
        <v>1.35</v>
      </c>
      <c r="D333" s="13">
        <f t="shared" si="22"/>
        <v>116640</v>
      </c>
      <c r="E333" s="12">
        <f t="array" ref="E333:H333">DatosSiguientes(MasaK21,G332,H332,E332,F332,h)</f>
        <v>58026555.983075149</v>
      </c>
      <c r="F333" s="12">
        <v>55078805.568053976</v>
      </c>
      <c r="G333" s="9">
        <v>-1114.9996990051843</v>
      </c>
      <c r="H333" s="5">
        <v>-43.672344486716803</v>
      </c>
      <c r="I333" s="5">
        <f t="shared" ref="I333:I396" si="24">SQRT(G333^2+H333^2)</f>
        <v>1115.854651132762</v>
      </c>
      <c r="J333" t="str">
        <f t="shared" si="23"/>
        <v/>
      </c>
    </row>
    <row r="334" spans="3:10" x14ac:dyDescent="0.25">
      <c r="C334" s="11">
        <f t="shared" si="21"/>
        <v>1.3541666666666667</v>
      </c>
      <c r="D334" s="13">
        <f t="shared" si="22"/>
        <v>117000</v>
      </c>
      <c r="E334" s="12">
        <f t="array" ref="E334:H334">DatosSiguientes(MasaK21,G333,H333,E333,F333,h)</f>
        <v>57622222.755359173</v>
      </c>
      <c r="F334" s="12">
        <v>55060289.918716088</v>
      </c>
      <c r="G334" s="9">
        <v>-1131.296010528024</v>
      </c>
      <c r="H334" s="5">
        <v>-59.192374057090177</v>
      </c>
      <c r="I334" s="5">
        <f t="shared" si="24"/>
        <v>1132.8435022469509</v>
      </c>
      <c r="J334" t="str">
        <f t="shared" si="23"/>
        <v/>
      </c>
    </row>
    <row r="335" spans="3:10" x14ac:dyDescent="0.25">
      <c r="C335" s="11">
        <f t="shared" si="21"/>
        <v>1.3583333333333334</v>
      </c>
      <c r="D335" s="13">
        <f t="shared" si="22"/>
        <v>117360</v>
      </c>
      <c r="E335" s="12">
        <f t="array" ref="E335:H335">DatosSiguientes(MasaK21,G334,H334,E334,F334,h)</f>
        <v>57212009.418548271</v>
      </c>
      <c r="F335" s="12">
        <v>55036155.449200459</v>
      </c>
      <c r="G335" s="9">
        <v>-1147.6669717547541</v>
      </c>
      <c r="H335" s="5">
        <v>-74.888012140864362</v>
      </c>
      <c r="I335" s="5">
        <f t="shared" si="24"/>
        <v>1150.1076873141653</v>
      </c>
      <c r="J335" t="str">
        <f t="shared" si="23"/>
        <v/>
      </c>
    </row>
    <row r="336" spans="3:10" x14ac:dyDescent="0.25">
      <c r="C336" s="11">
        <f t="shared" si="21"/>
        <v>1.3625</v>
      </c>
      <c r="D336" s="13">
        <f t="shared" si="22"/>
        <v>117720</v>
      </c>
      <c r="E336" s="12">
        <f t="array" ref="E336:H336">DatosSiguientes(MasaK21,G335,H335,E335,F335,h)</f>
        <v>56795888.542822234</v>
      </c>
      <c r="F336" s="12">
        <v>55006337.96027267</v>
      </c>
      <c r="G336" s="9">
        <v>-1164.1156711676558</v>
      </c>
      <c r="H336" s="5">
        <v>-90.764704124631109</v>
      </c>
      <c r="I336" s="5">
        <f t="shared" si="24"/>
        <v>1167.6487174544206</v>
      </c>
      <c r="J336" t="str">
        <f t="shared" si="23"/>
        <v/>
      </c>
    </row>
    <row r="337" spans="3:10" x14ac:dyDescent="0.25">
      <c r="C337" s="11">
        <f t="shared" si="21"/>
        <v>1.3666666666666667</v>
      </c>
      <c r="D337" s="13">
        <f t="shared" si="22"/>
        <v>118080</v>
      </c>
      <c r="E337" s="12">
        <f t="array" ref="E337:H337">DatosSiguientes(MasaK21,G336,H336,E336,F336,h)</f>
        <v>56373831.57244689</v>
      </c>
      <c r="F337" s="12">
        <v>54970771.254024506</v>
      </c>
      <c r="G337" s="9">
        <v>-1180.6452753620495</v>
      </c>
      <c r="H337" s="5">
        <v>-106.82810836515841</v>
      </c>
      <c r="I337" s="5">
        <f t="shared" si="24"/>
        <v>1185.4684774263749</v>
      </c>
      <c r="J337" t="str">
        <f t="shared" si="23"/>
        <v/>
      </c>
    </row>
    <row r="338" spans="3:10" x14ac:dyDescent="0.25">
      <c r="C338" s="11">
        <f t="shared" si="21"/>
        <v>1.3708333333333333</v>
      </c>
      <c r="D338" s="13">
        <f t="shared" si="22"/>
        <v>118440</v>
      </c>
      <c r="E338" s="12">
        <f t="array" ref="E338:H338">DatosSiguientes(MasaK21,G337,H337,E337,F337,h)</f>
        <v>55945808.796923868</v>
      </c>
      <c r="F338" s="12">
        <v>54929387.05513756</v>
      </c>
      <c r="G338" s="9">
        <v>-1197.2590330991861</v>
      </c>
      <c r="H338" s="5">
        <v>-123.08410767343619</v>
      </c>
      <c r="I338" s="5">
        <f t="shared" si="24"/>
        <v>1203.5692293754289</v>
      </c>
      <c r="J338" t="str">
        <f t="shared" si="23"/>
        <v/>
      </c>
    </row>
    <row r="339" spans="3:10" x14ac:dyDescent="0.25">
      <c r="C339" s="11">
        <f t="shared" si="21"/>
        <v>1.375</v>
      </c>
      <c r="D339" s="13">
        <f t="shared" si="22"/>
        <v>118800</v>
      </c>
      <c r="E339" s="12">
        <f t="array" ref="E339:H339">DatosSiguientes(MasaK21,G338,H338,E338,F338,h)</f>
        <v>55511789.320644394</v>
      </c>
      <c r="F339" s="12">
        <v>54882114.927876316</v>
      </c>
      <c r="G339" s="9">
        <v>-1213.960279564564</v>
      </c>
      <c r="H339" s="5">
        <v>-139.5388215557075</v>
      </c>
      <c r="I339" s="5">
        <f t="shared" si="24"/>
        <v>1221.9536174019167</v>
      </c>
      <c r="J339" t="str">
        <f t="shared" si="23"/>
        <v/>
      </c>
    </row>
    <row r="340" spans="3:10" x14ac:dyDescent="0.25">
      <c r="C340" s="11">
        <f t="shared" si="21"/>
        <v>1.3791666666666667</v>
      </c>
      <c r="D340" s="13">
        <f t="shared" si="22"/>
        <v>119160</v>
      </c>
      <c r="E340" s="12">
        <f t="array" ref="E340:H340">DatosSiguientes(MasaK21,G339,H339,E339,F339,h)</f>
        <v>55071741.030970566</v>
      </c>
      <c r="F340" s="12">
        <v>54828882.18852739</v>
      </c>
      <c r="G340" s="9">
        <v>-1230.7524408455997</v>
      </c>
      <c r="H340" s="5">
        <v>-156.19861927167662</v>
      </c>
      <c r="I340" s="5">
        <f t="shared" si="24"/>
        <v>1240.6246730215305</v>
      </c>
      <c r="J340" t="str">
        <f t="shared" si="23"/>
        <v/>
      </c>
    </row>
    <row r="341" spans="3:10" x14ac:dyDescent="0.25">
      <c r="C341" s="11">
        <f t="shared" si="21"/>
        <v>1.3833333333333333</v>
      </c>
      <c r="D341" s="13">
        <f t="shared" si="22"/>
        <v>119520</v>
      </c>
      <c r="E341" s="12">
        <f t="array" ref="E341:H341">DatosSiguientes(MasaK21,G340,H340,E340,F340,h)</f>
        <v>54625630.564662509</v>
      </c>
      <c r="F341" s="12">
        <v>54769613.812978864</v>
      </c>
      <c r="G341" s="9">
        <v>-1247.6390386436003</v>
      </c>
      <c r="H341" s="5">
        <v>-173.07013377567486</v>
      </c>
      <c r="I341" s="5">
        <f t="shared" si="24"/>
        <v>1259.5858215908343</v>
      </c>
      <c r="J341" t="str">
        <f t="shared" si="23"/>
        <v/>
      </c>
    </row>
    <row r="342" spans="3:10" x14ac:dyDescent="0.25">
      <c r="C342" s="11">
        <f t="shared" si="21"/>
        <v>1.3875</v>
      </c>
      <c r="D342" s="13">
        <f t="shared" si="22"/>
        <v>119880</v>
      </c>
      <c r="E342" s="12">
        <f t="array" ref="E342:H342">DatosSiguientes(MasaK21,G341,H341,E341,F341,h)</f>
        <v>54173423.272564165</v>
      </c>
      <c r="F342" s="12">
        <v>54704232.339108944</v>
      </c>
      <c r="G342" s="9">
        <v>-1264.6236952360834</v>
      </c>
      <c r="H342" s="5">
        <v>-190.16027661274907</v>
      </c>
      <c r="I342" s="5">
        <f t="shared" si="24"/>
        <v>1278.8408897724548</v>
      </c>
      <c r="J342" t="str">
        <f t="shared" si="23"/>
        <v/>
      </c>
    </row>
    <row r="343" spans="3:10" x14ac:dyDescent="0.25">
      <c r="C343" s="11">
        <f t="shared" si="21"/>
        <v>1.3916666666666666</v>
      </c>
      <c r="D343" s="13">
        <f t="shared" si="22"/>
        <v>120240</v>
      </c>
      <c r="E343" s="12">
        <f t="array" ref="E343:H343">DatosSiguientes(MasaK21,G342,H342,E342,F342,h)</f>
        <v>53715083.182454467</v>
      </c>
      <c r="F343" s="12">
        <v>54632657.76362592</v>
      </c>
      <c r="G343" s="9">
        <v>-1281.7101387066796</v>
      </c>
      <c r="H343" s="5">
        <v>-207.47625384849201</v>
      </c>
      <c r="I343" s="5">
        <f t="shared" si="24"/>
        <v>1298.3941141173198</v>
      </c>
      <c r="J343" t="str">
        <f t="shared" si="23"/>
        <v/>
      </c>
    </row>
    <row r="344" spans="3:10" x14ac:dyDescent="0.25">
      <c r="C344" s="11">
        <f t="shared" si="21"/>
        <v>1.3958333333333333</v>
      </c>
      <c r="D344" s="13">
        <f t="shared" si="22"/>
        <v>120600</v>
      </c>
      <c r="E344" s="12">
        <f t="array" ref="E344:H344">DatosSiguientes(MasaK21,G343,H343,E343,F343,h)</f>
        <v>53250572.95996426</v>
      </c>
      <c r="F344" s="12">
        <v>54554807.432971768</v>
      </c>
      <c r="G344" s="9">
        <v>-1298.9022084611474</v>
      </c>
      <c r="H344" s="5">
        <v>-225.02558311903647</v>
      </c>
      <c r="I344" s="5">
        <f t="shared" si="24"/>
        <v>1318.2501508451683</v>
      </c>
      <c r="J344" t="str">
        <f t="shared" si="23"/>
        <v/>
      </c>
    </row>
    <row r="345" spans="3:10" x14ac:dyDescent="0.25">
      <c r="C345" s="11">
        <f t="shared" si="21"/>
        <v>1.4</v>
      </c>
      <c r="D345" s="13">
        <f t="shared" si="22"/>
        <v>120960</v>
      </c>
      <c r="E345" s="12">
        <f t="array" ref="E345:H345">DatosSiguientes(MasaK21,G344,H344,E344,F344,h)</f>
        <v>52779853.867452353</v>
      </c>
      <c r="F345" s="12">
        <v>54470595.927869044</v>
      </c>
      <c r="G345" s="9">
        <v>-1316.2038610494285</v>
      </c>
      <c r="H345" s="5">
        <v>-242.81611189608219</v>
      </c>
      <c r="I345" s="5">
        <f t="shared" si="24"/>
        <v>1338.4140869094863</v>
      </c>
      <c r="J345" t="str">
        <f t="shared" si="23"/>
        <v/>
      </c>
    </row>
    <row r="346" spans="3:10" x14ac:dyDescent="0.25">
      <c r="C346" s="11">
        <f t="shared" si="21"/>
        <v>1.4041666666666666</v>
      </c>
      <c r="D346" s="13">
        <f t="shared" si="22"/>
        <v>121320</v>
      </c>
      <c r="E346" s="12">
        <f t="array" ref="E346:H346">DatosSiguientes(MasaK21,G345,H345,E345,F345,h)</f>
        <v>52302885.720726721</v>
      </c>
      <c r="F346" s="12">
        <v>54379934.941054933</v>
      </c>
      <c r="G346" s="9">
        <v>-1333.6191763151862</v>
      </c>
      <c r="H346" s="5">
        <v>-260.85603707121953</v>
      </c>
      <c r="I346" s="5">
        <f t="shared" si="24"/>
        <v>1358.8914524391184</v>
      </c>
      <c r="J346" t="str">
        <f t="shared" si="23"/>
        <v/>
      </c>
    </row>
    <row r="347" spans="3:10" x14ac:dyDescent="0.25">
      <c r="C347" s="11">
        <f t="shared" si="21"/>
        <v>1.4083333333333334</v>
      </c>
      <c r="D347" s="13">
        <f t="shared" si="22"/>
        <v>121680</v>
      </c>
      <c r="E347" s="12">
        <f t="array" ref="E347:H347">DatosSiguientes(MasaK21,G346,H346,E346,F346,h)</f>
        <v>51819626.843488723</v>
      </c>
      <c r="F347" s="12">
        <v>54282733.14770674</v>
      </c>
      <c r="G347" s="9">
        <v>-1351.1523638959234</v>
      </c>
      <c r="H347" s="5">
        <v>-279.1539259742795</v>
      </c>
      <c r="I347" s="5">
        <f t="shared" si="24"/>
        <v>1379.6882346560744</v>
      </c>
      <c r="J347" t="str">
        <f t="shared" si="23"/>
        <v/>
      </c>
    </row>
    <row r="348" spans="3:10" x14ac:dyDescent="0.25">
      <c r="C348" s="11">
        <f t="shared" si="21"/>
        <v>1.4125000000000001</v>
      </c>
      <c r="D348" s="13">
        <f t="shared" si="22"/>
        <v>122040</v>
      </c>
      <c r="E348" s="12">
        <f t="array" ref="E348:H348">DatosSiguientes(MasaK21,G347,H347,E347,F347,h)</f>
        <v>51330034.019369714</v>
      </c>
      <c r="F348" s="12">
        <v>54178896.068019986</v>
      </c>
      <c r="G348" s="9">
        <v>-1368.8077700985534</v>
      </c>
      <c r="H348" s="5">
        <v>-297.71873895211252</v>
      </c>
      <c r="I348" s="5">
        <f t="shared" si="24"/>
        <v>1400.8108933776216</v>
      </c>
      <c r="J348" t="str">
        <f t="shared" si="23"/>
        <v/>
      </c>
    </row>
    <row r="349" spans="3:10" x14ac:dyDescent="0.25">
      <c r="C349" s="11">
        <f t="shared" si="21"/>
        <v>1.4166666666666667</v>
      </c>
      <c r="D349" s="13">
        <f t="shared" si="22"/>
        <v>122400</v>
      </c>
      <c r="E349" s="12">
        <f t="array" ref="E349:H349">DatosSiguientes(MasaK21,G348,H348,E348,F348,h)</f>
        <v>50834062.441420071</v>
      </c>
      <c r="F349" s="12">
        <v>54068325.921352103</v>
      </c>
      <c r="G349" s="9">
        <v>-1386.5898851772438</v>
      </c>
      <c r="H349" s="5">
        <v>-316.55985364723688</v>
      </c>
      <c r="I349" s="5">
        <f t="shared" si="24"/>
        <v>1422.2663782206912</v>
      </c>
      <c r="J349" t="str">
        <f t="shared" si="23"/>
        <v/>
      </c>
    </row>
    <row r="350" spans="3:10" x14ac:dyDescent="0.25">
      <c r="C350" s="11">
        <f t="shared" si="21"/>
        <v>1.4208333333333334</v>
      </c>
      <c r="D350" s="13">
        <f t="shared" si="22"/>
        <v>122760</v>
      </c>
      <c r="E350" s="12">
        <f t="array" ref="E350:H350">DatosSiguientes(MasaK21,G349,H349,E349,F349,h)</f>
        <v>50331665.658900529</v>
      </c>
      <c r="F350" s="12">
        <v>53950921.471292131</v>
      </c>
      <c r="G350" s="9">
        <v>-1404.5033510424437</v>
      </c>
      <c r="H350" s="5">
        <v>-335.68709113038409</v>
      </c>
      <c r="I350" s="5">
        <f t="shared" si="24"/>
        <v>1444.0621476380552</v>
      </c>
      <c r="J350" t="str">
        <f t="shared" si="23"/>
        <v/>
      </c>
    </row>
    <row r="351" spans="3:10" x14ac:dyDescent="0.25">
      <c r="C351" s="11">
        <f t="shared" si="21"/>
        <v>1.425</v>
      </c>
      <c r="D351" s="13">
        <f t="shared" si="22"/>
        <v>123120</v>
      </c>
      <c r="E351" s="12">
        <f t="array" ref="E351:H351">DatosSiguientes(MasaK21,G350,H350,E350,F350,h)</f>
        <v>49822795.521215074</v>
      </c>
      <c r="F351" s="12">
        <v>53826577.860958345</v>
      </c>
      <c r="G351" s="9">
        <v>-1422.5529694322947</v>
      </c>
      <c r="H351" s="5">
        <v>-355.11074405730733</v>
      </c>
      <c r="I351" s="5">
        <f t="shared" si="24"/>
        <v>1466.2061899288155</v>
      </c>
      <c r="J351" t="str">
        <f t="shared" si="23"/>
        <v/>
      </c>
    </row>
    <row r="352" spans="3:10" x14ac:dyDescent="0.25">
      <c r="C352" s="11">
        <f t="shared" si="21"/>
        <v>1.4291666666666667</v>
      </c>
      <c r="D352" s="13">
        <f t="shared" si="22"/>
        <v>123480</v>
      </c>
      <c r="E352" s="12">
        <f t="array" ref="E352:H352">DatosSiguientes(MasaK21,G351,H351,E351,F351,h)</f>
        <v>49307402.118812844</v>
      </c>
      <c r="F352" s="12">
        <v>53695186.437761091</v>
      </c>
      <c r="G352" s="9">
        <v>-1440.7437105800882</v>
      </c>
      <c r="H352" s="5">
        <v>-374.84160703855531</v>
      </c>
      <c r="I352" s="5">
        <f t="shared" si="24"/>
        <v>1488.707046380626</v>
      </c>
      <c r="J352" t="str">
        <f t="shared" si="23"/>
        <v/>
      </c>
    </row>
    <row r="353" spans="3:10" x14ac:dyDescent="0.25">
      <c r="C353" s="11">
        <f t="shared" si="21"/>
        <v>1.4333333333333333</v>
      </c>
      <c r="D353" s="13">
        <f t="shared" si="22"/>
        <v>123840</v>
      </c>
      <c r="E353" s="12">
        <f t="array" ref="E353:H353">DatosSiguientes(MasaK21,G352,H352,E352,F352,h)</f>
        <v>48785433.720873885</v>
      </c>
      <c r="F353" s="12">
        <v>53556634.566796474</v>
      </c>
      <c r="G353" s="9">
        <v>-1459.0807224141158</v>
      </c>
      <c r="H353" s="5">
        <v>-394.89100943151772</v>
      </c>
      <c r="I353" s="5">
        <f t="shared" si="24"/>
        <v>1511.5738367179888</v>
      </c>
      <c r="J353" t="str">
        <f t="shared" si="23"/>
        <v/>
      </c>
    </row>
    <row r="354" spans="3:10" x14ac:dyDescent="0.25">
      <c r="C354" s="11">
        <f t="shared" si="21"/>
        <v>1.4375</v>
      </c>
      <c r="D354" s="13">
        <f t="shared" si="22"/>
        <v>124200</v>
      </c>
      <c r="E354" s="12">
        <f t="array" ref="E354:H354">DatosSiguientes(MasaK21,G353,H353,E353,F353,h)</f>
        <v>48256836.709580094</v>
      </c>
      <c r="F354" s="12">
        <v>53410805.431957096</v>
      </c>
      <c r="G354" s="9">
        <v>-1477.5693403291614</v>
      </c>
      <c r="H354" s="5">
        <v>-415.27085078724264</v>
      </c>
      <c r="I354" s="5">
        <f t="shared" si="24"/>
        <v>1534.8162870501192</v>
      </c>
      <c r="J354" t="str">
        <f t="shared" si="23"/>
        <v/>
      </c>
    </row>
    <row r="355" spans="3:10" x14ac:dyDescent="0.25">
      <c r="C355" s="11">
        <f t="shared" si="21"/>
        <v>1.4416666666666667</v>
      </c>
      <c r="D355" s="13">
        <f t="shared" si="22"/>
        <v>124560</v>
      </c>
      <c r="E355" s="12">
        <f t="array" ref="E355:H355">DatosSiguientes(MasaK21,G354,H354,E354,F354,h)</f>
        <v>47721555.510757878</v>
      </c>
      <c r="F355" s="12">
        <v>53257577.82375747</v>
      </c>
      <c r="G355" s="9">
        <v>-1496.2150975720247</v>
      </c>
      <c r="H355" s="5">
        <v>-435.99363921067919</v>
      </c>
      <c r="I355" s="5">
        <f t="shared" si="24"/>
        <v>1558.4447605336018</v>
      </c>
      <c r="J355" t="str">
        <f t="shared" si="23"/>
        <v/>
      </c>
    </row>
    <row r="356" spans="3:10" x14ac:dyDescent="0.25">
      <c r="C356" s="11">
        <f t="shared" si="21"/>
        <v>1.4458333333333333</v>
      </c>
      <c r="D356" s="13">
        <f t="shared" si="22"/>
        <v>124920</v>
      </c>
      <c r="E356" s="12">
        <f t="array" ref="E356:H356">DatosSiguientes(MasaK21,G355,H355,E355,F355,h)</f>
        <v>47179532.520663276</v>
      </c>
      <c r="F356" s="12">
        <v>53096825.91277349</v>
      </c>
      <c r="G356" s="9">
        <v>-1515.0237362868684</v>
      </c>
      <c r="H356" s="5">
        <v>-457.07253292253654</v>
      </c>
      <c r="I356" s="5">
        <f t="shared" si="24"/>
        <v>1582.470290989643</v>
      </c>
      <c r="J356" t="str">
        <f t="shared" si="23"/>
        <v/>
      </c>
    </row>
    <row r="357" spans="3:10" x14ac:dyDescent="0.25">
      <c r="C357" s="11">
        <f t="shared" si="21"/>
        <v>1.45</v>
      </c>
      <c r="D357" s="13">
        <f t="shared" si="22"/>
        <v>125280</v>
      </c>
      <c r="E357" s="12">
        <f t="array" ref="E357:H357">DatosSiguientes(MasaK21,G356,H356,E356,F356,h)</f>
        <v>46630708.028663069</v>
      </c>
      <c r="F357" s="12">
        <v>52928419.007485449</v>
      </c>
      <c r="G357" s="9">
        <v>-1534.0012192698559</v>
      </c>
      <c r="H357" s="5">
        <v>-478.52138534437347</v>
      </c>
      <c r="I357" s="5">
        <f t="shared" si="24"/>
        <v>1606.9046197435935</v>
      </c>
      <c r="J357" t="str">
        <f t="shared" si="23"/>
        <v/>
      </c>
    </row>
    <row r="358" spans="3:10" x14ac:dyDescent="0.25">
      <c r="C358" s="11">
        <f t="shared" si="21"/>
        <v>1.4541666666666666</v>
      </c>
      <c r="D358" s="13">
        <f t="shared" si="22"/>
        <v>125640</v>
      </c>
      <c r="E358" s="12">
        <f t="array" ref="E358:H358">DatosSiguientes(MasaK21,G357,H357,E357,F357,h)</f>
        <v>46075020.135546923</v>
      </c>
      <c r="F358" s="12">
        <v>52752221.295191504</v>
      </c>
      <c r="G358" s="9">
        <v>-1553.1537424865148</v>
      </c>
      <c r="H358" s="5">
        <v>-500.35479406641952</v>
      </c>
      <c r="I358" s="5">
        <f t="shared" si="24"/>
        <v>1631.7602359860091</v>
      </c>
      <c r="J358" t="str">
        <f t="shared" si="23"/>
        <v/>
      </c>
    </row>
    <row r="359" spans="3:10" x14ac:dyDescent="0.25">
      <c r="C359" s="11">
        <f t="shared" si="21"/>
        <v>1.4583333333333333</v>
      </c>
      <c r="D359" s="13">
        <f t="shared" si="22"/>
        <v>126000</v>
      </c>
      <c r="E359" s="12">
        <f t="array" ref="E359:H359">DatosSiguientes(MasaK21,G358,H358,E358,F358,h)</f>
        <v>45512404.667185634</v>
      </c>
      <c r="F359" s="12">
        <v>52568091.564521432</v>
      </c>
      <c r="G359" s="9">
        <v>-1572.4877484095302</v>
      </c>
      <c r="H359" s="5">
        <v>-522.58815410065552</v>
      </c>
      <c r="I359" s="5">
        <f t="shared" si="24"/>
        <v>1657.0504209903829</v>
      </c>
      <c r="J359" t="str">
        <f t="shared" si="23"/>
        <v/>
      </c>
    </row>
    <row r="360" spans="3:10" x14ac:dyDescent="0.25">
      <c r="C360" s="11">
        <f t="shared" si="21"/>
        <v>1.4624999999999999</v>
      </c>
      <c r="D360" s="13">
        <f t="shared" si="22"/>
        <v>126360</v>
      </c>
      <c r="E360" s="12">
        <f t="array" ref="E360:H360">DatosSiguientes(MasaK21,G359,H359,E359,F359,h)</f>
        <v>44942795.083228849</v>
      </c>
      <c r="F360" s="12">
        <v>52375882.907926597</v>
      </c>
      <c r="G360" s="9">
        <v>-1592.0099402392725</v>
      </c>
      <c r="H360" s="5">
        <v>-545.23771587064255</v>
      </c>
      <c r="I360" s="5">
        <f t="shared" si="24"/>
        <v>1682.789296563443</v>
      </c>
      <c r="J360" t="str">
        <f t="shared" si="23"/>
        <v/>
      </c>
    </row>
    <row r="361" spans="3:10" x14ac:dyDescent="0.25">
      <c r="C361" s="11">
        <f t="shared" si="21"/>
        <v>1.4666666666666666</v>
      </c>
      <c r="D361" s="13">
        <f t="shared" si="22"/>
        <v>126720</v>
      </c>
      <c r="E361" s="12">
        <f t="array" ref="E361:H361">DatosSiguientes(MasaK21,G360,H360,E360,F360,h)</f>
        <v>44366122.380512409</v>
      </c>
      <c r="F361" s="12">
        <v>52175442.40234971</v>
      </c>
      <c r="G361" s="9">
        <v>-1611.7272970742856</v>
      </c>
      <c r="H361" s="5">
        <v>-568.32064844541026</v>
      </c>
      <c r="I361" s="5">
        <f t="shared" si="24"/>
        <v>1708.9918781503306</v>
      </c>
      <c r="J361" t="str">
        <f t="shared" si="23"/>
        <v/>
      </c>
    </row>
    <row r="362" spans="3:10" x14ac:dyDescent="0.25">
      <c r="C362" s="11">
        <f t="shared" si="21"/>
        <v>1.4708333333333334</v>
      </c>
      <c r="D362" s="13">
        <f t="shared" si="22"/>
        <v>127080</v>
      </c>
      <c r="E362" s="12">
        <f t="array" ref="E362:H362">DatosSiguientes(MasaK21,G361,H361,E361,F361,h)</f>
        <v>43782314.990820274</v>
      </c>
      <c r="F362" s="12">
        <v>51966610.766083606</v>
      </c>
      <c r="G362" s="9">
        <v>-1631.6470901042237</v>
      </c>
      <c r="H362" s="5">
        <v>-591.85510858849455</v>
      </c>
      <c r="I362" s="5">
        <f t="shared" si="24"/>
        <v>1735.6741330698799</v>
      </c>
      <c r="J362" t="str">
        <f t="shared" si="23"/>
        <v/>
      </c>
    </row>
    <row r="363" spans="3:10" x14ac:dyDescent="0.25">
      <c r="C363" s="11">
        <f t="shared" si="21"/>
        <v>1.4750000000000001</v>
      </c>
      <c r="D363" s="13">
        <f t="shared" si="22"/>
        <v>127440</v>
      </c>
      <c r="E363" s="12">
        <f t="array" ref="E363:H363">DatosSiguientes(MasaK21,G362,H362,E362,F362,h)</f>
        <v>43191298.672618918</v>
      </c>
      <c r="F363" s="12">
        <v>51749221.989609756</v>
      </c>
      <c r="G363" s="9">
        <v>-1651.7768999033251</v>
      </c>
      <c r="H363" s="5">
        <v>-615.86031626623571</v>
      </c>
      <c r="I363" s="5">
        <f t="shared" si="24"/>
        <v>1762.8530444157243</v>
      </c>
      <c r="J363" t="str">
        <f t="shared" si="23"/>
        <v/>
      </c>
    </row>
    <row r="364" spans="3:10" x14ac:dyDescent="0.25">
      <c r="C364" s="11">
        <f t="shared" si="21"/>
        <v>1.4791666666666667</v>
      </c>
      <c r="D364" s="13">
        <f t="shared" si="22"/>
        <v>127800</v>
      </c>
      <c r="E364" s="12">
        <f t="array" ref="E364:H364">DatosSiguientes(MasaK21,G363,H363,E363,F363,h)</f>
        <v>42592996.396352805</v>
      </c>
      <c r="F364" s="12">
        <v>51523102.937960051</v>
      </c>
      <c r="G364" s="9">
        <v>-1672.1246349084302</v>
      </c>
      <c r="H364" s="5">
        <v>-640.35663734323691</v>
      </c>
      <c r="I364" s="5">
        <f t="shared" si="24"/>
        <v>1790.5466812281629</v>
      </c>
      <c r="J364" t="str">
        <f t="shared" si="23"/>
        <v/>
      </c>
    </row>
    <row r="365" spans="3:10" x14ac:dyDescent="0.25">
      <c r="C365" s="11">
        <f t="shared" si="21"/>
        <v>1.4833333333333334</v>
      </c>
      <c r="D365" s="13">
        <f t="shared" si="22"/>
        <v>128160</v>
      </c>
      <c r="E365" s="12">
        <f t="array" ref="E365:H365">DatosSiguientes(MasaK21,G364,H364,E364,F364,h)</f>
        <v>41987328.222858369</v>
      </c>
      <c r="F365" s="12">
        <v>51288072.921866201</v>
      </c>
      <c r="G365" s="9">
        <v>-1692.6985511717767</v>
      </c>
      <c r="H365" s="5">
        <v>-665.36567428924468</v>
      </c>
      <c r="I365" s="5">
        <f t="shared" si="24"/>
        <v>1818.7742756211978</v>
      </c>
      <c r="J365" t="str">
        <f t="shared" si="23"/>
        <v/>
      </c>
    </row>
    <row r="366" spans="3:10" x14ac:dyDescent="0.25">
      <c r="C366" s="11">
        <f t="shared" si="21"/>
        <v>1.4875</v>
      </c>
      <c r="D366" s="13">
        <f t="shared" si="22"/>
        <v>128520</v>
      </c>
      <c r="E366" s="12">
        <f t="array" ref="E366:H366">DatosSiguientes(MasaK21,G365,H365,E365,F365,h)</f>
        <v>41374211.174420103</v>
      </c>
      <c r="F366" s="12">
        <v>51043943.234644234</v>
      </c>
      <c r="G366" s="9">
        <v>-1713.5072734852758</v>
      </c>
      <c r="H366" s="5">
        <v>-690.91036583279072</v>
      </c>
      <c r="I366" s="5">
        <f t="shared" si="24"/>
        <v>1847.5563076404856</v>
      </c>
      <c r="J366" t="str">
        <f t="shared" si="23"/>
        <v/>
      </c>
    </row>
    <row r="367" spans="3:10" x14ac:dyDescent="0.25">
      <c r="C367" s="11">
        <f t="shared" si="21"/>
        <v>1.4916666666666667</v>
      </c>
      <c r="D367" s="13">
        <f t="shared" si="22"/>
        <v>128880</v>
      </c>
      <c r="E367" s="12">
        <f t="array" ref="E367:H367">DatosSiguientes(MasaK21,G366,H366,E366,F366,h)</f>
        <v>40753559.097956419</v>
      </c>
      <c r="F367" s="12">
        <v>50790516.651401781</v>
      </c>
      <c r="G367" s="9">
        <v>-1734.5598179796405</v>
      </c>
      <c r="H367" s="5">
        <v>-717.01509662528849</v>
      </c>
      <c r="I367" s="5">
        <f t="shared" si="24"/>
        <v>1876.914598733287</v>
      </c>
      <c r="J367" t="str">
        <f t="shared" si="23"/>
        <v/>
      </c>
    </row>
    <row r="368" spans="3:10" x14ac:dyDescent="0.25">
      <c r="C368" s="11">
        <f t="shared" si="21"/>
        <v>1.4958333333333333</v>
      </c>
      <c r="D368" s="13">
        <f t="shared" si="22"/>
        <v>129240</v>
      </c>
      <c r="E368" s="12">
        <f t="array" ref="E368:H368">DatosSiguientes(MasaK21,G367,H367,E367,F367,h)</f>
        <v>40125282.519784562</v>
      </c>
      <c r="F368" s="12">
        <v>50527586.886746198</v>
      </c>
      <c r="G368" s="9">
        <v>-1755.8656163084729</v>
      </c>
      <c r="H368" s="5">
        <v>-743.7058181279665</v>
      </c>
      <c r="I368" s="5">
        <f t="shared" si="24"/>
        <v>1906.8724148331794</v>
      </c>
      <c r="J368" t="str">
        <f t="shared" si="23"/>
        <v/>
      </c>
    </row>
    <row r="369" spans="3:10" x14ac:dyDescent="0.25">
      <c r="C369" s="11">
        <f t="shared" si="21"/>
        <v>1.5</v>
      </c>
      <c r="D369" s="13">
        <f t="shared" si="22"/>
        <v>129600</v>
      </c>
      <c r="E369" s="12">
        <f t="array" ref="E369:H369">DatosSiguientes(MasaK21,G368,H368,E368,F368,h)</f>
        <v>39489288.491372898</v>
      </c>
      <c r="F369" s="12">
        <v>50254938.006703958</v>
      </c>
      <c r="G369" s="9">
        <v>-1777.434541534092</v>
      </c>
      <c r="H369" s="5">
        <v>-771.01018210670588</v>
      </c>
      <c r="I369" s="5">
        <f t="shared" si="24"/>
        <v>1937.4545802032944</v>
      </c>
      <c r="J369" t="str">
        <f t="shared" si="23"/>
        <v/>
      </c>
    </row>
    <row r="370" spans="3:10" x14ac:dyDescent="0.25">
      <c r="C370" s="11">
        <f t="shared" si="21"/>
        <v>1.5041666666666667</v>
      </c>
      <c r="D370" s="13">
        <f t="shared" si="22"/>
        <v>129960</v>
      </c>
      <c r="E370" s="12">
        <f t="array" ref="E370:H370">DatosSiguientes(MasaK21,G369,H369,E369,F369,h)</f>
        <v>38845480.425445877</v>
      </c>
      <c r="F370" s="12">
        <v>49972343.790026978</v>
      </c>
      <c r="G370" s="9">
        <v>-1799.2769358382575</v>
      </c>
      <c r="H370" s="5">
        <v>-798.9576883209503</v>
      </c>
      <c r="I370" s="5">
        <f t="shared" si="24"/>
        <v>1968.6876033456058</v>
      </c>
      <c r="J370" t="str">
        <f t="shared" si="23"/>
        <v/>
      </c>
    </row>
    <row r="371" spans="3:10" x14ac:dyDescent="0.25">
      <c r="C371" s="11">
        <f t="shared" si="21"/>
        <v>1.5083333333333333</v>
      </c>
      <c r="D371" s="13">
        <f t="shared" si="22"/>
        <v>130320</v>
      </c>
      <c r="E371" s="12">
        <f t="array" ref="E371:H371">DatosSiguientes(MasaK21,G370,H370,E370,F370,h)</f>
        <v>38193757.921761379</v>
      </c>
      <c r="F371" s="12">
        <v>49679567.033448219</v>
      </c>
      <c r="G371" s="9">
        <v>-1821.4036401867402</v>
      </c>
      <c r="H371" s="5">
        <v>-827.57984822769185</v>
      </c>
      <c r="I371" s="5">
        <f t="shared" si="24"/>
        <v>2000.5998164745686</v>
      </c>
      <c r="J371" t="str">
        <f t="shared" si="23"/>
        <v/>
      </c>
    </row>
    <row r="372" spans="3:10" x14ac:dyDescent="0.25">
      <c r="C372" s="11">
        <f t="shared" si="21"/>
        <v>1.5125</v>
      </c>
      <c r="D372" s="13">
        <f t="shared" si="22"/>
        <v>130680</v>
      </c>
      <c r="E372" s="12">
        <f t="array" ref="E372:H372">DatosSiguientes(MasaK21,G371,H371,E371,F371,h)</f>
        <v>37534016.581833102</v>
      </c>
      <c r="F372" s="12">
        <v>49376358.794743851</v>
      </c>
      <c r="G372" s="9">
        <v>-1843.8260260814704</v>
      </c>
      <c r="H372" s="5">
        <v>-856.91036679655986</v>
      </c>
      <c r="I372" s="5">
        <f t="shared" si="24"/>
        <v>2033.221530276227</v>
      </c>
      <c r="J372" t="str">
        <f t="shared" si="23"/>
        <v/>
      </c>
    </row>
    <row r="373" spans="3:10" x14ac:dyDescent="0.25">
      <c r="C373" s="11">
        <f t="shared" si="21"/>
        <v>1.5166666666666666</v>
      </c>
      <c r="D373" s="13">
        <f t="shared" si="22"/>
        <v>131040</v>
      </c>
      <c r="E373" s="12">
        <f t="array" ref="E373:H373">DatosSiguientes(MasaK21,G372,H372,E372,F372,h)</f>
        <v>36866147.811821736</v>
      </c>
      <c r="F373" s="12">
        <v>49062457.566646554</v>
      </c>
      <c r="G373" s="9">
        <v>-1866.5560295372134</v>
      </c>
      <c r="H373" s="5">
        <v>-886.98534485508674</v>
      </c>
      <c r="I373" s="5">
        <f t="shared" si="24"/>
        <v>2066.5852059350041</v>
      </c>
      <c r="J373" t="str">
        <f t="shared" si="23"/>
        <v/>
      </c>
    </row>
    <row r="374" spans="3:10" x14ac:dyDescent="0.25">
      <c r="C374" s="11">
        <f t="shared" si="21"/>
        <v>1.5208333333333333</v>
      </c>
      <c r="D374" s="13">
        <f t="shared" si="22"/>
        <v>131400</v>
      </c>
      <c r="E374" s="12">
        <f t="array" ref="E374:H374">DatosSiguientes(MasaK21,G373,H373,E373,F373,h)</f>
        <v>36190038.612769336</v>
      </c>
      <c r="F374" s="12">
        <v>48737588.37371514</v>
      </c>
      <c r="G374" s="9">
        <v>-1889.6061874205884</v>
      </c>
      <c r="H374" s="5">
        <v>-917.84350476386624</v>
      </c>
      <c r="I374" s="5">
        <f t="shared" si="24"/>
        <v>2100.7256467171978</v>
      </c>
      <c r="J374" t="str">
        <f t="shared" si="23"/>
        <v/>
      </c>
    </row>
    <row r="375" spans="3:10" x14ac:dyDescent="0.25">
      <c r="C375" s="11">
        <f t="shared" si="21"/>
        <v>1.5249999999999999</v>
      </c>
      <c r="D375" s="13">
        <f t="shared" si="22"/>
        <v>131760</v>
      </c>
      <c r="E375" s="12">
        <f t="array" ref="E375:H375">DatosSiguientes(MasaK21,G374,H374,E374,F374,h)</f>
        <v>35505571.357302018</v>
      </c>
      <c r="F375" s="12">
        <v>48401461.783176817</v>
      </c>
      <c r="G375" s="9">
        <v>-1912.9896762867356</v>
      </c>
      <c r="H375" s="5">
        <v>-949.52644267125606</v>
      </c>
      <c r="I375" s="5">
        <f t="shared" si="24"/>
        <v>2135.6802117619482</v>
      </c>
      <c r="J375" t="str">
        <f t="shared" si="23"/>
        <v/>
      </c>
    </row>
    <row r="376" spans="3:10" x14ac:dyDescent="0.25">
      <c r="C376" s="11">
        <f t="shared" si="21"/>
        <v>1.5291666666666666</v>
      </c>
      <c r="D376" s="13">
        <f t="shared" si="22"/>
        <v>132120</v>
      </c>
      <c r="E376" s="12">
        <f t="array" ref="E376:H376">DatosSiguientes(MasaK21,G375,H375,E375,F375,h)</f>
        <v>34812623.551878914</v>
      </c>
      <c r="F376" s="12">
        <v>48053772.819492422</v>
      </c>
      <c r="G376" s="9">
        <v>-1936.720353841624</v>
      </c>
      <c r="H376" s="5">
        <v>-982.07891113092364</v>
      </c>
      <c r="I376" s="5">
        <f t="shared" si="24"/>
        <v>2171.4890551583553</v>
      </c>
      <c r="J376" t="str">
        <f t="shared" si="23"/>
        <v/>
      </c>
    </row>
    <row r="377" spans="3:10" x14ac:dyDescent="0.25">
      <c r="C377" s="11">
        <f t="shared" si="21"/>
        <v>1.5333333333333334</v>
      </c>
      <c r="D377" s="13">
        <f t="shared" si="22"/>
        <v>132480</v>
      </c>
      <c r="E377" s="12">
        <f t="array" ref="E377:H377">DatosSiguientes(MasaK21,G376,H376,E376,F376,h)</f>
        <v>34111067.583621502</v>
      </c>
      <c r="F377" s="12">
        <v>47694199.770918742</v>
      </c>
      <c r="G377" s="9">
        <v>-1960.8128031439953</v>
      </c>
      <c r="H377" s="5">
        <v>-1015.549136500653</v>
      </c>
      <c r="I377" s="5">
        <f t="shared" si="24"/>
        <v>2208.1953938953488</v>
      </c>
      <c r="J377" t="str">
        <f t="shared" si="23"/>
        <v/>
      </c>
    </row>
    <row r="378" spans="3:10" x14ac:dyDescent="0.25">
      <c r="C378" s="11">
        <f t="shared" si="21"/>
        <v>1.5375000000000001</v>
      </c>
      <c r="D378" s="13">
        <f t="shared" si="22"/>
        <v>132840</v>
      </c>
      <c r="E378" s="12">
        <f t="array" ref="E378:H378">DatosSiguientes(MasaK21,G377,H377,E377,F377,h)</f>
        <v>33400770.450720798</v>
      </c>
      <c r="F378" s="12">
        <v>47322402.874614716</v>
      </c>
      <c r="G378" s="9">
        <v>-1985.2823796376822</v>
      </c>
      <c r="H378" s="5">
        <v>-1049.9891762994782</v>
      </c>
      <c r="I378" s="5">
        <f t="shared" si="24"/>
        <v>2245.8458088760044</v>
      </c>
      <c r="J378" t="str">
        <f t="shared" si="23"/>
        <v/>
      </c>
    </row>
    <row r="379" spans="3:10" x14ac:dyDescent="0.25">
      <c r="C379" s="11">
        <f t="shared" si="21"/>
        <v>1.5416666666666667</v>
      </c>
      <c r="D379" s="13">
        <f t="shared" si="22"/>
        <v>133200</v>
      </c>
      <c r="E379" s="12">
        <f t="array" ref="E379:H379">DatosSiguientes(MasaK21,G378,H378,E378,F378,h)</f>
        <v>32681593.475393582</v>
      </c>
      <c r="F379" s="12">
        <v>46938022.86481104</v>
      </c>
      <c r="G379" s="9">
        <v>-2010.1452610690824</v>
      </c>
      <c r="H379" s="5">
        <v>-1085.455322609828</v>
      </c>
      <c r="I379" s="5">
        <f t="shared" si="24"/>
        <v>2284.4905839115413</v>
      </c>
      <c r="J379" t="str">
        <f t="shared" si="23"/>
        <v/>
      </c>
    </row>
    <row r="380" spans="3:10" x14ac:dyDescent="0.25">
      <c r="C380" s="11">
        <f t="shared" si="21"/>
        <v>1.5458333333333334</v>
      </c>
      <c r="D380" s="13">
        <f t="shared" si="22"/>
        <v>133560</v>
      </c>
      <c r="E380" s="12">
        <f t="array" ref="E380:H380">DatosSiguientes(MasaK21,G379,H379,E379,F379,h)</f>
        <v>31953391.998348724</v>
      </c>
      <c r="F380" s="12">
        <v>46540679.366174132</v>
      </c>
      <c r="G380" s="9">
        <v>-2035.4185002912468</v>
      </c>
      <c r="H380" s="5">
        <v>-1122.0085587063152</v>
      </c>
      <c r="I380" s="5">
        <f t="shared" si="24"/>
        <v>2324.184088478813</v>
      </c>
      <c r="J380" t="str">
        <f t="shared" si="23"/>
        <v/>
      </c>
    </row>
    <row r="381" spans="3:10" x14ac:dyDescent="0.25">
      <c r="C381" s="11">
        <f t="shared" si="21"/>
        <v>1.55</v>
      </c>
      <c r="D381" s="13">
        <f t="shared" si="22"/>
        <v>133920</v>
      </c>
      <c r="E381" s="12">
        <f t="array" ref="E381:H381">DatosSiguientes(MasaK21,G380,H380,E380,F380,h)</f>
        <v>31216015.053738073</v>
      </c>
      <c r="F381" s="12">
        <v>46129969.111672066</v>
      </c>
      <c r="G381" s="9">
        <v>-2061.1200808790463</v>
      </c>
      <c r="H381" s="5">
        <v>-1159.7150774162626</v>
      </c>
      <c r="I381" s="5">
        <f t="shared" si="24"/>
        <v>2364.9852110720385</v>
      </c>
      <c r="J381" t="str">
        <f t="shared" si="23"/>
        <v/>
      </c>
    </row>
    <row r="382" spans="3:10" x14ac:dyDescent="0.25">
      <c r="C382" s="11">
        <f t="shared" si="21"/>
        <v>1.5541666666666667</v>
      </c>
      <c r="D382" s="13">
        <f t="shared" si="22"/>
        <v>134280</v>
      </c>
      <c r="E382" s="12">
        <f t="array" ref="E382:H382">DatosSiguientes(MasaK21,G381,H381,E381,F381,h)</f>
        <v>30469305.023613125</v>
      </c>
      <c r="F382" s="12">
        <v>45705463.960898891</v>
      </c>
      <c r="G382" s="9">
        <v>-2087.2689753706641</v>
      </c>
      <c r="H382" s="5">
        <v>-1198.6468713236177</v>
      </c>
      <c r="I382" s="5">
        <f t="shared" si="24"/>
        <v>2406.9578512468388</v>
      </c>
      <c r="J382" t="str">
        <f t="shared" si="23"/>
        <v/>
      </c>
    </row>
    <row r="383" spans="3:10" x14ac:dyDescent="0.25">
      <c r="C383" s="11">
        <f t="shared" si="21"/>
        <v>1.5583333333333333</v>
      </c>
      <c r="D383" s="13">
        <f t="shared" si="22"/>
        <v>134640</v>
      </c>
      <c r="E383" s="12">
        <f t="array" ref="E383:H383">DatosSiguientes(MasaK21,G382,H382,E382,F382,h)</f>
        <v>29713097.271002837</v>
      </c>
      <c r="F383" s="12">
        <v>45266708.690820999</v>
      </c>
      <c r="G383" s="9">
        <v>-2113.8852057976014</v>
      </c>
      <c r="H383" s="5">
        <v>-1238.8824068868935</v>
      </c>
      <c r="I383" s="5">
        <f t="shared" si="24"/>
        <v>2450.1714799956003</v>
      </c>
      <c r="J383" t="str">
        <f t="shared" si="23"/>
        <v/>
      </c>
    </row>
    <row r="384" spans="3:10" x14ac:dyDescent="0.25">
      <c r="C384" s="11">
        <f t="shared" si="21"/>
        <v>1.5625</v>
      </c>
      <c r="D384" s="13">
        <f t="shared" si="22"/>
        <v>135000</v>
      </c>
      <c r="E384" s="12">
        <f t="array" ref="E384:H384">DatosSiguientes(MasaK21,G383,H383,E383,F383,h)</f>
        <v>28947219.750887804</v>
      </c>
      <c r="F384" s="12">
        <v>44813218.526131839</v>
      </c>
      <c r="G384" s="9">
        <v>-2140.9899059525801</v>
      </c>
      <c r="H384" s="5">
        <v>-1280.5073969417795</v>
      </c>
      <c r="I384" s="5">
        <f t="shared" si="24"/>
        <v>2494.7017799756045</v>
      </c>
      <c r="J384" t="str">
        <f t="shared" si="23"/>
        <v/>
      </c>
    </row>
    <row r="385" spans="3:10" x14ac:dyDescent="0.25">
      <c r="C385" s="11">
        <f t="shared" si="21"/>
        <v>1.5666666666666667</v>
      </c>
      <c r="D385" s="13">
        <f t="shared" si="22"/>
        <v>135360</v>
      </c>
      <c r="E385" s="12">
        <f t="array" ref="E385:H385">DatosSiguientes(MasaK21,G384,H384,E384,F384,h)</f>
        <v>28171492.598597258</v>
      </c>
      <c r="F385" s="12">
        <v>44344476.370659813</v>
      </c>
      <c r="G385" s="9">
        <v>-2168.6053845504425</v>
      </c>
      <c r="H385" s="5">
        <v>-1323.6156890138984</v>
      </c>
      <c r="I385" s="5">
        <f t="shared" si="24"/>
        <v>2540.6313794222315</v>
      </c>
      <c r="J385" t="str">
        <f t="shared" si="23"/>
        <v/>
      </c>
    </row>
    <row r="386" spans="3:10" x14ac:dyDescent="0.25">
      <c r="C386" s="11">
        <f t="shared" si="21"/>
        <v>1.5708333333333333</v>
      </c>
      <c r="D386" s="13">
        <f t="shared" si="22"/>
        <v>135720</v>
      </c>
      <c r="E386" s="12">
        <f t="array" ref="E386:H386">DatosSiguientes(MasaK21,G385,H385,E385,F385,h)</f>
        <v>27385727.695532527</v>
      </c>
      <c r="F386" s="12">
        <v>43859929.694342993</v>
      </c>
      <c r="G386" s="9">
        <v>-2196.7551880313999</v>
      </c>
      <c r="H386" s="5">
        <v>-1368.3102905239737</v>
      </c>
      <c r="I386" s="5">
        <f t="shared" si="24"/>
        <v>2588.0506964309398</v>
      </c>
      <c r="J386" t="str">
        <f t="shared" si="23"/>
        <v/>
      </c>
    </row>
    <row r="387" spans="3:10" x14ac:dyDescent="0.25">
      <c r="C387" s="11">
        <f t="shared" si="21"/>
        <v>1.575</v>
      </c>
      <c r="D387" s="13">
        <f t="shared" si="22"/>
        <v>136080</v>
      </c>
      <c r="E387" s="12">
        <f t="array" ref="E387:H387">DatosSiguientes(MasaK21,G386,H386,E386,F386,h)</f>
        <v>26589728.212671366</v>
      </c>
      <c r="F387" s="12">
        <v>43358987.021875463</v>
      </c>
      <c r="G387" s="9">
        <v>-2225.4641611972761</v>
      </c>
      <c r="H387" s="5">
        <v>-1414.704556517851</v>
      </c>
      <c r="I387" s="5">
        <f t="shared" si="24"/>
        <v>2637.0589138291671</v>
      </c>
      <c r="J387" t="str">
        <f t="shared" si="23"/>
        <v/>
      </c>
    </row>
    <row r="388" spans="3:10" x14ac:dyDescent="0.25">
      <c r="C388" s="11">
        <f t="shared" si="21"/>
        <v>1.5791666666666666</v>
      </c>
      <c r="D388" s="13">
        <f t="shared" si="22"/>
        <v>136440</v>
      </c>
      <c r="E388" s="12">
        <f t="array" ref="E388:H388">DatosSiguientes(MasaK21,G387,H387,E387,F387,h)</f>
        <v>25783288.133097492</v>
      </c>
      <c r="F388" s="12">
        <v>42841013.958877601</v>
      </c>
      <c r="G388" s="9">
        <v>-2254.7585031020208</v>
      </c>
      <c r="H388" s="5">
        <v>-1462.9235712480686</v>
      </c>
      <c r="I388" s="5">
        <f t="shared" si="24"/>
        <v>2687.7651092727706</v>
      </c>
      <c r="J388" t="str">
        <f t="shared" si="23"/>
        <v/>
      </c>
    </row>
    <row r="389" spans="3:10" x14ac:dyDescent="0.25">
      <c r="C389" s="11">
        <f t="shared" si="21"/>
        <v>1.5833333333333333</v>
      </c>
      <c r="D389" s="13">
        <f t="shared" si="22"/>
        <v>136800</v>
      </c>
      <c r="E389" s="12">
        <f t="array" ref="E389:H389">DatosSiguientes(MasaK21,G388,H388,E388,F388,h)</f>
        <v>24966191.755918898</v>
      </c>
      <c r="F389" s="12">
        <v>42305328.678874463</v>
      </c>
      <c r="G389" s="9">
        <v>-2284.6658145568399</v>
      </c>
      <c r="H389" s="5">
        <v>-1513.105762102683</v>
      </c>
      <c r="I389" s="5">
        <f t="shared" si="24"/>
        <v>2740.2895707412035</v>
      </c>
      <c r="J389" t="str">
        <f t="shared" si="23"/>
        <v/>
      </c>
    </row>
    <row r="390" spans="3:10" x14ac:dyDescent="0.25">
      <c r="C390" s="11">
        <f t="shared" si="21"/>
        <v>1.5874999999999999</v>
      </c>
      <c r="D390" s="13">
        <f t="shared" si="22"/>
        <v>137160</v>
      </c>
      <c r="E390" s="12">
        <f t="array" ref="E390:H390">DatosSiguientes(MasaK21,G389,H389,E389,F389,h)</f>
        <v>24138213.185512781</v>
      </c>
      <c r="F390" s="12">
        <v>41751196.778873146</v>
      </c>
      <c r="G390" s="9">
        <v>-2315.2151321438027</v>
      </c>
      <c r="H390" s="5">
        <v>-1565.4047934602029</v>
      </c>
      <c r="I390" s="5">
        <f t="shared" si="24"/>
        <v>2794.7653346025004</v>
      </c>
      <c r="J390" t="str">
        <f t="shared" si="23"/>
        <v/>
      </c>
    </row>
    <row r="391" spans="3:10" x14ac:dyDescent="0.25">
      <c r="C391" s="11">
        <f t="shared" si="21"/>
        <v>1.5916666666666666</v>
      </c>
      <c r="D391" s="13">
        <f t="shared" si="22"/>
        <v>137520</v>
      </c>
      <c r="E391" s="12">
        <f t="array" ref="E391:H391">DatosSiguientes(MasaK21,G390,H390,E390,F390,h)</f>
        <v>23299115.812239286</v>
      </c>
      <c r="F391" s="12">
        <v>41177825.392115973</v>
      </c>
      <c r="G391" s="9">
        <v>-2346.4369415978294</v>
      </c>
      <c r="H391" s="5">
        <v>-1619.9917996351808</v>
      </c>
      <c r="I391" s="5">
        <f t="shared" si="24"/>
        <v>2851.33999231593</v>
      </c>
      <c r="J391" t="str">
        <f t="shared" si="23"/>
        <v/>
      </c>
    </row>
    <row r="392" spans="3:10" x14ac:dyDescent="0.25">
      <c r="C392" s="11">
        <f t="shared" si="21"/>
        <v>1.5958333333333334</v>
      </c>
      <c r="D392" s="13">
        <f t="shared" si="22"/>
        <v>137880</v>
      </c>
      <c r="E392" s="12">
        <f t="array" ref="E392:H392">DatosSiguientes(MasaK21,G391,H391,E391,F391,h)</f>
        <v>22448651.793846592</v>
      </c>
      <c r="F392" s="12">
        <v>40584356.422608525</v>
      </c>
      <c r="G392" s="9">
        <v>-2378.363160583795</v>
      </c>
      <c r="H392" s="5">
        <v>-1677.058030961771</v>
      </c>
      <c r="I392" s="5">
        <f t="shared" si="24"/>
        <v>2910.1778232327165</v>
      </c>
      <c r="J392" t="str">
        <f t="shared" si="23"/>
        <v/>
      </c>
    </row>
    <row r="393" spans="3:10" x14ac:dyDescent="0.25">
      <c r="C393" s="11">
        <f t="shared" si="21"/>
        <v>1.6</v>
      </c>
      <c r="D393" s="13">
        <f t="shared" si="22"/>
        <v>138240</v>
      </c>
      <c r="E393" s="12">
        <f t="array" ref="E393:H393">DatosSiguientes(MasaK21,G392,H392,E392,F392,h)</f>
        <v>21586561.551094376</v>
      </c>
      <c r="F393" s="12">
        <v>39969858.735896982</v>
      </c>
      <c r="G393" s="9">
        <v>-2411.0270769285171</v>
      </c>
      <c r="H393" s="5">
        <v>-1736.8180063245575</v>
      </c>
      <c r="I393" s="5">
        <f t="shared" si="24"/>
        <v>2971.4623256530917</v>
      </c>
      <c r="J393" t="str">
        <f t="shared" si="23"/>
        <v/>
      </c>
    </row>
    <row r="394" spans="3:10" x14ac:dyDescent="0.25">
      <c r="C394" s="11">
        <f t="shared" ref="C394:C457" si="25">D394/86400</f>
        <v>1.6041666666666667</v>
      </c>
      <c r="D394" s="13">
        <f t="shared" ref="D394:D457" si="26">h+D393</f>
        <v>138600</v>
      </c>
      <c r="E394" s="12">
        <f t="array" ref="E394:H394">DatosSiguientes(MasaK21,G393,H393,E393,F393,h)</f>
        <v>20712573.297146965</v>
      </c>
      <c r="F394" s="12">
        <v>39333319.102455094</v>
      </c>
      <c r="G394" s="9">
        <v>-2444.4632227793195</v>
      </c>
      <c r="H394" s="5">
        <v>-1799.5132905748385</v>
      </c>
      <c r="I394" s="5">
        <f t="shared" si="24"/>
        <v>3035.3992374111417</v>
      </c>
      <c r="J394" t="str">
        <f t="shared" ref="J394:J457" si="27">IF(I394=$I$8,"&lt;--------&lt;&lt;&lt;","")</f>
        <v/>
      </c>
    </row>
    <row r="395" spans="3:10" x14ac:dyDescent="0.25">
      <c r="C395" s="11">
        <f t="shared" si="25"/>
        <v>1.6083333333333334</v>
      </c>
      <c r="D395" s="13">
        <f t="shared" si="26"/>
        <v>138960</v>
      </c>
      <c r="E395" s="12">
        <f t="array" ref="E395:H395">DatosSiguientes(MasaK21,G394,H394,E394,F394,h)</f>
        <v>19826402.628744461</v>
      </c>
      <c r="F395" s="12">
        <v>38673631.641451962</v>
      </c>
      <c r="G395" s="9">
        <v>-2478.7071572345849</v>
      </c>
      <c r="H395" s="5">
        <v>-1865.417048331461</v>
      </c>
      <c r="I395" s="5">
        <f t="shared" si="24"/>
        <v>3102.2201623243341</v>
      </c>
      <c r="J395" t="str">
        <f t="shared" si="27"/>
        <v/>
      </c>
    </row>
    <row r="396" spans="3:10" x14ac:dyDescent="0.25">
      <c r="C396" s="11">
        <f t="shared" si="25"/>
        <v>1.6125</v>
      </c>
      <c r="D396" s="13">
        <f t="shared" si="26"/>
        <v>139320</v>
      </c>
      <c r="E396" s="12">
        <f t="array" ref="E396:H396">DatosSiguientes(MasaK21,G395,H395,E395,F395,h)</f>
        <v>18927752.219083242</v>
      </c>
      <c r="F396" s="12">
        <v>37989585.450232416</v>
      </c>
      <c r="G396" s="9">
        <v>-2513.7951186610762</v>
      </c>
      <c r="H396" s="5">
        <v>-1934.8395695549073</v>
      </c>
      <c r="I396" s="5">
        <f t="shared" si="24"/>
        <v>3172.1869520127075</v>
      </c>
      <c r="J396" t="str">
        <f t="shared" si="27"/>
        <v/>
      </c>
    </row>
    <row r="397" spans="3:10" x14ac:dyDescent="0.25">
      <c r="C397" s="11">
        <f t="shared" si="25"/>
        <v>1.6166666666666667</v>
      </c>
      <c r="D397" s="13">
        <f t="shared" si="26"/>
        <v>139680</v>
      </c>
      <c r="E397" s="12">
        <f t="array" ref="E397:H397">DatosSiguientes(MasaK21,G396,H396,E396,F396,h)</f>
        <v>18016311.669240918</v>
      </c>
      <c r="F397" s="12">
        <v>37279850.023912758</v>
      </c>
      <c r="G397" s="9">
        <v>-2549.7634915740646</v>
      </c>
      <c r="H397" s="5">
        <v>-2008.1350211098488</v>
      </c>
      <c r="I397" s="5">
        <f t="shared" ref="I397:I460" si="28">SQRT(G397^2+H397^2)</f>
        <v>3245.5970369058168</v>
      </c>
      <c r="J397" t="str">
        <f t="shared" si="27"/>
        <v/>
      </c>
    </row>
    <row r="398" spans="3:10" x14ac:dyDescent="0.25">
      <c r="C398" s="11">
        <f t="shared" si="25"/>
        <v>1.6208333333333333</v>
      </c>
      <c r="D398" s="13">
        <f t="shared" si="26"/>
        <v>140040</v>
      </c>
      <c r="E398" s="12">
        <f t="array" ref="E398:H398">DatosSiguientes(MasaK21,G397,H397,E397,F397,h)</f>
        <v>17091757.5991075</v>
      </c>
      <c r="F398" s="12">
        <v>36542957.96363876</v>
      </c>
      <c r="G398" s="9">
        <v>-2586.6480091671556</v>
      </c>
      <c r="H398" s="5">
        <v>-2085.7097581901462</v>
      </c>
      <c r="I398" s="5">
        <f t="shared" si="28"/>
        <v>3322.7899600694004</v>
      </c>
      <c r="J398" t="str">
        <f t="shared" si="27"/>
        <v/>
      </c>
    </row>
    <row r="399" spans="3:10" x14ac:dyDescent="0.25">
      <c r="C399" s="11">
        <f t="shared" si="25"/>
        <v>1.625</v>
      </c>
      <c r="D399" s="13">
        <f t="shared" si="26"/>
        <v>140400</v>
      </c>
      <c r="E399" s="12">
        <f t="array" ref="E399:H399">DatosSiguientes(MasaK21,G398,H398,E398,F398,h)</f>
        <v>16153754.093494894</v>
      </c>
      <c r="F399" s="12">
        <v>35777284.332227677</v>
      </c>
      <c r="G399" s="9">
        <v>-2624.4825775695454</v>
      </c>
      <c r="H399" s="5">
        <v>-2168.0326385381045</v>
      </c>
      <c r="I399" s="5">
        <f t="shared" si="28"/>
        <v>3404.1554491140059</v>
      </c>
      <c r="J399" t="str">
        <f t="shared" si="27"/>
        <v/>
      </c>
    </row>
    <row r="400" spans="3:10" x14ac:dyDescent="0.25">
      <c r="C400" s="11">
        <f t="shared" si="25"/>
        <v>1.6291666666666667</v>
      </c>
      <c r="D400" s="13">
        <f t="shared" si="26"/>
        <v>140760</v>
      </c>
      <c r="E400" s="12">
        <f t="array" ref="E400:H400">DatosSiguientes(MasaK21,G399,H399,E399,F399,h)</f>
        <v>15201953.669492714</v>
      </c>
      <c r="F400" s="12">
        <v>34981021.829267293</v>
      </c>
      <c r="G400" s="9">
        <v>-2663.2975557759028</v>
      </c>
      <c r="H400" s="5">
        <v>-2255.6479334640085</v>
      </c>
      <c r="I400" s="5">
        <f t="shared" si="28"/>
        <v>3490.1434741772937</v>
      </c>
      <c r="J400" t="str">
        <f t="shared" si="27"/>
        <v/>
      </c>
    </row>
    <row r="401" spans="3:10" x14ac:dyDescent="0.25">
      <c r="C401" s="11">
        <f t="shared" si="25"/>
        <v>1.6333333333333333</v>
      </c>
      <c r="D401" s="13">
        <f t="shared" si="26"/>
        <v>141120</v>
      </c>
      <c r="E401" s="12">
        <f t="array" ref="E401:H401">DatosSiguientes(MasaK21,G400,H400,E400,F400,h)</f>
        <v>14235999.005074693</v>
      </c>
      <c r="F401" s="12">
        <v>34152150.705753125</v>
      </c>
      <c r="G401" s="9">
        <v>-2703.1172465464424</v>
      </c>
      <c r="H401" s="5">
        <v>-2349.1916416146955</v>
      </c>
      <c r="I401" s="5">
        <f t="shared" si="28"/>
        <v>3581.2768976454709</v>
      </c>
      <c r="J401" t="str">
        <f t="shared" si="27"/>
        <v/>
      </c>
    </row>
    <row r="402" spans="3:10" x14ac:dyDescent="0.25">
      <c r="C402" s="11">
        <f t="shared" si="25"/>
        <v>1.6375</v>
      </c>
      <c r="D402" s="13">
        <f t="shared" si="26"/>
        <v>141480</v>
      </c>
      <c r="E402" s="12">
        <f t="array" ref="E402:H402">DatosSiguientes(MasaK21,G401,H401,E401,F401,h)</f>
        <v>13255525.77871811</v>
      </c>
      <c r="F402" s="12">
        <v>33288401.993948046</v>
      </c>
      <c r="G402" s="9">
        <v>-2743.9562332123505</v>
      </c>
      <c r="H402" s="5">
        <v>-2449.4123128579581</v>
      </c>
      <c r="I402" s="5">
        <f t="shared" si="28"/>
        <v>3678.1675448740889</v>
      </c>
      <c r="J402" t="str">
        <f t="shared" si="27"/>
        <v/>
      </c>
    </row>
    <row r="403" spans="3:10" x14ac:dyDescent="0.25">
      <c r="C403" s="11">
        <f t="shared" si="25"/>
        <v>1.6416666666666666</v>
      </c>
      <c r="D403" s="13">
        <f t="shared" si="26"/>
        <v>141840</v>
      </c>
      <c r="E403" s="12">
        <f t="array" ref="E403:H403">DatosSiguientes(MasaK21,G402,H402,E402,F402,h)</f>
        <v>12260167.134907247</v>
      </c>
      <c r="F403" s="12">
        <v>32387212.151191384</v>
      </c>
      <c r="G403" s="9">
        <v>-2785.8140101813319</v>
      </c>
      <c r="H403" s="5">
        <v>-2557.1979246790461</v>
      </c>
      <c r="I403" s="5">
        <f t="shared" si="28"/>
        <v>3781.5368470114654</v>
      </c>
      <c r="J403" t="str">
        <f t="shared" si="27"/>
        <v/>
      </c>
    </row>
    <row r="404" spans="3:10" x14ac:dyDescent="0.25">
      <c r="C404" s="11">
        <f t="shared" si="25"/>
        <v>1.6458333333333333</v>
      </c>
      <c r="D404" s="13">
        <f t="shared" si="26"/>
        <v>142200</v>
      </c>
      <c r="E404" s="12">
        <f t="array" ref="E404:H404">DatosSiguientes(MasaK21,G403,H403,E403,F403,h)</f>
        <v>11249560.542483531</v>
      </c>
      <c r="F404" s="12">
        <v>31445666.546287537</v>
      </c>
      <c r="G404" s="9">
        <v>-2828.6670588393122</v>
      </c>
      <c r="H404" s="5">
        <v>-2673.6109914534345</v>
      </c>
      <c r="I404" s="5">
        <f t="shared" si="28"/>
        <v>3892.2426778636586</v>
      </c>
      <c r="J404" t="str">
        <f t="shared" si="27"/>
        <v/>
      </c>
    </row>
    <row r="405" spans="3:10" x14ac:dyDescent="0.25">
      <c r="C405" s="11">
        <f t="shared" si="25"/>
        <v>1.65</v>
      </c>
      <c r="D405" s="13">
        <f t="shared" si="26"/>
        <v>142560</v>
      </c>
      <c r="E405" s="12">
        <f t="array" ref="E405:H405">DatosSiguientes(MasaK21,G404,H404,E404,F404,h)</f>
        <v>10223358.204172101</v>
      </c>
      <c r="F405" s="12">
        <v>30460428.260826018</v>
      </c>
      <c r="G405" s="9">
        <v>-2872.4570428908592</v>
      </c>
      <c r="H405" s="5">
        <v>-2799.9350388883381</v>
      </c>
      <c r="I405" s="5">
        <f t="shared" si="28"/>
        <v>4011.3147078293346</v>
      </c>
      <c r="J405" t="str">
        <f t="shared" si="27"/>
        <v/>
      </c>
    </row>
    <row r="406" spans="3:10" x14ac:dyDescent="0.25">
      <c r="C406" s="11">
        <f t="shared" si="25"/>
        <v>1.6541666666666666</v>
      </c>
      <c r="D406" s="13">
        <f t="shared" si="26"/>
        <v>142920</v>
      </c>
      <c r="E406" s="12">
        <f t="array" ref="E406:H406">DatosSiguientes(MasaK21,G405,H405,E405,F405,h)</f>
        <v>9181242.7946683876</v>
      </c>
      <c r="F406" s="12">
        <v>29427647.289620534</v>
      </c>
      <c r="G406" s="9">
        <v>-2917.073009907544</v>
      </c>
      <c r="H406" s="5">
        <v>-2937.7370233643574</v>
      </c>
      <c r="I406" s="5">
        <f t="shared" si="28"/>
        <v>4140.0016622673875</v>
      </c>
      <c r="J406" t="str">
        <f t="shared" si="27"/>
        <v/>
      </c>
    </row>
    <row r="407" spans="3:10" x14ac:dyDescent="0.25">
      <c r="C407" s="11">
        <f t="shared" si="25"/>
        <v>1.6583333333333334</v>
      </c>
      <c r="D407" s="13">
        <f t="shared" si="26"/>
        <v>143280</v>
      </c>
      <c r="E407" s="12">
        <f t="array" ref="E407:H407">DatosSiguientes(MasaK21,G406,H406,E406,F406,h)</f>
        <v>8122951.3046610327</v>
      </c>
      <c r="F407" s="12">
        <v>28342843.171359215</v>
      </c>
      <c r="G407" s="9">
        <v>-2962.3241567999817</v>
      </c>
      <c r="H407" s="5">
        <v>-3088.9525225318539</v>
      </c>
      <c r="I407" s="5">
        <f t="shared" si="28"/>
        <v>4279.8355221219217</v>
      </c>
      <c r="J407" t="str">
        <f t="shared" si="27"/>
        <v/>
      </c>
    </row>
    <row r="408" spans="3:10" x14ac:dyDescent="0.25">
      <c r="C408" s="11">
        <f t="shared" si="25"/>
        <v>1.6625000000000001</v>
      </c>
      <c r="D408" s="13">
        <f t="shared" si="26"/>
        <v>143640</v>
      </c>
      <c r="E408" s="12">
        <f t="array" ref="E408:H408">DatosSiguientes(MasaK21,G407,H407,E407,F407,h)</f>
        <v>7048311.4222241109</v>
      </c>
      <c r="F408" s="12">
        <v>27200750.981130883</v>
      </c>
      <c r="G408" s="9">
        <v>-3007.8974122940299</v>
      </c>
      <c r="H408" s="5">
        <v>-3256.00408984776</v>
      </c>
      <c r="I408" s="5">
        <f t="shared" si="28"/>
        <v>4432.7203245851706</v>
      </c>
      <c r="J408" t="str">
        <f t="shared" si="27"/>
        <v/>
      </c>
    </row>
    <row r="409" spans="3:10" x14ac:dyDescent="0.25">
      <c r="C409" s="11">
        <f t="shared" si="25"/>
        <v>1.6666666666666667</v>
      </c>
      <c r="D409" s="13">
        <f t="shared" si="26"/>
        <v>144000</v>
      </c>
      <c r="E409" s="12">
        <f t="array" ref="E409:H409">DatosSiguientes(MasaK21,G408,H408,E408,F408,h)</f>
        <v>5957297.6932586497</v>
      </c>
      <c r="F409" s="12">
        <v>25995115.830743819</v>
      </c>
      <c r="G409" s="9">
        <v>-3053.289970847422</v>
      </c>
      <c r="H409" s="5">
        <v>-3441.968967858139</v>
      </c>
      <c r="I409" s="5">
        <f t="shared" si="28"/>
        <v>4601.057489509979</v>
      </c>
      <c r="J409" t="str">
        <f t="shared" si="27"/>
        <v/>
      </c>
    </row>
    <row r="410" spans="3:10" x14ac:dyDescent="0.25">
      <c r="C410" s="11">
        <f t="shared" si="25"/>
        <v>1.6708333333333334</v>
      </c>
      <c r="D410" s="13">
        <f t="shared" si="26"/>
        <v>144360</v>
      </c>
      <c r="E410" s="12">
        <f t="array" ref="E410:H410">DatosSiguientes(MasaK21,G409,H409,E409,F409,h)</f>
        <v>4850119.6250966853</v>
      </c>
      <c r="F410" s="12">
        <v>24718413.447269928</v>
      </c>
      <c r="G410" s="9">
        <v>-3097.6992967190481</v>
      </c>
      <c r="H410" s="5">
        <v>-3650.8220514412642</v>
      </c>
      <c r="I410" s="5">
        <f t="shared" si="28"/>
        <v>4787.9267521740021</v>
      </c>
      <c r="J410" t="str">
        <f t="shared" si="27"/>
        <v/>
      </c>
    </row>
    <row r="411" spans="3:10" x14ac:dyDescent="0.25">
      <c r="C411" s="11">
        <f t="shared" si="25"/>
        <v>1.675</v>
      </c>
      <c r="D411" s="13">
        <f t="shared" si="26"/>
        <v>144720</v>
      </c>
      <c r="E411" s="12">
        <f t="array" ref="E411:H411">DatosSiguientes(MasaK21,G410,H410,E410,F410,h)</f>
        <v>3727362.8256956264</v>
      </c>
      <c r="F411" s="12">
        <v>23361462.076188929</v>
      </c>
      <c r="G411" s="9">
        <v>-3139.8384777312781</v>
      </c>
      <c r="H411" s="5">
        <v>-3887.7966767865146</v>
      </c>
      <c r="I411" s="5">
        <f t="shared" si="28"/>
        <v>4997.3541665839675</v>
      </c>
      <c r="J411" t="str">
        <f t="shared" si="27"/>
        <v/>
      </c>
    </row>
    <row r="412" spans="3:10" x14ac:dyDescent="0.25">
      <c r="C412" s="11">
        <f t="shared" si="25"/>
        <v>1.6791666666666667</v>
      </c>
      <c r="D412" s="13">
        <f t="shared" si="26"/>
        <v>145080</v>
      </c>
      <c r="E412" s="12">
        <f t="array" ref="E412:H412">DatosSiguientes(MasaK21,G411,H411,E411,F411,h)</f>
        <v>2590221.1297106338</v>
      </c>
      <c r="F412" s="12">
        <v>21912870.295817692</v>
      </c>
      <c r="G412" s="9">
        <v>-3177.6153888520143</v>
      </c>
      <c r="H412" s="5">
        <v>-4159.935436387017</v>
      </c>
      <c r="I412" s="5">
        <f t="shared" si="28"/>
        <v>5234.7208516192704</v>
      </c>
      <c r="J412" t="str">
        <f t="shared" si="27"/>
        <v/>
      </c>
    </row>
    <row r="413" spans="3:10" x14ac:dyDescent="0.25">
      <c r="C413" s="11">
        <f t="shared" si="25"/>
        <v>1.6833333333333333</v>
      </c>
      <c r="D413" s="13">
        <f t="shared" si="26"/>
        <v>145440</v>
      </c>
      <c r="E413" s="12">
        <f t="array" ref="E413:H413">DatosSiguientes(MasaK21,G412,H412,E412,F412,h)</f>
        <v>1440891.0201662462</v>
      </c>
      <c r="F413" s="12">
        <v>20358229.553407054</v>
      </c>
      <c r="G413" s="9">
        <v>-3207.5518863945827</v>
      </c>
      <c r="H413" s="5">
        <v>-4476.9575770054107</v>
      </c>
      <c r="I413" s="5">
        <f t="shared" si="28"/>
        <v>5507.4075798164422</v>
      </c>
      <c r="J413" t="str">
        <f t="shared" si="27"/>
        <v/>
      </c>
    </row>
    <row r="414" spans="3:10" x14ac:dyDescent="0.25">
      <c r="C414" s="11">
        <f t="shared" si="25"/>
        <v>1.6875</v>
      </c>
      <c r="D414" s="13">
        <f t="shared" si="26"/>
        <v>145800</v>
      </c>
      <c r="E414" s="12">
        <f t="array" ref="E414:H414">DatosSiguientes(MasaK21,G413,H413,E413,F413,h)</f>
        <v>283269.37847102637</v>
      </c>
      <c r="F414" s="12">
        <v>18678896.134534501</v>
      </c>
      <c r="G414" s="9">
        <v>-3223.6794563566386</v>
      </c>
      <c r="H414" s="5">
        <v>-4852.6725278421054</v>
      </c>
      <c r="I414" s="5">
        <f t="shared" si="28"/>
        <v>5825.8510021978182</v>
      </c>
      <c r="J414" t="str">
        <f t="shared" si="27"/>
        <v/>
      </c>
    </row>
    <row r="415" spans="3:10" x14ac:dyDescent="0.25">
      <c r="C415" s="11">
        <f t="shared" si="25"/>
        <v>1.6916666666666667</v>
      </c>
      <c r="D415" s="13">
        <f t="shared" si="26"/>
        <v>146160</v>
      </c>
      <c r="E415" s="12">
        <f t="array" ref="E415:H415">DatosSiguientes(MasaK21,G414,H414,E414,F414,h)</f>
        <v>-875748.875656349</v>
      </c>
      <c r="F415" s="12">
        <v>16850088.621962074</v>
      </c>
      <c r="G415" s="9">
        <v>-3215.3108443510023</v>
      </c>
      <c r="H415" s="5">
        <v>-5307.3692086713745</v>
      </c>
      <c r="I415" s="5">
        <f t="shared" si="28"/>
        <v>6205.3518629449345</v>
      </c>
      <c r="J415" t="str">
        <f t="shared" si="27"/>
        <v/>
      </c>
    </row>
    <row r="416" spans="3:10" x14ac:dyDescent="0.25">
      <c r="C416" s="11">
        <f t="shared" si="25"/>
        <v>1.6958333333333333</v>
      </c>
      <c r="D416" s="13">
        <f t="shared" si="26"/>
        <v>146520</v>
      </c>
      <c r="E416" s="12">
        <f t="array" ref="E416:H416">DatosSiguientes(MasaK21,G415,H415,E415,F415,h)</f>
        <v>-2023701.6923722341</v>
      </c>
      <c r="F416" s="12">
        <v>14837802.316669891</v>
      </c>
      <c r="G416" s="9">
        <v>-3162.2048040705818</v>
      </c>
      <c r="H416" s="5">
        <v>-5871.9991540629735</v>
      </c>
      <c r="I416" s="5">
        <f t="shared" si="28"/>
        <v>6669.3262994251036</v>
      </c>
      <c r="J416" t="str">
        <f t="shared" si="27"/>
        <v/>
      </c>
    </row>
    <row r="417" spans="3:10" x14ac:dyDescent="0.25">
      <c r="C417" s="11">
        <f t="shared" si="25"/>
        <v>1.7</v>
      </c>
      <c r="D417" s="13">
        <f t="shared" si="26"/>
        <v>146880</v>
      </c>
      <c r="E417" s="12">
        <f t="array" ref="E417:H417">DatosSiguientes(MasaK21,G416,H416,E416,F416,h)</f>
        <v>-3137054.8927947292</v>
      </c>
      <c r="F417" s="12">
        <v>12593625.310137086</v>
      </c>
      <c r="G417" s="9">
        <v>-3023.0907538321694</v>
      </c>
      <c r="H417" s="5">
        <v>-6595.6508822303849</v>
      </c>
      <c r="I417" s="5">
        <f t="shared" si="28"/>
        <v>7255.4592043627408</v>
      </c>
      <c r="J417" t="str">
        <f t="shared" si="27"/>
        <v/>
      </c>
    </row>
    <row r="418" spans="3:10" x14ac:dyDescent="0.25">
      <c r="C418" s="11">
        <f t="shared" si="25"/>
        <v>1.7041666666666666</v>
      </c>
      <c r="D418" s="13">
        <f t="shared" si="26"/>
        <v>147240</v>
      </c>
      <c r="E418" s="12">
        <f t="array" ref="E418:H418">DatosSiguientes(MasaK21,G417,H417,E417,F417,h)</f>
        <v>-4168158.917797145</v>
      </c>
      <c r="F418" s="12">
        <v>10045922.016624274</v>
      </c>
      <c r="G418" s="9">
        <v>-2705.2649406256951</v>
      </c>
      <c r="H418" s="5">
        <v>-7558.2563039519027</v>
      </c>
      <c r="I418" s="5">
        <f t="shared" si="28"/>
        <v>8027.8077178771055</v>
      </c>
      <c r="J418" t="str">
        <f t="shared" si="27"/>
        <v/>
      </c>
    </row>
    <row r="419" spans="3:10" x14ac:dyDescent="0.25">
      <c r="C419" s="11">
        <f t="shared" si="25"/>
        <v>1.7083333333333333</v>
      </c>
      <c r="D419" s="13">
        <f t="shared" si="26"/>
        <v>147600</v>
      </c>
      <c r="E419" s="12">
        <f t="array" ref="E419:H419">DatosSiguientes(MasaK21,G418,H418,E418,F418,h)</f>
        <v>-5010266.4088235302</v>
      </c>
      <c r="F419" s="12">
        <v>7086499.2829269338</v>
      </c>
      <c r="G419" s="9">
        <v>-1973.1100095208885</v>
      </c>
      <c r="H419" s="5">
        <v>-8882.981105477762</v>
      </c>
      <c r="I419" s="5">
        <f t="shared" si="28"/>
        <v>9099.4789098028268</v>
      </c>
      <c r="J419" t="str">
        <f t="shared" si="27"/>
        <v/>
      </c>
    </row>
    <row r="420" spans="3:10" x14ac:dyDescent="0.25">
      <c r="C420" s="11">
        <f t="shared" si="25"/>
        <v>1.7124999999999999</v>
      </c>
      <c r="D420" s="13">
        <f t="shared" si="26"/>
        <v>147960</v>
      </c>
      <c r="E420" s="12">
        <f t="array" ref="E420:H420">DatosSiguientes(MasaK21,G419,H419,E419,F419,h)</f>
        <v>-5391973.3626403483</v>
      </c>
      <c r="F420" s="12">
        <v>3571101.890379726</v>
      </c>
      <c r="G420" s="9">
        <v>-147.48417835032404</v>
      </c>
      <c r="H420" s="5">
        <v>-10647.004408673394</v>
      </c>
      <c r="I420" s="5">
        <f t="shared" si="28"/>
        <v>10648.025848070354</v>
      </c>
      <c r="J420" t="str">
        <f t="shared" si="27"/>
        <v/>
      </c>
    </row>
    <row r="421" spans="3:10" x14ac:dyDescent="0.25">
      <c r="C421" s="11">
        <f t="shared" si="25"/>
        <v>1.7166666666666666</v>
      </c>
      <c r="D421" s="13">
        <f t="shared" si="26"/>
        <v>148320</v>
      </c>
      <c r="E421" s="12">
        <f t="array" ref="E421:H421">DatosSiguientes(MasaK21,G420,H420,E420,F420,h)</f>
        <v>-4612848.8003897658</v>
      </c>
      <c r="F421" s="12">
        <v>-461545.42159375933</v>
      </c>
      <c r="G421" s="9">
        <v>4475.9539686313374</v>
      </c>
      <c r="H421" s="5">
        <v>-11756.59176895708</v>
      </c>
      <c r="I421" s="5">
        <f t="shared" si="28"/>
        <v>12579.8097740473</v>
      </c>
      <c r="J421" t="str">
        <f t="shared" si="27"/>
        <v/>
      </c>
    </row>
    <row r="422" spans="3:10" x14ac:dyDescent="0.25">
      <c r="C422" s="11">
        <f t="shared" si="25"/>
        <v>1.7208333333333334</v>
      </c>
      <c r="D422" s="13">
        <f t="shared" si="26"/>
        <v>148680</v>
      </c>
      <c r="E422" s="12">
        <f t="array" ref="E422:H422">DatosSiguientes(MasaK21,G421,H421,E421,F421,h)</f>
        <v>-1938616.0804391701</v>
      </c>
      <c r="F422" s="12">
        <v>-3928224.3511331594</v>
      </c>
      <c r="G422" s="9">
        <v>10380.894475538638</v>
      </c>
      <c r="H422" s="5">
        <v>-7502.7356173729213</v>
      </c>
      <c r="I422" s="5">
        <f t="shared" si="28"/>
        <v>12808.357109967885</v>
      </c>
      <c r="J422" t="str">
        <f t="shared" si="27"/>
        <v/>
      </c>
    </row>
    <row r="423" spans="3:10" x14ac:dyDescent="0.25">
      <c r="C423" s="11">
        <f t="shared" si="25"/>
        <v>1.7250000000000001</v>
      </c>
      <c r="D423" s="13">
        <f t="shared" si="26"/>
        <v>149040</v>
      </c>
      <c r="E423" s="12">
        <f t="array" ref="E423:H423">DatosSiguientes(MasaK21,G422,H422,E422,F422,h)</f>
        <v>1859125.0193770721</v>
      </c>
      <c r="F423" s="12">
        <v>-5620722.8762697345</v>
      </c>
      <c r="G423" s="9">
        <v>10717.667190107151</v>
      </c>
      <c r="H423" s="5">
        <v>-1900.0339667191643</v>
      </c>
      <c r="I423" s="5">
        <f t="shared" si="28"/>
        <v>10884.783832147788</v>
      </c>
      <c r="J423" t="str">
        <f t="shared" si="27"/>
        <v/>
      </c>
    </row>
    <row r="424" spans="3:10" x14ac:dyDescent="0.25">
      <c r="C424" s="11">
        <f t="shared" si="25"/>
        <v>1.7291666666666667</v>
      </c>
      <c r="D424" s="13">
        <f t="shared" si="26"/>
        <v>149400</v>
      </c>
      <c r="E424" s="12">
        <f t="array" ref="E424:H424">DatosSiguientes(MasaK21,G423,H423,E423,F423,h)</f>
        <v>5438404.1892414754</v>
      </c>
      <c r="F424" s="12">
        <v>-5834547.9272812083</v>
      </c>
      <c r="G424" s="9">
        <v>9167.2170869173096</v>
      </c>
      <c r="H424" s="5">
        <v>712.11701665542103</v>
      </c>
      <c r="I424" s="5">
        <f t="shared" si="28"/>
        <v>9194.8344065610509</v>
      </c>
      <c r="J424" t="str">
        <f t="shared" si="27"/>
        <v/>
      </c>
    </row>
    <row r="425" spans="3:10" x14ac:dyDescent="0.25">
      <c r="C425" s="11">
        <f t="shared" si="25"/>
        <v>1.7333333333333334</v>
      </c>
      <c r="D425" s="13">
        <f t="shared" si="26"/>
        <v>149760</v>
      </c>
      <c r="E425" s="12">
        <f t="array" ref="E425:H425">DatosSiguientes(MasaK21,G424,H424,E424,F424,h)</f>
        <v>8491131.289534552</v>
      </c>
      <c r="F425" s="12">
        <v>-5373001.3373106625</v>
      </c>
      <c r="G425" s="9">
        <v>7792.3779147108971</v>
      </c>
      <c r="H425" s="5">
        <v>1852.030705403165</v>
      </c>
      <c r="I425" s="5">
        <f t="shared" si="28"/>
        <v>8009.4426335064227</v>
      </c>
      <c r="J425" t="str">
        <f t="shared" si="27"/>
        <v/>
      </c>
    </row>
    <row r="426" spans="3:10" x14ac:dyDescent="0.25">
      <c r="C426" s="11">
        <f t="shared" si="25"/>
        <v>1.7375</v>
      </c>
      <c r="D426" s="13">
        <f t="shared" si="26"/>
        <v>150120</v>
      </c>
      <c r="E426" s="12">
        <f t="array" ref="E426:H426">DatosSiguientes(MasaK21,G425,H425,E425,F425,h)</f>
        <v>11107076.747531701</v>
      </c>
      <c r="F426" s="12">
        <v>-4608029.6881561</v>
      </c>
      <c r="G426" s="9">
        <v>6740.6524074954814</v>
      </c>
      <c r="H426" s="5">
        <v>2397.8117898999612</v>
      </c>
      <c r="I426" s="5">
        <f t="shared" si="28"/>
        <v>7154.4319312198286</v>
      </c>
      <c r="J426" t="str">
        <f t="shared" si="27"/>
        <v/>
      </c>
    </row>
    <row r="427" spans="3:10" x14ac:dyDescent="0.25">
      <c r="C427" s="11">
        <f t="shared" si="25"/>
        <v>1.7416666666666667</v>
      </c>
      <c r="D427" s="13">
        <f t="shared" si="26"/>
        <v>150480</v>
      </c>
      <c r="E427" s="12">
        <f t="array" ref="E427:H427">DatosSiguientes(MasaK21,G426,H426,E426,F426,h)</f>
        <v>13387716.752754766</v>
      </c>
      <c r="F427" s="12">
        <v>-3694607.3067372963</v>
      </c>
      <c r="G427" s="9">
        <v>5929.5698437437686</v>
      </c>
      <c r="H427" s="5">
        <v>2676.756995760059</v>
      </c>
      <c r="I427" s="5">
        <f t="shared" si="28"/>
        <v>6505.753341941725</v>
      </c>
      <c r="J427" t="str">
        <f t="shared" si="27"/>
        <v/>
      </c>
    </row>
    <row r="428" spans="3:10" x14ac:dyDescent="0.25">
      <c r="C428" s="11">
        <f t="shared" si="25"/>
        <v>1.7458333333333333</v>
      </c>
      <c r="D428" s="13">
        <f t="shared" si="26"/>
        <v>150840</v>
      </c>
      <c r="E428" s="12">
        <f t="array" ref="E428:H428">DatosSiguientes(MasaK21,G427,H427,E427,F427,h)</f>
        <v>15406530.460049644</v>
      </c>
      <c r="F428" s="12">
        <v>-2704887.7688583345</v>
      </c>
      <c r="G428" s="9">
        <v>5286.0618634499951</v>
      </c>
      <c r="H428" s="5">
        <v>2821.6848813452848</v>
      </c>
      <c r="I428" s="5">
        <f t="shared" si="28"/>
        <v>5992.0243318792518</v>
      </c>
      <c r="J428" t="str">
        <f t="shared" si="27"/>
        <v/>
      </c>
    </row>
    <row r="429" spans="3:10" x14ac:dyDescent="0.25">
      <c r="C429" s="11">
        <f t="shared" si="25"/>
        <v>1.75</v>
      </c>
      <c r="D429" s="13">
        <f t="shared" si="26"/>
        <v>151200</v>
      </c>
      <c r="E429" s="12">
        <f t="array" ref="E429:H429">DatosSiguientes(MasaK21,G428,H428,E428,F428,h)</f>
        <v>17215022.167883057</v>
      </c>
      <c r="F429" s="12">
        <v>-1676206.413489406</v>
      </c>
      <c r="G429" s="9">
        <v>4761.1142911800798</v>
      </c>
      <c r="H429" s="5">
        <v>2893.2115373709853</v>
      </c>
      <c r="I429" s="5">
        <f t="shared" si="28"/>
        <v>5571.2550016720443</v>
      </c>
      <c r="J429" t="str">
        <f t="shared" si="27"/>
        <v/>
      </c>
    </row>
    <row r="430" spans="3:10" x14ac:dyDescent="0.25">
      <c r="C430" s="11">
        <f t="shared" si="25"/>
        <v>1.7541666666666667</v>
      </c>
      <c r="D430" s="13">
        <f t="shared" si="26"/>
        <v>151560</v>
      </c>
      <c r="E430" s="12">
        <f t="array" ref="E430:H430">DatosSiguientes(MasaK21,G429,H429,E429,F429,h)</f>
        <v>18850084.391885024</v>
      </c>
      <c r="F430" s="12">
        <v>-629494.83505029394</v>
      </c>
      <c r="G430" s="9">
        <v>4322.564731053063</v>
      </c>
      <c r="H430" s="5">
        <v>2921.8527872907484</v>
      </c>
      <c r="I430" s="5">
        <f t="shared" si="28"/>
        <v>5217.4504851260981</v>
      </c>
      <c r="J430" t="str">
        <f t="shared" si="27"/>
        <v/>
      </c>
    </row>
    <row r="431" spans="3:10" x14ac:dyDescent="0.25">
      <c r="C431" s="11">
        <f t="shared" si="25"/>
        <v>1.7583333333333333</v>
      </c>
      <c r="D431" s="13">
        <f t="shared" si="26"/>
        <v>151920</v>
      </c>
      <c r="E431" s="12">
        <f t="array" ref="E431:H431">DatosSiguientes(MasaK21,G430,H430,E430,F430,h)</f>
        <v>20338939.703243047</v>
      </c>
      <c r="F431" s="12">
        <v>422795.58433908212</v>
      </c>
      <c r="G431" s="9">
        <v>3948.8536653804003</v>
      </c>
      <c r="H431" s="5">
        <v>2924.2050982057854</v>
      </c>
      <c r="I431" s="5">
        <f t="shared" si="28"/>
        <v>4913.697256339764</v>
      </c>
      <c r="J431" t="str">
        <f t="shared" si="27"/>
        <v/>
      </c>
    </row>
    <row r="432" spans="3:10" x14ac:dyDescent="0.25">
      <c r="C432" s="11">
        <f t="shared" si="25"/>
        <v>1.7625</v>
      </c>
      <c r="D432" s="13">
        <f t="shared" si="26"/>
        <v>152280</v>
      </c>
      <c r="E432" s="12">
        <f t="array" ref="E432:H432">DatosSiguientes(MasaK21,G431,H431,E431,F431,h)</f>
        <v>21702250.377804421</v>
      </c>
      <c r="F432" s="12">
        <v>1472927.3213263685</v>
      </c>
      <c r="G432" s="9">
        <v>3625.0945266272279</v>
      </c>
      <c r="H432" s="5">
        <v>2909.8601072791384</v>
      </c>
      <c r="I432" s="5">
        <f t="shared" si="28"/>
        <v>4648.5047242008095</v>
      </c>
      <c r="J432" t="str">
        <f t="shared" si="27"/>
        <v/>
      </c>
    </row>
    <row r="433" spans="3:10" x14ac:dyDescent="0.25">
      <c r="C433" s="11">
        <f t="shared" si="25"/>
        <v>1.7666666666666666</v>
      </c>
      <c r="D433" s="13">
        <f t="shared" si="26"/>
        <v>152640</v>
      </c>
      <c r="E433" s="12">
        <f t="array" ref="E433:H433">DatosSiguientes(MasaK21,G432,H432,E432,F432,h)</f>
        <v>22956093.9278716</v>
      </c>
      <c r="F433" s="12">
        <v>2515936.4582930417</v>
      </c>
      <c r="G433" s="9">
        <v>3340.7029737459843</v>
      </c>
      <c r="H433" s="5">
        <v>2884.635098091268</v>
      </c>
      <c r="I433" s="5">
        <f t="shared" si="28"/>
        <v>4413.7757088387807</v>
      </c>
      <c r="J433" t="str">
        <f t="shared" si="27"/>
        <v/>
      </c>
    </row>
    <row r="434" spans="3:10" x14ac:dyDescent="0.25">
      <c r="C434" s="11">
        <f t="shared" si="25"/>
        <v>1.7708333333333333</v>
      </c>
      <c r="D434" s="13">
        <f t="shared" si="26"/>
        <v>153000</v>
      </c>
      <c r="E434" s="12">
        <f t="array" ref="E434:H434">DatosSiguientes(MasaK21,G433,H433,E433,F433,h)</f>
        <v>24113251.480649393</v>
      </c>
      <c r="F434" s="12">
        <v>3548566.3017380238</v>
      </c>
      <c r="G434" s="9">
        <v>3087.9500972417513</v>
      </c>
      <c r="H434" s="5">
        <v>2852.197365491967</v>
      </c>
      <c r="I434" s="5">
        <f t="shared" si="28"/>
        <v>4203.6252942876172</v>
      </c>
      <c r="J434" t="str">
        <f t="shared" si="27"/>
        <v/>
      </c>
    </row>
    <row r="435" spans="3:10" x14ac:dyDescent="0.25">
      <c r="C435" s="11">
        <f t="shared" si="25"/>
        <v>1.7749999999999999</v>
      </c>
      <c r="D435" s="13">
        <f t="shared" si="26"/>
        <v>153360</v>
      </c>
      <c r="E435" s="12">
        <f t="array" ref="E435:H435">DatosSiguientes(MasaK21,G434,H434,E434,F434,h)</f>
        <v>25184072.722441472</v>
      </c>
      <c r="F435" s="12">
        <v>4568649.6106684096</v>
      </c>
      <c r="G435" s="9">
        <v>2861.0568016031389</v>
      </c>
      <c r="H435" s="5">
        <v>2814.9321285657302</v>
      </c>
      <c r="I435" s="5">
        <f t="shared" si="28"/>
        <v>4013.6627798597101</v>
      </c>
      <c r="J435" t="str">
        <f t="shared" si="27"/>
        <v/>
      </c>
    </row>
    <row r="436" spans="3:10" x14ac:dyDescent="0.25">
      <c r="C436" s="11">
        <f t="shared" si="25"/>
        <v>1.7791666666666666</v>
      </c>
      <c r="D436" s="13">
        <f t="shared" si="26"/>
        <v>153720</v>
      </c>
      <c r="E436" s="12">
        <f t="array" ref="E436:H436">DatosSiguientes(MasaK21,G435,H435,E435,F435,h)</f>
        <v>26177072.882285737</v>
      </c>
      <c r="F436" s="12">
        <v>5574734.8603199022</v>
      </c>
      <c r="G436" s="9">
        <v>2655.610753087225</v>
      </c>
      <c r="H436" s="5">
        <v>2774.4303694981168</v>
      </c>
      <c r="I436" s="5">
        <f t="shared" si="28"/>
        <v>3840.5380283374302</v>
      </c>
      <c r="J436" t="str">
        <f t="shared" si="27"/>
        <v/>
      </c>
    </row>
    <row r="437" spans="3:10" x14ac:dyDescent="0.25">
      <c r="C437" s="11">
        <f t="shared" si="25"/>
        <v>1.7833333333333334</v>
      </c>
      <c r="D437" s="13">
        <f t="shared" si="26"/>
        <v>154080</v>
      </c>
      <c r="E437" s="12">
        <f t="array" ref="E437:H437">DatosSiguientes(MasaK21,G436,H436,E436,F436,h)</f>
        <v>27099355.323579688</v>
      </c>
      <c r="F437" s="12">
        <v>6565851.8287389735</v>
      </c>
      <c r="G437" s="9">
        <v>2468.1805874347351</v>
      </c>
      <c r="H437" s="5">
        <v>2731.7750106078333</v>
      </c>
      <c r="I437" s="5">
        <f t="shared" si="28"/>
        <v>3681.6450291644228</v>
      </c>
      <c r="J437" t="str">
        <f t="shared" si="27"/>
        <v/>
      </c>
    </row>
    <row r="438" spans="3:10" x14ac:dyDescent="0.25">
      <c r="C438" s="11">
        <f t="shared" si="25"/>
        <v>1.7875000000000001</v>
      </c>
      <c r="D438" s="13">
        <f t="shared" si="26"/>
        <v>154440</v>
      </c>
      <c r="E438" s="12">
        <f t="array" ref="E438:H438">DatosSiguientes(MasaK21,G437,H437,E437,F437,h)</f>
        <v>27956917.561821178</v>
      </c>
      <c r="F438" s="12">
        <v>7541360.0333322464</v>
      </c>
      <c r="G438" s="9">
        <v>2296.0540694624387</v>
      </c>
      <c r="H438" s="5">
        <v>2687.7150149103518</v>
      </c>
      <c r="I438" s="5">
        <f t="shared" si="28"/>
        <v>3534.9223882950496</v>
      </c>
      <c r="J438" t="str">
        <f t="shared" si="27"/>
        <v/>
      </c>
    </row>
    <row r="439" spans="3:10" x14ac:dyDescent="0.25">
      <c r="C439" s="11">
        <f t="shared" si="25"/>
        <v>1.7916666666666667</v>
      </c>
      <c r="D439" s="13">
        <f t="shared" si="26"/>
        <v>154800</v>
      </c>
      <c r="E439" s="12">
        <f t="array" ref="E439:H439">DatosSiguientes(MasaK21,G438,H438,E438,F438,h)</f>
        <v>28754877.412437275</v>
      </c>
      <c r="F439" s="12">
        <v>8500848.176373845</v>
      </c>
      <c r="G439" s="9">
        <v>2137.0562117381023</v>
      </c>
      <c r="H439" s="5">
        <v>2642.774668654085</v>
      </c>
      <c r="I439" s="5">
        <f t="shared" si="28"/>
        <v>3398.7155222831047</v>
      </c>
      <c r="J439" t="str">
        <f t="shared" si="27"/>
        <v/>
      </c>
    </row>
    <row r="440" spans="3:10" x14ac:dyDescent="0.25">
      <c r="C440" s="11">
        <f t="shared" si="25"/>
        <v>1.7958333333333334</v>
      </c>
      <c r="D440" s="13">
        <f t="shared" si="26"/>
        <v>155160</v>
      </c>
      <c r="E440" s="12">
        <f t="array" ref="E440:H440">DatosSiguientes(MasaK21,G439,H439,E439,F439,h)</f>
        <v>29497643.176115282</v>
      </c>
      <c r="F440" s="12">
        <v>9444065.9478458948</v>
      </c>
      <c r="G440" s="9">
        <v>1989.420253139712</v>
      </c>
      <c r="H440" s="5">
        <v>2597.3240617461902</v>
      </c>
      <c r="I440" s="5">
        <f t="shared" si="28"/>
        <v>3271.6792668793505</v>
      </c>
      <c r="J440" t="str">
        <f t="shared" si="27"/>
        <v/>
      </c>
    </row>
    <row r="441" spans="3:10" x14ac:dyDescent="0.25">
      <c r="C441" s="11">
        <f t="shared" si="25"/>
        <v>1.8</v>
      </c>
      <c r="D441" s="13">
        <f t="shared" si="26"/>
        <v>155520</v>
      </c>
      <c r="E441" s="12">
        <f t="array" ref="E441:H441">DatosSiguientes(MasaK21,G440,H440,E440,F440,h)</f>
        <v>30189043.809932068</v>
      </c>
      <c r="F441" s="12">
        <v>10370876.892343359</v>
      </c>
      <c r="G441" s="9">
        <v>1851.6943791757712</v>
      </c>
      <c r="H441" s="5">
        <v>2551.6256299063862</v>
      </c>
      <c r="I441" s="5">
        <f t="shared" si="28"/>
        <v>3152.7076345684686</v>
      </c>
      <c r="J441" t="str">
        <f t="shared" si="27"/>
        <v/>
      </c>
    </row>
    <row r="442" spans="3:10" x14ac:dyDescent="0.25">
      <c r="C442" s="11">
        <f t="shared" si="25"/>
        <v>1.8041666666666667</v>
      </c>
      <c r="D442" s="13">
        <f t="shared" si="26"/>
        <v>155880</v>
      </c>
      <c r="E442" s="12">
        <f t="array" ref="E442:H442">DatosSiguientes(MasaK21,G441,H441,E441,F441,h)</f>
        <v>30832429.958494857</v>
      </c>
      <c r="F442" s="12">
        <v>11281225.301533714</v>
      </c>
      <c r="G442" s="9">
        <v>1722.6731128397216</v>
      </c>
      <c r="H442" s="5">
        <v>2505.8655322622549</v>
      </c>
      <c r="I442" s="5">
        <f t="shared" si="28"/>
        <v>3040.882227163836</v>
      </c>
      <c r="J442" t="str">
        <f t="shared" si="27"/>
        <v/>
      </c>
    </row>
    <row r="443" spans="3:10" x14ac:dyDescent="0.25">
      <c r="C443" s="11">
        <f t="shared" si="25"/>
        <v>1.8083333333333333</v>
      </c>
      <c r="D443" s="13">
        <f t="shared" si="26"/>
        <v>156240</v>
      </c>
      <c r="E443" s="12">
        <f t="array" ref="E443:H443">DatosSiguientes(MasaK21,G442,H442,E442,F442,h)</f>
        <v>31430753.409170754</v>
      </c>
      <c r="F443" s="12">
        <v>12175112.632384276</v>
      </c>
      <c r="G443" s="9">
        <v>1601.3460575819358</v>
      </c>
      <c r="H443" s="5">
        <v>2460.1751946853124</v>
      </c>
      <c r="I443" s="5">
        <f t="shared" si="28"/>
        <v>2935.433730248074</v>
      </c>
      <c r="J443" t="str">
        <f t="shared" si="27"/>
        <v/>
      </c>
    </row>
    <row r="444" spans="3:10" x14ac:dyDescent="0.25">
      <c r="C444" s="11">
        <f t="shared" si="25"/>
        <v>1.8125</v>
      </c>
      <c r="D444" s="13">
        <f t="shared" si="26"/>
        <v>156600</v>
      </c>
      <c r="E444" s="12">
        <f t="array" ref="E444:H444">DatosSiguientes(MasaK21,G443,H443,E443,F443,h)</f>
        <v>31986630.329693973</v>
      </c>
      <c r="F444" s="12">
        <v>13052580.508853225</v>
      </c>
      <c r="G444" s="9">
        <v>1486.8590564359492</v>
      </c>
      <c r="H444" s="5">
        <v>2414.6463412532894</v>
      </c>
      <c r="I444" s="5">
        <f t="shared" si="28"/>
        <v>2835.7127511497879</v>
      </c>
      <c r="J444" t="str">
        <f t="shared" si="27"/>
        <v/>
      </c>
    </row>
    <row r="445" spans="3:10" x14ac:dyDescent="0.25">
      <c r="C445" s="11">
        <f t="shared" si="25"/>
        <v>1.8166666666666667</v>
      </c>
      <c r="D445" s="13">
        <f t="shared" si="26"/>
        <v>156960</v>
      </c>
      <c r="E445" s="12">
        <f t="array" ref="E445:H445">DatosSiguientes(MasaK21,G444,H444,E444,F444,h)</f>
        <v>32502392.147545923</v>
      </c>
      <c r="F445" s="12">
        <v>13913698.344163906</v>
      </c>
      <c r="G445" s="9">
        <v>1378.4843760748863</v>
      </c>
      <c r="H445" s="5">
        <v>2369.3416326949368</v>
      </c>
      <c r="I445" s="5">
        <f t="shared" si="28"/>
        <v>2741.1674424420112</v>
      </c>
      <c r="J445" t="str">
        <f t="shared" si="27"/>
        <v/>
      </c>
    </row>
    <row r="446" spans="3:10" x14ac:dyDescent="0.25">
      <c r="C446" s="11">
        <f t="shared" si="25"/>
        <v>1.8208333333333333</v>
      </c>
      <c r="D446" s="13">
        <f t="shared" si="26"/>
        <v>157320</v>
      </c>
      <c r="E446" s="12">
        <f t="array" ref="E446:H446">DatosSiguientes(MasaK21,G445,H445,E445,F445,h)</f>
        <v>32980126.893506519</v>
      </c>
      <c r="F446" s="12">
        <v>14758554.250472201</v>
      </c>
      <c r="G446" s="9">
        <v>1275.597545928423</v>
      </c>
      <c r="H446" s="5">
        <v>2324.3022912400415</v>
      </c>
      <c r="I446" s="5">
        <f t="shared" si="28"/>
        <v>2651.3261286085349</v>
      </c>
      <c r="J446" t="str">
        <f t="shared" si="27"/>
        <v/>
      </c>
    </row>
    <row r="447" spans="3:10" x14ac:dyDescent="0.25">
      <c r="C447" s="11">
        <f t="shared" si="25"/>
        <v>1.825</v>
      </c>
      <c r="D447" s="13">
        <f t="shared" si="26"/>
        <v>157680</v>
      </c>
      <c r="E447" s="12">
        <f t="array" ref="E447:H447">DatosSiguientes(MasaK21,G446,H446,E446,F446,h)</f>
        <v>33421713.102394458</v>
      </c>
      <c r="F447" s="12">
        <v>15587248.315712104</v>
      </c>
      <c r="G447" s="9">
        <v>1177.6591701156851</v>
      </c>
      <c r="H447" s="5">
        <v>2279.5536267594202</v>
      </c>
      <c r="I447" s="5">
        <f t="shared" si="28"/>
        <v>2565.7836733110589</v>
      </c>
      <c r="J447" t="str">
        <f t="shared" si="27"/>
        <v/>
      </c>
    </row>
    <row r="448" spans="3:10" x14ac:dyDescent="0.25">
      <c r="C448" s="11">
        <f t="shared" si="25"/>
        <v>1.8291666666666666</v>
      </c>
      <c r="D448" s="13">
        <f t="shared" si="26"/>
        <v>158040</v>
      </c>
      <c r="E448" s="12">
        <f t="array" ref="E448:H448">DatosSiguientes(MasaK21,G447,H447,E447,F447,h)</f>
        <v>33828847.843141429</v>
      </c>
      <c r="F448" s="12">
        <v>16399887.603160599</v>
      </c>
      <c r="G448" s="9">
        <v>1084.2005007008097</v>
      </c>
      <c r="H448" s="5">
        <v>2235.1090812877756</v>
      </c>
      <c r="I448" s="5">
        <f t="shared" si="28"/>
        <v>2484.1906792706091</v>
      </c>
      <c r="J448" t="str">
        <f t="shared" si="27"/>
        <v/>
      </c>
    </row>
    <row r="449" spans="3:10" x14ac:dyDescent="0.25">
      <c r="C449" s="11">
        <f t="shared" si="25"/>
        <v>1.8333333333333333</v>
      </c>
      <c r="D449" s="13">
        <f t="shared" si="26"/>
        <v>158400</v>
      </c>
      <c r="E449" s="12">
        <f t="array" ref="E449:H449">DatosSiguientes(MasaK21,G448,H448,E448,F448,h)</f>
        <v>34203070.073123038</v>
      </c>
      <c r="F449" s="12">
        <v>17196582.416417487</v>
      </c>
      <c r="G449" s="9">
        <v>994.81188808589957</v>
      </c>
      <c r="H449" s="5">
        <v>2190.9732145838157</v>
      </c>
      <c r="I449" s="5">
        <f t="shared" si="28"/>
        <v>2406.2448586336286</v>
      </c>
      <c r="J449" t="str">
        <f t="shared" si="27"/>
        <v/>
      </c>
    </row>
    <row r="450" spans="3:10" x14ac:dyDescent="0.25">
      <c r="C450" s="11">
        <f t="shared" si="25"/>
        <v>1.8374999999999999</v>
      </c>
      <c r="D450" s="13">
        <f t="shared" si="26"/>
        <v>158760</v>
      </c>
      <c r="E450" s="12">
        <f t="array" ref="E450:H450">DatosSiguientes(MasaK21,G449,H449,E449,F449,h)</f>
        <v>34545780.234918095</v>
      </c>
      <c r="F450" s="12">
        <v>17977443.50141285</v>
      </c>
      <c r="G450" s="9">
        <v>909.13345521998201</v>
      </c>
      <c r="H450" s="5">
        <v>2147.1439242793126</v>
      </c>
      <c r="I450" s="5">
        <f t="shared" si="28"/>
        <v>2331.6840847271292</v>
      </c>
      <c r="J450" t="str">
        <f t="shared" si="27"/>
        <v/>
      </c>
    </row>
    <row r="451" spans="3:10" x14ac:dyDescent="0.25">
      <c r="C451" s="11">
        <f t="shared" si="25"/>
        <v>1.8416666666666666</v>
      </c>
      <c r="D451" s="13">
        <f t="shared" si="26"/>
        <v>159120</v>
      </c>
      <c r="E451" s="12">
        <f t="array" ref="E451:H451">DatosSiguientes(MasaK21,G450,H450,E450,F450,h)</f>
        <v>34858256.808176279</v>
      </c>
      <c r="F451" s="12">
        <v>18742579.947064791</v>
      </c>
      <c r="G451" s="9">
        <v>826.84750732549787</v>
      </c>
      <c r="H451" s="5">
        <v>2103.6141071203501</v>
      </c>
      <c r="I451" s="5">
        <f t="shared" si="28"/>
        <v>2260.2807595619925</v>
      </c>
      <c r="J451" t="str">
        <f t="shared" si="27"/>
        <v/>
      </c>
    </row>
    <row r="452" spans="3:10" x14ac:dyDescent="0.25">
      <c r="C452" s="11">
        <f t="shared" si="25"/>
        <v>1.8458333333333334</v>
      </c>
      <c r="D452" s="13">
        <f t="shared" si="26"/>
        <v>159480</v>
      </c>
      <c r="E452" s="12">
        <f t="array" ref="E452:H452">DatosSiguientes(MasaK21,G451,H451,E451,F451,h)</f>
        <v>35141670.374984361</v>
      </c>
      <c r="F452" s="12">
        <v>19492097.609836236</v>
      </c>
      <c r="G452" s="9">
        <v>747.67230827496803</v>
      </c>
      <c r="H452" s="5">
        <v>2060.3729082765599</v>
      </c>
      <c r="I452" s="5">
        <f t="shared" si="28"/>
        <v>2191.837220625936</v>
      </c>
      <c r="J452" t="str">
        <f t="shared" si="27"/>
        <v/>
      </c>
    </row>
    <row r="453" spans="3:10" x14ac:dyDescent="0.25">
      <c r="C453" s="11">
        <f t="shared" si="25"/>
        <v>1.85</v>
      </c>
      <c r="D453" s="13">
        <f t="shared" si="26"/>
        <v>159840</v>
      </c>
      <c r="E453" s="12">
        <f t="array" ref="E453:H453">DatosSiguientes(MasaK21,G452,H452,E452,F452,h)</f>
        <v>35397095.640068121</v>
      </c>
      <c r="F453" s="12">
        <v>20226097.932927698</v>
      </c>
      <c r="G453" s="9">
        <v>671.35694219035281</v>
      </c>
      <c r="H453" s="5">
        <v>2017.4066644537863</v>
      </c>
      <c r="I453" s="5">
        <f t="shared" si="28"/>
        <v>2126.1819756572418</v>
      </c>
      <c r="J453" t="str">
        <f t="shared" si="27"/>
        <v/>
      </c>
    </row>
    <row r="454" spans="3:10" x14ac:dyDescent="0.25">
      <c r="C454" s="11">
        <f t="shared" si="25"/>
        <v>1.8541666666666667</v>
      </c>
      <c r="D454" s="13">
        <f t="shared" si="26"/>
        <v>160200</v>
      </c>
      <c r="E454" s="12">
        <f t="array" ref="E454:H454">DatosSiguientes(MasaK21,G453,H453,E453,F453,h)</f>
        <v>35625521.757501394</v>
      </c>
      <c r="F454" s="12">
        <v>20944677.063702621</v>
      </c>
      <c r="G454" s="9">
        <v>597.67704355004423</v>
      </c>
      <c r="H454" s="5">
        <v>1974.699617629112</v>
      </c>
      <c r="I454" s="5">
        <f t="shared" si="28"/>
        <v>2063.1666021558422</v>
      </c>
      <c r="J454" t="str">
        <f t="shared" si="27"/>
        <v/>
      </c>
    </row>
    <row r="455" spans="3:10" x14ac:dyDescent="0.25">
      <c r="C455" s="11">
        <f t="shared" si="25"/>
        <v>1.8583333333333334</v>
      </c>
      <c r="D455" s="13">
        <f t="shared" si="26"/>
        <v>160560</v>
      </c>
      <c r="E455" s="12">
        <f t="array" ref="E455:H455">DatosSiguientes(MasaK21,G454,H454,E454,F454,h)</f>
        <v>35827861.246284395</v>
      </c>
      <c r="F455" s="12">
        <v>21647925.196906354</v>
      </c>
      <c r="G455" s="9">
        <v>526.4312274666338</v>
      </c>
      <c r="H455" s="5">
        <v>1932.2344557249571</v>
      </c>
      <c r="I455" s="5">
        <f t="shared" si="28"/>
        <v>2002.6631841482351</v>
      </c>
      <c r="J455" t="str">
        <f t="shared" si="27"/>
        <v/>
      </c>
    </row>
    <row r="456" spans="3:10" x14ac:dyDescent="0.25">
      <c r="C456" s="11">
        <f t="shared" si="25"/>
        <v>1.8625</v>
      </c>
      <c r="D456" s="13">
        <f t="shared" si="26"/>
        <v>160920</v>
      </c>
      <c r="E456" s="12">
        <f t="array" ref="E456:H456">DatosSiguientes(MasaK21,G455,H455,E455,F455,h)</f>
        <v>36004957.723124065</v>
      </c>
      <c r="F456" s="12">
        <v>22335926.088870157</v>
      </c>
      <c r="G456" s="9">
        <v>457.43808830931607</v>
      </c>
      <c r="H456" s="5">
        <v>1889.992721851725</v>
      </c>
      <c r="I456" s="5">
        <f t="shared" si="28"/>
        <v>1944.562185503095</v>
      </c>
      <c r="J456" t="str">
        <f t="shared" si="27"/>
        <v/>
      </c>
    </row>
    <row r="457" spans="3:10" x14ac:dyDescent="0.25">
      <c r="C457" s="11">
        <f t="shared" si="25"/>
        <v>1.8666666666666667</v>
      </c>
      <c r="D457" s="13">
        <f t="shared" si="26"/>
        <v>161280</v>
      </c>
      <c r="E457" s="12">
        <f t="array" ref="E457:H457">DatosSiguientes(MasaK21,G456,H456,E456,F456,h)</f>
        <v>36157592.638295844</v>
      </c>
      <c r="F457" s="12">
        <v>23008756.700966034</v>
      </c>
      <c r="G457" s="9">
        <v>390.53366264500875</v>
      </c>
      <c r="H457" s="5">
        <v>1847.9551231253663</v>
      </c>
      <c r="I457" s="5">
        <f t="shared" si="28"/>
        <v>1888.7706792366862</v>
      </c>
      <c r="J457" t="str">
        <f t="shared" si="27"/>
        <v/>
      </c>
    </row>
    <row r="458" spans="3:10" x14ac:dyDescent="0.25">
      <c r="C458" s="11">
        <f t="shared" ref="C458:C521" si="29">D458/86400</f>
        <v>1.8708333333333333</v>
      </c>
      <c r="D458" s="13">
        <f t="shared" ref="D458:D521" si="30">h+D457</f>
        <v>161640</v>
      </c>
      <c r="E458" s="12">
        <f t="array" ref="E458:H458">DatosSiguientes(MasaK21,G457,H457,E457,F457,h)</f>
        <v>36286491.16685912</v>
      </c>
      <c r="F458" s="12">
        <v>23666486.940345041</v>
      </c>
      <c r="G458" s="9">
        <v>325.56927381765269</v>
      </c>
      <c r="H458" s="5">
        <v>1806.1017623135551</v>
      </c>
      <c r="I458" s="5">
        <f t="shared" si="28"/>
        <v>1835.2108674172248</v>
      </c>
      <c r="J458" t="str">
        <f t="shared" ref="J458:J521" si="31">IF(I458=$I$8,"&lt;--------&lt;&lt;&lt;","")</f>
        <v/>
      </c>
    </row>
    <row r="459" spans="3:10" x14ac:dyDescent="0.25">
      <c r="C459" s="11">
        <f t="shared" si="29"/>
        <v>1.875</v>
      </c>
      <c r="D459" s="13">
        <f t="shared" si="30"/>
        <v>162000</v>
      </c>
      <c r="E459" s="12">
        <f t="array" ref="E459:H459">DatosSiguientes(MasaK21,G458,H458,E458,F458,h)</f>
        <v>36392327.380706996</v>
      </c>
      <c r="F459" s="12">
        <v>24309179.473336052</v>
      </c>
      <c r="G459" s="9">
        <v>262.40969200389094</v>
      </c>
      <c r="H459" s="5">
        <v>1764.4123098587315</v>
      </c>
      <c r="I459" s="5">
        <f t="shared" si="28"/>
        <v>1783.818837673434</v>
      </c>
      <c r="J459" t="str">
        <f t="shared" si="31"/>
        <v/>
      </c>
    </row>
    <row r="460" spans="3:10" x14ac:dyDescent="0.25">
      <c r="C460" s="11">
        <f t="shared" si="29"/>
        <v>1.8791666666666667</v>
      </c>
      <c r="D460" s="13">
        <f t="shared" si="30"/>
        <v>162360</v>
      </c>
      <c r="E460" s="12">
        <f t="array" ref="E460:H460">DatosSiguientes(MasaK21,G459,H459,E459,F459,h)</f>
        <v>36475728.805430874</v>
      </c>
      <c r="F460" s="12">
        <v>24936889.592437603</v>
      </c>
      <c r="G460" s="9">
        <v>200.93155646208101</v>
      </c>
      <c r="H460" s="5">
        <v>1722.8661295943311</v>
      </c>
      <c r="I460" s="5">
        <f t="shared" si="28"/>
        <v>1734.5435108078509</v>
      </c>
      <c r="J460" t="str">
        <f t="shared" si="31"/>
        <v/>
      </c>
    </row>
    <row r="461" spans="3:10" x14ac:dyDescent="0.25">
      <c r="C461" s="11">
        <f t="shared" si="29"/>
        <v>1.8833333333333333</v>
      </c>
      <c r="D461" s="13">
        <f t="shared" si="30"/>
        <v>162720</v>
      </c>
      <c r="E461" s="12">
        <f t="array" ref="E461:H461">DatosSiguientes(MasaK21,G460,H460,E460,F460,h)</f>
        <v>36537280.448618613</v>
      </c>
      <c r="F461" s="12">
        <v>25549665.122060064</v>
      </c>
      <c r="G461" s="9">
        <v>141.02201680314721</v>
      </c>
      <c r="H461" s="5">
        <v>1681.4423683082421</v>
      </c>
      <c r="I461" s="5">
        <f t="shared" ref="I461:I524" si="32">SQRT(G461^2+H461^2)</f>
        <v>1687.3457402575375</v>
      </c>
      <c r="J461" t="str">
        <f t="shared" si="31"/>
        <v/>
      </c>
    </row>
    <row r="462" spans="3:10" x14ac:dyDescent="0.25">
      <c r="C462" s="11">
        <f t="shared" si="29"/>
        <v>1.8875</v>
      </c>
      <c r="D462" s="13">
        <f t="shared" si="30"/>
        <v>163080</v>
      </c>
      <c r="E462" s="12">
        <f t="array" ref="E462:H462">DatosSiguientes(MasaK21,G461,H461,E461,F461,h)</f>
        <v>36577528.372101821</v>
      </c>
      <c r="F462" s="12">
        <v>26147546.35140257</v>
      </c>
      <c r="G462" s="9">
        <v>82.577558103580444</v>
      </c>
      <c r="H462" s="5">
        <v>1640.1200169278993</v>
      </c>
      <c r="I462" s="5">
        <f t="shared" si="32"/>
        <v>1642.1975286273948</v>
      </c>
      <c r="J462" t="str">
        <f t="shared" si="31"/>
        <v/>
      </c>
    </row>
    <row r="463" spans="3:10" x14ac:dyDescent="0.25">
      <c r="C463" s="11">
        <f t="shared" si="29"/>
        <v>1.8916666666666666</v>
      </c>
      <c r="D463" s="13">
        <f t="shared" si="30"/>
        <v>163440</v>
      </c>
      <c r="E463" s="12">
        <f t="array" ref="E463:H463">DatosSiguientes(MasaK21,G462,H462,E462,F462,h)</f>
        <v>36596982.869147159</v>
      </c>
      <c r="F463" s="12">
        <v>26730565.985323362</v>
      </c>
      <c r="G463" s="9">
        <v>25.502981037189489</v>
      </c>
      <c r="H463" s="5">
        <v>1598.8779492987333</v>
      </c>
      <c r="I463" s="5">
        <f t="shared" si="32"/>
        <v>1599.0813296375848</v>
      </c>
      <c r="J463" t="str">
        <f t="shared" si="31"/>
        <v/>
      </c>
    </row>
    <row r="464" spans="3:10" x14ac:dyDescent="0.25">
      <c r="C464" s="11">
        <f t="shared" si="29"/>
        <v>1.8958333333333333</v>
      </c>
      <c r="D464" s="13">
        <f t="shared" si="30"/>
        <v>163800</v>
      </c>
      <c r="E464" s="12">
        <f t="array" ref="E464:H464">DatosSiguientes(MasaK21,G463,H463,E463,F463,h)</f>
        <v>36596121.298125692</v>
      </c>
      <c r="F464" s="12">
        <v>27298749.105964709</v>
      </c>
      <c r="G464" s="9">
        <v>-30.289486712027067</v>
      </c>
      <c r="H464" s="5">
        <v>1557.6949431531903</v>
      </c>
      <c r="I464" s="5">
        <f t="shared" si="32"/>
        <v>1557.9894059108035</v>
      </c>
      <c r="J464" t="str">
        <f t="shared" si="31"/>
        <v/>
      </c>
    </row>
    <row r="465" spans="3:10" x14ac:dyDescent="0.25">
      <c r="C465" s="11">
        <f t="shared" si="29"/>
        <v>1.9</v>
      </c>
      <c r="D465" s="13">
        <f t="shared" si="30"/>
        <v>164160</v>
      </c>
      <c r="E465" s="12">
        <f t="array" ref="E465:H465">DatosSiguientes(MasaK21,G464,H464,E464,F464,h)</f>
        <v>36575390.616385318</v>
      </c>
      <c r="F465" s="12">
        <v>27852113.139358602</v>
      </c>
      <c r="G465" s="9">
        <v>-84.880967401169428</v>
      </c>
      <c r="H465" s="5">
        <v>1516.5496868128844</v>
      </c>
      <c r="I465" s="5">
        <f t="shared" si="32"/>
        <v>1518.923214385512</v>
      </c>
      <c r="J465" t="str">
        <f t="shared" si="31"/>
        <v/>
      </c>
    </row>
    <row r="466" spans="3:10" x14ac:dyDescent="0.25">
      <c r="C466" s="11">
        <f t="shared" si="29"/>
        <v>1.9041666666666666</v>
      </c>
      <c r="D466" s="13">
        <f t="shared" si="30"/>
        <v>164520</v>
      </c>
      <c r="E466" s="12">
        <f t="array" ref="E466:H466">DatosSiguientes(MasaK21,G465,H465,E465,F465,h)</f>
        <v>36535209.651575007</v>
      </c>
      <c r="F466" s="12">
        <v>28390667.82236829</v>
      </c>
      <c r="G466" s="9">
        <v>-138.34661487835774</v>
      </c>
      <c r="H466" s="5">
        <v>1475.4207743520403</v>
      </c>
      <c r="I466" s="5">
        <f t="shared" si="32"/>
        <v>1481.8927920864837</v>
      </c>
      <c r="J466" t="str">
        <f t="shared" si="31"/>
        <v/>
      </c>
    </row>
    <row r="467" spans="3:10" x14ac:dyDescent="0.25">
      <c r="C467" s="11">
        <f t="shared" si="29"/>
        <v>1.9083333333333334</v>
      </c>
      <c r="D467" s="13">
        <f t="shared" si="30"/>
        <v>164880</v>
      </c>
      <c r="E467" s="12">
        <f t="array" ref="E467:H467">DatosSiguientes(MasaK21,G466,H466,E466,F466,h)</f>
        <v>36475971.142273687</v>
      </c>
      <c r="F467" s="12">
        <v>28914415.166188795</v>
      </c>
      <c r="G467" s="9">
        <v>-190.75621457341666</v>
      </c>
      <c r="H467" s="5">
        <v>1434.2866913174253</v>
      </c>
      <c r="I467" s="5">
        <f t="shared" si="32"/>
        <v>1446.9161158438546</v>
      </c>
      <c r="J467" t="str">
        <f t="shared" si="31"/>
        <v/>
      </c>
    </row>
    <row r="468" spans="3:10" x14ac:dyDescent="0.25">
      <c r="C468" s="11">
        <f t="shared" si="29"/>
        <v>1.9125000000000001</v>
      </c>
      <c r="D468" s="13">
        <f t="shared" si="30"/>
        <v>165240</v>
      </c>
      <c r="E468" s="12">
        <f t="array" ref="E468:H468">DatosSiguientes(MasaK21,G467,H467,E467,F467,h)</f>
        <v>36398043.575261645</v>
      </c>
      <c r="F468" s="12">
        <v>29423349.413294762</v>
      </c>
      <c r="G468" s="9">
        <v>-242.1747132712685</v>
      </c>
      <c r="H468" s="5">
        <v>1393.1257926046128</v>
      </c>
      <c r="I468" s="5">
        <f t="shared" si="32"/>
        <v>1414.018410689285</v>
      </c>
      <c r="J468" t="str">
        <f t="shared" si="31"/>
        <v/>
      </c>
    </row>
    <row r="469" spans="3:10" x14ac:dyDescent="0.25">
      <c r="C469" s="11">
        <f t="shared" si="29"/>
        <v>1.9166666666666667</v>
      </c>
      <c r="D469" s="13">
        <f t="shared" si="30"/>
        <v>165600</v>
      </c>
      <c r="E469" s="12">
        <f t="array" ref="E469:H469">DatosSiguientes(MasaK21,G468,H468,E468,F468,h)</f>
        <v>36301772.842978179</v>
      </c>
      <c r="F469" s="12">
        <v>29917456.985229559</v>
      </c>
      <c r="G469" s="9">
        <v>-292.66268830352374</v>
      </c>
      <c r="H469" s="5">
        <v>1351.9162736998207</v>
      </c>
      <c r="I469" s="5">
        <f t="shared" si="32"/>
        <v>1383.2313834711292</v>
      </c>
      <c r="J469" t="str">
        <f t="shared" si="31"/>
        <v/>
      </c>
    </row>
    <row r="470" spans="3:10" x14ac:dyDescent="0.25">
      <c r="C470" s="11">
        <f t="shared" si="29"/>
        <v>1.9208333333333334</v>
      </c>
      <c r="D470" s="13">
        <f t="shared" si="30"/>
        <v>165960</v>
      </c>
      <c r="E470" s="12">
        <f t="array" ref="E470:H470">DatosSiguientes(MasaK21,G469,H469,E469,F469,h)</f>
        <v>36187483.741508849</v>
      </c>
      <c r="F470" s="12">
        <v>30396716.419008989</v>
      </c>
      <c r="G470" s="9">
        <v>-342.27676430388152</v>
      </c>
      <c r="H470" s="5">
        <v>1310.6361361858978</v>
      </c>
      <c r="I470" s="5">
        <f t="shared" si="32"/>
        <v>1354.5923611399239</v>
      </c>
      <c r="J470" t="str">
        <f t="shared" si="31"/>
        <v/>
      </c>
    </row>
    <row r="471" spans="3:10" x14ac:dyDescent="0.25">
      <c r="C471" s="11">
        <f t="shared" si="29"/>
        <v>1.925</v>
      </c>
      <c r="D471" s="13">
        <f t="shared" si="30"/>
        <v>166320</v>
      </c>
      <c r="E471" s="12">
        <f t="array" ref="E471:H471">DatosSiguientes(MasaK21,G470,H470,E470,F470,h)</f>
        <v>36055481.326735154</v>
      </c>
      <c r="F471" s="12">
        <v>30861098.290191513</v>
      </c>
      <c r="G471" s="9">
        <v>-391.06998443885868</v>
      </c>
      <c r="H471" s="5">
        <v>1269.2631481614524</v>
      </c>
      <c r="I471" s="5">
        <f t="shared" si="32"/>
        <v>1328.1433175714621</v>
      </c>
      <c r="J471" t="str">
        <f t="shared" si="31"/>
        <v/>
      </c>
    </row>
    <row r="472" spans="3:10" x14ac:dyDescent="0.25">
      <c r="C472" s="11">
        <f t="shared" si="29"/>
        <v>1.9291666666666667</v>
      </c>
      <c r="D472" s="13">
        <f t="shared" si="30"/>
        <v>166680</v>
      </c>
      <c r="E472" s="12">
        <f t="array" ref="E472:H472">DatosSiguientes(MasaK21,G471,H471,E471,F471,h)</f>
        <v>35906052.143976361</v>
      </c>
      <c r="F472" s="12">
        <v>31310565.120864019</v>
      </c>
      <c r="G472" s="9">
        <v>-439.09214199887407</v>
      </c>
      <c r="H472" s="5">
        <v>1227.77480001914</v>
      </c>
      <c r="I472" s="5">
        <f t="shared" si="32"/>
        <v>1303.9297790629673</v>
      </c>
      <c r="J472" t="str">
        <f t="shared" si="31"/>
        <v/>
      </c>
    </row>
    <row r="473" spans="3:10" x14ac:dyDescent="0.25">
      <c r="C473" s="11">
        <f t="shared" si="29"/>
        <v>1.9333333333333333</v>
      </c>
      <c r="D473" s="13">
        <f t="shared" si="30"/>
        <v>167040</v>
      </c>
      <c r="E473" s="12">
        <f t="array" ref="E473:H473">DatosSiguientes(MasaK21,G472,H472,E472,F472,h)</f>
        <v>35739465.344488621</v>
      </c>
      <c r="F473" s="12">
        <v>31745071.270922553</v>
      </c>
      <c r="G473" s="9">
        <v>-486.39007737746073</v>
      </c>
      <c r="H473" s="5">
        <v>1186.148255861614</v>
      </c>
      <c r="I473" s="5">
        <f t="shared" si="32"/>
        <v>1281.9996069635906</v>
      </c>
      <c r="J473" t="str">
        <f t="shared" si="31"/>
        <v/>
      </c>
    </row>
    <row r="474" spans="3:10" x14ac:dyDescent="0.25">
      <c r="C474" s="11">
        <f t="shared" si="29"/>
        <v>1.9375</v>
      </c>
      <c r="D474" s="13">
        <f t="shared" si="30"/>
        <v>167400</v>
      </c>
      <c r="E474" s="12">
        <f t="array" ref="E474:H474">DatosSiguientes(MasaK21,G473,H473,E473,F473,h)</f>
        <v>35555973.700506099</v>
      </c>
      <c r="F474" s="12">
        <v>32164562.81110236</v>
      </c>
      <c r="G474" s="9">
        <v>-533.00794474764689</v>
      </c>
      <c r="H474" s="5">
        <v>1144.3603006928631</v>
      </c>
      <c r="I474" s="5">
        <f t="shared" si="32"/>
        <v>1262.401666256018</v>
      </c>
      <c r="J474" t="str">
        <f t="shared" si="31"/>
        <v/>
      </c>
    </row>
    <row r="475" spans="3:10" x14ac:dyDescent="0.25">
      <c r="C475" s="11">
        <f t="shared" si="29"/>
        <v>1.9416666666666667</v>
      </c>
      <c r="D475" s="13">
        <f t="shared" si="30"/>
        <v>167760</v>
      </c>
      <c r="E475" s="12">
        <f t="array" ref="E475:H475">DatosSiguientes(MasaK21,G474,H474,E474,F474,h)</f>
        <v>35355814.529066384</v>
      </c>
      <c r="F475" s="12">
        <v>32568977.376239393</v>
      </c>
      <c r="G475" s="9">
        <v>-578.98745213964014</v>
      </c>
      <c r="H475" s="5">
        <v>1102.3872834017666</v>
      </c>
      <c r="I475" s="5">
        <f t="shared" si="32"/>
        <v>1245.1844009387039</v>
      </c>
      <c r="J475" t="str">
        <f t="shared" si="31"/>
        <v/>
      </c>
    </row>
    <row r="476" spans="3:10" x14ac:dyDescent="0.25">
      <c r="C476" s="11">
        <f t="shared" si="29"/>
        <v>1.9458333333333333</v>
      </c>
      <c r="D476" s="13">
        <f t="shared" si="30"/>
        <v>168120</v>
      </c>
      <c r="E476" s="12">
        <f t="array" ref="E476:H476">DatosSiguientes(MasaK21,G475,H475,E475,F475,h)</f>
        <v>35139210.533620924</v>
      </c>
      <c r="F476" s="12">
        <v>32958243.997232381</v>
      </c>
      <c r="G476" s="9">
        <v>-624.36807811290134</v>
      </c>
      <c r="H476" s="5">
        <v>1060.2050554481671</v>
      </c>
      <c r="I476" s="5">
        <f t="shared" si="32"/>
        <v>1230.3943500212642</v>
      </c>
      <c r="J476" t="str">
        <f t="shared" si="31"/>
        <v/>
      </c>
    </row>
    <row r="477" spans="3:10" x14ac:dyDescent="0.25">
      <c r="C477" s="11">
        <f t="shared" si="29"/>
        <v>1.95</v>
      </c>
      <c r="D477" s="13">
        <f t="shared" si="30"/>
        <v>168480</v>
      </c>
      <c r="E477" s="12">
        <f t="array" ref="E477:H477">DatosSiguientes(MasaK21,G476,H476,E476,F476,h)</f>
        <v>34906370.571359791</v>
      </c>
      <c r="F477" s="12">
        <v>33332282.910124779</v>
      </c>
      <c r="G477" s="9">
        <v>-669.18726778229836</v>
      </c>
      <c r="H477" s="5">
        <v>1017.7889050651502</v>
      </c>
      <c r="I477" s="5">
        <f t="shared" si="32"/>
        <v>1218.0746506826479</v>
      </c>
      <c r="J477" t="str">
        <f t="shared" si="31"/>
        <v/>
      </c>
    </row>
    <row r="478" spans="3:10" x14ac:dyDescent="0.25">
      <c r="C478" s="11">
        <f t="shared" si="29"/>
        <v>1.9541666666666666</v>
      </c>
      <c r="D478" s="13">
        <f t="shared" si="30"/>
        <v>168840</v>
      </c>
      <c r="E478" s="12">
        <f t="array" ref="E478:H478">DatosSiguientes(MasaK21,G477,H477,E477,F477,h)</f>
        <v>34657490.353252947</v>
      </c>
      <c r="F478" s="12">
        <v>33691005.340642646</v>
      </c>
      <c r="G478" s="9">
        <v>-713.48061058905148</v>
      </c>
      <c r="H478" s="5">
        <v>975.11348670078144</v>
      </c>
      <c r="I478" s="5">
        <f t="shared" si="32"/>
        <v>1208.263586156713</v>
      </c>
      <c r="J478" t="str">
        <f t="shared" si="31"/>
        <v/>
      </c>
    </row>
    <row r="479" spans="3:10" x14ac:dyDescent="0.25">
      <c r="C479" s="11">
        <f t="shared" si="29"/>
        <v>1.9583333333333333</v>
      </c>
      <c r="D479" s="13">
        <f t="shared" si="30"/>
        <v>169200</v>
      </c>
      <c r="E479" s="12">
        <f t="array" ref="E479:H479">DatosSiguientes(MasaK21,G478,H478,E478,F478,h)</f>
        <v>34392753.083006397</v>
      </c>
      <c r="F479" s="12">
        <v>34034313.262409106</v>
      </c>
      <c r="G479" s="9">
        <v>-757.28200189177403</v>
      </c>
      <c r="H479" s="5">
        <v>932.15274533510797</v>
      </c>
      <c r="I479" s="5">
        <f t="shared" si="32"/>
        <v>1200.9932435384437</v>
      </c>
      <c r="J479" t="str">
        <f t="shared" si="31"/>
        <v/>
      </c>
    </row>
    <row r="480" spans="3:10" x14ac:dyDescent="0.25">
      <c r="C480" s="11">
        <f t="shared" si="29"/>
        <v>1.9624999999999999</v>
      </c>
      <c r="D480" s="13">
        <f t="shared" si="30"/>
        <v>169560</v>
      </c>
      <c r="E480" s="12">
        <f t="array" ref="E480:H480">DatosSiguientes(MasaK21,G479,H479,E479,F479,h)</f>
        <v>34112330.040433094</v>
      </c>
      <c r="F480" s="12">
        <v>34362099.126909204</v>
      </c>
      <c r="G480" s="9">
        <v>-800.62379018212891</v>
      </c>
      <c r="H480" s="5">
        <v>888.8798352209742</v>
      </c>
      <c r="I480" s="5">
        <f t="shared" si="32"/>
        <v>1196.2883493823986</v>
      </c>
      <c r="J480" t="str">
        <f t="shared" si="31"/>
        <v/>
      </c>
    </row>
    <row r="481" spans="3:10" x14ac:dyDescent="0.25">
      <c r="C481" s="11">
        <f t="shared" si="29"/>
        <v>1.9666666666666666</v>
      </c>
      <c r="D481" s="13">
        <f t="shared" si="30"/>
        <v>169920</v>
      </c>
      <c r="E481" s="12">
        <f t="array" ref="E481:H481">DatosSiguientes(MasaK21,G480,H480,E480,F480,h)</f>
        <v>33816381.114131026</v>
      </c>
      <c r="F481" s="12">
        <v>34674245.563100331</v>
      </c>
      <c r="G481" s="9">
        <v>-843.53691149603117</v>
      </c>
      <c r="H481" s="5">
        <v>845.26703250752564</v>
      </c>
      <c r="I481" s="5">
        <f t="shared" si="32"/>
        <v>1194.1653475546598</v>
      </c>
      <c r="J481" t="str">
        <f t="shared" si="31"/>
        <v/>
      </c>
    </row>
    <row r="482" spans="3:10" x14ac:dyDescent="0.25">
      <c r="C482" s="11">
        <f t="shared" si="29"/>
        <v>1.9708333333333334</v>
      </c>
      <c r="D482" s="13">
        <f t="shared" si="30"/>
        <v>170280</v>
      </c>
      <c r="E482" s="12">
        <f t="array" ref="E482:H482">DatosSiguientes(MasaK21,G481,H481,E481,F481,h)</f>
        <v>33505055.287831768</v>
      </c>
      <c r="F482" s="12">
        <v>34970625.044351615</v>
      </c>
      <c r="G482" s="9">
        <v>-886.0510123887326</v>
      </c>
      <c r="H482" s="5">
        <v>801.2856411107208</v>
      </c>
      <c r="I482" s="5">
        <f t="shared" si="32"/>
        <v>1194.6317738974285</v>
      </c>
      <c r="J482" t="str">
        <f t="shared" si="31"/>
        <v/>
      </c>
    </row>
    <row r="483" spans="3:10" x14ac:dyDescent="0.25">
      <c r="C483" s="11">
        <f t="shared" si="29"/>
        <v>1.9750000000000001</v>
      </c>
      <c r="D483" s="13">
        <f t="shared" si="30"/>
        <v>170640</v>
      </c>
      <c r="E483" s="12">
        <f t="array" ref="E483:H483">DatosSiguientes(MasaK21,G482,H482,E482,F482,h)</f>
        <v>33178491.084322043</v>
      </c>
      <c r="F483" s="12">
        <v>35251099.520148329</v>
      </c>
      <c r="G483" s="9">
        <v>-928.1945626652946</v>
      </c>
      <c r="H483" s="5">
        <v>756.90589109325958</v>
      </c>
      <c r="I483" s="5">
        <f t="shared" si="32"/>
        <v>1197.6859664090161</v>
      </c>
      <c r="J483" t="str">
        <f t="shared" si="31"/>
        <v/>
      </c>
    </row>
    <row r="484" spans="3:10" x14ac:dyDescent="0.25">
      <c r="C484" s="11">
        <f t="shared" si="29"/>
        <v>1.9791666666666667</v>
      </c>
      <c r="D484" s="13">
        <f t="shared" si="30"/>
        <v>171000</v>
      </c>
      <c r="E484" s="12">
        <f t="array" ref="E484:H484">DatosSiguientes(MasaK21,G483,H483,E483,F483,h)</f>
        <v>32836816.970439851</v>
      </c>
      <c r="F484" s="12">
        <v>35515520.009711929</v>
      </c>
      <c r="G484" s="9">
        <v>-969.99495890243452</v>
      </c>
      <c r="H484" s="5">
        <v>712.09682870451707</v>
      </c>
      <c r="I484" s="5">
        <f t="shared" si="32"/>
        <v>1203.3171293333965</v>
      </c>
      <c r="J484" t="str">
        <f t="shared" si="31"/>
        <v/>
      </c>
    </row>
    <row r="485" spans="3:10" x14ac:dyDescent="0.25">
      <c r="C485" s="11">
        <f t="shared" si="29"/>
        <v>1.9833333333333334</v>
      </c>
      <c r="D485" s="13">
        <f t="shared" si="30"/>
        <v>171360</v>
      </c>
      <c r="E485" s="12">
        <f t="array" ref="E485:H485">DatosSiguientes(MasaK21,G484,H484,E484,F484,h)</f>
        <v>32480151.726298671</v>
      </c>
      <c r="F485" s="12">
        <v>35763726.154357925</v>
      </c>
      <c r="G485" s="9">
        <v>-1011.4786196596777</v>
      </c>
      <c r="H485" s="5">
        <v>666.82619710658105</v>
      </c>
      <c r="I485" s="5">
        <f t="shared" si="32"/>
        <v>1211.5057470669597</v>
      </c>
      <c r="J485" t="str">
        <f t="shared" si="31"/>
        <v/>
      </c>
    </row>
    <row r="486" spans="3:10" x14ac:dyDescent="0.25">
      <c r="C486" s="11">
        <f t="shared" si="29"/>
        <v>1.9875</v>
      </c>
      <c r="D486" s="13">
        <f t="shared" si="30"/>
        <v>171720</v>
      </c>
      <c r="E486" s="12">
        <f t="array" ref="E486:H486">DatosSiguientes(MasaK21,G485,H485,E485,F485,h)</f>
        <v>32108604.781592246</v>
      </c>
      <c r="F486" s="12">
        <v>35995545.725038126</v>
      </c>
      <c r="G486" s="9">
        <v>-1052.6710731537871</v>
      </c>
      <c r="H486" s="5">
        <v>621.06030667231016</v>
      </c>
      <c r="I486" s="5">
        <f t="shared" si="32"/>
        <v>1222.2243217914827</v>
      </c>
      <c r="J486" t="str">
        <f t="shared" si="31"/>
        <v/>
      </c>
    </row>
    <row r="487" spans="3:10" x14ac:dyDescent="0.25">
      <c r="C487" s="11">
        <f t="shared" si="29"/>
        <v>1.9916666666666667</v>
      </c>
      <c r="D487" s="13">
        <f t="shared" si="30"/>
        <v>172080</v>
      </c>
      <c r="E487" s="12">
        <f t="array" ref="E487:H487">DatosSiguientes(MasaK21,G486,H486,E486,F486,h)</f>
        <v>31722276.521574207</v>
      </c>
      <c r="F487" s="12">
        <v>36210794.081083901</v>
      </c>
      <c r="G487" s="9">
        <v>-1093.5970380575395</v>
      </c>
      <c r="H487" s="5">
        <v>574.76389358200015</v>
      </c>
      <c r="I487" s="5">
        <f t="shared" si="32"/>
        <v>1235.4383898089634</v>
      </c>
      <c r="J487" t="str">
        <f t="shared" si="31"/>
        <v/>
      </c>
    </row>
    <row r="488" spans="3:10" x14ac:dyDescent="0.25">
      <c r="C488" s="11">
        <f t="shared" si="29"/>
        <v>1.9958333333333333</v>
      </c>
      <c r="D488" s="13">
        <f t="shared" si="30"/>
        <v>172440</v>
      </c>
      <c r="E488" s="12">
        <f t="array" ref="E488:H488">DatosSiguientes(MasaK21,G487,H487,E487,F487,h)</f>
        <v>31321258.565087579</v>
      </c>
      <c r="F488" s="12">
        <v>36409273.575675972</v>
      </c>
      <c r="G488" s="9">
        <v>-1134.2804979792884</v>
      </c>
      <c r="H488" s="5">
        <v>527.89996526282255</v>
      </c>
      <c r="I488" s="5">
        <f t="shared" si="32"/>
        <v>1251.1077577173885</v>
      </c>
      <c r="J488" t="str">
        <f t="shared" si="31"/>
        <v/>
      </c>
    </row>
    <row r="489" spans="3:10" x14ac:dyDescent="0.25">
      <c r="C489" s="11">
        <f t="shared" si="29"/>
        <v>2</v>
      </c>
      <c r="D489" s="13">
        <f t="shared" si="30"/>
        <v>172800</v>
      </c>
      <c r="E489" s="12">
        <f t="array" ref="E489:H489">DatosSiguientes(MasaK21,G488,H488,E488,F488,h)</f>
        <v>30905634.016836774</v>
      </c>
      <c r="F489" s="12">
        <v>36590772.903004184</v>
      </c>
      <c r="G489" s="9">
        <v>-1174.7447700807331</v>
      </c>
      <c r="H489" s="5">
        <v>480.42963100503954</v>
      </c>
      <c r="I489" s="5">
        <f t="shared" si="32"/>
        <v>1269.1878919922269</v>
      </c>
      <c r="J489" t="str">
        <f t="shared" si="31"/>
        <v/>
      </c>
    </row>
    <row r="490" spans="3:10" x14ac:dyDescent="0.25">
      <c r="C490" s="11">
        <f t="shared" si="29"/>
        <v>2.0041666666666669</v>
      </c>
      <c r="D490" s="13">
        <f t="shared" si="30"/>
        <v>173160</v>
      </c>
      <c r="E490" s="12">
        <f t="array" ref="E490:H490">DatosSiguientes(MasaK21,G489,H489,E489,F489,h)</f>
        <v>30475477.695947275</v>
      </c>
      <c r="F490" s="12">
        <v>36755066.381437302</v>
      </c>
      <c r="G490" s="9">
        <v>-1215.0125681942668</v>
      </c>
      <c r="H490" s="5">
        <v>432.31191584563135</v>
      </c>
      <c r="I490" s="5">
        <f t="shared" si="32"/>
        <v>1289.6313944116544</v>
      </c>
      <c r="J490" t="str">
        <f t="shared" si="31"/>
        <v/>
      </c>
    </row>
    <row r="491" spans="3:10" x14ac:dyDescent="0.25">
      <c r="C491" s="11">
        <f t="shared" si="29"/>
        <v>2.0083333333333333</v>
      </c>
      <c r="D491" s="13">
        <f t="shared" si="30"/>
        <v>173520</v>
      </c>
      <c r="E491" s="12">
        <f t="array" ref="E491:H491">DatosSiguientes(MasaK21,G490,H490,E490,F490,h)</f>
        <v>30030856.342745315</v>
      </c>
      <c r="F491" s="12">
        <v>36901913.166284353</v>
      </c>
      <c r="G491" s="9">
        <v>-1255.1060607055153</v>
      </c>
      <c r="H491" s="5">
        <v>383.50355552686136</v>
      </c>
      <c r="I491" s="5">
        <f t="shared" si="32"/>
        <v>1312.3895003852558</v>
      </c>
      <c r="J491" t="str">
        <f t="shared" si="31"/>
        <v/>
      </c>
    </row>
    <row r="492" spans="3:10" x14ac:dyDescent="0.25">
      <c r="C492" s="11">
        <f t="shared" si="29"/>
        <v>2.0125000000000002</v>
      </c>
      <c r="D492" s="13">
        <f t="shared" si="30"/>
        <v>173880</v>
      </c>
      <c r="E492" s="12">
        <f t="array" ref="E492:H492">DatosSiguientes(MasaK21,G491,H491,E491,F491,h)</f>
        <v>29571828.805612031</v>
      </c>
      <c r="F492" s="12">
        <v>37031056.384880379</v>
      </c>
      <c r="G492" s="9">
        <v>-1295.0469233682813</v>
      </c>
      <c r="H492" s="5">
        <v>333.958770006603</v>
      </c>
      <c r="I492" s="5">
        <f t="shared" si="32"/>
        <v>1337.4135462862541</v>
      </c>
      <c r="J492" t="str">
        <f t="shared" si="31"/>
        <v/>
      </c>
    </row>
    <row r="493" spans="3:10" x14ac:dyDescent="0.25">
      <c r="C493" s="11">
        <f t="shared" si="29"/>
        <v>2.0166666666666666</v>
      </c>
      <c r="D493" s="13">
        <f t="shared" si="30"/>
        <v>174240</v>
      </c>
      <c r="E493" s="12">
        <f t="array" ref="E493:H493">DatosSiguientes(MasaK21,G492,H492,E492,F492,h)</f>
        <v>29098446.209725063</v>
      </c>
      <c r="F493" s="12">
        <v>37142222.185751274</v>
      </c>
      <c r="G493" s="9">
        <v>-1334.8563871148731</v>
      </c>
      <c r="H493" s="5">
        <v>283.62901260947029</v>
      </c>
      <c r="I493" s="5">
        <f t="shared" si="32"/>
        <v>1364.6563637103645</v>
      </c>
      <c r="J493" t="str">
        <f t="shared" si="31"/>
        <v/>
      </c>
    </row>
    <row r="494" spans="3:10" x14ac:dyDescent="0.25">
      <c r="C494" s="11">
        <f t="shared" si="29"/>
        <v>2.0208333333333335</v>
      </c>
      <c r="D494" s="13">
        <f t="shared" si="30"/>
        <v>174600</v>
      </c>
      <c r="E494" s="12">
        <f t="array" ref="E494:H494">DatosSiguientes(MasaK21,G493,H493,E493,F493,h)</f>
        <v>28610752.109498408</v>
      </c>
      <c r="F494" s="12">
        <v>37235118.692482233</v>
      </c>
      <c r="G494" s="9">
        <v>-1374.5552808109885</v>
      </c>
      <c r="H494" s="5">
        <v>232.46269145139436</v>
      </c>
      <c r="I494" s="5">
        <f t="shared" si="32"/>
        <v>1394.0735715600529</v>
      </c>
      <c r="J494" t="str">
        <f t="shared" si="31"/>
        <v/>
      </c>
    </row>
    <row r="495" spans="3:10" x14ac:dyDescent="0.25">
      <c r="C495" s="11">
        <f t="shared" si="29"/>
        <v>2.0249999999999999</v>
      </c>
      <c r="D495" s="13">
        <f t="shared" si="30"/>
        <v>174960</v>
      </c>
      <c r="E495" s="12">
        <f t="array" ref="E495:H495">DatosSiguientes(MasaK21,G494,H494,E494,F494,h)</f>
        <v>28108782.62657265</v>
      </c>
      <c r="F495" s="12">
        <v>37309434.851605095</v>
      </c>
      <c r="G495" s="9">
        <v>-1414.1640687765564</v>
      </c>
      <c r="H495" s="5">
        <v>180.4048592311745</v>
      </c>
      <c r="I495" s="5">
        <f t="shared" si="32"/>
        <v>1425.6247495932739</v>
      </c>
      <c r="J495" t="str">
        <f t="shared" si="31"/>
        <v/>
      </c>
    </row>
    <row r="496" spans="3:10" x14ac:dyDescent="0.25">
      <c r="C496" s="11">
        <f t="shared" si="29"/>
        <v>2.0291666666666668</v>
      </c>
      <c r="D496" s="13">
        <f t="shared" si="30"/>
        <v>175320</v>
      </c>
      <c r="E496" s="12">
        <f t="array" ref="E496:H496">DatosSiguientes(MasaK21,G495,H495,E495,F495,h)</f>
        <v>27592566.575298436</v>
      </c>
      <c r="F496" s="12">
        <v>37364839.162298515</v>
      </c>
      <c r="G496" s="9">
        <v>-1453.7028827468573</v>
      </c>
      <c r="H496" s="5">
        <v>127.39686684339941</v>
      </c>
      <c r="I496" s="5">
        <f t="shared" si="32"/>
        <v>1459.2744885689046</v>
      </c>
      <c r="J496" t="str">
        <f t="shared" si="31"/>
        <v/>
      </c>
    </row>
    <row r="497" spans="3:10" x14ac:dyDescent="0.25">
      <c r="C497" s="11">
        <f t="shared" si="29"/>
        <v>2.0333333333333332</v>
      </c>
      <c r="D497" s="13">
        <f t="shared" si="30"/>
        <v>175680</v>
      </c>
      <c r="E497" s="12">
        <f t="array" ref="E497:H497">DatosSiguientes(MasaK21,G496,H496,E496,F496,h)</f>
        <v>27062125.577804454</v>
      </c>
      <c r="F497" s="12">
        <v>37400978.27392152</v>
      </c>
      <c r="G497" s="9">
        <v>-1493.1915477752593</v>
      </c>
      <c r="H497" s="5">
        <v>73.37597550663159</v>
      </c>
      <c r="I497" s="5">
        <f t="shared" si="32"/>
        <v>1494.9933217673665</v>
      </c>
      <c r="J497" t="str">
        <f t="shared" si="31"/>
        <v/>
      </c>
    </row>
    <row r="498" spans="3:10" x14ac:dyDescent="0.25">
      <c r="C498" s="11">
        <f t="shared" si="29"/>
        <v>2.0375000000000001</v>
      </c>
      <c r="D498" s="13">
        <f t="shared" si="30"/>
        <v>176040</v>
      </c>
      <c r="E498" s="12">
        <f t="array" ref="E498:H498">DatosSiguientes(MasaK21,G497,H497,E497,F497,h)</f>
        <v>26517474.170957997</v>
      </c>
      <c r="F498" s="12">
        <v>37417475.435327351</v>
      </c>
      <c r="G498" s="9">
        <v>-1532.6496013717094</v>
      </c>
      <c r="H498" s="5">
        <v>18.274921192420578</v>
      </c>
      <c r="I498" s="5">
        <f t="shared" si="32"/>
        <v>1532.7585502385718</v>
      </c>
      <c r="J498" t="str">
        <f t="shared" si="31"/>
        <v/>
      </c>
    </row>
    <row r="499" spans="3:10" x14ac:dyDescent="0.25">
      <c r="C499" s="11">
        <f t="shared" si="29"/>
        <v>2.0416666666666665</v>
      </c>
      <c r="D499" s="13">
        <f t="shared" si="30"/>
        <v>176400</v>
      </c>
      <c r="E499" s="12">
        <f t="array" ref="E499:H499">DatosSiguientes(MasaK21,G498,H498,E498,F498,h)</f>
        <v>25958619.907825634</v>
      </c>
      <c r="F499" s="12">
        <v>37413928.777471274</v>
      </c>
      <c r="G499" s="9">
        <v>-1572.0963049192053</v>
      </c>
      <c r="H499" s="5">
        <v>-37.97857594838846</v>
      </c>
      <c r="I499" s="5">
        <f t="shared" si="32"/>
        <v>1572.5549796975895</v>
      </c>
      <c r="J499" t="str">
        <f t="shared" si="31"/>
        <v/>
      </c>
    </row>
    <row r="500" spans="3:10" x14ac:dyDescent="0.25">
      <c r="C500" s="11">
        <f t="shared" si="29"/>
        <v>2.0458333333333334</v>
      </c>
      <c r="D500" s="13">
        <f t="shared" si="30"/>
        <v>176760</v>
      </c>
      <c r="E500" s="12">
        <f t="array" ref="E500:H500">DatosSiguientes(MasaK21,G499,H499,E499,F499,h)</f>
        <v>25385563.456642125</v>
      </c>
      <c r="F500" s="12">
        <v>37389909.407960765</v>
      </c>
      <c r="G500" s="9">
        <v>-1611.5506461002997</v>
      </c>
      <c r="H500" s="5">
        <v>-95.462365776676904</v>
      </c>
      <c r="I500" s="5">
        <f t="shared" si="32"/>
        <v>1614.3755908170729</v>
      </c>
      <c r="J500" t="str">
        <f t="shared" si="31"/>
        <v/>
      </c>
    </row>
    <row r="501" spans="3:10" x14ac:dyDescent="0.25">
      <c r="C501" s="11">
        <f t="shared" si="29"/>
        <v>2.0499999999999998</v>
      </c>
      <c r="D501" s="13">
        <f t="shared" si="30"/>
        <v>177120</v>
      </c>
      <c r="E501" s="12">
        <f t="array" ref="E501:H501">DatosSiguientes(MasaK21,G500,H500,E500,F500,h)</f>
        <v>24798298.700821709</v>
      </c>
      <c r="F501" s="12">
        <v>37344959.292809829</v>
      </c>
      <c r="G501" s="9">
        <v>-1651.0313306797784</v>
      </c>
      <c r="H501" s="5">
        <v>-154.26049617295774</v>
      </c>
      <c r="I501" s="5">
        <f t="shared" si="32"/>
        <v>1658.2221671313428</v>
      </c>
      <c r="J501" t="str">
        <f t="shared" si="31"/>
        <v/>
      </c>
    </row>
    <row r="502" spans="3:10" x14ac:dyDescent="0.25">
      <c r="C502" s="11">
        <f t="shared" si="29"/>
        <v>2.0541666666666667</v>
      </c>
      <c r="D502" s="13">
        <f t="shared" si="30"/>
        <v>177480</v>
      </c>
      <c r="E502" s="12">
        <f t="array" ref="E502:H502">DatosSiguientes(MasaK21,G501,H501,E501,F501,h)</f>
        <v>24196812.84422842</v>
      </c>
      <c r="F502" s="12">
        <v>37278588.896641217</v>
      </c>
      <c r="G502" s="9">
        <v>-1690.5567615051611</v>
      </c>
      <c r="H502" s="5">
        <v>-214.46392698600113</v>
      </c>
      <c r="I502" s="5">
        <f t="shared" si="32"/>
        <v>1704.1059062890063</v>
      </c>
      <c r="J502" t="str">
        <f t="shared" si="31"/>
        <v/>
      </c>
    </row>
    <row r="503" spans="3:10" x14ac:dyDescent="0.25">
      <c r="C503" s="11">
        <f t="shared" si="29"/>
        <v>2.0583333333333331</v>
      </c>
      <c r="D503" s="13">
        <f t="shared" si="30"/>
        <v>177840</v>
      </c>
      <c r="E503" s="12">
        <f t="array" ref="E503:H503">DatosSiguientes(MasaK21,G502,H502,E502,F502,h)</f>
        <v>23581086.526802242</v>
      </c>
      <c r="F503" s="12">
        <v>37190274.547793008</v>
      </c>
      <c r="G503" s="9">
        <v>-1730.1450019735992</v>
      </c>
      <c r="H503" s="5">
        <v>-276.17134439293767</v>
      </c>
      <c r="I503" s="5">
        <f t="shared" si="32"/>
        <v>1752.0480413841476</v>
      </c>
      <c r="J503" t="str">
        <f t="shared" si="31"/>
        <v/>
      </c>
    </row>
    <row r="504" spans="3:10" x14ac:dyDescent="0.25">
      <c r="C504" s="11">
        <f t="shared" si="29"/>
        <v>2.0625</v>
      </c>
      <c r="D504" s="13">
        <f t="shared" si="30"/>
        <v>178200</v>
      </c>
      <c r="E504" s="12">
        <f t="array" ref="E504:H504">DatosSiguientes(MasaK21,G503,H503,E503,F503,h)</f>
        <v>22951093.956769165</v>
      </c>
      <c r="F504" s="12">
        <v>37079455.489059113</v>
      </c>
      <c r="G504" s="9">
        <v>-1769.81372043238</v>
      </c>
      <c r="H504" s="5">
        <v>-339.49009301757508</v>
      </c>
      <c r="I504" s="5">
        <f t="shared" si="32"/>
        <v>1802.080499946599</v>
      </c>
      <c r="J504" t="str">
        <f t="shared" si="31"/>
        <v/>
      </c>
    </row>
    <row r="505" spans="3:10" x14ac:dyDescent="0.25">
      <c r="C505" s="11">
        <f t="shared" si="29"/>
        <v>2.0666666666666669</v>
      </c>
      <c r="D505" s="13">
        <f t="shared" si="30"/>
        <v>178560</v>
      </c>
      <c r="E505" s="12">
        <f t="array" ref="E505:H505">DatosSiguientes(MasaK21,G504,H504,E504,F504,h)</f>
        <v>22306803.067115355</v>
      </c>
      <c r="F505" s="12">
        <v>36945530.567910761</v>
      </c>
      <c r="G505" s="9">
        <v>-1809.580110977666</v>
      </c>
      <c r="H505" s="5">
        <v>-404.53724669550576</v>
      </c>
      <c r="I505" s="5">
        <f t="shared" si="32"/>
        <v>1854.2466292297588</v>
      </c>
      <c r="J505" t="str">
        <f t="shared" si="31"/>
        <v/>
      </c>
    </row>
    <row r="506" spans="3:10" x14ac:dyDescent="0.25">
      <c r="C506" s="11">
        <f t="shared" si="29"/>
        <v>2.0708333333333333</v>
      </c>
      <c r="D506" s="13">
        <f t="shared" si="30"/>
        <v>178920</v>
      </c>
      <c r="E506" s="12">
        <f t="array" ref="E506:H506">DatosSiguientes(MasaK21,G505,H505,E505,F505,h)</f>
        <v>21648175.705871545</v>
      </c>
      <c r="F506" s="12">
        <v>36787854.511736907</v>
      </c>
      <c r="G506" s="9">
        <v>-1849.4607848212784</v>
      </c>
      <c r="H506" s="5">
        <v>-471.44084315923118</v>
      </c>
      <c r="I506" s="5">
        <f t="shared" si="32"/>
        <v>1908.6020180201072</v>
      </c>
      <c r="J506" t="str">
        <f t="shared" si="31"/>
        <v/>
      </c>
    </row>
    <row r="507" spans="3:10" x14ac:dyDescent="0.25">
      <c r="C507" s="11">
        <f t="shared" si="29"/>
        <v>2.0750000000000002</v>
      </c>
      <c r="D507" s="13">
        <f t="shared" si="30"/>
        <v>179280</v>
      </c>
      <c r="E507" s="12">
        <f t="array" ref="E507:H507">DatosSiguientes(MasaK21,G506,H506,E506,F506,h)</f>
        <v>20975167.872155495</v>
      </c>
      <c r="F507" s="12">
        <v>36605733.72356087</v>
      </c>
      <c r="G507" s="9">
        <v>-1889.4716247123213</v>
      </c>
      <c r="H507" s="5">
        <v>-540.34131337430733</v>
      </c>
      <c r="I507" s="5">
        <f t="shared" si="32"/>
        <v>1965.215447611811</v>
      </c>
      <c r="J507" t="str">
        <f t="shared" si="31"/>
        <v/>
      </c>
    </row>
    <row r="508" spans="3:10" x14ac:dyDescent="0.25">
      <c r="C508" s="11">
        <f t="shared" si="29"/>
        <v>2.0791666666666666</v>
      </c>
      <c r="D508" s="13">
        <f t="shared" si="30"/>
        <v>179640</v>
      </c>
      <c r="E508" s="12">
        <f t="array" ref="E508:H508">DatosSiguientes(MasaK21,G507,H507,E507,F507,h)</f>
        <v>20287730.013021547</v>
      </c>
      <c r="F508" s="12">
        <v>36398421.521397248</v>
      </c>
      <c r="G508" s="9">
        <v>-1929.627592698499</v>
      </c>
      <c r="H508" s="5">
        <v>-611.39314309026133</v>
      </c>
      <c r="I508" s="5">
        <f t="shared" si="32"/>
        <v>2024.1700081567242</v>
      </c>
      <c r="J508" t="str">
        <f t="shared" si="31"/>
        <v/>
      </c>
    </row>
    <row r="509" spans="3:10" x14ac:dyDescent="0.25">
      <c r="C509" s="11">
        <f t="shared" si="29"/>
        <v>2.0833333333333335</v>
      </c>
      <c r="D509" s="13">
        <f t="shared" si="30"/>
        <v>180000</v>
      </c>
      <c r="E509" s="12">
        <f t="array" ref="E509:H509">DatosSiguientes(MasaK21,G508,H508,E508,F508,h)</f>
        <v>19585807.400185693</v>
      </c>
      <c r="F509" s="12">
        <v>36165112.729341306</v>
      </c>
      <c r="G509" s="9">
        <v>-1969.9424786118002</v>
      </c>
      <c r="H509" s="5">
        <v>-684.7668127761018</v>
      </c>
      <c r="I509" s="5">
        <f t="shared" si="32"/>
        <v>2085.5644216659298</v>
      </c>
      <c r="J509" t="str">
        <f t="shared" si="31"/>
        <v/>
      </c>
    </row>
    <row r="510" spans="3:10" x14ac:dyDescent="0.25">
      <c r="C510" s="11">
        <f t="shared" si="29"/>
        <v>2.0874999999999999</v>
      </c>
      <c r="D510" s="13">
        <f t="shared" si="30"/>
        <v>180360</v>
      </c>
      <c r="E510" s="12">
        <f t="array" ref="E510:H510">DatosSiguientes(MasaK21,G509,H509,E509,F509,h)</f>
        <v>18869340.610928569</v>
      </c>
      <c r="F510" s="12">
        <v>35904937.509898126</v>
      </c>
      <c r="G510" s="9">
        <v>-2010.4285728166592</v>
      </c>
      <c r="H510" s="5">
        <v>-760.65107301932937</v>
      </c>
      <c r="I510" s="5">
        <f t="shared" si="32"/>
        <v>2149.5146199277378</v>
      </c>
      <c r="J510" t="str">
        <f t="shared" si="31"/>
        <v/>
      </c>
    </row>
    <row r="511" spans="3:10" x14ac:dyDescent="0.25">
      <c r="C511" s="11">
        <f t="shared" si="29"/>
        <v>2.0916666666666668</v>
      </c>
      <c r="D511" s="13">
        <f t="shared" si="30"/>
        <v>180720</v>
      </c>
      <c r="E511" s="12">
        <f t="array" ref="E511:H511">DatosSiguientes(MasaK21,G510,H510,E510,F510,h)</f>
        <v>18138266.144330051</v>
      </c>
      <c r="F511" s="12">
        <v>35616954.30400458</v>
      </c>
      <c r="G511" s="9">
        <v>-2051.0962416195603</v>
      </c>
      <c r="H511" s="5">
        <v>-839.25562638927283</v>
      </c>
      <c r="I511" s="5">
        <f t="shared" si="32"/>
        <v>2216.1556350608448</v>
      </c>
      <c r="J511" t="str">
        <f t="shared" si="31"/>
        <v/>
      </c>
    </row>
    <row r="512" spans="3:10" x14ac:dyDescent="0.25">
      <c r="C512" s="11">
        <f t="shared" si="29"/>
        <v>2.0958333333333332</v>
      </c>
      <c r="D512" s="13">
        <f t="shared" si="30"/>
        <v>181080</v>
      </c>
      <c r="E512" s="12">
        <f t="array" ref="E512:H512">DatosSiguientes(MasaK21,G511,H511,E511,F511,h)</f>
        <v>17392517.213010971</v>
      </c>
      <c r="F512" s="12">
        <v>35300141.7164158</v>
      </c>
      <c r="G512" s="9">
        <v>-2091.9533768197725</v>
      </c>
      <c r="H512" s="5">
        <v>-920.81430465948904</v>
      </c>
      <c r="I512" s="5">
        <f t="shared" si="32"/>
        <v>2285.6438730592276</v>
      </c>
      <c r="J512" t="str">
        <f t="shared" si="31"/>
        <v/>
      </c>
    </row>
    <row r="513" spans="3:10" x14ac:dyDescent="0.25">
      <c r="C513" s="11">
        <f t="shared" si="29"/>
        <v>2.1</v>
      </c>
      <c r="D513" s="13">
        <f t="shared" si="30"/>
        <v>181440</v>
      </c>
      <c r="E513" s="12">
        <f t="array" ref="E513:H513">DatosSiguientes(MasaK21,G512,H512,E512,F512,h)</f>
        <v>16632024.762515511</v>
      </c>
      <c r="F513" s="12">
        <v>34953389.147954777</v>
      </c>
      <c r="G513" s="9">
        <v>-2133.0046814883294</v>
      </c>
      <c r="H513" s="5">
        <v>-1005.5888534572879</v>
      </c>
      <c r="I513" s="5">
        <f t="shared" si="32"/>
        <v>2358.159857483939</v>
      </c>
      <c r="J513" t="str">
        <f t="shared" si="31"/>
        <v/>
      </c>
    </row>
    <row r="514" spans="3:10" x14ac:dyDescent="0.25">
      <c r="C514" s="11">
        <f t="shared" si="29"/>
        <v>2.1041666666666665</v>
      </c>
      <c r="D514" s="13">
        <f t="shared" si="30"/>
        <v>181800</v>
      </c>
      <c r="E514" s="12">
        <f t="array" ref="E514:H514">DatosSiguientes(MasaK21,G513,H513,E513,F513,h)</f>
        <v>15856718.786431469</v>
      </c>
      <c r="F514" s="12">
        <v>34575485.930333689</v>
      </c>
      <c r="G514" s="9">
        <v>-2174.2507412007949</v>
      </c>
      <c r="H514" s="5">
        <v>-1093.873466659858</v>
      </c>
      <c r="I514" s="5">
        <f t="shared" si="32"/>
        <v>2433.9115527633007</v>
      </c>
      <c r="J514" t="str">
        <f t="shared" si="31"/>
        <v/>
      </c>
    </row>
    <row r="515" spans="3:10" x14ac:dyDescent="0.25">
      <c r="C515" s="11">
        <f t="shared" si="29"/>
        <v>2.1083333333333334</v>
      </c>
      <c r="D515" s="13">
        <f t="shared" si="30"/>
        <v>182160</v>
      </c>
      <c r="E515" s="12">
        <f t="array" ref="E515:H515">DatosSiguientes(MasaK21,G514,H514,E514,F514,h)</f>
        <v>15066530.02682423</v>
      </c>
      <c r="F515" s="12">
        <v>34165108.660851642</v>
      </c>
      <c r="G515" s="9">
        <v>-2215.6868121727498</v>
      </c>
      <c r="H515" s="5">
        <v>-1186.0002526848521</v>
      </c>
      <c r="I515" s="5">
        <f t="shared" si="32"/>
        <v>2513.1384062571592</v>
      </c>
      <c r="J515" t="str">
        <f t="shared" si="31"/>
        <v/>
      </c>
    </row>
    <row r="516" spans="3:10" x14ac:dyDescent="0.25">
      <c r="C516" s="11">
        <f t="shared" si="29"/>
        <v>2.1124999999999998</v>
      </c>
      <c r="D516" s="13">
        <f t="shared" si="30"/>
        <v>182520</v>
      </c>
      <c r="E516" s="12">
        <f t="array" ref="E516:H516">DatosSiguientes(MasaK21,G515,H515,E515,F515,h)</f>
        <v>14261392.178705612</v>
      </c>
      <c r="F516" s="12">
        <v>33720806.359175801</v>
      </c>
      <c r="G516" s="9">
        <v>-2257.3012329306798</v>
      </c>
      <c r="H516" s="5">
        <v>-1282.3458677364983</v>
      </c>
      <c r="I516" s="5">
        <f t="shared" si="32"/>
        <v>2596.1162879754133</v>
      </c>
      <c r="J516" t="str">
        <f t="shared" si="31"/>
        <v/>
      </c>
    </row>
    <row r="517" spans="3:10" x14ac:dyDescent="0.25">
      <c r="C517" s="11">
        <f t="shared" si="29"/>
        <v>2.1166666666666667</v>
      </c>
      <c r="D517" s="13">
        <f t="shared" si="30"/>
        <v>182880</v>
      </c>
      <c r="E517" s="12">
        <f t="array" ref="E517:H517">DatosSiguientes(MasaK21,G516,H516,E516,F516,h)</f>
        <v>13441244.757173961</v>
      </c>
      <c r="F517" s="12">
        <v>33240982.971015103</v>
      </c>
      <c r="G517" s="9">
        <v>-2299.07333113405</v>
      </c>
      <c r="H517" s="5">
        <v>-1383.3396220451609</v>
      </c>
      <c r="I517" s="5">
        <f t="shared" si="32"/>
        <v>2683.1635603987816</v>
      </c>
      <c r="J517" t="str">
        <f t="shared" si="31"/>
        <v/>
      </c>
    </row>
    <row r="518" spans="3:10" x14ac:dyDescent="0.25">
      <c r="C518" s="11">
        <f t="shared" si="29"/>
        <v>2.1208333333333331</v>
      </c>
      <c r="D518" s="13">
        <f t="shared" si="30"/>
        <v>183240</v>
      </c>
      <c r="E518" s="12">
        <f t="array" ref="E518:H518">DatosSiguientes(MasaK21,G517,H517,E517,F517,h)</f>
        <v>12606036.841077333</v>
      </c>
      <c r="F518" s="12">
        <v>32723876.616007797</v>
      </c>
      <c r="G518" s="9">
        <v>-2340.9706471805457</v>
      </c>
      <c r="H518" s="5">
        <v>-1489.4734613287599</v>
      </c>
      <c r="I518" s="5">
        <f t="shared" si="32"/>
        <v>2774.6485836883162</v>
      </c>
      <c r="J518" t="str">
        <f t="shared" si="31"/>
        <v/>
      </c>
    </row>
    <row r="519" spans="3:10" x14ac:dyDescent="0.25">
      <c r="C519" s="11">
        <f t="shared" si="29"/>
        <v>2.125</v>
      </c>
      <c r="D519" s="13">
        <f t="shared" si="30"/>
        <v>183600</v>
      </c>
      <c r="E519" s="12">
        <f t="array" ref="E519:H519">DatosSiguientes(MasaK21,G518,H518,E518,F518,h)</f>
        <v>11755731.984267605</v>
      </c>
      <c r="F519" s="12">
        <v>32167534.808617629</v>
      </c>
      <c r="G519" s="9">
        <v>-2382.9452239846114</v>
      </c>
      <c r="H519" s="5">
        <v>-1601.3143575054999</v>
      </c>
      <c r="I519" s="5">
        <f t="shared" si="32"/>
        <v>2870.9990616620416</v>
      </c>
      <c r="J519" t="str">
        <f t="shared" si="31"/>
        <v/>
      </c>
    </row>
    <row r="520" spans="3:10" x14ac:dyDescent="0.25">
      <c r="C520" s="11">
        <f t="shared" si="29"/>
        <v>2.1291666666666669</v>
      </c>
      <c r="D520" s="13">
        <f t="shared" si="30"/>
        <v>183960</v>
      </c>
      <c r="E520" s="12">
        <f t="array" ref="E520:H520">DatosSiguientes(MasaK21,G519,H519,E519,F519,h)</f>
        <v>10890314.694781911</v>
      </c>
      <c r="F520" s="12">
        <v>31569784.655691039</v>
      </c>
      <c r="G520" s="9">
        <v>-2424.9286064914663</v>
      </c>
      <c r="H520" s="5">
        <v>-1719.5198254200059</v>
      </c>
      <c r="I520" s="5">
        <f t="shared" si="32"/>
        <v>2972.7137730688255</v>
      </c>
      <c r="J520" t="str">
        <f t="shared" si="31"/>
        <v/>
      </c>
    </row>
    <row r="521" spans="3:10" x14ac:dyDescent="0.25">
      <c r="C521" s="11">
        <f t="shared" si="29"/>
        <v>2.1333333333333333</v>
      </c>
      <c r="D521" s="13">
        <f t="shared" si="30"/>
        <v>184320</v>
      </c>
      <c r="E521" s="12">
        <f t="array" ref="E521:H521">DatosSiguientes(MasaK21,G520,H520,E520,F520,h)</f>
        <v>10009799.038921641</v>
      </c>
      <c r="F521" s="12">
        <v>30928196.73011167</v>
      </c>
      <c r="G521" s="9">
        <v>-2466.8250371766958</v>
      </c>
      <c r="H521" s="5">
        <v>-1844.8575389098185</v>
      </c>
      <c r="I521" s="5">
        <f t="shared" si="32"/>
        <v>3080.3774286463986</v>
      </c>
      <c r="J521" t="str">
        <f t="shared" si="31"/>
        <v/>
      </c>
    </row>
    <row r="522" spans="3:10" x14ac:dyDescent="0.25">
      <c r="C522" s="11">
        <f t="shared" ref="C522:C585" si="33">D522/86400</f>
        <v>2.1375000000000002</v>
      </c>
      <c r="D522" s="13">
        <f t="shared" ref="D522:D585" si="34">h+D521</f>
        <v>184680</v>
      </c>
      <c r="E522" s="12">
        <f t="array" ref="E522:H522">DatosSiguientes(MasaK21,G521,H521,E521,F521,h)</f>
        <v>9114240.1549160443</v>
      </c>
      <c r="F522" s="12">
        <v>30240040.903863691</v>
      </c>
      <c r="G522" s="9">
        <v>-2508.5020961877331</v>
      </c>
      <c r="H522" s="5">
        <v>-1978.230384690055</v>
      </c>
      <c r="I522" s="5">
        <f t="shared" si="32"/>
        <v>3194.6796743162236</v>
      </c>
      <c r="J522" t="str">
        <f t="shared" ref="J522:J585" si="35">IF(I522=$I$8,"&lt;--------&lt;&lt;&lt;","")</f>
        <v/>
      </c>
    </row>
    <row r="523" spans="3:10" x14ac:dyDescent="0.25">
      <c r="C523" s="11">
        <f t="shared" si="33"/>
        <v>2.1416666666666666</v>
      </c>
      <c r="D523" s="13">
        <f t="shared" si="34"/>
        <v>185040</v>
      </c>
      <c r="E523" s="12">
        <f t="array" ref="E523:H523">DatosSiguientes(MasaK21,G522,H522,E522,F522,h)</f>
        <v>8203749.7970656669</v>
      </c>
      <c r="F523" s="12">
        <v>29502231.8470417</v>
      </c>
      <c r="G523" s="9">
        <v>-2549.777669647699</v>
      </c>
      <c r="H523" s="5">
        <v>-2120.7088198765587</v>
      </c>
      <c r="I523" s="5">
        <f t="shared" si="32"/>
        <v>3316.4396667716237</v>
      </c>
      <c r="J523" t="str">
        <f t="shared" si="35"/>
        <v/>
      </c>
    </row>
    <row r="524" spans="3:10" x14ac:dyDescent="0.25">
      <c r="C524" s="11">
        <f t="shared" si="33"/>
        <v>2.1458333333333335</v>
      </c>
      <c r="D524" s="13">
        <f t="shared" si="34"/>
        <v>185400</v>
      </c>
      <c r="E524" s="12">
        <f t="array" ref="E524:H524">DatosSiguientes(MasaK21,G523,H523,E523,F523,h)</f>
        <v>7278517.5361408889</v>
      </c>
      <c r="F524" s="12">
        <v>28711261.088389885</v>
      </c>
      <c r="G524" s="9">
        <v>-2590.4015577121772</v>
      </c>
      <c r="H524" s="5">
        <v>-2273.5731726335316</v>
      </c>
      <c r="I524" s="5">
        <f t="shared" si="32"/>
        <v>3446.6382463955479</v>
      </c>
      <c r="J524" t="str">
        <f t="shared" si="35"/>
        <v/>
      </c>
    </row>
    <row r="525" spans="3:10" x14ac:dyDescent="0.25">
      <c r="C525" s="11">
        <f t="shared" si="33"/>
        <v>2.15</v>
      </c>
      <c r="D525" s="13">
        <f t="shared" si="34"/>
        <v>185760</v>
      </c>
      <c r="E525" s="12">
        <f t="array" ref="E525:H525">DatosSiguientes(MasaK21,G524,H524,E524,F524,h)</f>
        <v>6338840.0143024549</v>
      </c>
      <c r="F525" s="12">
        <v>27863111.374928348</v>
      </c>
      <c r="G525" s="9">
        <v>-2630.0291191680144</v>
      </c>
      <c r="H525" s="5">
        <v>-2438.3696799305699</v>
      </c>
      <c r="I525" s="5">
        <f t="shared" ref="I525:I588" si="36">SQRT(G525^2+H525^2)</f>
        <v>3586.4606318313868</v>
      </c>
      <c r="J525" t="str">
        <f t="shared" si="35"/>
        <v/>
      </c>
    </row>
    <row r="526" spans="3:10" x14ac:dyDescent="0.25">
      <c r="C526" s="11">
        <f t="shared" si="33"/>
        <v>2.1541666666666668</v>
      </c>
      <c r="D526" s="13">
        <f t="shared" si="34"/>
        <v>186120</v>
      </c>
      <c r="E526" s="12">
        <f t="array" ref="E526:H526">DatosSiguientes(MasaK21,G525,H525,E525,F525,h)</f>
        <v>5385161.8595116939</v>
      </c>
      <c r="F526" s="12">
        <v>26953147.386548914</v>
      </c>
      <c r="G526" s="9">
        <v>-2668.1828518917669</v>
      </c>
      <c r="H526" s="5">
        <v>-2616.9858110662867</v>
      </c>
      <c r="I526" s="5">
        <f t="shared" si="36"/>
        <v>3737.3539391461914</v>
      </c>
      <c r="J526" t="str">
        <f t="shared" si="35"/>
        <v/>
      </c>
    </row>
    <row r="527" spans="3:10" x14ac:dyDescent="0.25">
      <c r="C527" s="11">
        <f t="shared" si="33"/>
        <v>2.1583333333333332</v>
      </c>
      <c r="D527" s="13">
        <f t="shared" si="34"/>
        <v>186480</v>
      </c>
      <c r="E527" s="12">
        <f t="array" ref="E527:H527">DatosSiguientes(MasaK21,G526,H526,E526,F526,h)</f>
        <v>4418133.7933471501</v>
      </c>
      <c r="F527" s="12">
        <v>25975974.374335956</v>
      </c>
      <c r="G527" s="9">
        <v>-2704.1952934668088</v>
      </c>
      <c r="H527" s="5">
        <v>-2811.7531456723668</v>
      </c>
      <c r="I527" s="5">
        <f t="shared" si="36"/>
        <v>3901.1059889993367</v>
      </c>
      <c r="J527" t="str">
        <f t="shared" si="35"/>
        <v/>
      </c>
    </row>
    <row r="528" spans="3:10" x14ac:dyDescent="0.25">
      <c r="C528" s="11">
        <f t="shared" si="33"/>
        <v>2.1625000000000001</v>
      </c>
      <c r="D528" s="13">
        <f t="shared" si="34"/>
        <v>186840</v>
      </c>
      <c r="E528" s="12">
        <f t="array" ref="E528:H528">DatosSiguientes(MasaK21,G527,H527,E527,F527,h)</f>
        <v>3438696.6302082678</v>
      </c>
      <c r="F528" s="12">
        <v>24925252.539380237</v>
      </c>
      <c r="G528" s="9">
        <v>-2737.1222795269805</v>
      </c>
      <c r="H528" s="5">
        <v>-3025.5903818593943</v>
      </c>
      <c r="I528" s="5">
        <f t="shared" si="36"/>
        <v>4079.9553345451036</v>
      </c>
      <c r="J528" t="str">
        <f t="shared" si="35"/>
        <v/>
      </c>
    </row>
    <row r="529" spans="3:10" x14ac:dyDescent="0.25">
      <c r="C529" s="11">
        <f t="shared" si="33"/>
        <v>2.1666666666666665</v>
      </c>
      <c r="D529" s="13">
        <f t="shared" si="34"/>
        <v>187200</v>
      </c>
      <c r="E529" s="12">
        <f t="array" ref="E529:H529">DatosSiguientes(MasaK21,G528,H528,E528,F528,h)</f>
        <v>2448205.2087654313</v>
      </c>
      <c r="F529" s="12">
        <v>23793449.186052173</v>
      </c>
      <c r="G529" s="9">
        <v>-2765.6078395998879</v>
      </c>
      <c r="H529" s="5">
        <v>-3262.2060255187375</v>
      </c>
      <c r="I529" s="5">
        <f t="shared" si="36"/>
        <v>4276.7481660003223</v>
      </c>
      <c r="J529" t="str">
        <f t="shared" si="35"/>
        <v/>
      </c>
    </row>
    <row r="530" spans="3:10" x14ac:dyDescent="0.25">
      <c r="C530" s="11">
        <f t="shared" si="33"/>
        <v>2.1708333333333334</v>
      </c>
      <c r="D530" s="13">
        <f t="shared" si="34"/>
        <v>187560</v>
      </c>
      <c r="E530" s="12">
        <f t="array" ref="E530:H530">DatosSiguientes(MasaK21,G529,H529,E529,F529,h)</f>
        <v>1448615.6200593007</v>
      </c>
      <c r="F530" s="12">
        <v>22571501.5632555</v>
      </c>
      <c r="G530" s="9">
        <v>-2787.6676532119495</v>
      </c>
      <c r="H530" s="5">
        <v>-3526.3918789072218</v>
      </c>
      <c r="I530" s="5">
        <f t="shared" si="36"/>
        <v>4495.1674750099155</v>
      </c>
      <c r="J530" t="str">
        <f t="shared" si="35"/>
        <v/>
      </c>
    </row>
    <row r="531" spans="3:10" x14ac:dyDescent="0.25">
      <c r="C531" s="11">
        <f t="shared" si="33"/>
        <v>2.1749999999999998</v>
      </c>
      <c r="D531" s="13">
        <f t="shared" si="34"/>
        <v>187920</v>
      </c>
      <c r="E531" s="12">
        <f t="array" ref="E531:H531">DatosSiguientes(MasaK21,G530,H530,E530,F530,h)</f>
        <v>442775.98824587709</v>
      </c>
      <c r="F531" s="12">
        <v>21248348.568645168</v>
      </c>
      <c r="G531" s="9">
        <v>-2800.3303013070704</v>
      </c>
      <c r="H531" s="5">
        <v>-3824.4580911501757</v>
      </c>
      <c r="I531" s="5">
        <f t="shared" si="36"/>
        <v>4740.0769495212407</v>
      </c>
      <c r="J531" t="str">
        <f t="shared" si="35"/>
        <v/>
      </c>
    </row>
    <row r="532" spans="3:10" x14ac:dyDescent="0.25">
      <c r="C532" s="11">
        <f t="shared" si="33"/>
        <v>2.1791666666666667</v>
      </c>
      <c r="D532" s="13">
        <f t="shared" si="34"/>
        <v>188280</v>
      </c>
      <c r="E532" s="12">
        <f t="array" ref="E532:H532">DatosSiguientes(MasaK21,G531,H531,E531,F531,h)</f>
        <v>-565106.98916090454</v>
      </c>
      <c r="F532" s="12">
        <v>19810265.077031408</v>
      </c>
      <c r="G532" s="9">
        <v>-2799.01957317505</v>
      </c>
      <c r="H532" s="5">
        <v>-4164.8946400373752</v>
      </c>
      <c r="I532" s="5">
        <f t="shared" si="36"/>
        <v>5018.053201554274</v>
      </c>
      <c r="J532" t="str">
        <f t="shared" si="35"/>
        <v/>
      </c>
    </row>
    <row r="533" spans="3:10" x14ac:dyDescent="0.25">
      <c r="C533" s="11">
        <f t="shared" si="33"/>
        <v>2.1833333333333331</v>
      </c>
      <c r="D533" s="13">
        <f t="shared" si="34"/>
        <v>188640</v>
      </c>
      <c r="E533" s="12">
        <f t="array" ref="E533:H533">DatosSiguientes(MasaK21,G532,H532,E532,F532,h)</f>
        <v>-1568690.0010599424</v>
      </c>
      <c r="F533" s="12">
        <v>18239891.277042411</v>
      </c>
      <c r="G533" s="9">
        <v>-2776.4416040418264</v>
      </c>
      <c r="H533" s="5">
        <v>-4559.4042487903844</v>
      </c>
      <c r="I533" s="5">
        <f t="shared" si="36"/>
        <v>5338.2389497419608</v>
      </c>
      <c r="J533" t="str">
        <f t="shared" si="35"/>
        <v/>
      </c>
    </row>
    <row r="534" spans="3:10" x14ac:dyDescent="0.25">
      <c r="C534" s="11">
        <f t="shared" si="33"/>
        <v>2.1875</v>
      </c>
      <c r="D534" s="13">
        <f t="shared" si="34"/>
        <v>189000</v>
      </c>
      <c r="E534" s="12">
        <f t="array" ref="E534:H534">DatosSiguientes(MasaK21,G533,H533,E533,F533,h)</f>
        <v>-2558133.9002795569</v>
      </c>
      <c r="F534" s="12">
        <v>16514778.198565064</v>
      </c>
      <c r="G534" s="9">
        <v>-2720.4689471782535</v>
      </c>
      <c r="H534" s="5">
        <v>-5024.5572983059883</v>
      </c>
      <c r="I534" s="5">
        <f t="shared" si="36"/>
        <v>5713.7664754976749</v>
      </c>
      <c r="J534" t="str">
        <f t="shared" si="35"/>
        <v/>
      </c>
    </row>
    <row r="535" spans="3:10" x14ac:dyDescent="0.25">
      <c r="C535" s="11">
        <f t="shared" si="33"/>
        <v>2.1916666666666669</v>
      </c>
      <c r="D535" s="13">
        <f t="shared" si="34"/>
        <v>189360</v>
      </c>
      <c r="E535" s="12">
        <f t="array" ref="E535:H535">DatosSiguientes(MasaK21,G534,H534,E534,F534,h)</f>
        <v>-3517591.1015774584</v>
      </c>
      <c r="F535" s="12">
        <v>14605149.239220794</v>
      </c>
      <c r="G535" s="9">
        <v>-2609.8488378100897</v>
      </c>
      <c r="H535" s="5">
        <v>-5584.4924758288416</v>
      </c>
      <c r="I535" s="5">
        <f t="shared" si="36"/>
        <v>6164.2410050879434</v>
      </c>
      <c r="J535" t="str">
        <f t="shared" si="35"/>
        <v/>
      </c>
    </row>
    <row r="536" spans="3:10" x14ac:dyDescent="0.25">
      <c r="C536" s="11">
        <f t="shared" si="33"/>
        <v>2.1958333333333333</v>
      </c>
      <c r="D536" s="13">
        <f t="shared" si="34"/>
        <v>189720</v>
      </c>
      <c r="E536" s="12">
        <f t="array" ref="E536:H536">DatosSiguientes(MasaK21,G535,H535,E535,F535,h)</f>
        <v>-4420226.2427974101</v>
      </c>
      <c r="F536" s="12">
        <v>12470389.66041212</v>
      </c>
      <c r="G536" s="9">
        <v>-2404.7908356340849</v>
      </c>
      <c r="H536" s="5">
        <v>-6275.2829619971271</v>
      </c>
      <c r="I536" s="5">
        <f t="shared" si="36"/>
        <v>6720.2823762310109</v>
      </c>
      <c r="J536" t="str">
        <f t="shared" si="35"/>
        <v/>
      </c>
    </row>
    <row r="537" spans="3:10" x14ac:dyDescent="0.25">
      <c r="C537" s="11">
        <f t="shared" si="33"/>
        <v>2.2000000000000002</v>
      </c>
      <c r="D537" s="13">
        <f t="shared" si="34"/>
        <v>190080</v>
      </c>
      <c r="E537" s="12">
        <f t="array" ref="E537:H537">DatosSiguientes(MasaK21,G536,H536,E536,F536,h)</f>
        <v>-5217460.772132284</v>
      </c>
      <c r="F537" s="12">
        <v>10053626.628214149</v>
      </c>
      <c r="G537" s="9">
        <v>-2024.2898828929942</v>
      </c>
      <c r="H537" s="5">
        <v>-7151.178327991599</v>
      </c>
      <c r="I537" s="5">
        <f t="shared" si="36"/>
        <v>7432.1666429594843</v>
      </c>
      <c r="J537" t="str">
        <f t="shared" si="35"/>
        <v/>
      </c>
    </row>
    <row r="538" spans="3:10" x14ac:dyDescent="0.25">
      <c r="C538" s="11">
        <f t="shared" si="33"/>
        <v>2.2041666666666666</v>
      </c>
      <c r="D538" s="13">
        <f t="shared" si="34"/>
        <v>190440</v>
      </c>
      <c r="E538" s="12">
        <f t="array" ref="E538:H538">DatosSiguientes(MasaK21,G537,H537,E537,F537,h)</f>
        <v>-5813188.0185249848</v>
      </c>
      <c r="F538" s="12">
        <v>7274757.1748084007</v>
      </c>
      <c r="G538" s="9">
        <v>-1285.3059303997863</v>
      </c>
      <c r="H538" s="5">
        <v>-8286.985302040337</v>
      </c>
      <c r="I538" s="5">
        <f t="shared" si="36"/>
        <v>8386.0680137328618</v>
      </c>
      <c r="J538" t="str">
        <f t="shared" si="35"/>
        <v/>
      </c>
    </row>
    <row r="539" spans="3:10" x14ac:dyDescent="0.25">
      <c r="C539" s="11">
        <f t="shared" si="33"/>
        <v>2.2083333333333335</v>
      </c>
      <c r="D539" s="13">
        <f t="shared" si="34"/>
        <v>190800</v>
      </c>
      <c r="E539" s="12">
        <f t="array" ref="E539:H539">DatosSiguientes(MasaK21,G538,H538,E538,F538,h)</f>
        <v>-5995029.9713828312</v>
      </c>
      <c r="F539" s="12">
        <v>4033302.0557930395</v>
      </c>
      <c r="G539" s="9">
        <v>275.07285896730502</v>
      </c>
      <c r="H539" s="5">
        <v>-9721.0986924894478</v>
      </c>
      <c r="I539" s="5">
        <f t="shared" si="36"/>
        <v>9724.9897103729872</v>
      </c>
      <c r="J539" t="str">
        <f t="shared" si="35"/>
        <v/>
      </c>
    </row>
    <row r="540" spans="3:10" x14ac:dyDescent="0.25">
      <c r="C540" s="11">
        <f t="shared" si="33"/>
        <v>2.2124999999999999</v>
      </c>
      <c r="D540" s="13">
        <f t="shared" si="34"/>
        <v>191160</v>
      </c>
      <c r="E540" s="12">
        <f t="array" ref="E540:H540">DatosSiguientes(MasaK21,G539,H539,E539,F539,h)</f>
        <v>-5258227.5808823574</v>
      </c>
      <c r="F540" s="12">
        <v>320709.11919150874</v>
      </c>
      <c r="G540" s="9">
        <v>3818.273754924217</v>
      </c>
      <c r="H540" s="5">
        <v>-10904.417621963501</v>
      </c>
      <c r="I540" s="5">
        <f t="shared" si="36"/>
        <v>11553.594165528371</v>
      </c>
      <c r="J540" t="str">
        <f t="shared" si="35"/>
        <v/>
      </c>
    </row>
    <row r="541" spans="3:10" x14ac:dyDescent="0.25">
      <c r="C541" s="11">
        <f t="shared" si="33"/>
        <v>2.2166666666666668</v>
      </c>
      <c r="D541" s="13">
        <f t="shared" si="34"/>
        <v>191520</v>
      </c>
      <c r="E541" s="12">
        <f t="array" ref="E541:H541">DatosSiguientes(MasaK21,G540,H540,E540,F540,h)</f>
        <v>-2806207.346115666</v>
      </c>
      <c r="F541" s="12">
        <v>-3145137.7878352664</v>
      </c>
      <c r="G541" s="9">
        <v>9804.0608826685129</v>
      </c>
      <c r="H541" s="5">
        <v>-8350.2874170741397</v>
      </c>
      <c r="I541" s="5">
        <f t="shared" si="36"/>
        <v>12878.156302002924</v>
      </c>
      <c r="J541" t="str">
        <f t="shared" si="35"/>
        <v/>
      </c>
    </row>
    <row r="542" spans="3:10" x14ac:dyDescent="0.25">
      <c r="C542" s="11">
        <f t="shared" si="33"/>
        <v>2.2208333333333332</v>
      </c>
      <c r="D542" s="13">
        <f t="shared" si="34"/>
        <v>191880</v>
      </c>
      <c r="E542" s="12">
        <f t="array" ref="E542:H542">DatosSiguientes(MasaK21,G541,H541,E541,F541,h)</f>
        <v>1024144.4634091798</v>
      </c>
      <c r="F542" s="12">
        <v>-4946077.1014151489</v>
      </c>
      <c r="G542" s="9">
        <v>11475.67139246952</v>
      </c>
      <c r="H542" s="5">
        <v>-1654.9309917029877</v>
      </c>
      <c r="I542" s="5">
        <f t="shared" si="36"/>
        <v>11594.387887906905</v>
      </c>
      <c r="J542" t="str">
        <f t="shared" si="35"/>
        <v/>
      </c>
    </row>
    <row r="543" spans="3:10" x14ac:dyDescent="0.25">
      <c r="C543" s="11">
        <f t="shared" si="33"/>
        <v>2.2250000000000001</v>
      </c>
      <c r="D543" s="13">
        <f t="shared" si="34"/>
        <v>192240</v>
      </c>
      <c r="E543" s="12">
        <f t="array" ref="E543:H543">DatosSiguientes(MasaK21,G542,H542,E542,F542,h)</f>
        <v>4800653.7599312104</v>
      </c>
      <c r="F543" s="12">
        <v>-4882391.1244109925</v>
      </c>
      <c r="G543" s="9">
        <v>9504.9358104306521</v>
      </c>
      <c r="H543" s="5">
        <v>2008.7419750594111</v>
      </c>
      <c r="I543" s="5">
        <f t="shared" si="36"/>
        <v>9714.8777183643742</v>
      </c>
      <c r="J543" t="str">
        <f t="shared" si="35"/>
        <v/>
      </c>
    </row>
    <row r="544" spans="3:10" x14ac:dyDescent="0.25">
      <c r="C544" s="11">
        <f t="shared" si="33"/>
        <v>2.2291666666666665</v>
      </c>
      <c r="D544" s="13">
        <f t="shared" si="34"/>
        <v>192600</v>
      </c>
      <c r="E544" s="12">
        <f t="array" ref="E544:H544">DatosSiguientes(MasaK21,G543,H543,E543,F543,h)</f>
        <v>7875860.1607804699</v>
      </c>
      <c r="F544" s="12">
        <v>-3908209.7316480768</v>
      </c>
      <c r="G544" s="9">
        <v>7579.544194287454</v>
      </c>
      <c r="H544" s="5">
        <v>3403.3768736234529</v>
      </c>
      <c r="I544" s="5">
        <f t="shared" si="36"/>
        <v>8308.5777565761273</v>
      </c>
      <c r="J544" t="str">
        <f t="shared" si="35"/>
        <v/>
      </c>
    </row>
    <row r="545" spans="3:10" x14ac:dyDescent="0.25">
      <c r="C545" s="11">
        <f t="shared" si="33"/>
        <v>2.2333333333333334</v>
      </c>
      <c r="D545" s="13">
        <f t="shared" si="34"/>
        <v>192960</v>
      </c>
      <c r="E545" s="12">
        <f t="array" ref="E545:H545">DatosSiguientes(MasaK21,G544,H544,E544,F544,h)</f>
        <v>10346736.580796877</v>
      </c>
      <c r="F545" s="12">
        <v>-2588094.2508646674</v>
      </c>
      <c r="G545" s="9">
        <v>6147.5470280259187</v>
      </c>
      <c r="H545" s="5">
        <v>3930.5980196177097</v>
      </c>
      <c r="I545" s="5">
        <f t="shared" si="36"/>
        <v>7296.7071514220006</v>
      </c>
      <c r="J545" t="str">
        <f t="shared" si="35"/>
        <v/>
      </c>
    </row>
    <row r="546" spans="3:10" x14ac:dyDescent="0.25">
      <c r="C546" s="11">
        <f t="shared" si="33"/>
        <v>2.2374999999999998</v>
      </c>
      <c r="D546" s="13">
        <f t="shared" si="34"/>
        <v>193320</v>
      </c>
      <c r="E546" s="12">
        <f t="array" ref="E546:H546">DatosSiguientes(MasaK21,G545,H545,E545,F545,h)</f>
        <v>12368072.322229955</v>
      </c>
      <c r="F546" s="12">
        <v>-1140457.6601206171</v>
      </c>
      <c r="G546" s="9">
        <v>5082.0959799356269</v>
      </c>
      <c r="H546" s="5">
        <v>4111.8274845159021</v>
      </c>
      <c r="I546" s="5">
        <f t="shared" si="36"/>
        <v>6537.1878366540932</v>
      </c>
      <c r="J546" t="str">
        <f t="shared" si="35"/>
        <v/>
      </c>
    </row>
    <row r="547" spans="3:10" x14ac:dyDescent="0.25">
      <c r="C547" s="11">
        <f t="shared" si="33"/>
        <v>2.2416666666666667</v>
      </c>
      <c r="D547" s="13">
        <f t="shared" si="34"/>
        <v>193680</v>
      </c>
      <c r="E547" s="12">
        <f t="array" ref="E547:H547">DatosSiguientes(MasaK21,G546,H546,E546,F546,h)</f>
        <v>14050009.733821735</v>
      </c>
      <c r="F547" s="12">
        <v>344774.09474230319</v>
      </c>
      <c r="G547" s="9">
        <v>4262.0007511298127</v>
      </c>
      <c r="H547" s="5">
        <v>4139.4600425003218</v>
      </c>
      <c r="I547" s="5">
        <f t="shared" si="36"/>
        <v>5941.3617838074679</v>
      </c>
      <c r="J547" t="str">
        <f t="shared" si="35"/>
        <v/>
      </c>
    </row>
    <row r="548" spans="3:10" x14ac:dyDescent="0.25">
      <c r="C548" s="11">
        <f t="shared" si="33"/>
        <v>2.2458333333333331</v>
      </c>
      <c r="D548" s="13">
        <f t="shared" si="34"/>
        <v>194040</v>
      </c>
      <c r="E548" s="12">
        <f t="array" ref="E548:H548">DatosSiguientes(MasaK21,G547,H547,E547,F547,h)</f>
        <v>15466792.448097015</v>
      </c>
      <c r="F548" s="12">
        <v>1826613.2319500896</v>
      </c>
      <c r="G548" s="9">
        <v>3609.0143281772957</v>
      </c>
      <c r="H548" s="5">
        <v>4092.9796086540464</v>
      </c>
      <c r="I548" s="5">
        <f t="shared" si="36"/>
        <v>5456.8733261682783</v>
      </c>
      <c r="J548" t="str">
        <f t="shared" si="35"/>
        <v/>
      </c>
    </row>
    <row r="549" spans="3:10" x14ac:dyDescent="0.25">
      <c r="C549" s="11">
        <f t="shared" si="33"/>
        <v>2.25</v>
      </c>
      <c r="D549" s="13">
        <f t="shared" si="34"/>
        <v>194400</v>
      </c>
      <c r="E549" s="12">
        <f t="array" ref="E549:H549">DatosSiguientes(MasaK21,G548,H548,E548,F548,h)</f>
        <v>16669724.501937771</v>
      </c>
      <c r="F549" s="12">
        <v>3284930.8097076686</v>
      </c>
      <c r="G549" s="9">
        <v>3073.9415264935701</v>
      </c>
      <c r="H549" s="5">
        <v>4008.7847122213934</v>
      </c>
      <c r="I549" s="5">
        <f t="shared" si="36"/>
        <v>5051.6800549165409</v>
      </c>
      <c r="J549" t="str">
        <f t="shared" si="35"/>
        <v/>
      </c>
    </row>
    <row r="550" spans="3:10" x14ac:dyDescent="0.25">
      <c r="C550" s="11">
        <f t="shared" si="33"/>
        <v>2.2541666666666669</v>
      </c>
      <c r="D550" s="13">
        <f t="shared" si="34"/>
        <v>194760</v>
      </c>
      <c r="E550" s="12">
        <f t="array" ref="E550:H550">DatosSiguientes(MasaK21,G549,H549,E549,F549,h)</f>
        <v>17695537.15913916</v>
      </c>
      <c r="F550" s="12">
        <v>4709399.2196809966</v>
      </c>
      <c r="G550" s="9">
        <v>2625.0176801808129</v>
      </c>
      <c r="H550" s="5">
        <v>3904.928676519316</v>
      </c>
      <c r="I550" s="5">
        <f t="shared" si="36"/>
        <v>4705.2296213856298</v>
      </c>
      <c r="J550" t="str">
        <f t="shared" si="35"/>
        <v/>
      </c>
    </row>
    <row r="551" spans="3:10" x14ac:dyDescent="0.25">
      <c r="C551" s="11">
        <f t="shared" si="33"/>
        <v>2.2583333333333333</v>
      </c>
      <c r="D551" s="13">
        <f t="shared" si="34"/>
        <v>195120</v>
      </c>
      <c r="E551" s="12">
        <f t="array" ref="E551:H551">DatosSiguientes(MasaK21,G550,H550,E550,F550,h)</f>
        <v>18571418.955982465</v>
      </c>
      <c r="F551" s="12">
        <v>6094650.5418913225</v>
      </c>
      <c r="G551" s="9">
        <v>2240.9923022820012</v>
      </c>
      <c r="H551" s="5">
        <v>3790.9120024269396</v>
      </c>
      <c r="I551" s="5">
        <f t="shared" si="36"/>
        <v>4403.7552508094514</v>
      </c>
      <c r="J551" t="str">
        <f t="shared" si="35"/>
        <v/>
      </c>
    </row>
    <row r="552" spans="3:10" x14ac:dyDescent="0.25">
      <c r="C552" s="11">
        <f t="shared" si="33"/>
        <v>2.2625000000000002</v>
      </c>
      <c r="D552" s="13">
        <f t="shared" si="34"/>
        <v>195480</v>
      </c>
      <c r="E552" s="12">
        <f t="array" ref="E552:H552">DatosSiguientes(MasaK21,G551,H551,E551,F551,h)</f>
        <v>19318085.223144088</v>
      </c>
      <c r="F552" s="12">
        <v>7437965.4471527208</v>
      </c>
      <c r="G552" s="9">
        <v>1907.1536263936698</v>
      </c>
      <c r="H552" s="5">
        <v>3671.9485823586047</v>
      </c>
      <c r="I552" s="5">
        <f t="shared" si="36"/>
        <v>4137.685505950385</v>
      </c>
      <c r="J552" t="str">
        <f t="shared" si="35"/>
        <v/>
      </c>
    </row>
    <row r="553" spans="3:10" x14ac:dyDescent="0.25">
      <c r="C553" s="11">
        <f t="shared" si="33"/>
        <v>2.2666666666666666</v>
      </c>
      <c r="D553" s="13">
        <f t="shared" si="34"/>
        <v>195840</v>
      </c>
      <c r="E553" s="12">
        <f t="array" ref="E553:H553">DatosSiguientes(MasaK21,G552,H552,E552,F552,h)</f>
        <v>19951712.744883493</v>
      </c>
      <c r="F553" s="12">
        <v>8738092.0400499552</v>
      </c>
      <c r="G553" s="9">
        <v>1612.9992721585841</v>
      </c>
      <c r="H553" s="5">
        <v>3550.9769337371472</v>
      </c>
      <c r="I553" s="5">
        <f t="shared" si="36"/>
        <v>3900.1543348843766</v>
      </c>
      <c r="J553" t="str">
        <f t="shared" si="35"/>
        <v/>
      </c>
    </row>
    <row r="554" spans="3:10" x14ac:dyDescent="0.25">
      <c r="C554" s="11">
        <f t="shared" si="33"/>
        <v>2.2708333333333335</v>
      </c>
      <c r="D554" s="13">
        <f t="shared" si="34"/>
        <v>196200</v>
      </c>
      <c r="E554" s="12">
        <f t="array" ref="E554:H554">DatosSiguientes(MasaK21,G553,H553,E553,F553,h)</f>
        <v>20485201.55189386</v>
      </c>
      <c r="F554" s="12">
        <v>9994608.7533803377</v>
      </c>
      <c r="G554" s="9">
        <v>1350.8274334545752</v>
      </c>
      <c r="H554" s="5">
        <v>3429.6714736538706</v>
      </c>
      <c r="I554" s="5">
        <f t="shared" si="36"/>
        <v>3686.1065058091563</v>
      </c>
      <c r="J554" t="str">
        <f t="shared" si="35"/>
        <v/>
      </c>
    </row>
    <row r="555" spans="3:10" x14ac:dyDescent="0.25">
      <c r="C555" s="11">
        <f t="shared" si="33"/>
        <v>2.2749999999999999</v>
      </c>
      <c r="D555" s="13">
        <f t="shared" si="34"/>
        <v>196560</v>
      </c>
      <c r="E555" s="12">
        <f t="array" ref="E555:H555">DatosSiguientes(MasaK21,G554,H554,E554,F554,h)</f>
        <v>20929024.570543513</v>
      </c>
      <c r="F555" s="12">
        <v>11207565.763207894</v>
      </c>
      <c r="G555" s="9">
        <v>1114.8560034879458</v>
      </c>
      <c r="H555" s="5">
        <v>3308.978580943663</v>
      </c>
      <c r="I555" s="5">
        <f t="shared" si="36"/>
        <v>3491.7392740090222</v>
      </c>
      <c r="J555" t="str">
        <f t="shared" si="35"/>
        <v/>
      </c>
    </row>
    <row r="556" spans="3:10" x14ac:dyDescent="0.25">
      <c r="C556" s="11">
        <f t="shared" si="33"/>
        <v>2.2791666666666668</v>
      </c>
      <c r="D556" s="13">
        <f t="shared" si="34"/>
        <v>196920</v>
      </c>
      <c r="E556" s="12">
        <f t="array" ref="E556:H556">DatosSiguientes(MasaK21,G555,H555,E555,F555,h)</f>
        <v>21291816.408575524</v>
      </c>
      <c r="F556" s="12">
        <v>12377276.317120003</v>
      </c>
      <c r="G556" s="9">
        <v>900.6542078009951</v>
      </c>
      <c r="H556" s="5">
        <v>3189.4133852347209</v>
      </c>
      <c r="I556" s="5">
        <f t="shared" si="36"/>
        <v>3314.1417809055847</v>
      </c>
      <c r="J556" t="str">
        <f t="shared" si="35"/>
        <v/>
      </c>
    </row>
    <row r="557" spans="3:10" x14ac:dyDescent="0.25">
      <c r="C557" s="11">
        <f t="shared" si="33"/>
        <v>2.2833333333333332</v>
      </c>
      <c r="D557" s="13">
        <f t="shared" si="34"/>
        <v>197280</v>
      </c>
      <c r="E557" s="12">
        <f t="array" ref="E557:H557">DatosSiguientes(MasaK21,G556,H556,E556,F556,h)</f>
        <v>21580791.90226208</v>
      </c>
      <c r="F557" s="12">
        <v>13504192.141521346</v>
      </c>
      <c r="G557" s="9">
        <v>704.76520156876506</v>
      </c>
      <c r="H557" s="5">
        <v>3071.2300836616296</v>
      </c>
      <c r="I557" s="5">
        <f t="shared" si="36"/>
        <v>3151.0550956989759</v>
      </c>
      <c r="J557" t="str">
        <f t="shared" si="35"/>
        <v/>
      </c>
    </row>
    <row r="558" spans="3:10" x14ac:dyDescent="0.25">
      <c r="C558" s="11">
        <f t="shared" si="33"/>
        <v>2.2875000000000001</v>
      </c>
      <c r="D558" s="13">
        <f t="shared" si="34"/>
        <v>197640</v>
      </c>
      <c r="E558" s="12">
        <f t="array" ref="E558:H558">DatosSiguientes(MasaK21,G557,H557,E557,F557,h)</f>
        <v>21802050.441844281</v>
      </c>
      <c r="F558" s="12">
        <v>14588827.624966824</v>
      </c>
      <c r="G558" s="9">
        <v>524.4489072212383</v>
      </c>
      <c r="H558" s="5">
        <v>2954.5226021465833</v>
      </c>
      <c r="I558" s="5">
        <f t="shared" si="36"/>
        <v>3000.7083268589381</v>
      </c>
      <c r="J558" t="str">
        <f t="shared" si="35"/>
        <v/>
      </c>
    </row>
    <row r="559" spans="3:10" x14ac:dyDescent="0.25">
      <c r="C559" s="11">
        <f t="shared" si="33"/>
        <v>2.2916666666666665</v>
      </c>
      <c r="D559" s="13">
        <f t="shared" si="34"/>
        <v>198000</v>
      </c>
      <c r="E559" s="12">
        <f t="array" ref="E559:H559">DatosSiguientes(MasaK21,G558,H558,E558,F558,h)</f>
        <v>21960801.726147767</v>
      </c>
      <c r="F559" s="12">
        <v>15631713.088021865</v>
      </c>
      <c r="G559" s="9">
        <v>357.50267224258221</v>
      </c>
      <c r="H559" s="5">
        <v>2839.2855259369744</v>
      </c>
      <c r="I559" s="5">
        <f t="shared" si="36"/>
        <v>2861.704117908731</v>
      </c>
      <c r="J559" t="str">
        <f t="shared" si="35"/>
        <v/>
      </c>
    </row>
    <row r="560" spans="3:10" x14ac:dyDescent="0.25">
      <c r="C560" s="11">
        <f t="shared" si="33"/>
        <v>2.2958333333333334</v>
      </c>
      <c r="D560" s="13">
        <f t="shared" si="34"/>
        <v>198360</v>
      </c>
      <c r="E560" s="12">
        <f t="array" ref="E560:H560">DatosSiguientes(MasaK21,G559,H559,E559,F559,h)</f>
        <v>22061536.249393955</v>
      </c>
      <c r="F560" s="12">
        <v>16633365.784752622</v>
      </c>
      <c r="G560" s="9">
        <v>202.13356801400658</v>
      </c>
      <c r="H560" s="5">
        <v>2725.4516781227899</v>
      </c>
      <c r="I560" s="5">
        <f t="shared" si="36"/>
        <v>2732.9370335045051</v>
      </c>
      <c r="J560" t="str">
        <f t="shared" si="35"/>
        <v/>
      </c>
    </row>
    <row r="561" spans="3:10" x14ac:dyDescent="0.25">
      <c r="C561" s="11">
        <f t="shared" si="33"/>
        <v>2.2999999999999998</v>
      </c>
      <c r="D561" s="13">
        <f t="shared" si="34"/>
        <v>198720</v>
      </c>
      <c r="E561" s="12">
        <f t="array" ref="E561:H561">DatosSiguientes(MasaK21,G560,H560,E560,F560,h)</f>
        <v>22108156.125399608</v>
      </c>
      <c r="F561" s="12">
        <v>17594271.897379298</v>
      </c>
      <c r="G561" s="9">
        <v>56.86574312850825</v>
      </c>
      <c r="H561" s="5">
        <v>2612.9156142476213</v>
      </c>
      <c r="I561" s="5">
        <f t="shared" si="36"/>
        <v>2613.5343349419732</v>
      </c>
      <c r="J561" t="str">
        <f t="shared" si="35"/>
        <v/>
      </c>
    </row>
    <row r="562" spans="3:10" x14ac:dyDescent="0.25">
      <c r="C562" s="11">
        <f t="shared" si="33"/>
        <v>2.3041666666666667</v>
      </c>
      <c r="D562" s="13">
        <f t="shared" si="34"/>
        <v>199080</v>
      </c>
      <c r="E562" s="12">
        <f t="array" ref="E562:H562">DatosSiguientes(MasaK21,G561,H561,E561,F561,h)</f>
        <v>22104076.931094006</v>
      </c>
      <c r="F562" s="12">
        <v>18514875.425613292</v>
      </c>
      <c r="G562" s="9">
        <v>-79.527933715178904</v>
      </c>
      <c r="H562" s="5">
        <v>2501.5484314967848</v>
      </c>
      <c r="I562" s="5">
        <f t="shared" si="36"/>
        <v>2502.8122677030792</v>
      </c>
      <c r="J562" t="str">
        <f t="shared" si="35"/>
        <v/>
      </c>
    </row>
    <row r="563" spans="3:10" x14ac:dyDescent="0.25">
      <c r="C563" s="11">
        <f t="shared" si="33"/>
        <v>2.3083333333333331</v>
      </c>
      <c r="D563" s="13">
        <f t="shared" si="34"/>
        <v>199440</v>
      </c>
      <c r="E563" s="12">
        <f t="array" ref="E563:H563">DatosSiguientes(MasaK21,G562,H562,E562,F562,h)</f>
        <v>22052308.028092291</v>
      </c>
      <c r="F563" s="12">
        <v>19395571.424372368</v>
      </c>
      <c r="G563" s="9">
        <v>-208.07708296100475</v>
      </c>
      <c r="H563" s="5">
        <v>2391.2071171647426</v>
      </c>
      <c r="I563" s="5">
        <f t="shared" si="36"/>
        <v>2400.2432271819621</v>
      </c>
      <c r="J563" t="str">
        <f t="shared" si="35"/>
        <v/>
      </c>
    </row>
    <row r="564" spans="3:10" x14ac:dyDescent="0.25">
      <c r="C564" s="11">
        <f t="shared" si="33"/>
        <v>2.3125</v>
      </c>
      <c r="D564" s="13">
        <f t="shared" si="34"/>
        <v>199800</v>
      </c>
      <c r="E564" s="12">
        <f t="array" ref="E564:H564">DatosSiguientes(MasaK21,G563,H563,E563,F563,h)</f>
        <v>21955516.665445831</v>
      </c>
      <c r="F564" s="12">
        <v>20236701.978396211</v>
      </c>
      <c r="G564" s="9">
        <v>-329.6527095193394</v>
      </c>
      <c r="H564" s="5">
        <v>2281.7404051899507</v>
      </c>
      <c r="I564" s="5">
        <f t="shared" si="36"/>
        <v>2305.4305857192585</v>
      </c>
      <c r="J564" t="str">
        <f t="shared" si="35"/>
        <v/>
      </c>
    </row>
    <row r="565" spans="3:10" x14ac:dyDescent="0.25">
      <c r="C565" s="11">
        <f t="shared" si="33"/>
        <v>2.3166666666666669</v>
      </c>
      <c r="D565" s="13">
        <f t="shared" si="34"/>
        <v>200160</v>
      </c>
      <c r="E565" s="12">
        <f t="array" ref="E565:H565">DatosSiguientes(MasaK21,G564,H564,E564,F564,h)</f>
        <v>21816079.696766563</v>
      </c>
      <c r="F565" s="12">
        <v>21038553.877132084</v>
      </c>
      <c r="G565" s="9">
        <v>-444.99711647659478</v>
      </c>
      <c r="H565" s="5">
        <v>2172.9923655649045</v>
      </c>
      <c r="I565" s="5">
        <f t="shared" si="36"/>
        <v>2218.0888743411169</v>
      </c>
      <c r="J565" t="str">
        <f t="shared" si="35"/>
        <v/>
      </c>
    </row>
    <row r="566" spans="3:10" x14ac:dyDescent="0.25">
      <c r="C566" s="11">
        <f t="shared" si="33"/>
        <v>2.3208333333333333</v>
      </c>
      <c r="D566" s="13">
        <f t="shared" si="34"/>
        <v>200520</v>
      </c>
      <c r="E566" s="12">
        <f t="array" ref="E566:H566">DatosSiguientes(MasaK21,G565,H565,E565,F565,h)</f>
        <v>21636125.724646501</v>
      </c>
      <c r="F566" s="12">
        <v>21801357.313063774</v>
      </c>
      <c r="G566" s="9">
        <v>-554.74717307929382</v>
      </c>
      <c r="H566" s="5">
        <v>2064.8045007222531</v>
      </c>
      <c r="I566" s="5">
        <f t="shared" si="36"/>
        <v>2138.0276079233263</v>
      </c>
      <c r="J566" t="str">
        <f t="shared" si="35"/>
        <v/>
      </c>
    </row>
    <row r="567" spans="3:10" x14ac:dyDescent="0.25">
      <c r="C567" s="11">
        <f t="shared" si="33"/>
        <v>2.3250000000000002</v>
      </c>
      <c r="D567" s="13">
        <f t="shared" si="34"/>
        <v>200880</v>
      </c>
      <c r="E567" s="12">
        <f t="array" ref="E567:H567">DatosSiguientes(MasaK21,G566,H566,E566,F566,h)</f>
        <v>21417569.765559524</v>
      </c>
      <c r="F567" s="12">
        <v>22525285.155179262</v>
      </c>
      <c r="G567" s="9">
        <v>-659.45259962613181</v>
      </c>
      <c r="H567" s="5">
        <v>1957.016844363797</v>
      </c>
      <c r="I567" s="5">
        <f t="shared" si="36"/>
        <v>2065.1374434350123</v>
      </c>
      <c r="J567" t="str">
        <f t="shared" si="35"/>
        <v/>
      </c>
    </row>
    <row r="568" spans="3:10" x14ac:dyDescent="0.25">
      <c r="C568" s="11">
        <f t="shared" si="33"/>
        <v>2.3291666666666666</v>
      </c>
      <c r="D568" s="13">
        <f t="shared" si="34"/>
        <v>201240</v>
      </c>
      <c r="E568" s="12">
        <f t="array" ref="E568:H568">DatosSiguientes(MasaK21,G567,H567,E567,F567,h)</f>
        <v>21162142.013148133</v>
      </c>
      <c r="F568" s="12">
        <v>23210452.496050853</v>
      </c>
      <c r="G568" s="9">
        <v>-759.59046932604497</v>
      </c>
      <c r="H568" s="5">
        <v>1849.468382700604</v>
      </c>
      <c r="I568" s="5">
        <f t="shared" si="36"/>
        <v>1999.3776480945637</v>
      </c>
      <c r="J568" t="str">
        <f t="shared" si="35"/>
        <v/>
      </c>
    </row>
    <row r="569" spans="3:10" x14ac:dyDescent="0.25">
      <c r="C569" s="11">
        <f t="shared" si="33"/>
        <v>2.3333333333333335</v>
      </c>
      <c r="D569" s="13">
        <f t="shared" si="34"/>
        <v>201600</v>
      </c>
      <c r="E569" s="12">
        <f t="array" ref="E569:H569">DatosSiguientes(MasaK21,G568,H568,E568,F568,h)</f>
        <v>20871411.903882507</v>
      </c>
      <c r="F569" s="12">
        <v>23856916.265939105</v>
      </c>
      <c r="G569" s="9">
        <v>-855.57680437187219</v>
      </c>
      <c r="H569" s="5">
        <v>1741.9970055674664</v>
      </c>
      <c r="I569" s="5">
        <f t="shared" si="36"/>
        <v>1940.7640855047798</v>
      </c>
      <c r="J569" t="str">
        <f t="shared" si="35"/>
        <v/>
      </c>
    </row>
    <row r="570" spans="3:10" x14ac:dyDescent="0.25">
      <c r="C570" s="11">
        <f t="shared" si="33"/>
        <v>2.3374999999999999</v>
      </c>
      <c r="D570" s="13">
        <f t="shared" si="34"/>
        <v>201960</v>
      </c>
      <c r="E570" s="12">
        <f t="array" ref="E570:H570">DatosSiguientes(MasaK21,G569,H569,E569,F569,h)</f>
        <v>20546808.414414257</v>
      </c>
      <c r="F570" s="12">
        <v>24464674.768807705</v>
      </c>
      <c r="G570" s="9">
        <v>-947.77591489617964</v>
      </c>
      <c r="H570" s="5">
        <v>1634.4391214803022</v>
      </c>
      <c r="I570" s="5">
        <f t="shared" si="36"/>
        <v>1889.3571464078973</v>
      </c>
      <c r="J570" t="str">
        <f t="shared" si="35"/>
        <v/>
      </c>
    </row>
    <row r="571" spans="3:10" x14ac:dyDescent="0.25">
      <c r="C571" s="11">
        <f t="shared" si="33"/>
        <v>2.3416666666666668</v>
      </c>
      <c r="D571" s="13">
        <f t="shared" si="34"/>
        <v>202320</v>
      </c>
      <c r="E571" s="12">
        <f t="array" ref="E571:H571">DatosSiguientes(MasaK21,G570,H570,E570,F570,h)</f>
        <v>20189637.315968562</v>
      </c>
      <c r="F571" s="12">
        <v>25033667.034620345</v>
      </c>
      <c r="G571" s="9">
        <v>-1036.5079653576877</v>
      </c>
      <c r="H571" s="5">
        <v>1526.6290219232476</v>
      </c>
      <c r="I571" s="5">
        <f t="shared" si="36"/>
        <v>1845.2492874482475</v>
      </c>
      <c r="J571" t="str">
        <f t="shared" si="35"/>
        <v/>
      </c>
    </row>
    <row r="572" spans="3:10" x14ac:dyDescent="0.25">
      <c r="C572" s="11">
        <f t="shared" si="33"/>
        <v>2.3458333333333332</v>
      </c>
      <c r="D572" s="13">
        <f t="shared" si="34"/>
        <v>202680</v>
      </c>
      <c r="E572" s="12">
        <f t="array" ref="E572:H572">DatosSiguientes(MasaK21,G571,H571,E571,F571,h)</f>
        <v>19801095.958176933</v>
      </c>
      <c r="F572" s="12">
        <v>25563771.907028686</v>
      </c>
      <c r="G572" s="9">
        <v>-1122.0551334846955</v>
      </c>
      <c r="H572" s="5">
        <v>1418.3980470119859</v>
      </c>
      <c r="I572" s="5">
        <f t="shared" si="36"/>
        <v>1808.552112145728</v>
      </c>
      <c r="J572" t="str">
        <f t="shared" si="35"/>
        <v/>
      </c>
    </row>
    <row r="573" spans="3:10" x14ac:dyDescent="0.25">
      <c r="C573" s="11">
        <f t="shared" si="33"/>
        <v>2.35</v>
      </c>
      <c r="D573" s="13">
        <f t="shared" si="34"/>
        <v>203040</v>
      </c>
      <c r="E573" s="12">
        <f t="array" ref="E573:H573">DatosSiguientes(MasaK21,G572,H572,E572,F572,h)</f>
        <v>19382286.039158963</v>
      </c>
      <c r="F573" s="12">
        <v>26054806.800164737</v>
      </c>
      <c r="G573" s="9">
        <v>-1204.666638837364</v>
      </c>
      <c r="H573" s="5">
        <v>1309.5735815216349</v>
      </c>
      <c r="I573" s="5">
        <f t="shared" si="36"/>
        <v>1779.38322914068</v>
      </c>
      <c r="J573" t="str">
        <f t="shared" si="35"/>
        <v/>
      </c>
    </row>
    <row r="574" spans="3:10" x14ac:dyDescent="0.25">
      <c r="C574" s="11">
        <f t="shared" si="33"/>
        <v>2.3541666666666665</v>
      </c>
      <c r="D574" s="13">
        <f t="shared" si="34"/>
        <v>203400</v>
      </c>
      <c r="E574" s="12">
        <f t="array" ref="E574:H574">DatosSiguientes(MasaK21,G573,H573,E573,F573,h)</f>
        <v>18934224.73077134</v>
      </c>
      <c r="F574" s="12">
        <v>26506526.065658636</v>
      </c>
      <c r="G574" s="9">
        <v>-1284.5628522049849</v>
      </c>
      <c r="H574" s="5">
        <v>1199.9778934444737</v>
      </c>
      <c r="I574" s="5">
        <f t="shared" si="36"/>
        <v>1757.8534256360633</v>
      </c>
      <c r="J574" t="str">
        <f t="shared" si="35"/>
        <v/>
      </c>
    </row>
    <row r="575" spans="3:10" x14ac:dyDescent="0.25">
      <c r="C575" s="11">
        <f t="shared" si="33"/>
        <v>2.3583333333333334</v>
      </c>
      <c r="D575" s="13">
        <f t="shared" si="34"/>
        <v>203760</v>
      </c>
      <c r="E575" s="12">
        <f t="array" ref="E575:H575">DatosSiguientes(MasaK21,G574,H574,E574,F574,h)</f>
        <v>18457854.460902274</v>
      </c>
      <c r="F575" s="12">
        <v>26918618.913060572</v>
      </c>
      <c r="G575" s="9">
        <v>-1361.9386470676079</v>
      </c>
      <c r="H575" s="5">
        <v>1089.4268143440474</v>
      </c>
      <c r="I575" s="5">
        <f t="shared" si="36"/>
        <v>1744.0549481562116</v>
      </c>
      <c r="J575" t="str">
        <f t="shared" si="35"/>
        <v/>
      </c>
    </row>
    <row r="576" spans="3:10" x14ac:dyDescent="0.25">
      <c r="C576" s="11">
        <f t="shared" si="33"/>
        <v>2.3624999999999998</v>
      </c>
      <c r="D576" s="13">
        <f t="shared" si="34"/>
        <v>204120</v>
      </c>
      <c r="E576" s="12">
        <f t="array" ref="E576:H576">DatosSiguientes(MasaK21,G575,H575,E575,F575,h)</f>
        <v>17954051.6036002</v>
      </c>
      <c r="F576" s="12">
        <v>27290706.824669011</v>
      </c>
      <c r="G576" s="9">
        <v>-1436.966115721686</v>
      </c>
      <c r="H576" s="5">
        <v>977.72825014727107</v>
      </c>
      <c r="I576" s="5">
        <f t="shared" si="36"/>
        <v>1738.0518257141571</v>
      </c>
      <c r="J576" t="str">
        <f t="shared" si="35"/>
        <v/>
      </c>
    </row>
    <row r="577" spans="3:10" x14ac:dyDescent="0.25">
      <c r="C577" s="11">
        <f t="shared" si="33"/>
        <v>2.3666666666666667</v>
      </c>
      <c r="D577" s="13">
        <f t="shared" si="34"/>
        <v>204480</v>
      </c>
      <c r="E577" s="12">
        <f t="array" ref="E577:H577">DatosSiguientes(MasaK21,G576,H576,E576,F576,h)</f>
        <v>17423634.289184257</v>
      </c>
      <c r="F577" s="12">
        <v>27622340.399961259</v>
      </c>
      <c r="G577" s="9">
        <v>-1509.7967421446604</v>
      </c>
      <c r="H577" s="5">
        <v>864.68050147633028</v>
      </c>
      <c r="I577" s="5">
        <f t="shared" si="36"/>
        <v>1739.8731483139763</v>
      </c>
      <c r="J577" t="str">
        <f t="shared" si="35"/>
        <v/>
      </c>
    </row>
    <row r="578" spans="3:10" x14ac:dyDescent="0.25">
      <c r="C578" s="11">
        <f t="shared" si="33"/>
        <v>2.3708333333333331</v>
      </c>
      <c r="D578" s="13">
        <f t="shared" si="34"/>
        <v>204840</v>
      </c>
      <c r="E578" s="12">
        <f t="array" ref="E578:H578">DatosSiguientes(MasaK21,G577,H577,E577,F577,h)</f>
        <v>16867369.517806791</v>
      </c>
      <c r="F578" s="12">
        <v>27912995.555611223</v>
      </c>
      <c r="G578" s="9">
        <v>-1580.5630988412695</v>
      </c>
      <c r="H578" s="5">
        <v>750.07036324569879</v>
      </c>
      <c r="I578" s="5">
        <f t="shared" si="36"/>
        <v>1749.5100054696034</v>
      </c>
      <c r="J578" t="str">
        <f t="shared" si="35"/>
        <v/>
      </c>
    </row>
    <row r="579" spans="3:10" x14ac:dyDescent="0.25">
      <c r="C579" s="11">
        <f t="shared" si="33"/>
        <v>2.375</v>
      </c>
      <c r="D579" s="13">
        <f t="shared" si="34"/>
        <v>205200</v>
      </c>
      <c r="E579" s="12">
        <f t="array" ref="E579:H579">DatosSiguientes(MasaK21,G578,H578,E578,F578,h)</f>
        <v>16285979.73951027</v>
      </c>
      <c r="F579" s="12">
        <v>28162068.994379953</v>
      </c>
      <c r="G579" s="9">
        <v>-1649.3801139171851</v>
      </c>
      <c r="H579" s="5">
        <v>633.67096324724707</v>
      </c>
      <c r="I579" s="5">
        <f t="shared" si="36"/>
        <v>1766.9164241265516</v>
      </c>
      <c r="J579" t="str">
        <f t="shared" si="35"/>
        <v/>
      </c>
    </row>
    <row r="580" spans="3:10" x14ac:dyDescent="0.25">
      <c r="C580" s="11">
        <f t="shared" si="33"/>
        <v>2.3791666666666669</v>
      </c>
      <c r="D580" s="13">
        <f t="shared" si="34"/>
        <v>205560</v>
      </c>
      <c r="E580" s="12">
        <f t="array" ref="E580:H580">DatosSiguientes(MasaK21,G579,H579,E579,F579,h)</f>
        <v>15680149.050533528</v>
      </c>
      <c r="F580" s="12">
        <v>28368872.839615267</v>
      </c>
      <c r="G580" s="9">
        <v>-1716.3459359536084</v>
      </c>
      <c r="H580" s="5">
        <v>515.23928806004756</v>
      </c>
      <c r="I580" s="5">
        <f t="shared" si="36"/>
        <v>1792.0142007877876</v>
      </c>
      <c r="J580" t="str">
        <f t="shared" si="35"/>
        <v/>
      </c>
    </row>
    <row r="581" spans="3:10" x14ac:dyDescent="0.25">
      <c r="C581" s="11">
        <f t="shared" si="33"/>
        <v>2.3833333333333333</v>
      </c>
      <c r="D581" s="13">
        <f t="shared" si="34"/>
        <v>205920</v>
      </c>
      <c r="E581" s="12">
        <f t="array" ref="E581:H581">DatosSiguientes(MasaK21,G580,H580,E580,F580,h)</f>
        <v>15050529.14887625</v>
      </c>
      <c r="F581" s="12">
        <v>28532628.311052725</v>
      </c>
      <c r="G581" s="9">
        <v>-1781.5424065868185</v>
      </c>
      <c r="H581" s="5">
        <v>394.5133310369435</v>
      </c>
      <c r="I581" s="5">
        <f t="shared" si="36"/>
        <v>1824.7011028749389</v>
      </c>
      <c r="J581" t="str">
        <f t="shared" si="35"/>
        <v/>
      </c>
    </row>
    <row r="582" spans="3:10" x14ac:dyDescent="0.25">
      <c r="C582" s="11">
        <f t="shared" si="33"/>
        <v>2.3875000000000002</v>
      </c>
      <c r="D582" s="13">
        <f t="shared" si="34"/>
        <v>206280</v>
      </c>
      <c r="E582" s="12">
        <f t="array" ref="E582:H582">DatosSiguientes(MasaK21,G581,H581,E581,F581,h)</f>
        <v>14397745.191794839</v>
      </c>
      <c r="F582" s="12">
        <v>28652458.291107837</v>
      </c>
      <c r="G582" s="9">
        <v>-1845.0351327543542</v>
      </c>
      <c r="H582" s="5">
        <v>271.20878038035067</v>
      </c>
      <c r="I582" s="5">
        <f t="shared" si="36"/>
        <v>1864.8616151482327</v>
      </c>
      <c r="J582" t="str">
        <f t="shared" si="35"/>
        <v/>
      </c>
    </row>
    <row r="583" spans="3:10" x14ac:dyDescent="0.25">
      <c r="C583" s="11">
        <f t="shared" si="33"/>
        <v>2.3916666666666666</v>
      </c>
      <c r="D583" s="13">
        <f t="shared" si="34"/>
        <v>206640</v>
      </c>
      <c r="E583" s="12">
        <f t="array" ref="E583:H583">DatosSiguientes(MasaK21,G582,H582,E582,F582,h)</f>
        <v>13722401.704320848</v>
      </c>
      <c r="F583" s="12">
        <v>28727378.597536992</v>
      </c>
      <c r="G583" s="9">
        <v>-1906.8731309900425</v>
      </c>
      <c r="H583" s="5">
        <v>145.01514422607022</v>
      </c>
      <c r="I583" s="5">
        <f t="shared" si="36"/>
        <v>1912.3792850129587</v>
      </c>
      <c r="J583" t="str">
        <f t="shared" si="35"/>
        <v/>
      </c>
    </row>
    <row r="584" spans="3:10" x14ac:dyDescent="0.25">
      <c r="C584" s="11">
        <f t="shared" si="33"/>
        <v>2.3958333333333335</v>
      </c>
      <c r="D584" s="13">
        <f t="shared" si="34"/>
        <v>207000</v>
      </c>
      <c r="E584" s="12">
        <f t="array" ref="E584:H584">DatosSiguientes(MasaK21,G583,H583,E583,F583,h)</f>
        <v>13025088.701944506</v>
      </c>
      <c r="F584" s="12">
        <v>28756287.736372627</v>
      </c>
      <c r="G584" s="9">
        <v>-1967.0879933229696</v>
      </c>
      <c r="H584" s="5">
        <v>15.5911826385613</v>
      </c>
      <c r="I584" s="5">
        <f t="shared" si="36"/>
        <v>1967.1497803806035</v>
      </c>
      <c r="J584" t="str">
        <f t="shared" si="35"/>
        <v/>
      </c>
    </row>
    <row r="585" spans="3:10" x14ac:dyDescent="0.25">
      <c r="C585" s="11">
        <f t="shared" si="33"/>
        <v>2.4</v>
      </c>
      <c r="D585" s="13">
        <f t="shared" si="34"/>
        <v>207360</v>
      </c>
      <c r="E585" s="12">
        <f t="array" ref="E585:H585">DatosSiguientes(MasaK21,G584,H584,E584,F584,h)</f>
        <v>12306388.21382978</v>
      </c>
      <c r="F585" s="12">
        <v>28737954.855895333</v>
      </c>
      <c r="G585" s="9">
        <v>-2025.6924962032836</v>
      </c>
      <c r="H585" s="5">
        <v>-117.44051862353186</v>
      </c>
      <c r="I585" s="5">
        <f t="shared" si="36"/>
        <v>2029.0939762832215</v>
      </c>
      <c r="J585" t="str">
        <f t="shared" si="35"/>
        <v/>
      </c>
    </row>
    <row r="586" spans="3:10" x14ac:dyDescent="0.25">
      <c r="C586" s="11">
        <f t="shared" ref="C586:C649" si="37">D586/86400</f>
        <v>2.4041666666666668</v>
      </c>
      <c r="D586" s="13">
        <f t="shared" ref="D586:D649" si="38">h+D585</f>
        <v>207720</v>
      </c>
      <c r="E586" s="12">
        <f t="array" ref="E586:H586">DatosSiguientes(MasaK21,G585,H585,E585,F585,h)</f>
        <v>11566881.42773528</v>
      </c>
      <c r="F586" s="12">
        <v>28671005.55468113</v>
      </c>
      <c r="G586" s="9">
        <v>-2082.678537655052</v>
      </c>
      <c r="H586" s="5">
        <v>-254.5000436775936</v>
      </c>
      <c r="I586" s="5">
        <f t="shared" si="36"/>
        <v>2098.1706707131534</v>
      </c>
      <c r="J586" t="str">
        <f t="shared" ref="J586:J649" si="39">IF(I586=$I$8,"&lt;--------&lt;&lt;&lt;","")</f>
        <v/>
      </c>
    </row>
    <row r="587" spans="3:10" x14ac:dyDescent="0.25">
      <c r="C587" s="11">
        <f t="shared" si="37"/>
        <v>2.4083333333333332</v>
      </c>
      <c r="D587" s="13">
        <f t="shared" si="38"/>
        <v>208080</v>
      </c>
      <c r="E587" s="12">
        <f t="array" ref="E587:H587">DatosSiguientes(MasaK21,G586,H586,E586,F586,h)</f>
        <v>10807156.727826679</v>
      </c>
      <c r="F587" s="12">
        <v>28553905.109799828</v>
      </c>
      <c r="G587" s="9">
        <v>-2138.0142396149517</v>
      </c>
      <c r="H587" s="5">
        <v>-396.05798344074611</v>
      </c>
      <c r="I587" s="5">
        <f t="shared" si="36"/>
        <v>2174.3888371318162</v>
      </c>
      <c r="J587" t="str">
        <f t="shared" si="39"/>
        <v/>
      </c>
    </row>
    <row r="588" spans="3:10" x14ac:dyDescent="0.25">
      <c r="C588" s="11">
        <f t="shared" si="37"/>
        <v>2.4125000000000001</v>
      </c>
      <c r="D588" s="13">
        <f t="shared" si="38"/>
        <v>208440</v>
      </c>
      <c r="E588" s="12">
        <f t="array" ref="E588:H588">DatosSiguientes(MasaK21,G587,H587,E587,F587,h)</f>
        <v>10027818.967135327</v>
      </c>
      <c r="F588" s="12">
        <v>28384938.578636084</v>
      </c>
      <c r="G588" s="9">
        <v>-2191.6399864481155</v>
      </c>
      <c r="H588" s="5">
        <v>-542.64496746893951</v>
      </c>
      <c r="I588" s="5">
        <f t="shared" si="36"/>
        <v>2257.8196099152078</v>
      </c>
      <c r="J588" t="str">
        <f t="shared" si="39"/>
        <v/>
      </c>
    </row>
    <row r="589" spans="3:10" x14ac:dyDescent="0.25">
      <c r="C589" s="11">
        <f t="shared" si="37"/>
        <v>2.4166666666666665</v>
      </c>
      <c r="D589" s="13">
        <f t="shared" si="38"/>
        <v>208800</v>
      </c>
      <c r="E589" s="12">
        <f t="array" ref="E589:H589">DatosSiguientes(MasaK21,G588,H588,E588,F588,h)</f>
        <v>9229500.4154531937</v>
      </c>
      <c r="F589" s="12">
        <v>28162187.080667365</v>
      </c>
      <c r="G589" s="9">
        <v>-2243.463078452623</v>
      </c>
      <c r="H589" s="5">
        <v>-694.86335457948974</v>
      </c>
      <c r="I589" s="5">
        <f t="shared" ref="I589:I652" si="40">SQRT(G589^2+H589^2)</f>
        <v>2348.6084530882499</v>
      </c>
      <c r="J589" t="str">
        <f t="shared" si="39"/>
        <v/>
      </c>
    </row>
    <row r="590" spans="3:10" x14ac:dyDescent="0.25">
      <c r="C590" s="11">
        <f t="shared" si="37"/>
        <v>2.4208333333333334</v>
      </c>
      <c r="D590" s="13">
        <f t="shared" si="38"/>
        <v>209160</v>
      </c>
      <c r="E590" s="12">
        <f t="array" ref="E590:H590">DatosSiguientes(MasaK21,G589,H589,E589,F589,h)</f>
        <v>8412873.9627100863</v>
      </c>
      <c r="F590" s="12">
        <v>27883499.371389195</v>
      </c>
      <c r="G590" s="9">
        <v>-2293.3505478979755</v>
      </c>
      <c r="H590" s="5">
        <v>-853.40169696590635</v>
      </c>
      <c r="I590" s="5">
        <f t="shared" si="40"/>
        <v>2446.9881879421146</v>
      </c>
      <c r="J590" t="str">
        <f t="shared" si="39"/>
        <v/>
      </c>
    </row>
    <row r="591" spans="3:10" x14ac:dyDescent="0.25">
      <c r="C591" s="11">
        <f t="shared" si="37"/>
        <v>2.4249999999999998</v>
      </c>
      <c r="D591" s="13">
        <f t="shared" si="38"/>
        <v>209520</v>
      </c>
      <c r="E591" s="12">
        <f t="array" ref="E591:H591">DatosSiguientes(MasaK21,G590,H590,E590,F590,h)</f>
        <v>7578669.3550082864</v>
      </c>
      <c r="F591" s="12">
        <v>27546457.561726768</v>
      </c>
      <c r="G591" s="9">
        <v>-2341.1194948898019</v>
      </c>
      <c r="H591" s="5">
        <v>-1019.052801158686</v>
      </c>
      <c r="I591" s="5">
        <f t="shared" si="40"/>
        <v>2553.2937748920403</v>
      </c>
      <c r="J591" t="str">
        <f t="shared" si="39"/>
        <v/>
      </c>
    </row>
    <row r="592" spans="3:10" x14ac:dyDescent="0.25">
      <c r="C592" s="11">
        <f t="shared" si="37"/>
        <v>2.4291666666666667</v>
      </c>
      <c r="D592" s="13">
        <f t="shared" si="38"/>
        <v>209880</v>
      </c>
      <c r="E592" s="12">
        <f t="array" ref="E592:H592">DatosSiguientes(MasaK21,G591,H591,E591,F591,h)</f>
        <v>6727693.5223702174</v>
      </c>
      <c r="F592" s="12">
        <v>27148335.487282466</v>
      </c>
      <c r="G592" s="9">
        <v>-2386.524019766136</v>
      </c>
      <c r="H592" s="5">
        <v>-1192.7365013096457</v>
      </c>
      <c r="I592" s="5">
        <f t="shared" si="40"/>
        <v>2667.9799958914778</v>
      </c>
      <c r="J592" t="str">
        <f t="shared" si="39"/>
        <v/>
      </c>
    </row>
    <row r="593" spans="3:10" x14ac:dyDescent="0.25">
      <c r="C593" s="11">
        <f t="shared" si="37"/>
        <v>2.4333333333333331</v>
      </c>
      <c r="D593" s="13">
        <f t="shared" si="38"/>
        <v>210240</v>
      </c>
      <c r="E593" s="12">
        <f t="array" ref="E593:H593">DatosSiguientes(MasaK21,G592,H592,E592,F592,h)</f>
        <v>5860856.4654701827</v>
      </c>
      <c r="F593" s="12">
        <v>26686047.755620647</v>
      </c>
      <c r="G593" s="9">
        <v>-2429.2374074562795</v>
      </c>
      <c r="H593" s="5">
        <v>-1375.5286745893491</v>
      </c>
      <c r="I593" s="5">
        <f t="shared" si="40"/>
        <v>2791.6435152795634</v>
      </c>
      <c r="J593" t="str">
        <f t="shared" si="39"/>
        <v/>
      </c>
    </row>
    <row r="594" spans="3:10" x14ac:dyDescent="0.25">
      <c r="C594" s="11">
        <f t="shared" si="37"/>
        <v>2.4375</v>
      </c>
      <c r="D594" s="13">
        <f t="shared" si="38"/>
        <v>210600</v>
      </c>
      <c r="E594" s="12">
        <f t="array" ref="E594:H594">DatosSiguientes(MasaK21,G593,H593,E593,F593,h)</f>
        <v>4979204.7686854685</v>
      </c>
      <c r="F594" s="12">
        <v>26156086.841838263</v>
      </c>
      <c r="G594" s="9">
        <v>-2468.8275746810227</v>
      </c>
      <c r="H594" s="5">
        <v>-1568.698624201666</v>
      </c>
      <c r="I594" s="5">
        <f t="shared" si="40"/>
        <v>2925.0512759740777</v>
      </c>
      <c r="J594" t="str">
        <f t="shared" si="39"/>
        <v/>
      </c>
    </row>
    <row r="595" spans="3:10" x14ac:dyDescent="0.25">
      <c r="C595" s="11">
        <f t="shared" si="37"/>
        <v>2.4416666666666669</v>
      </c>
      <c r="D595" s="13">
        <f t="shared" si="38"/>
        <v>210960</v>
      </c>
      <c r="E595" s="12">
        <f t="array" ref="E595:H595">DatosSiguientes(MasaK21,G594,H594,E594,F594,h)</f>
        <v>4083965.7040350004</v>
      </c>
      <c r="F595" s="12">
        <v>25554444.681056108</v>
      </c>
      <c r="G595" s="9">
        <v>-2504.7227844882455</v>
      </c>
      <c r="H595" s="5">
        <v>-1773.7578245880754</v>
      </c>
      <c r="I595" s="5">
        <f t="shared" si="40"/>
        <v>3069.1779106825938</v>
      </c>
      <c r="J595" t="str">
        <f t="shared" si="39"/>
        <v/>
      </c>
    </row>
    <row r="596" spans="3:10" x14ac:dyDescent="0.25">
      <c r="C596" s="11">
        <f t="shared" si="37"/>
        <v>2.4458333333333333</v>
      </c>
      <c r="D596" s="13">
        <f t="shared" si="38"/>
        <v>211320</v>
      </c>
      <c r="E596" s="12">
        <f t="array" ref="E596:H596">DatosSiguientes(MasaK21,G595,H595,E595,F595,h)</f>
        <v>3176606.2581151142</v>
      </c>
      <c r="F596" s="12">
        <v>24876513.896686945</v>
      </c>
      <c r="G596" s="9">
        <v>-2536.1630261777887</v>
      </c>
      <c r="H596" s="5">
        <v>-1992.5243107961612</v>
      </c>
      <c r="I596" s="5">
        <f t="shared" si="40"/>
        <v>3225.255962627617</v>
      </c>
      <c r="J596" t="str">
        <f t="shared" si="39"/>
        <v/>
      </c>
    </row>
    <row r="597" spans="3:10" x14ac:dyDescent="0.25">
      <c r="C597" s="11">
        <f t="shared" si="37"/>
        <v>2.4500000000000002</v>
      </c>
      <c r="D597" s="13">
        <f t="shared" si="38"/>
        <v>211680</v>
      </c>
      <c r="E597" s="12">
        <f t="array" ref="E597:H597">DatosSiguientes(MasaK21,G596,H596,E596,F596,h)</f>
        <v>2258913.5437517879</v>
      </c>
      <c r="F597" s="12">
        <v>24116961.913026512</v>
      </c>
      <c r="G597" s="9">
        <v>-2562.1298313962475</v>
      </c>
      <c r="H597" s="5">
        <v>-2227.2089317618065</v>
      </c>
      <c r="I597" s="5">
        <f t="shared" si="40"/>
        <v>3394.8444586829205</v>
      </c>
      <c r="J597" t="str">
        <f t="shared" si="39"/>
        <v/>
      </c>
    </row>
    <row r="598" spans="3:10" x14ac:dyDescent="0.25">
      <c r="C598" s="11">
        <f t="shared" si="37"/>
        <v>2.4541666666666666</v>
      </c>
      <c r="D598" s="13">
        <f t="shared" si="38"/>
        <v>212040</v>
      </c>
      <c r="E598" s="12">
        <f t="array" ref="E598:H598">DatosSiguientes(MasaK21,G597,H597,E597,F597,h)</f>
        <v>1333106.4550854252</v>
      </c>
      <c r="F598" s="12">
        <v>23269568.427956186</v>
      </c>
      <c r="G598" s="9">
        <v>-2581.2428834168786</v>
      </c>
      <c r="H598" s="5">
        <v>-2480.532651962224</v>
      </c>
      <c r="I598" s="5">
        <f t="shared" si="40"/>
        <v>3579.9241696774843</v>
      </c>
      <c r="J598" t="str">
        <f t="shared" si="39"/>
        <v/>
      </c>
    </row>
    <row r="599" spans="3:10" x14ac:dyDescent="0.25">
      <c r="C599" s="11">
        <f t="shared" si="37"/>
        <v>2.4583333333333335</v>
      </c>
      <c r="D599" s="13">
        <f t="shared" si="38"/>
        <v>212400</v>
      </c>
      <c r="E599" s="12">
        <f t="array" ref="E599:H599">DatosSiguientes(MasaK21,G598,H598,E598,F598,h)</f>
        <v>401993.99150871846</v>
      </c>
      <c r="F599" s="12">
        <v>22327012.585440546</v>
      </c>
      <c r="G599" s="9">
        <v>-2591.6041364537141</v>
      </c>
      <c r="H599" s="5">
        <v>-2755.8886953468782</v>
      </c>
      <c r="I599" s="5">
        <f t="shared" si="40"/>
        <v>3783.0324478154716</v>
      </c>
      <c r="J599" t="str">
        <f t="shared" si="39"/>
        <v/>
      </c>
    </row>
    <row r="600" spans="3:10" x14ac:dyDescent="0.25">
      <c r="C600" s="11">
        <f t="shared" si="37"/>
        <v>2.4624999999999999</v>
      </c>
      <c r="D600" s="13">
        <f t="shared" si="38"/>
        <v>212760</v>
      </c>
      <c r="E600" s="12">
        <f t="array" ref="E600:H600">DatosSiguientes(MasaK21,G599,H599,E599,F599,h)</f>
        <v>-530794.92054509243</v>
      </c>
      <c r="F600" s="12">
        <v>21280589.912685905</v>
      </c>
      <c r="G600" s="9">
        <v>-2590.5564860674576</v>
      </c>
      <c r="H600" s="5">
        <v>-3057.5705977344619</v>
      </c>
      <c r="I600" s="5">
        <f t="shared" si="40"/>
        <v>4007.458155444227</v>
      </c>
      <c r="J600" t="str">
        <f t="shared" si="39"/>
        <v/>
      </c>
    </row>
    <row r="601" spans="3:10" x14ac:dyDescent="0.25">
      <c r="C601" s="11">
        <f t="shared" si="37"/>
        <v>2.4666666666666668</v>
      </c>
      <c r="D601" s="13">
        <f t="shared" si="38"/>
        <v>213120</v>
      </c>
      <c r="E601" s="12">
        <f t="array" ref="E601:H601">DatosSiguientes(MasaK21,G600,H600,E600,F600,h)</f>
        <v>-1460468.8377402888</v>
      </c>
      <c r="F601" s="12">
        <v>20119829.415802952</v>
      </c>
      <c r="G601" s="9">
        <v>-2574.2986094614112</v>
      </c>
      <c r="H601" s="5">
        <v>-3391.0988293930586</v>
      </c>
      <c r="I601" s="5">
        <f t="shared" si="40"/>
        <v>4257.5303406301082</v>
      </c>
      <c r="J601" t="str">
        <f t="shared" si="39"/>
        <v/>
      </c>
    </row>
    <row r="602" spans="3:10" x14ac:dyDescent="0.25">
      <c r="C602" s="11">
        <f t="shared" si="37"/>
        <v>2.4708333333333332</v>
      </c>
      <c r="D602" s="13">
        <f t="shared" si="38"/>
        <v>213480</v>
      </c>
      <c r="E602" s="12">
        <f t="array" ref="E602:H602">DatosSiguientes(MasaK21,G601,H601,E601,F601,h)</f>
        <v>-2380547.2754113418</v>
      </c>
      <c r="F602" s="12">
        <v>18831966.139135946</v>
      </c>
      <c r="G602" s="9">
        <v>-2537.2482664888835</v>
      </c>
      <c r="H602" s="5">
        <v>-3763.697152090318</v>
      </c>
      <c r="I602" s="5">
        <f t="shared" si="40"/>
        <v>4539.0577236309318</v>
      </c>
      <c r="J602" t="str">
        <f t="shared" si="39"/>
        <v/>
      </c>
    </row>
    <row r="603" spans="3:10" x14ac:dyDescent="0.25">
      <c r="C603" s="11">
        <f t="shared" si="37"/>
        <v>2.4750000000000001</v>
      </c>
      <c r="D603" s="13">
        <f t="shared" si="38"/>
        <v>213840</v>
      </c>
      <c r="E603" s="12">
        <f t="array" ref="E603:H603">DatosSiguientes(MasaK21,G602,H602,E602,F602,h)</f>
        <v>-3282022.2148327734</v>
      </c>
      <c r="F603" s="12">
        <v>17401200.885439314</v>
      </c>
      <c r="G603" s="9">
        <v>-2470.9458414079591</v>
      </c>
      <c r="H603" s="5">
        <v>-4184.9987017798476</v>
      </c>
      <c r="I603" s="5">
        <f t="shared" si="40"/>
        <v>4860.0192885492024</v>
      </c>
      <c r="J603" t="str">
        <f t="shared" si="39"/>
        <v/>
      </c>
    </row>
    <row r="604" spans="3:10" x14ac:dyDescent="0.25">
      <c r="C604" s="11">
        <f t="shared" si="37"/>
        <v>2.4791666666666665</v>
      </c>
      <c r="D604" s="13">
        <f t="shared" si="38"/>
        <v>214200</v>
      </c>
      <c r="E604" s="12">
        <f t="array" ref="E604:H604">DatosSiguientes(MasaK21,G603,H603,E603,F603,h)</f>
        <v>-4151965.660168747</v>
      </c>
      <c r="F604" s="12">
        <v>15807642.654164549</v>
      </c>
      <c r="G604" s="9">
        <v>-2362.0732993474494</v>
      </c>
      <c r="H604" s="5">
        <v>-4668.1025830799563</v>
      </c>
      <c r="I604" s="5">
        <f t="shared" si="40"/>
        <v>5231.6892107280137</v>
      </c>
      <c r="J604" t="str">
        <f t="shared" si="39"/>
        <v/>
      </c>
    </row>
    <row r="605" spans="3:10" x14ac:dyDescent="0.25">
      <c r="C605" s="11">
        <f t="shared" si="37"/>
        <v>2.4833333333333334</v>
      </c>
      <c r="D605" s="13">
        <f t="shared" si="38"/>
        <v>214560</v>
      </c>
      <c r="E605" s="12">
        <f t="array" ref="E605:H605">DatosSiguientes(MasaK21,G604,H604,E604,F604,h)</f>
        <v>-4971098.7259450844</v>
      </c>
      <c r="F605" s="12">
        <v>14025779.164003899</v>
      </c>
      <c r="G605" s="9">
        <v>-2188.665954965536</v>
      </c>
      <c r="H605" s="5">
        <v>-5231.1390289236488</v>
      </c>
      <c r="I605" s="5">
        <f t="shared" si="40"/>
        <v>5670.5444361501532</v>
      </c>
      <c r="J605" t="str">
        <f t="shared" si="39"/>
        <v/>
      </c>
    </row>
    <row r="606" spans="3:10" x14ac:dyDescent="0.25">
      <c r="C606" s="11">
        <f t="shared" si="37"/>
        <v>2.4874999999999998</v>
      </c>
      <c r="D606" s="13">
        <f t="shared" si="38"/>
        <v>214920</v>
      </c>
      <c r="E606" s="12">
        <f t="array" ref="E606:H606">DatosSiguientes(MasaK21,G605,H605,E605,F605,h)</f>
        <v>-5709284.1092646057</v>
      </c>
      <c r="F606" s="12">
        <v>12022277.748660445</v>
      </c>
      <c r="G606" s="9">
        <v>-1912.3639523651366</v>
      </c>
      <c r="H606" s="5">
        <v>-5899.4243896510989</v>
      </c>
      <c r="I606" s="5">
        <f t="shared" si="40"/>
        <v>6201.6404293957457</v>
      </c>
      <c r="J606" t="str">
        <f t="shared" si="39"/>
        <v/>
      </c>
    </row>
    <row r="607" spans="3:10" x14ac:dyDescent="0.25">
      <c r="C607" s="11">
        <f t="shared" si="37"/>
        <v>2.4916666666666667</v>
      </c>
      <c r="D607" s="13">
        <f t="shared" si="38"/>
        <v>215280</v>
      </c>
      <c r="E607" s="12">
        <f t="array" ref="E607:H607">DatosSiguientes(MasaK21,G606,H606,E606,F606,h)</f>
        <v>-6316535.9053579094</v>
      </c>
      <c r="F607" s="12">
        <v>9753033.0631547999</v>
      </c>
      <c r="G607" s="9">
        <v>-1461.2571370421081</v>
      </c>
      <c r="H607" s="5">
        <v>-6707.4905298247086</v>
      </c>
      <c r="I607" s="5">
        <f t="shared" si="40"/>
        <v>6864.8162122699723</v>
      </c>
      <c r="J607" t="str">
        <f t="shared" si="39"/>
        <v/>
      </c>
    </row>
    <row r="608" spans="3:10" x14ac:dyDescent="0.25">
      <c r="C608" s="11">
        <f t="shared" si="37"/>
        <v>2.4958333333333331</v>
      </c>
      <c r="D608" s="13">
        <f t="shared" si="38"/>
        <v>215640</v>
      </c>
      <c r="E608" s="12">
        <f t="array" ref="E608:H608">DatosSiguientes(MasaK21,G607,H607,E607,F607,h)</f>
        <v>-6703474.4213457219</v>
      </c>
      <c r="F608" s="12">
        <v>7160508.6469184281</v>
      </c>
      <c r="G608" s="9">
        <v>-688.4012851124038</v>
      </c>
      <c r="H608" s="5">
        <v>-7695.42289371069</v>
      </c>
      <c r="I608" s="5">
        <f t="shared" si="40"/>
        <v>7726.1523310371649</v>
      </c>
      <c r="J608" t="str">
        <f t="shared" si="39"/>
        <v/>
      </c>
    </row>
    <row r="609" spans="3:10" x14ac:dyDescent="0.25">
      <c r="C609" s="11">
        <f t="shared" si="37"/>
        <v>2.5</v>
      </c>
      <c r="D609" s="13">
        <f t="shared" si="38"/>
        <v>216000</v>
      </c>
      <c r="E609" s="12">
        <f t="array" ref="E609:H609">DatosSiguientes(MasaK21,G608,H608,E608,F608,h)</f>
        <v>-6694896.3018395342</v>
      </c>
      <c r="F609" s="12">
        <v>4179621.2321222881</v>
      </c>
      <c r="G609" s="9">
        <v>736.05750459122612</v>
      </c>
      <c r="H609" s="5">
        <v>-8865.0627440456428</v>
      </c>
      <c r="I609" s="5">
        <f t="shared" si="40"/>
        <v>8895.5673290651412</v>
      </c>
      <c r="J609" t="str">
        <f t="shared" si="39"/>
        <v/>
      </c>
    </row>
    <row r="610" spans="3:10" x14ac:dyDescent="0.25">
      <c r="C610" s="11">
        <f t="shared" si="37"/>
        <v>2.5041666666666669</v>
      </c>
      <c r="D610" s="13">
        <f t="shared" si="38"/>
        <v>216360</v>
      </c>
      <c r="E610" s="12">
        <f t="array" ref="E610:H610">DatosSiguientes(MasaK21,G609,H609,E609,F609,h)</f>
        <v>-5918661.5248232055</v>
      </c>
      <c r="F610" s="12">
        <v>804956.09837211226</v>
      </c>
      <c r="G610" s="9">
        <v>3576.3579232772668</v>
      </c>
      <c r="H610" s="5">
        <v>-9883.0768878997787</v>
      </c>
      <c r="I610" s="5">
        <f t="shared" si="40"/>
        <v>10510.259024758945</v>
      </c>
      <c r="J610" t="str">
        <f t="shared" si="39"/>
        <v/>
      </c>
    </row>
    <row r="611" spans="3:10" x14ac:dyDescent="0.25">
      <c r="C611" s="11">
        <f t="shared" si="37"/>
        <v>2.5083333333333333</v>
      </c>
      <c r="D611" s="13">
        <f t="shared" si="38"/>
        <v>216720</v>
      </c>
      <c r="E611" s="12">
        <f t="array" ref="E611:H611">DatosSiguientes(MasaK21,G610,H610,E610,F610,h)</f>
        <v>-3700181.0437504044</v>
      </c>
      <c r="F611" s="12">
        <v>-2525017.7539959052</v>
      </c>
      <c r="G611" s="9">
        <v>8748.5336382382957</v>
      </c>
      <c r="H611" s="5">
        <v>-8616.7778474780953</v>
      </c>
      <c r="I611" s="5">
        <f t="shared" si="40"/>
        <v>12279.482940750244</v>
      </c>
      <c r="J611" t="str">
        <f t="shared" si="39"/>
        <v/>
      </c>
    </row>
    <row r="612" spans="3:10" x14ac:dyDescent="0.25">
      <c r="C612" s="11">
        <f t="shared" si="37"/>
        <v>2.5125000000000002</v>
      </c>
      <c r="D612" s="13">
        <f t="shared" si="38"/>
        <v>217080</v>
      </c>
      <c r="E612" s="12">
        <f t="array" ref="E612:H612">DatosSiguientes(MasaK21,G611,H611,E611,F611,h)</f>
        <v>41305.537898775809</v>
      </c>
      <c r="F612" s="12">
        <v>-4440997.0011785645</v>
      </c>
      <c r="G612" s="9">
        <v>12037.502926479372</v>
      </c>
      <c r="H612" s="5">
        <v>-2027.5513035366787</v>
      </c>
      <c r="I612" s="5">
        <f t="shared" si="40"/>
        <v>12207.065208045409</v>
      </c>
      <c r="J612" t="str">
        <f t="shared" si="39"/>
        <v/>
      </c>
    </row>
    <row r="613" spans="3:10" x14ac:dyDescent="0.25">
      <c r="C613" s="11">
        <f t="shared" si="37"/>
        <v>2.5166666666666666</v>
      </c>
      <c r="D613" s="13">
        <f t="shared" si="38"/>
        <v>217440</v>
      </c>
      <c r="E613" s="12">
        <f t="array" ref="E613:H613">DatosSiguientes(MasaK21,G612,H612,E612,F612,h)</f>
        <v>3991219.9398332406</v>
      </c>
      <c r="F613" s="12">
        <v>-4239504.7838225868</v>
      </c>
      <c r="G613" s="9">
        <v>9906.4659731565444</v>
      </c>
      <c r="H613" s="5">
        <v>3146.9525110698883</v>
      </c>
      <c r="I613" s="5">
        <f t="shared" si="40"/>
        <v>10394.295463581817</v>
      </c>
      <c r="J613" t="str">
        <f t="shared" si="39"/>
        <v/>
      </c>
    </row>
    <row r="614" spans="3:10" x14ac:dyDescent="0.25">
      <c r="C614" s="11">
        <f t="shared" si="37"/>
        <v>2.5208333333333335</v>
      </c>
      <c r="D614" s="13">
        <f t="shared" si="38"/>
        <v>217800</v>
      </c>
      <c r="E614" s="12">
        <f t="array" ref="E614:H614">DatosSiguientes(MasaK21,G613,H613,E613,F613,h)</f>
        <v>7074831.4668142991</v>
      </c>
      <c r="F614" s="12">
        <v>-2780694.3587749349</v>
      </c>
      <c r="G614" s="9">
        <v>7224.7091767382271</v>
      </c>
      <c r="H614" s="5">
        <v>4957.5498503059562</v>
      </c>
      <c r="I614" s="5">
        <f t="shared" si="40"/>
        <v>8762.0615842799325</v>
      </c>
      <c r="J614" t="str">
        <f t="shared" si="39"/>
        <v/>
      </c>
    </row>
    <row r="615" spans="3:10" x14ac:dyDescent="0.25">
      <c r="C615" s="11">
        <f t="shared" si="37"/>
        <v>2.5249999999999999</v>
      </c>
      <c r="D615" s="13">
        <f t="shared" si="38"/>
        <v>218160</v>
      </c>
      <c r="E615" s="12">
        <f t="array" ref="E615:H615">DatosSiguientes(MasaK21,G614,H614,E614,F614,h)</f>
        <v>9324258.9977963287</v>
      </c>
      <c r="F615" s="12">
        <v>-911558.54183741519</v>
      </c>
      <c r="G615" s="9">
        <v>5272.1104398286061</v>
      </c>
      <c r="H615" s="5">
        <v>5426.538021569153</v>
      </c>
      <c r="I615" s="5">
        <f t="shared" si="40"/>
        <v>7565.8749255644871</v>
      </c>
      <c r="J615" t="str">
        <f t="shared" si="39"/>
        <v/>
      </c>
    </row>
    <row r="616" spans="3:10" x14ac:dyDescent="0.25">
      <c r="C616" s="11">
        <f t="shared" si="37"/>
        <v>2.5291666666666668</v>
      </c>
      <c r="D616" s="13">
        <f t="shared" si="38"/>
        <v>218520</v>
      </c>
      <c r="E616" s="12">
        <f t="array" ref="E616:H616">DatosSiguientes(MasaK21,G615,H615,E615,F615,h)</f>
        <v>10972822.781374371</v>
      </c>
      <c r="F616" s="12">
        <v>1042312.8686643173</v>
      </c>
      <c r="G616" s="9">
        <v>3886.5772467160718</v>
      </c>
      <c r="H616" s="5">
        <v>5428.3031478849161</v>
      </c>
      <c r="I616" s="5">
        <f t="shared" si="40"/>
        <v>6676.22331562002</v>
      </c>
      <c r="J616" t="str">
        <f t="shared" si="39"/>
        <v/>
      </c>
    </row>
    <row r="617" spans="3:10" x14ac:dyDescent="0.25">
      <c r="C617" s="11">
        <f t="shared" si="37"/>
        <v>2.5333333333333332</v>
      </c>
      <c r="D617" s="13">
        <f t="shared" si="38"/>
        <v>218880</v>
      </c>
      <c r="E617" s="12">
        <f t="array" ref="E617:H617">DatosSiguientes(MasaK21,G616,H616,E616,F616,h)</f>
        <v>12188199.24627796</v>
      </c>
      <c r="F617" s="12">
        <v>2965568.5103424769</v>
      </c>
      <c r="G617" s="9">
        <v>2865.5142249705359</v>
      </c>
      <c r="H617" s="5">
        <v>5256.4504169937491</v>
      </c>
      <c r="I617" s="5">
        <f t="shared" si="40"/>
        <v>5986.7723156824868</v>
      </c>
      <c r="J617" t="str">
        <f t="shared" si="39"/>
        <v/>
      </c>
    </row>
    <row r="618" spans="3:10" x14ac:dyDescent="0.25">
      <c r="C618" s="11">
        <f t="shared" si="37"/>
        <v>2.5375000000000001</v>
      </c>
      <c r="D618" s="13">
        <f t="shared" si="38"/>
        <v>219240</v>
      </c>
      <c r="E618" s="12">
        <f t="array" ref="E618:H618">DatosSiguientes(MasaK21,G617,H617,E617,F617,h)</f>
        <v>13078719.62036938</v>
      </c>
      <c r="F618" s="12">
        <v>4814910.7439446254</v>
      </c>
      <c r="G618" s="9">
        <v>2081.821186648468</v>
      </c>
      <c r="H618" s="5">
        <v>5017.6731030181891</v>
      </c>
      <c r="I618" s="5">
        <f t="shared" si="40"/>
        <v>5432.4048838364961</v>
      </c>
      <c r="J618" t="str">
        <f t="shared" si="39"/>
        <v/>
      </c>
    </row>
    <row r="619" spans="3:10" x14ac:dyDescent="0.25">
      <c r="C619" s="11">
        <f t="shared" si="37"/>
        <v>2.5416666666666665</v>
      </c>
      <c r="D619" s="13">
        <f t="shared" si="38"/>
        <v>219600</v>
      </c>
      <c r="E619" s="12">
        <f t="array" ref="E619:H619">DatosSiguientes(MasaK21,G618,H618,E618,F618,h)</f>
        <v>13716114.751342453</v>
      </c>
      <c r="F619" s="12">
        <v>6573912.2646616902</v>
      </c>
      <c r="G619" s="9">
        <v>1459.262874313044</v>
      </c>
      <c r="H619" s="5">
        <v>4754.5575676321723</v>
      </c>
      <c r="I619" s="5">
        <f t="shared" si="40"/>
        <v>4973.4561222832481</v>
      </c>
      <c r="J619" t="str">
        <f t="shared" si="39"/>
        <v/>
      </c>
    </row>
    <row r="620" spans="3:10" x14ac:dyDescent="0.25">
      <c r="C620" s="11">
        <f t="shared" si="37"/>
        <v>2.5458333333333334</v>
      </c>
      <c r="D620" s="13">
        <f t="shared" si="38"/>
        <v>219960</v>
      </c>
      <c r="E620" s="12">
        <f t="array" ref="E620:H620">DatosSiguientes(MasaK21,G619,H619,E619,F619,h)</f>
        <v>14149911.893066715</v>
      </c>
      <c r="F620" s="12">
        <v>8237071.6304036314</v>
      </c>
      <c r="G620" s="9">
        <v>950.72124637730121</v>
      </c>
      <c r="H620" s="5">
        <v>4485.2166864897217</v>
      </c>
      <c r="I620" s="5">
        <f t="shared" si="40"/>
        <v>4584.8707302473695</v>
      </c>
      <c r="J620" t="str">
        <f t="shared" si="39"/>
        <v/>
      </c>
    </row>
    <row r="621" spans="3:10" x14ac:dyDescent="0.25">
      <c r="C621" s="11">
        <f t="shared" si="37"/>
        <v>2.5499999999999998</v>
      </c>
      <c r="D621" s="13">
        <f t="shared" si="38"/>
        <v>220320</v>
      </c>
      <c r="E621" s="12">
        <f t="array" ref="E621:H621">DatosSiguientes(MasaK21,G620,H620,E620,F620,h)</f>
        <v>14415693.68554106</v>
      </c>
      <c r="F621" s="12">
        <v>9803566.1709163897</v>
      </c>
      <c r="G621" s="9">
        <v>525.84426736906016</v>
      </c>
      <c r="H621" s="5">
        <v>4217.5307608033791</v>
      </c>
      <c r="I621" s="5">
        <f t="shared" si="40"/>
        <v>4250.1856326339012</v>
      </c>
      <c r="J621" t="str">
        <f t="shared" si="39"/>
        <v/>
      </c>
    </row>
    <row r="622" spans="3:10" x14ac:dyDescent="0.25">
      <c r="C622" s="11">
        <f t="shared" si="37"/>
        <v>2.5541666666666667</v>
      </c>
      <c r="D622" s="13">
        <f t="shared" si="38"/>
        <v>220680</v>
      </c>
      <c r="E622" s="12">
        <f t="array" ref="E622:H622">DatosSiguientes(MasaK21,G621,H621,E621,F621,h)</f>
        <v>14539918.054776406</v>
      </c>
      <c r="F622" s="12">
        <v>11274585.456180537</v>
      </c>
      <c r="G622" s="9">
        <v>164.29111727175587</v>
      </c>
      <c r="H622" s="5">
        <v>3954.7986017752219</v>
      </c>
      <c r="I622" s="5">
        <f t="shared" si="40"/>
        <v>3958.2096397004607</v>
      </c>
      <c r="J622" t="str">
        <f t="shared" si="39"/>
        <v/>
      </c>
    </row>
    <row r="623" spans="3:10" x14ac:dyDescent="0.25">
      <c r="C623" s="11">
        <f t="shared" si="37"/>
        <v>2.5583333333333331</v>
      </c>
      <c r="D623" s="13">
        <f t="shared" si="38"/>
        <v>221040</v>
      </c>
      <c r="E623" s="12">
        <f t="array" ref="E623:H623">DatosSiguientes(MasaK21,G622,H622,E622,F622,h)</f>
        <v>14542840.683728047</v>
      </c>
      <c r="F623" s="12">
        <v>12652119.518859399</v>
      </c>
      <c r="G623" s="9">
        <v>-148.05428976264454</v>
      </c>
      <c r="H623" s="5">
        <v>3698.1684131073498</v>
      </c>
      <c r="I623" s="5">
        <f t="shared" si="40"/>
        <v>3701.1308656168935</v>
      </c>
      <c r="J623" t="str">
        <f t="shared" si="39"/>
        <v/>
      </c>
    </row>
    <row r="624" spans="3:10" x14ac:dyDescent="0.25">
      <c r="C624" s="11">
        <f t="shared" si="37"/>
        <v>2.5625</v>
      </c>
      <c r="D624" s="13">
        <f t="shared" si="38"/>
        <v>221400</v>
      </c>
      <c r="E624" s="12">
        <f t="array" ref="E624:H624">DatosSiguientes(MasaK21,G623,H623,E623,F623,h)</f>
        <v>14440359.181491254</v>
      </c>
      <c r="F624" s="12">
        <v>13938385.05856402</v>
      </c>
      <c r="G624" s="9">
        <v>-421.2873893306525</v>
      </c>
      <c r="H624" s="5">
        <v>3447.7512519183215</v>
      </c>
      <c r="I624" s="5">
        <f t="shared" si="40"/>
        <v>3473.3948464741798</v>
      </c>
      <c r="J624" t="str">
        <f t="shared" si="39"/>
        <v/>
      </c>
    </row>
    <row r="625" spans="3:10" x14ac:dyDescent="0.25">
      <c r="C625" s="11">
        <f t="shared" si="37"/>
        <v>2.5666666666666669</v>
      </c>
      <c r="D625" s="13">
        <f t="shared" si="38"/>
        <v>221760</v>
      </c>
      <c r="E625" s="12">
        <f t="array" ref="E625:H625">DatosSiguientes(MasaK21,G624,H624,E624,F624,h)</f>
        <v>14245220.547117803</v>
      </c>
      <c r="F625" s="12">
        <v>15135548.27262238</v>
      </c>
      <c r="G625" s="9">
        <v>-662.81613496629609</v>
      </c>
      <c r="H625" s="5">
        <v>3203.1554928503442</v>
      </c>
      <c r="I625" s="5">
        <f t="shared" si="40"/>
        <v>3271.0136563684646</v>
      </c>
      <c r="J625" t="str">
        <f t="shared" si="39"/>
        <v/>
      </c>
    </row>
    <row r="626" spans="3:10" x14ac:dyDescent="0.25">
      <c r="C626" s="11">
        <f t="shared" si="37"/>
        <v>2.5708333333333333</v>
      </c>
      <c r="D626" s="13">
        <f t="shared" si="38"/>
        <v>222120</v>
      </c>
      <c r="E626" s="12">
        <f t="array" ref="E626:H626">DatosSiguientes(MasaK21,G625,H625,E625,F625,h)</f>
        <v>13967838.260382134</v>
      </c>
      <c r="F626" s="12">
        <v>16245591.550039783</v>
      </c>
      <c r="G626" s="9">
        <v>-878.19656912075027</v>
      </c>
      <c r="H626" s="5">
        <v>2963.7516039130037</v>
      </c>
      <c r="I626" s="5">
        <f t="shared" si="40"/>
        <v>3091.1248411722809</v>
      </c>
      <c r="J626" t="str">
        <f t="shared" si="39"/>
        <v/>
      </c>
    </row>
    <row r="627" spans="3:10" x14ac:dyDescent="0.25">
      <c r="C627" s="11">
        <f t="shared" si="37"/>
        <v>2.5750000000000002</v>
      </c>
      <c r="D627" s="13">
        <f t="shared" si="38"/>
        <v>222480</v>
      </c>
      <c r="E627" s="12">
        <f t="array" ref="E627:H627">DatosSiguientes(MasaK21,G626,H626,E626,F626,h)</f>
        <v>13616861.652583765</v>
      </c>
      <c r="F627" s="12">
        <v>17270251.789108478</v>
      </c>
      <c r="G627" s="9">
        <v>-1071.6734742035235</v>
      </c>
      <c r="H627" s="5">
        <v>2728.8052798019662</v>
      </c>
      <c r="I627" s="5">
        <f t="shared" si="40"/>
        <v>2931.6995566371629</v>
      </c>
      <c r="J627" t="str">
        <f t="shared" si="39"/>
        <v/>
      </c>
    </row>
    <row r="628" spans="3:10" x14ac:dyDescent="0.25">
      <c r="C628" s="11">
        <f t="shared" si="37"/>
        <v>2.5791666666666666</v>
      </c>
      <c r="D628" s="13">
        <f t="shared" si="38"/>
        <v>222840</v>
      </c>
      <c r="E628" s="12">
        <f t="array" ref="E628:H628">DatosSiguientes(MasaK21,G627,H627,E627,F627,h)</f>
        <v>13199583.197780909</v>
      </c>
      <c r="F628" s="12">
        <v>18210994.633714166</v>
      </c>
      <c r="G628" s="9">
        <v>-1246.5401635901217</v>
      </c>
      <c r="H628" s="5">
        <v>2497.5438568963027</v>
      </c>
      <c r="I628" s="5">
        <f t="shared" si="40"/>
        <v>2791.3415585635066</v>
      </c>
      <c r="J628" t="str">
        <f t="shared" si="39"/>
        <v/>
      </c>
    </row>
    <row r="629" spans="3:10" x14ac:dyDescent="0.25">
      <c r="C629" s="11">
        <f t="shared" si="37"/>
        <v>2.5833333333333335</v>
      </c>
      <c r="D629" s="13">
        <f t="shared" si="38"/>
        <v>223200</v>
      </c>
      <c r="E629" s="12">
        <f t="array" ref="E629:H629">DatosSiguientes(MasaK21,G628,H628,E628,F628,h)</f>
        <v>12722236.876962066</v>
      </c>
      <c r="F629" s="12">
        <v>19069006.346371688</v>
      </c>
      <c r="G629" s="9">
        <v>-1405.3838409590066</v>
      </c>
      <c r="H629" s="5">
        <v>2269.1878800899271</v>
      </c>
      <c r="I629" s="5">
        <f t="shared" si="40"/>
        <v>2669.1416926749521</v>
      </c>
      <c r="J629" t="str">
        <f t="shared" si="39"/>
        <v/>
      </c>
    </row>
    <row r="630" spans="3:10" x14ac:dyDescent="0.25">
      <c r="C630" s="11">
        <f t="shared" si="37"/>
        <v>2.5874999999999999</v>
      </c>
      <c r="D630" s="13">
        <f t="shared" si="38"/>
        <v>223560</v>
      </c>
      <c r="E630" s="12">
        <f t="array" ref="E630:H630">DatosSiguientes(MasaK21,G629,H629,E629,F629,h)</f>
        <v>12190221.624133462</v>
      </c>
      <c r="F630" s="12">
        <v>19845193.68592234</v>
      </c>
      <c r="G630" s="9">
        <v>-1550.2564525332346</v>
      </c>
      <c r="H630" s="5">
        <v>2042.9640063025895</v>
      </c>
      <c r="I630" s="5">
        <f t="shared" si="40"/>
        <v>2564.5656551683087</v>
      </c>
      <c r="J630" t="str">
        <f t="shared" si="39"/>
        <v/>
      </c>
    </row>
    <row r="631" spans="3:10" x14ac:dyDescent="0.25">
      <c r="C631" s="11">
        <f t="shared" si="37"/>
        <v>2.5916666666666668</v>
      </c>
      <c r="D631" s="13">
        <f t="shared" si="38"/>
        <v>223920</v>
      </c>
      <c r="E631" s="12">
        <f t="array" ref="E631:H631">DatosSiguientes(MasaK21,G630,H630,E630,F630,h)</f>
        <v>11608272.23417698</v>
      </c>
      <c r="F631" s="12">
        <v>20540186.58752317</v>
      </c>
      <c r="G631" s="9">
        <v>-1682.7957138916599</v>
      </c>
      <c r="H631" s="5">
        <v>1818.1076692575868</v>
      </c>
      <c r="I631" s="5">
        <f t="shared" si="40"/>
        <v>2477.360876357217</v>
      </c>
      <c r="J631" t="str">
        <f t="shared" si="39"/>
        <v/>
      </c>
    </row>
    <row r="632" spans="3:10" x14ac:dyDescent="0.25">
      <c r="C632" s="11">
        <f t="shared" si="37"/>
        <v>2.5958333333333332</v>
      </c>
      <c r="D632" s="13">
        <f t="shared" si="38"/>
        <v>224280</v>
      </c>
      <c r="E632" s="12">
        <f t="array" ref="E632:H632">DatosSiguientes(MasaK21,G631,H631,E631,F631,h)</f>
        <v>10980592.854728123</v>
      </c>
      <c r="F632" s="12">
        <v>21154340.758512825</v>
      </c>
      <c r="G632" s="9">
        <v>-1804.3119497131008</v>
      </c>
      <c r="H632" s="5">
        <v>1593.8599473516049</v>
      </c>
      <c r="I632" s="5">
        <f t="shared" si="40"/>
        <v>2407.4740172324086</v>
      </c>
      <c r="J632" t="str">
        <f t="shared" si="39"/>
        <v/>
      </c>
    </row>
    <row r="633" spans="3:10" x14ac:dyDescent="0.25">
      <c r="C633" s="11">
        <f t="shared" si="37"/>
        <v>2.6</v>
      </c>
      <c r="D633" s="13">
        <f t="shared" si="38"/>
        <v>224640</v>
      </c>
      <c r="E633" s="12">
        <f t="array" ref="E633:H633">DatosSiguientes(MasaK21,G632,H632,E632,F632,h)</f>
        <v>10310963.549226595</v>
      </c>
      <c r="F633" s="12">
        <v>21687738.522084918</v>
      </c>
      <c r="G633" s="9">
        <v>-1915.8508586287253</v>
      </c>
      <c r="H633" s="5">
        <v>1369.4609613822383</v>
      </c>
      <c r="I633" s="5">
        <f t="shared" si="40"/>
        <v>2354.9751245519319</v>
      </c>
      <c r="J633" t="str">
        <f t="shared" si="39"/>
        <v/>
      </c>
    </row>
    <row r="634" spans="3:10" x14ac:dyDescent="0.25">
      <c r="C634" s="11">
        <f t="shared" si="37"/>
        <v>2.6041666666666665</v>
      </c>
      <c r="D634" s="13">
        <f t="shared" si="38"/>
        <v>225000</v>
      </c>
      <c r="E634" s="12">
        <f t="array" ref="E634:H634">DatosSiguientes(MasaK21,G633,H633,E633,F633,h)</f>
        <v>9602827.4037904684</v>
      </c>
      <c r="F634" s="12">
        <v>22140186.868729401</v>
      </c>
      <c r="G634" s="9">
        <v>-2018.2388382386489</v>
      </c>
      <c r="H634" s="5">
        <v>1144.1409644204523</v>
      </c>
      <c r="I634" s="5">
        <f t="shared" si="40"/>
        <v>2319.9884815748233</v>
      </c>
      <c r="J634" t="str">
        <f t="shared" si="39"/>
        <v/>
      </c>
    </row>
    <row r="635" spans="3:10" x14ac:dyDescent="0.25">
      <c r="C635" s="11">
        <f t="shared" si="37"/>
        <v>2.6083333333333334</v>
      </c>
      <c r="D635" s="13">
        <f t="shared" si="38"/>
        <v>225360</v>
      </c>
      <c r="E635" s="12">
        <f t="array" ref="E635:H635">DatosSiguientes(MasaK21,G634,H634,E634,F634,h)</f>
        <v>8859363.6682459544</v>
      </c>
      <c r="F635" s="12">
        <v>22511211.972913891</v>
      </c>
      <c r="G635" s="9">
        <v>-2112.1152481197578</v>
      </c>
      <c r="H635" s="5">
        <v>917.10961438226047</v>
      </c>
      <c r="I635" s="5">
        <f t="shared" si="40"/>
        <v>2302.6334632616554</v>
      </c>
      <c r="J635" t="str">
        <f t="shared" si="39"/>
        <v/>
      </c>
    </row>
    <row r="636" spans="3:10" x14ac:dyDescent="0.25">
      <c r="C636" s="11">
        <f t="shared" si="37"/>
        <v>2.6124999999999998</v>
      </c>
      <c r="D636" s="13">
        <f t="shared" si="38"/>
        <v>225720</v>
      </c>
      <c r="E636" s="12">
        <f t="array" ref="E636:H636">DatosSiguientes(MasaK21,G635,H635,E635,F635,h)</f>
        <v>8083551.1194683751</v>
      </c>
      <c r="F636" s="12">
        <v>22800049.534069844</v>
      </c>
      <c r="G636" s="9">
        <v>-2197.9544673112396</v>
      </c>
      <c r="H636" s="5">
        <v>687.54350315081069</v>
      </c>
      <c r="I636" s="5">
        <f t="shared" si="40"/>
        <v>2302.9806575606153</v>
      </c>
      <c r="J636" t="str">
        <f t="shared" si="39"/>
        <v/>
      </c>
    </row>
    <row r="637" spans="3:10" x14ac:dyDescent="0.25">
      <c r="C637" s="11">
        <f t="shared" si="37"/>
        <v>2.6166666666666667</v>
      </c>
      <c r="D637" s="13">
        <f t="shared" si="38"/>
        <v>226080</v>
      </c>
      <c r="E637" s="12">
        <f t="array" ref="E637:H637">DatosSiguientes(MasaK21,G636,H636,E636,F636,h)</f>
        <v>7278225.0011115791</v>
      </c>
      <c r="F637" s="12">
        <v>23005630.275132179</v>
      </c>
      <c r="G637" s="9">
        <v>-2276.0795235598489</v>
      </c>
      <c r="H637" s="5">
        <v>454.5717249732665</v>
      </c>
      <c r="I637" s="5">
        <f t="shared" si="40"/>
        <v>2321.0285329382746</v>
      </c>
      <c r="J637" t="str">
        <f t="shared" si="39"/>
        <v/>
      </c>
    </row>
    <row r="638" spans="3:10" x14ac:dyDescent="0.25">
      <c r="C638" s="11">
        <f t="shared" si="37"/>
        <v>2.6208333333333331</v>
      </c>
      <c r="D638" s="13">
        <f t="shared" si="38"/>
        <v>226440</v>
      </c>
      <c r="E638" s="12">
        <f t="array" ref="E638:H638">DatosSiguientes(MasaK21,G637,H637,E637,F637,h)</f>
        <v>6446130.402577891</v>
      </c>
      <c r="F638" s="12">
        <v>23126559.810219727</v>
      </c>
      <c r="G638" s="9">
        <v>-2346.6682460717539</v>
      </c>
      <c r="H638" s="5">
        <v>217.25902551310239</v>
      </c>
      <c r="I638" s="5">
        <f t="shared" si="40"/>
        <v>2356.7039146418847</v>
      </c>
      <c r="J638" t="str">
        <f t="shared" si="39"/>
        <v/>
      </c>
    </row>
    <row r="639" spans="3:10" x14ac:dyDescent="0.25">
      <c r="C639" s="11">
        <f t="shared" si="37"/>
        <v>2.625</v>
      </c>
      <c r="D639" s="13">
        <f t="shared" si="38"/>
        <v>226800</v>
      </c>
      <c r="E639" s="12">
        <f t="array" ref="E639:H639">DatosSiguientes(MasaK21,G638,H638,E638,F638,h)</f>
        <v>5589974.7242340455</v>
      </c>
      <c r="F639" s="12">
        <v>23161091.88441975</v>
      </c>
      <c r="G639" s="9">
        <v>-2409.7521891718334</v>
      </c>
      <c r="H639" s="5">
        <v>-25.414168846299539</v>
      </c>
      <c r="I639" s="5">
        <f t="shared" si="40"/>
        <v>2409.8861992211564</v>
      </c>
      <c r="J639" t="str">
        <f t="shared" si="39"/>
        <v/>
      </c>
    </row>
    <row r="640" spans="3:10" x14ac:dyDescent="0.25">
      <c r="C640" s="11">
        <f t="shared" si="37"/>
        <v>2.6291666666666669</v>
      </c>
      <c r="D640" s="13">
        <f t="shared" si="38"/>
        <v>227160</v>
      </c>
      <c r="E640" s="12">
        <f t="array" ref="E640:H640">DatosSiguientes(MasaK21,G639,H639,E639,F639,h)</f>
        <v>4712481.9112551091</v>
      </c>
      <c r="F640" s="12">
        <v>23107093.68562685</v>
      </c>
      <c r="G640" s="9">
        <v>-2465.2078829333686</v>
      </c>
      <c r="H640" s="5">
        <v>-274.57582444758907</v>
      </c>
      <c r="I640" s="5">
        <f t="shared" si="40"/>
        <v>2480.4519325009896</v>
      </c>
      <c r="J640" t="str">
        <f t="shared" si="39"/>
        <v/>
      </c>
    </row>
    <row r="641" spans="3:10" x14ac:dyDescent="0.25">
      <c r="C641" s="11">
        <f t="shared" si="37"/>
        <v>2.6333333333333333</v>
      </c>
      <c r="D641" s="13">
        <f t="shared" si="38"/>
        <v>227520</v>
      </c>
      <c r="E641" s="12">
        <f t="array" ref="E641:H641">DatosSiguientes(MasaK21,G640,H640,E640,F640,h)</f>
        <v>3816451.4399345932</v>
      </c>
      <c r="F641" s="12">
        <v>22962001.508957371</v>
      </c>
      <c r="G641" s="9">
        <v>-2512.739179958387</v>
      </c>
      <c r="H641" s="5">
        <v>-531.49182371618656</v>
      </c>
      <c r="I641" s="5">
        <f t="shared" si="40"/>
        <v>2568.334430165804</v>
      </c>
      <c r="J641" t="str">
        <f t="shared" si="39"/>
        <v/>
      </c>
    </row>
    <row r="642" spans="3:10" x14ac:dyDescent="0.25">
      <c r="C642" s="11">
        <f t="shared" si="37"/>
        <v>2.6375000000000002</v>
      </c>
      <c r="D642" s="13">
        <f t="shared" si="38"/>
        <v>227880</v>
      </c>
      <c r="E642" s="12">
        <f t="array" ref="E642:H642">DatosSiguientes(MasaK21,G641,H641,E641,F641,h)</f>
        <v>2904825.6664275238</v>
      </c>
      <c r="F642" s="12">
        <v>22722764.480127703</v>
      </c>
      <c r="G642" s="9">
        <v>-2551.8484506364421</v>
      </c>
      <c r="H642" s="5">
        <v>-797.60278089306894</v>
      </c>
      <c r="I642" s="5">
        <f t="shared" si="40"/>
        <v>2673.5932209489097</v>
      </c>
      <c r="J642" t="str">
        <f t="shared" si="39"/>
        <v/>
      </c>
    </row>
    <row r="643" spans="3:10" x14ac:dyDescent="0.25">
      <c r="C643" s="11">
        <f t="shared" si="37"/>
        <v>2.6416666666666666</v>
      </c>
      <c r="D643" s="13">
        <f t="shared" si="38"/>
        <v>228240</v>
      </c>
      <c r="E643" s="12">
        <f t="array" ref="E643:H643">DatosSiguientes(MasaK21,G642,H642,E642,F642,h)</f>
        <v>1980770.216593761</v>
      </c>
      <c r="F643" s="12">
        <v>22385773.256006304</v>
      </c>
      <c r="G643" s="9">
        <v>-2581.7929373289076</v>
      </c>
      <c r="H643" s="5">
        <v>-1074.5706864480328</v>
      </c>
      <c r="I643" s="5">
        <f t="shared" si="40"/>
        <v>2796.4901093003755</v>
      </c>
      <c r="J643" t="str">
        <f t="shared" si="39"/>
        <v/>
      </c>
    </row>
    <row r="644" spans="3:10" x14ac:dyDescent="0.25">
      <c r="C644" s="11">
        <f t="shared" si="37"/>
        <v>2.6458333333333335</v>
      </c>
      <c r="D644" s="13">
        <f t="shared" si="38"/>
        <v>228600</v>
      </c>
      <c r="E644" s="12">
        <f t="array" ref="E644:H644">DatosSiguientes(MasaK21,G643,H643,E643,F643,h)</f>
        <v>1047773.8161379993</v>
      </c>
      <c r="F644" s="12">
        <v>21946769.529492136</v>
      </c>
      <c r="G644" s="9">
        <v>-2601.5203985364351</v>
      </c>
      <c r="H644" s="5">
        <v>-1364.3389052973439</v>
      </c>
      <c r="I644" s="5">
        <f t="shared" si="40"/>
        <v>2937.571962098823</v>
      </c>
      <c r="J644" t="str">
        <f t="shared" si="39"/>
        <v/>
      </c>
    </row>
    <row r="645" spans="3:10" x14ac:dyDescent="0.25">
      <c r="C645" s="11">
        <f t="shared" si="37"/>
        <v>2.65</v>
      </c>
      <c r="D645" s="13">
        <f t="shared" si="38"/>
        <v>228960</v>
      </c>
      <c r="E645" s="12">
        <f t="array" ref="E645:H645">DatosSiguientes(MasaK21,G644,H644,E644,F644,h)</f>
        <v>109776.6938980446</v>
      </c>
      <c r="F645" s="12">
        <v>21400730.640523292</v>
      </c>
      <c r="G645" s="9">
        <v>-2609.5747250188688</v>
      </c>
      <c r="H645" s="5">
        <v>-1669.2104778628964</v>
      </c>
      <c r="I645" s="5">
        <f t="shared" si="40"/>
        <v>3097.7643333321184</v>
      </c>
      <c r="J645" t="str">
        <f t="shared" si="39"/>
        <v/>
      </c>
    </row>
    <row r="646" spans="3:10" x14ac:dyDescent="0.25">
      <c r="C646" s="11">
        <f t="shared" si="37"/>
        <v>2.6541666666666668</v>
      </c>
      <c r="D646" s="13">
        <f t="shared" si="38"/>
        <v>229320</v>
      </c>
      <c r="E646" s="12">
        <f t="array" ref="E646:H646">DatosSiguientes(MasaK21,G645,H645,E645,F645,h)</f>
        <v>-828658.93453406403</v>
      </c>
      <c r="F646" s="12">
        <v>20741721.442590475</v>
      </c>
      <c r="G646" s="9">
        <v>-2603.9565440484012</v>
      </c>
      <c r="H646" s="5">
        <v>-1991.9517328749664</v>
      </c>
      <c r="I646" s="5">
        <f t="shared" si="40"/>
        <v>3278.4846178373441</v>
      </c>
      <c r="J646" t="str">
        <f t="shared" si="39"/>
        <v/>
      </c>
    </row>
    <row r="647" spans="3:10" x14ac:dyDescent="0.25">
      <c r="C647" s="11">
        <f t="shared" si="37"/>
        <v>2.6583333333333332</v>
      </c>
      <c r="D647" s="13">
        <f t="shared" si="38"/>
        <v>229680</v>
      </c>
      <c r="E647" s="12">
        <f t="array" ref="E647:H647">DatosSiguientes(MasaK21,G646,H646,E646,F646,h)</f>
        <v>-1762115.6675738164</v>
      </c>
      <c r="F647" s="12">
        <v>19962702.516588736</v>
      </c>
      <c r="G647" s="9">
        <v>-2581.9141950613343</v>
      </c>
      <c r="H647" s="5">
        <v>-2335.9311893569075</v>
      </c>
      <c r="I647" s="5">
        <f t="shared" si="40"/>
        <v>3481.789113669809</v>
      </c>
      <c r="J647" t="str">
        <f t="shared" si="39"/>
        <v/>
      </c>
    </row>
    <row r="648" spans="3:10" x14ac:dyDescent="0.25">
      <c r="C648" s="11">
        <f t="shared" si="37"/>
        <v>2.6625000000000001</v>
      </c>
      <c r="D648" s="13">
        <f t="shared" si="38"/>
        <v>230040</v>
      </c>
      <c r="E648" s="12">
        <f t="array" ref="E648:H648">DatosSiguientes(MasaK21,G647,H647,E647,F647,h)</f>
        <v>-2683992.4526618333</v>
      </c>
      <c r="F648" s="12">
        <v>19055279.477290094</v>
      </c>
      <c r="G648" s="9">
        <v>-2539.6234998720925</v>
      </c>
      <c r="H648" s="5">
        <v>-2705.3079178577741</v>
      </c>
      <c r="I648" s="5">
        <f t="shared" si="40"/>
        <v>3710.5765659162112</v>
      </c>
      <c r="J648" t="str">
        <f t="shared" si="39"/>
        <v/>
      </c>
    </row>
    <row r="649" spans="3:10" x14ac:dyDescent="0.25">
      <c r="C649" s="11">
        <f t="shared" si="37"/>
        <v>2.6666666666666665</v>
      </c>
      <c r="D649" s="13">
        <f t="shared" si="38"/>
        <v>230400</v>
      </c>
      <c r="E649" s="12">
        <f t="array" ref="E649:H649">DatosSiguientes(MasaK21,G648,H648,E648,F648,h)</f>
        <v>-3586027.7573884875</v>
      </c>
      <c r="F649" s="12">
        <v>18009372.01131589</v>
      </c>
      <c r="G649" s="9">
        <v>-2471.6837486093191</v>
      </c>
      <c r="H649" s="5">
        <v>-3105.2891153322544</v>
      </c>
      <c r="I649" s="5">
        <f t="shared" si="40"/>
        <v>3968.8841055062808</v>
      </c>
      <c r="J649" t="str">
        <f t="shared" si="39"/>
        <v/>
      </c>
    </row>
    <row r="650" spans="3:10" x14ac:dyDescent="0.25">
      <c r="C650" s="11">
        <f t="shared" ref="C650:C713" si="41">D650/86400</f>
        <v>2.6708333333333334</v>
      </c>
      <c r="D650" s="13">
        <f t="shared" ref="D650:D713" si="42">h+D649</f>
        <v>230760</v>
      </c>
      <c r="E650" s="12">
        <f t="array" ref="E650:H650">DatosSiguientes(MasaK21,G649,H649,E649,F649,h)</f>
        <v>-4457584.5179818291</v>
      </c>
      <c r="F650" s="12">
        <v>16812773.052460935</v>
      </c>
      <c r="G650" s="9">
        <v>-2370.2982546870253</v>
      </c>
      <c r="H650" s="5">
        <v>-3542.4828783063736</v>
      </c>
      <c r="I650" s="5">
        <f t="shared" si="40"/>
        <v>4262.3348952500401</v>
      </c>
      <c r="J650" t="str">
        <f t="shared" ref="J650:J713" si="43">IF(I650=$I$8,"&lt;--------&lt;&lt;&lt;","")</f>
        <v/>
      </c>
    </row>
    <row r="651" spans="3:10" x14ac:dyDescent="0.25">
      <c r="C651" s="11">
        <f t="shared" si="41"/>
        <v>2.6749999999999998</v>
      </c>
      <c r="D651" s="13">
        <f t="shared" si="42"/>
        <v>231120</v>
      </c>
      <c r="E651" s="12">
        <f t="array" ref="E651:H651">DatosSiguientes(MasaK21,G650,H650,E650,F650,h)</f>
        <v>-5284538.3937071245</v>
      </c>
      <c r="F651" s="12">
        <v>15450558.70610995</v>
      </c>
      <c r="G651" s="9">
        <v>-2223.8899437868404</v>
      </c>
      <c r="H651" s="5">
        <v>-4025.3746014213148</v>
      </c>
      <c r="I651" s="5">
        <f t="shared" si="40"/>
        <v>4598.8397627927898</v>
      </c>
      <c r="J651" t="str">
        <f t="shared" si="43"/>
        <v/>
      </c>
    </row>
    <row r="652" spans="3:10" x14ac:dyDescent="0.25">
      <c r="C652" s="11">
        <f t="shared" si="41"/>
        <v>2.6791666666666667</v>
      </c>
      <c r="D652" s="13">
        <f t="shared" si="42"/>
        <v>231480</v>
      </c>
      <c r="E652" s="12">
        <f t="array" ref="E652:H652">DatosSiguientes(MasaK21,G651,H651,E651,F651,h)</f>
        <v>-6047476.4047033517</v>
      </c>
      <c r="F652" s="12">
        <v>13904302.797764134</v>
      </c>
      <c r="G652" s="9">
        <v>-2014.6545617477557</v>
      </c>
      <c r="H652" s="5">
        <v>-4564.9360004998916</v>
      </c>
      <c r="I652" s="5">
        <f t="shared" si="40"/>
        <v>4989.7368359294251</v>
      </c>
      <c r="J652" t="str">
        <f t="shared" si="43"/>
        <v/>
      </c>
    </row>
    <row r="653" spans="3:10" x14ac:dyDescent="0.25">
      <c r="C653" s="11">
        <f t="shared" si="41"/>
        <v>2.6833333333333331</v>
      </c>
      <c r="D653" s="13">
        <f t="shared" si="42"/>
        <v>231840</v>
      </c>
      <c r="E653" s="12">
        <f t="array" ref="E653:H653">DatosSiguientes(MasaK21,G652,H652,E652,F652,h)</f>
        <v>-6718634.5312350355</v>
      </c>
      <c r="F653" s="12">
        <v>12151066.496012116</v>
      </c>
      <c r="G653" s="9">
        <v>-1714.0016967616011</v>
      </c>
      <c r="H653" s="5">
        <v>-5175.2656759002093</v>
      </c>
      <c r="I653" s="5">
        <f t="shared" ref="I653:I716" si="44">SQRT(G653^2+H653^2)</f>
        <v>5451.7131832711539</v>
      </c>
      <c r="J653" t="str">
        <f t="shared" si="43"/>
        <v/>
      </c>
    </row>
    <row r="654" spans="3:10" x14ac:dyDescent="0.25">
      <c r="C654" s="11">
        <f t="shared" si="41"/>
        <v>2.6875</v>
      </c>
      <c r="D654" s="13">
        <f t="shared" si="42"/>
        <v>232200</v>
      </c>
      <c r="E654" s="12">
        <f t="array" ref="E654:H654">DatosSiguientes(MasaK21,G653,H653,E653,F653,h)</f>
        <v>-7256389.0589118144</v>
      </c>
      <c r="F654" s="12">
        <v>10162253.988090966</v>
      </c>
      <c r="G654" s="9">
        <v>-1273.5234569982817</v>
      </c>
      <c r="H654" s="5">
        <v>-5873.6927014395078</v>
      </c>
      <c r="I654" s="5">
        <f t="shared" si="44"/>
        <v>6010.1687119804383</v>
      </c>
      <c r="J654" t="str">
        <f t="shared" si="43"/>
        <v/>
      </c>
    </row>
    <row r="655" spans="3:10" x14ac:dyDescent="0.25">
      <c r="C655" s="11">
        <f t="shared" si="41"/>
        <v>2.6916666666666669</v>
      </c>
      <c r="D655" s="13">
        <f t="shared" si="42"/>
        <v>232560</v>
      </c>
      <c r="E655" s="12">
        <f t="array" ref="E655:H655">DatosSiguientes(MasaK21,G654,H654,E654,F654,h)</f>
        <v>-7594673.092283274</v>
      </c>
      <c r="F655" s="12">
        <v>7902977.1724073654</v>
      </c>
      <c r="G655" s="9">
        <v>-605.83228395427295</v>
      </c>
      <c r="H655" s="5">
        <v>-6677.8451634693838</v>
      </c>
      <c r="I655" s="5">
        <f t="shared" si="44"/>
        <v>6705.2702244989869</v>
      </c>
      <c r="J655" t="str">
        <f t="shared" si="43"/>
        <v/>
      </c>
    </row>
    <row r="656" spans="3:10" x14ac:dyDescent="0.25">
      <c r="C656" s="11">
        <f t="shared" si="41"/>
        <v>2.6958333333333333</v>
      </c>
      <c r="D656" s="13">
        <f t="shared" si="42"/>
        <v>232920</v>
      </c>
      <c r="E656" s="12">
        <f t="array" ref="E656:H656">DatosSiguientes(MasaK21,G655,H655,E655,F655,h)</f>
        <v>-7621120.7884644382</v>
      </c>
      <c r="F656" s="12">
        <v>5334990.3344894024</v>
      </c>
      <c r="G656" s="9">
        <v>458.90063850336008</v>
      </c>
      <c r="H656" s="5">
        <v>-7588.7483805192996</v>
      </c>
      <c r="I656" s="5">
        <f t="shared" si="44"/>
        <v>7602.6108527829492</v>
      </c>
      <c r="J656" t="str">
        <f t="shared" si="43"/>
        <v/>
      </c>
    </row>
    <row r="657" spans="3:10" x14ac:dyDescent="0.25">
      <c r="C657" s="11">
        <f t="shared" si="41"/>
        <v>2.7</v>
      </c>
      <c r="D657" s="13">
        <f t="shared" si="42"/>
        <v>233280</v>
      </c>
      <c r="E657" s="12">
        <f t="array" ref="E657:H657">DatosSiguientes(MasaK21,G656,H656,E656,F656,h)</f>
        <v>-7129360.2546366192</v>
      </c>
      <c r="F657" s="12">
        <v>2437480.6612698464</v>
      </c>
      <c r="G657" s="9">
        <v>2273.1023272067446</v>
      </c>
      <c r="H657" s="5">
        <v>-8508.5275818115679</v>
      </c>
      <c r="I657" s="5">
        <f t="shared" si="44"/>
        <v>8806.9311227237904</v>
      </c>
      <c r="J657" t="str">
        <f t="shared" si="43"/>
        <v/>
      </c>
    </row>
    <row r="658" spans="3:10" x14ac:dyDescent="0.25">
      <c r="C658" s="11">
        <f t="shared" si="41"/>
        <v>2.7041666666666666</v>
      </c>
      <c r="D658" s="13">
        <f t="shared" si="42"/>
        <v>233640</v>
      </c>
      <c r="E658" s="12">
        <f t="array" ref="E658:H658">DatosSiguientes(MasaK21,G657,H657,E657,F657,h)</f>
        <v>-5725398.5342240054</v>
      </c>
      <c r="F658" s="12">
        <v>-685728.60931616451</v>
      </c>
      <c r="G658" s="9">
        <v>5526.68500841889</v>
      </c>
      <c r="H658" s="5">
        <v>-8842.6350325551593</v>
      </c>
      <c r="I658" s="5">
        <f t="shared" si="44"/>
        <v>10427.676706786315</v>
      </c>
      <c r="J658" t="str">
        <f t="shared" si="43"/>
        <v/>
      </c>
    </row>
    <row r="659" spans="3:10" x14ac:dyDescent="0.25">
      <c r="C659" s="11">
        <f t="shared" si="41"/>
        <v>2.7083333333333335</v>
      </c>
      <c r="D659" s="13">
        <f t="shared" si="42"/>
        <v>234000</v>
      </c>
      <c r="E659" s="12">
        <f t="array" ref="E659:H659">DatosSiguientes(MasaK21,G658,H658,E658,F658,h)</f>
        <v>-2856895.0127203302</v>
      </c>
      <c r="F659" s="12">
        <v>-3385062.3106262651</v>
      </c>
      <c r="G659" s="9">
        <v>10409.445666601529</v>
      </c>
      <c r="H659" s="5">
        <v>-6153.6633080565116</v>
      </c>
      <c r="I659" s="5">
        <f t="shared" si="44"/>
        <v>12092.317031687944</v>
      </c>
      <c r="J659" t="str">
        <f t="shared" si="43"/>
        <v/>
      </c>
    </row>
    <row r="660" spans="3:10" x14ac:dyDescent="0.25">
      <c r="C660" s="11">
        <f t="shared" si="41"/>
        <v>2.7124999999999999</v>
      </c>
      <c r="D660" s="13">
        <f t="shared" si="42"/>
        <v>234360</v>
      </c>
      <c r="E660" s="12">
        <f t="array" ref="E660:H660">DatosSiguientes(MasaK21,G659,H659,E659,F659,h)</f>
        <v>1156292.0122875012</v>
      </c>
      <c r="F660" s="12">
        <v>-4295449.3327955017</v>
      </c>
      <c r="G660" s="9">
        <v>11886.037805664202</v>
      </c>
      <c r="H660" s="5">
        <v>1095.9576293385326</v>
      </c>
      <c r="I660" s="5">
        <f t="shared" si="44"/>
        <v>11936.457508112866</v>
      </c>
      <c r="J660" t="str">
        <f t="shared" si="43"/>
        <v/>
      </c>
    </row>
    <row r="661" spans="3:10" x14ac:dyDescent="0.25">
      <c r="C661" s="11">
        <f t="shared" si="41"/>
        <v>2.7166666666666668</v>
      </c>
      <c r="D661" s="13">
        <f t="shared" si="42"/>
        <v>234720</v>
      </c>
      <c r="E661" s="12">
        <f t="array" ref="E661:H661">DatosSiguientes(MasaK21,G660,H660,E660,F660,h)</f>
        <v>4825449.6700502578</v>
      </c>
      <c r="F661" s="12">
        <v>-3083330.344883007</v>
      </c>
      <c r="G661" s="9">
        <v>8498.1714041288906</v>
      </c>
      <c r="H661" s="5">
        <v>5638.0367479531051</v>
      </c>
      <c r="I661" s="5">
        <f t="shared" si="44"/>
        <v>10198.35161117833</v>
      </c>
      <c r="J661" t="str">
        <f t="shared" si="43"/>
        <v/>
      </c>
    </row>
    <row r="662" spans="3:10" x14ac:dyDescent="0.25">
      <c r="C662" s="11">
        <f t="shared" si="41"/>
        <v>2.7208333333333332</v>
      </c>
      <c r="D662" s="13">
        <f t="shared" si="42"/>
        <v>235080</v>
      </c>
      <c r="E662" s="12">
        <f t="array" ref="E662:H662">DatosSiguientes(MasaK21,G661,H661,E661,F661,h)</f>
        <v>7308588.3572745426</v>
      </c>
      <c r="F662" s="12">
        <v>-849346.84943088237</v>
      </c>
      <c r="G662" s="9">
        <v>5297.0435248949161</v>
      </c>
      <c r="H662" s="5">
        <v>6772.9826712253653</v>
      </c>
      <c r="I662" s="5">
        <f t="shared" si="44"/>
        <v>8598.3698669777077</v>
      </c>
      <c r="J662" t="str">
        <f t="shared" si="43"/>
        <v/>
      </c>
    </row>
    <row r="663" spans="3:10" x14ac:dyDescent="0.25">
      <c r="C663" s="11">
        <f t="shared" si="41"/>
        <v>2.7250000000000001</v>
      </c>
      <c r="D663" s="13">
        <f t="shared" si="42"/>
        <v>235440</v>
      </c>
      <c r="E663" s="12">
        <f t="array" ref="E663:H663">DatosSiguientes(MasaK21,G662,H662,E662,F662,h)</f>
        <v>8825685.2904301081</v>
      </c>
      <c r="F663" s="12">
        <v>1576871.8827722545</v>
      </c>
      <c r="G663" s="9">
        <v>3131.2727704137801</v>
      </c>
      <c r="H663" s="5">
        <v>6706.0102854587285</v>
      </c>
      <c r="I663" s="5">
        <f t="shared" si="44"/>
        <v>7401.0433799169859</v>
      </c>
      <c r="J663" t="str">
        <f t="shared" si="43"/>
        <v/>
      </c>
    </row>
    <row r="664" spans="3:10" x14ac:dyDescent="0.25">
      <c r="C664" s="11">
        <f t="shared" si="41"/>
        <v>2.7291666666666665</v>
      </c>
      <c r="D664" s="13">
        <f t="shared" si="42"/>
        <v>235800</v>
      </c>
      <c r="E664" s="12">
        <f t="array" ref="E664:H664">DatosSiguientes(MasaK21,G663,H663,E663,F663,h)</f>
        <v>9688932.9547854364</v>
      </c>
      <c r="F664" s="12">
        <v>3914959.854831093</v>
      </c>
      <c r="G664" s="9">
        <v>1664.5475871158194</v>
      </c>
      <c r="H664" s="5">
        <v>6283.3673370903753</v>
      </c>
      <c r="I664" s="5">
        <f t="shared" si="44"/>
        <v>6500.1095192763705</v>
      </c>
      <c r="J664" t="str">
        <f t="shared" si="43"/>
        <v/>
      </c>
    </row>
    <row r="665" spans="3:10" x14ac:dyDescent="0.25">
      <c r="C665" s="11">
        <f t="shared" si="41"/>
        <v>2.7333333333333334</v>
      </c>
      <c r="D665" s="13">
        <f t="shared" si="42"/>
        <v>236160</v>
      </c>
      <c r="E665" s="12">
        <f t="array" ref="E665:H665">DatosSiguientes(MasaK21,G664,H664,E664,F664,h)</f>
        <v>10101158.072572159</v>
      </c>
      <c r="F665" s="12">
        <v>6083587.7590411836</v>
      </c>
      <c r="G665" s="9">
        <v>625.59195614375335</v>
      </c>
      <c r="H665" s="5">
        <v>5764.5654640767943</v>
      </c>
      <c r="I665" s="5">
        <f t="shared" si="44"/>
        <v>5798.4118761276932</v>
      </c>
      <c r="J665" t="str">
        <f t="shared" si="43"/>
        <v/>
      </c>
    </row>
    <row r="666" spans="3:10" x14ac:dyDescent="0.25">
      <c r="C666" s="11">
        <f t="shared" si="41"/>
        <v>2.7374999999999998</v>
      </c>
      <c r="D666" s="13">
        <f t="shared" si="42"/>
        <v>236520</v>
      </c>
      <c r="E666" s="12">
        <f t="array" ref="E666:H666">DatosSiguientes(MasaK21,G665,H665,E665,F665,h)</f>
        <v>10188100.049302746</v>
      </c>
      <c r="F666" s="12">
        <v>8063045.3606264405</v>
      </c>
      <c r="G666" s="9">
        <v>-142.58097430715523</v>
      </c>
      <c r="H666" s="5">
        <v>5232.4212113968542</v>
      </c>
      <c r="I666" s="5">
        <f t="shared" si="44"/>
        <v>5234.3634825745621</v>
      </c>
      <c r="J666" t="str">
        <f t="shared" si="43"/>
        <v/>
      </c>
    </row>
    <row r="667" spans="3:10" x14ac:dyDescent="0.25">
      <c r="C667" s="11">
        <f t="shared" si="41"/>
        <v>2.7416666666666667</v>
      </c>
      <c r="D667" s="13">
        <f t="shared" si="42"/>
        <v>236880</v>
      </c>
      <c r="E667" s="12">
        <f t="array" ref="E667:H667">DatosSiguientes(MasaK21,G666,H666,E666,F666,h)</f>
        <v>10030961.352444472</v>
      </c>
      <c r="F667" s="12">
        <v>9853349.5010241475</v>
      </c>
      <c r="G667" s="9">
        <v>-730.41178601658964</v>
      </c>
      <c r="H667" s="5">
        <v>4713.7129019237418</v>
      </c>
      <c r="I667" s="5">
        <f t="shared" si="44"/>
        <v>4769.9675783923612</v>
      </c>
      <c r="J667" t="str">
        <f t="shared" si="43"/>
        <v/>
      </c>
    </row>
    <row r="668" spans="3:10" x14ac:dyDescent="0.25">
      <c r="C668" s="11">
        <f t="shared" si="41"/>
        <v>2.7458333333333331</v>
      </c>
      <c r="D668" s="13">
        <f t="shared" si="42"/>
        <v>237240</v>
      </c>
      <c r="E668" s="12">
        <f t="array" ref="E668:H668">DatosSiguientes(MasaK21,G667,H667,E667,F667,h)</f>
        <v>9684884.1392949019</v>
      </c>
      <c r="F668" s="12">
        <v>11460685.052093739</v>
      </c>
      <c r="G668" s="9">
        <v>-1192.2393981476855</v>
      </c>
      <c r="H668" s="5">
        <v>4215.9290484628718</v>
      </c>
      <c r="I668" s="5">
        <f t="shared" si="44"/>
        <v>4381.2660868941311</v>
      </c>
      <c r="J668" t="str">
        <f t="shared" si="43"/>
        <v/>
      </c>
    </row>
    <row r="669" spans="3:10" x14ac:dyDescent="0.25">
      <c r="C669" s="11">
        <f t="shared" si="41"/>
        <v>2.75</v>
      </c>
      <c r="D669" s="13">
        <f t="shared" si="42"/>
        <v>237600</v>
      </c>
      <c r="E669" s="12">
        <f t="array" ref="E669:H669">DatosSiguientes(MasaK21,G668,H668,E668,F668,h)</f>
        <v>9189076.761979565</v>
      </c>
      <c r="F669" s="12">
        <v>12892675.356612762</v>
      </c>
      <c r="G669" s="9">
        <v>-1562.2460313819633</v>
      </c>
      <c r="H669" s="5">
        <v>3739.5726433094819</v>
      </c>
      <c r="I669" s="5">
        <f t="shared" si="44"/>
        <v>4052.778826577804</v>
      </c>
      <c r="J669" t="str">
        <f t="shared" si="43"/>
        <v/>
      </c>
    </row>
    <row r="670" spans="3:10" x14ac:dyDescent="0.25">
      <c r="C670" s="11">
        <f t="shared" si="41"/>
        <v>2.7541666666666669</v>
      </c>
      <c r="D670" s="13">
        <f t="shared" si="42"/>
        <v>237960</v>
      </c>
      <c r="E670" s="12">
        <f t="array" ref="E670:H670">DatosSiguientes(MasaK21,G669,H669,E669,F669,h)</f>
        <v>8572563.7367582079</v>
      </c>
      <c r="F670" s="12">
        <v>14156671.015268931</v>
      </c>
      <c r="G670" s="9">
        <v>-1862.826330958907</v>
      </c>
      <c r="H670" s="5">
        <v>3282.625460335898</v>
      </c>
      <c r="I670" s="5">
        <f t="shared" si="44"/>
        <v>3774.3544947658652</v>
      </c>
      <c r="J670" t="str">
        <f t="shared" si="43"/>
        <v/>
      </c>
    </row>
    <row r="671" spans="3:10" x14ac:dyDescent="0.25">
      <c r="C671" s="11">
        <f t="shared" si="41"/>
        <v>2.7583333333333333</v>
      </c>
      <c r="D671" s="13">
        <f t="shared" si="42"/>
        <v>238320</v>
      </c>
      <c r="E671" s="12">
        <f t="array" ref="E671:H671">DatosSiguientes(MasaK21,G670,H670,E670,F670,h)</f>
        <v>7857607.8852236886</v>
      </c>
      <c r="F671" s="12">
        <v>15259149.110474912</v>
      </c>
      <c r="G671" s="9">
        <v>-2109.1506220106444</v>
      </c>
      <c r="H671" s="5">
        <v>2842.2528463639965</v>
      </c>
      <c r="I671" s="5">
        <f t="shared" si="44"/>
        <v>3539.3385807226928</v>
      </c>
      <c r="J671" t="str">
        <f t="shared" si="43"/>
        <v/>
      </c>
    </row>
    <row r="672" spans="3:10" x14ac:dyDescent="0.25">
      <c r="C672" s="11">
        <f t="shared" si="41"/>
        <v>2.7625000000000002</v>
      </c>
      <c r="D672" s="13">
        <f t="shared" si="42"/>
        <v>238680</v>
      </c>
      <c r="E672" s="12">
        <f t="array" ref="E672:H672">DatosSiguientes(MasaK21,G671,H671,E671,F671,h)</f>
        <v>7061843.5130720399</v>
      </c>
      <c r="F672" s="12">
        <v>16205537.81248465</v>
      </c>
      <c r="G672" s="9">
        <v>-2311.7625566096235</v>
      </c>
      <c r="H672" s="5">
        <v>2415.4621648012153</v>
      </c>
      <c r="I672" s="5">
        <f t="shared" si="44"/>
        <v>3343.4568320420167</v>
      </c>
      <c r="J672" t="str">
        <f t="shared" si="43"/>
        <v/>
      </c>
    </row>
    <row r="673" spans="3:10" x14ac:dyDescent="0.25">
      <c r="C673" s="11">
        <f t="shared" si="41"/>
        <v>2.7666666666666666</v>
      </c>
      <c r="D673" s="13">
        <f t="shared" si="42"/>
        <v>239040</v>
      </c>
      <c r="E673" s="12">
        <f t="array" ref="E673:H673">DatosSiguientes(MasaK21,G672,H672,E672,F672,h)</f>
        <v>6199665.0967861684</v>
      </c>
      <c r="F673" s="12">
        <v>17000202.621008582</v>
      </c>
      <c r="G673" s="9">
        <v>-2478.117533867442</v>
      </c>
      <c r="H673" s="5">
        <v>1999.3423269984148</v>
      </c>
      <c r="I673" s="5">
        <f t="shared" si="44"/>
        <v>3184.0911187007023</v>
      </c>
      <c r="J673" t="str">
        <f t="shared" si="43"/>
        <v/>
      </c>
    </row>
    <row r="674" spans="3:10" x14ac:dyDescent="0.25">
      <c r="C674" s="11">
        <f t="shared" si="41"/>
        <v>2.7708333333333335</v>
      </c>
      <c r="D674" s="13">
        <f t="shared" si="42"/>
        <v>239400</v>
      </c>
      <c r="E674" s="12">
        <f t="array" ref="E674:H674">DatosSiguientes(MasaK21,G673,H673,E673,F673,h)</f>
        <v>5283169.5903322529</v>
      </c>
      <c r="F674" s="12">
        <v>17646487.571707431</v>
      </c>
      <c r="G674" s="9">
        <v>-2613.5241686543095</v>
      </c>
      <c r="H674" s="5">
        <v>1591.1296213285254</v>
      </c>
      <c r="I674" s="5">
        <f t="shared" si="44"/>
        <v>3059.771568599404</v>
      </c>
      <c r="J674" t="str">
        <f t="shared" si="43"/>
        <v/>
      </c>
    </row>
    <row r="675" spans="3:10" x14ac:dyDescent="0.25">
      <c r="C675" s="11">
        <f t="shared" si="41"/>
        <v>2.7749999999999999</v>
      </c>
      <c r="D675" s="13">
        <f t="shared" si="42"/>
        <v>239760</v>
      </c>
      <c r="E675" s="12">
        <f t="array" ref="E675:H675">DatosSiguientes(MasaK21,G674,H674,E674,F674,h)</f>
        <v>4322823.1374160349</v>
      </c>
      <c r="F675" s="12">
        <v>18146766.940614346</v>
      </c>
      <c r="G675" s="9">
        <v>-2721.7339031024594</v>
      </c>
      <c r="H675" s="5">
        <v>1188.2002059321235</v>
      </c>
      <c r="I675" s="5">
        <f t="shared" si="44"/>
        <v>2969.7904250425636</v>
      </c>
      <c r="J675" t="str">
        <f t="shared" si="43"/>
        <v/>
      </c>
    </row>
    <row r="676" spans="3:10" x14ac:dyDescent="0.25">
      <c r="C676" s="11">
        <f t="shared" si="41"/>
        <v>2.7791666666666668</v>
      </c>
      <c r="D676" s="13">
        <f t="shared" si="42"/>
        <v>240120</v>
      </c>
      <c r="E676" s="12">
        <f t="array" ref="E676:H676">DatosSiguientes(MasaK21,G675,H675,E675,F675,h)</f>
        <v>3327954.651220303</v>
      </c>
      <c r="F676" s="12">
        <v>18502488.613854323</v>
      </c>
      <c r="G676" s="9">
        <v>-2805.3132424293844</v>
      </c>
      <c r="H676" s="5">
        <v>788.03131206774094</v>
      </c>
      <c r="I676" s="5">
        <f t="shared" si="44"/>
        <v>2913.8935699419208</v>
      </c>
      <c r="J676" t="str">
        <f t="shared" si="43"/>
        <v/>
      </c>
    </row>
    <row r="677" spans="3:10" x14ac:dyDescent="0.25">
      <c r="C677" s="11">
        <f t="shared" si="41"/>
        <v>2.7833333333333332</v>
      </c>
      <c r="D677" s="13">
        <f t="shared" si="42"/>
        <v>240480</v>
      </c>
      <c r="E677" s="12">
        <f t="array" ref="E677:H677">DatosSiguientes(MasaK21,G676,H676,E676,F676,h)</f>
        <v>2307140.928892137</v>
      </c>
      <c r="F677" s="12">
        <v>18714200.980770398</v>
      </c>
      <c r="G677" s="9">
        <v>-2865.8741038382036</v>
      </c>
      <c r="H677" s="5">
        <v>388.148504132683</v>
      </c>
      <c r="I677" s="5">
        <f t="shared" si="44"/>
        <v>2892.0397024091603</v>
      </c>
      <c r="J677" t="str">
        <f t="shared" si="43"/>
        <v/>
      </c>
    </row>
    <row r="678" spans="3:10" x14ac:dyDescent="0.25">
      <c r="C678" s="11">
        <f t="shared" si="41"/>
        <v>2.7875000000000001</v>
      </c>
      <c r="D678" s="13">
        <f t="shared" si="42"/>
        <v>240840</v>
      </c>
      <c r="E678" s="12">
        <f t="array" ref="E678:H678">DatosSiguientes(MasaK21,G677,H677,E677,F677,h)</f>
        <v>1268526.7747204283</v>
      </c>
      <c r="F678" s="12">
        <v>18781559.48039427</v>
      </c>
      <c r="G678" s="9">
        <v>-2904.2045304490675</v>
      </c>
      <c r="H678" s="5">
        <v>-13.934617333383812</v>
      </c>
      <c r="I678" s="5">
        <f t="shared" si="44"/>
        <v>2904.2379599890082</v>
      </c>
      <c r="J678" t="str">
        <f t="shared" si="43"/>
        <v/>
      </c>
    </row>
    <row r="679" spans="3:10" x14ac:dyDescent="0.25">
      <c r="C679" s="11">
        <f t="shared" si="41"/>
        <v>2.7916666666666665</v>
      </c>
      <c r="D679" s="13">
        <f t="shared" si="42"/>
        <v>241200</v>
      </c>
      <c r="E679" s="12">
        <f t="array" ref="E679:H679">DatosSiguientes(MasaK21,G678,H678,E678,F678,h)</f>
        <v>220112.03885338645</v>
      </c>
      <c r="F679" s="12">
        <v>18703310.306079447</v>
      </c>
      <c r="G679" s="9">
        <v>-2920.3217799233871</v>
      </c>
      <c r="H679" s="5">
        <v>-420.78301774895937</v>
      </c>
      <c r="I679" s="5">
        <f t="shared" si="44"/>
        <v>2950.4809178032015</v>
      </c>
      <c r="J679" t="str">
        <f t="shared" si="43"/>
        <v/>
      </c>
    </row>
    <row r="680" spans="3:10" x14ac:dyDescent="0.25">
      <c r="C680" s="11">
        <f t="shared" si="41"/>
        <v>2.7958333333333334</v>
      </c>
      <c r="D680" s="13">
        <f t="shared" si="42"/>
        <v>241560</v>
      </c>
      <c r="E680" s="12">
        <f t="array" ref="E680:H680">DatosSiguientes(MasaK21,G679,H679,E679,F679,h)</f>
        <v>-829967.92037793482</v>
      </c>
      <c r="F680" s="12">
        <v>18477248.754084725</v>
      </c>
      <c r="G680" s="9">
        <v>-2913.455771361731</v>
      </c>
      <c r="H680" s="5">
        <v>-835.11449333284054</v>
      </c>
      <c r="I680" s="5">
        <f t="shared" si="44"/>
        <v>3030.7822007949608</v>
      </c>
      <c r="J680" t="str">
        <f t="shared" si="43"/>
        <v/>
      </c>
    </row>
    <row r="681" spans="3:10" x14ac:dyDescent="0.25">
      <c r="C681" s="11">
        <f t="shared" si="41"/>
        <v>2.8</v>
      </c>
      <c r="D681" s="13">
        <f t="shared" si="42"/>
        <v>241920</v>
      </c>
      <c r="E681" s="12">
        <f t="array" ref="E681:H681">DatosSiguientes(MasaK21,G680,H680,E680,F680,h)</f>
        <v>-1873142.5638787649</v>
      </c>
      <c r="F681" s="12">
        <v>18100148.947414167</v>
      </c>
      <c r="G681" s="9">
        <v>-2881.9589147539909</v>
      </c>
      <c r="H681" s="5">
        <v>-1259.8844326147105</v>
      </c>
      <c r="I681" s="5">
        <f t="shared" si="44"/>
        <v>3145.3133341330067</v>
      </c>
      <c r="J681" t="str">
        <f t="shared" si="43"/>
        <v/>
      </c>
    </row>
    <row r="682" spans="3:10" x14ac:dyDescent="0.25">
      <c r="C682" s="11">
        <f t="shared" si="41"/>
        <v>2.8041666666666667</v>
      </c>
      <c r="D682" s="13">
        <f t="shared" si="42"/>
        <v>242280</v>
      </c>
      <c r="E682" s="12">
        <f t="array" ref="E682:H682">DatosSiguientes(MasaK21,G681,H681,E681,F681,h)</f>
        <v>-2900057.6891175816</v>
      </c>
      <c r="F682" s="12">
        <v>17567660.498039246</v>
      </c>
      <c r="G682" s="9">
        <v>-2823.1251143505456</v>
      </c>
      <c r="H682" s="5">
        <v>-1698.3847305793026</v>
      </c>
      <c r="I682" s="5">
        <f t="shared" si="44"/>
        <v>3294.6238183352152</v>
      </c>
      <c r="J682" t="str">
        <f t="shared" si="43"/>
        <v/>
      </c>
    </row>
    <row r="683" spans="3:10" x14ac:dyDescent="0.25">
      <c r="C683" s="11">
        <f t="shared" si="41"/>
        <v>2.8083333333333331</v>
      </c>
      <c r="D683" s="13">
        <f t="shared" si="42"/>
        <v>242640</v>
      </c>
      <c r="E683" s="12">
        <f t="array" ref="E683:H683">DatosSiguientes(MasaK21,G682,H682,E682,F682,h)</f>
        <v>-3900139.0271699154</v>
      </c>
      <c r="F683" s="12">
        <v>16874166.359451376</v>
      </c>
      <c r="G683" s="9">
        <v>-2732.8823192735313</v>
      </c>
      <c r="H683" s="5">
        <v>-2154.3604837977509</v>
      </c>
      <c r="I683" s="5">
        <f t="shared" si="44"/>
        <v>3479.9302960184641</v>
      </c>
      <c r="J683" t="str">
        <f t="shared" si="43"/>
        <v/>
      </c>
    </row>
    <row r="684" spans="3:10" x14ac:dyDescent="0.25">
      <c r="C684" s="11">
        <f t="shared" si="41"/>
        <v>2.8125</v>
      </c>
      <c r="D684" s="13">
        <f t="shared" si="42"/>
        <v>243000</v>
      </c>
      <c r="E684" s="12">
        <f t="array" ref="E684:H684">DatosSiguientes(MasaK21,G683,H683,E683,F683,h)</f>
        <v>-4861010.6170704411</v>
      </c>
      <c r="F684" s="12">
        <v>16012595.192652427</v>
      </c>
      <c r="G684" s="9">
        <v>-2605.293180173835</v>
      </c>
      <c r="H684" s="5">
        <v>-2632.1459984186354</v>
      </c>
      <c r="I684" s="5">
        <f t="shared" si="44"/>
        <v>3703.4774350131429</v>
      </c>
      <c r="J684" t="str">
        <f t="shared" si="43"/>
        <v/>
      </c>
    </row>
    <row r="685" spans="3:10" x14ac:dyDescent="0.25">
      <c r="C685" s="11">
        <f t="shared" si="41"/>
        <v>2.8166666666666669</v>
      </c>
      <c r="D685" s="13">
        <f t="shared" si="42"/>
        <v>243360</v>
      </c>
      <c r="E685" s="12">
        <f t="array" ref="E685:H685">DatosSiguientes(MasaK21,G684,H684,E684,F684,h)</f>
        <v>-5767677.5804135129</v>
      </c>
      <c r="F685" s="12">
        <v>14974182.418957058</v>
      </c>
      <c r="G685" s="9">
        <v>-2431.7455050654526</v>
      </c>
      <c r="H685" s="5">
        <v>-3136.8138554445231</v>
      </c>
      <c r="I685" s="5">
        <f t="shared" si="44"/>
        <v>3969.0033213786514</v>
      </c>
      <c r="J685" t="str">
        <f t="shared" si="43"/>
        <v/>
      </c>
    </row>
    <row r="686" spans="3:10" x14ac:dyDescent="0.25">
      <c r="C686" s="11">
        <f t="shared" si="41"/>
        <v>2.8208333333333333</v>
      </c>
      <c r="D686" s="13">
        <f t="shared" si="42"/>
        <v>243720</v>
      </c>
      <c r="E686" s="12">
        <f t="array" ref="E686:H686">DatosSiguientes(MasaK21,G685,H685,E685,F685,h)</f>
        <v>-6601322.368015266</v>
      </c>
      <c r="F686" s="12">
        <v>13748180.633655671</v>
      </c>
      <c r="G686" s="9">
        <v>-2199.6144260553961</v>
      </c>
      <c r="H686" s="5">
        <v>-3674.3071740076284</v>
      </c>
      <c r="I686" s="5">
        <f t="shared" si="44"/>
        <v>4282.3868148819693</v>
      </c>
      <c r="J686" t="str">
        <f t="shared" si="43"/>
        <v/>
      </c>
    </row>
    <row r="687" spans="3:10" x14ac:dyDescent="0.25">
      <c r="C687" s="11">
        <f t="shared" si="41"/>
        <v>2.8250000000000002</v>
      </c>
      <c r="D687" s="13">
        <f t="shared" si="42"/>
        <v>244080</v>
      </c>
      <c r="E687" s="12">
        <f t="array" ref="E687:H687">DatosSiguientes(MasaK21,G686,H686,E686,F686,h)</f>
        <v>-7337449.3098779945</v>
      </c>
      <c r="F687" s="12">
        <v>12321543.111950411</v>
      </c>
      <c r="G687" s="9">
        <v>-1889.979695404207</v>
      </c>
      <c r="H687" s="5">
        <v>-4251.4568354660414</v>
      </c>
      <c r="I687" s="5">
        <f t="shared" si="44"/>
        <v>4652.6238267101617</v>
      </c>
      <c r="J687" t="str">
        <f t="shared" si="43"/>
        <v/>
      </c>
    </row>
    <row r="688" spans="3:10" x14ac:dyDescent="0.25">
      <c r="C688" s="11">
        <f t="shared" si="41"/>
        <v>2.8291666666666666</v>
      </c>
      <c r="D688" s="13">
        <f t="shared" si="42"/>
        <v>244440</v>
      </c>
      <c r="E688" s="12">
        <f t="array" ref="E688:H688">DatosSiguientes(MasaK21,G687,H687,E687,F687,h)</f>
        <v>-7942887.6095440248</v>
      </c>
      <c r="F688" s="12">
        <v>10678675.551271914</v>
      </c>
      <c r="G688" s="9">
        <v>-1473.5664138515183</v>
      </c>
      <c r="H688" s="5">
        <v>-4875.5851683033834</v>
      </c>
      <c r="I688" s="5">
        <f t="shared" si="44"/>
        <v>5093.40050549838</v>
      </c>
      <c r="J688" t="str">
        <f t="shared" si="43"/>
        <v/>
      </c>
    </row>
    <row r="689" spans="3:10" x14ac:dyDescent="0.25">
      <c r="C689" s="11">
        <f t="shared" si="41"/>
        <v>2.8333333333333335</v>
      </c>
      <c r="D689" s="13">
        <f t="shared" si="42"/>
        <v>244800</v>
      </c>
      <c r="E689" s="12">
        <f t="array" ref="E689:H689">DatosSiguientes(MasaK21,G688,H688,E688,F688,h)</f>
        <v>-8370699.7183988774</v>
      </c>
      <c r="F689" s="12">
        <v>8801568.9689953774</v>
      </c>
      <c r="G689" s="9">
        <v>-903.16752423099831</v>
      </c>
      <c r="H689" s="5">
        <v>-5552.7847332329266</v>
      </c>
      <c r="I689" s="5">
        <f t="shared" si="44"/>
        <v>5625.7559376896379</v>
      </c>
      <c r="J689" t="str">
        <f t="shared" si="43"/>
        <v/>
      </c>
    </row>
    <row r="690" spans="3:10" x14ac:dyDescent="0.25">
      <c r="C690" s="11">
        <f t="shared" si="41"/>
        <v>2.8374999999999999</v>
      </c>
      <c r="D690" s="13">
        <f t="shared" si="42"/>
        <v>245160</v>
      </c>
      <c r="E690" s="12">
        <f t="array" ref="E690:H690">DatosSiguientes(MasaK21,G689,H689,E689,F689,h)</f>
        <v>-8551044.1141839325</v>
      </c>
      <c r="F690" s="12">
        <v>6671316.6383015392</v>
      </c>
      <c r="G690" s="9">
        <v>-98.745785685973516</v>
      </c>
      <c r="H690" s="5">
        <v>-6281.9504372883985</v>
      </c>
      <c r="I690" s="5">
        <f t="shared" si="44"/>
        <v>6282.7264803378666</v>
      </c>
      <c r="J690" t="str">
        <f t="shared" si="43"/>
        <v/>
      </c>
    </row>
    <row r="691" spans="3:10" x14ac:dyDescent="0.25">
      <c r="C691" s="11">
        <f t="shared" si="41"/>
        <v>2.8416666666666668</v>
      </c>
      <c r="D691" s="13">
        <f t="shared" si="42"/>
        <v>245520</v>
      </c>
      <c r="E691" s="12">
        <f t="array" ref="E691:H691">DatosSiguientes(MasaK21,G690,H690,E690,F690,h)</f>
        <v>-8373858.4485920658</v>
      </c>
      <c r="F691" s="12">
        <v>4274368.990321001</v>
      </c>
      <c r="G691" s="9">
        <v>1083.1105945296752</v>
      </c>
      <c r="H691" s="5">
        <v>-7034.4253848257013</v>
      </c>
      <c r="I691" s="5">
        <f t="shared" si="44"/>
        <v>7117.3217613553661</v>
      </c>
      <c r="J691" t="str">
        <f t="shared" si="43"/>
        <v/>
      </c>
    </row>
    <row r="692" spans="3:10" x14ac:dyDescent="0.25">
      <c r="C692" s="11">
        <f t="shared" si="41"/>
        <v>2.8458333333333332</v>
      </c>
      <c r="D692" s="13">
        <f t="shared" si="42"/>
        <v>245880</v>
      </c>
      <c r="E692" s="12">
        <f t="array" ref="E692:H692">DatosSiguientes(MasaK21,G691,H691,E691,F691,h)</f>
        <v>-7655056.4651464708</v>
      </c>
      <c r="F692" s="12">
        <v>1625667.983324291</v>
      </c>
      <c r="G692" s="9">
        <v>2910.2337579458526</v>
      </c>
      <c r="H692" s="5">
        <v>-7680.5802096004654</v>
      </c>
      <c r="I692" s="5">
        <f t="shared" si="44"/>
        <v>8213.4507292607504</v>
      </c>
      <c r="J692" t="str">
        <f t="shared" si="43"/>
        <v/>
      </c>
    </row>
    <row r="693" spans="3:10" x14ac:dyDescent="0.25">
      <c r="C693" s="11">
        <f t="shared" si="41"/>
        <v>2.85</v>
      </c>
      <c r="D693" s="13">
        <f t="shared" si="42"/>
        <v>246240</v>
      </c>
      <c r="E693" s="12">
        <f t="array" ref="E693:H693">DatosSiguientes(MasaK21,G692,H692,E692,F692,h)</f>
        <v>-6078838.1354067577</v>
      </c>
      <c r="F693" s="12">
        <v>-1144409.167114045</v>
      </c>
      <c r="G693" s="9">
        <v>5846.5347406081073</v>
      </c>
      <c r="H693" s="5">
        <v>-7708.7372928347349</v>
      </c>
      <c r="I693" s="5">
        <f t="shared" si="44"/>
        <v>9675.0503421469857</v>
      </c>
      <c r="J693" t="str">
        <f t="shared" si="43"/>
        <v/>
      </c>
    </row>
    <row r="694" spans="3:10" x14ac:dyDescent="0.25">
      <c r="C694" s="11">
        <f t="shared" si="41"/>
        <v>2.8541666666666665</v>
      </c>
      <c r="D694" s="13">
        <f t="shared" si="42"/>
        <v>246600</v>
      </c>
      <c r="E694" s="12">
        <f t="array" ref="E694:H694">DatosSiguientes(MasaK21,G693,H693,E693,F693,h)</f>
        <v>-3216757.1650493038</v>
      </c>
      <c r="F694" s="12">
        <v>-3493271.7283253656</v>
      </c>
      <c r="G694" s="9">
        <v>10053.915094711081</v>
      </c>
      <c r="H694" s="5">
        <v>-5340.4991583392675</v>
      </c>
      <c r="I694" s="5">
        <f t="shared" si="44"/>
        <v>11384.293565780959</v>
      </c>
      <c r="J694" t="str">
        <f t="shared" si="43"/>
        <v/>
      </c>
    </row>
    <row r="695" spans="3:10" x14ac:dyDescent="0.25">
      <c r="C695" s="11">
        <f t="shared" si="41"/>
        <v>2.8583333333333334</v>
      </c>
      <c r="D695" s="13">
        <f t="shared" si="42"/>
        <v>246960</v>
      </c>
      <c r="E695" s="12">
        <f t="array" ref="E695:H695">DatosSiguientes(MasaK21,G694,H694,E694,F694,h)</f>
        <v>744107.65418757487</v>
      </c>
      <c r="F695" s="12">
        <v>-4174473.9121476943</v>
      </c>
      <c r="G695" s="9">
        <v>11950.889456604911</v>
      </c>
      <c r="H695" s="5">
        <v>1556.0425815485521</v>
      </c>
      <c r="I695" s="5">
        <f t="shared" si="44"/>
        <v>12051.764489882082</v>
      </c>
      <c r="J695" t="str">
        <f t="shared" si="43"/>
        <v/>
      </c>
    </row>
    <row r="696" spans="3:10" x14ac:dyDescent="0.25">
      <c r="C696" s="11">
        <f t="shared" si="41"/>
        <v>2.8624999999999998</v>
      </c>
      <c r="D696" s="13">
        <f t="shared" si="42"/>
        <v>247320</v>
      </c>
      <c r="E696" s="12">
        <f t="array" ref="E696:H696">DatosSiguientes(MasaK21,G695,H695,E695,F695,h)</f>
        <v>4348718.5982355485</v>
      </c>
      <c r="F696" s="12">
        <v>-2627329.1593245892</v>
      </c>
      <c r="G696" s="9">
        <v>8074.726899217163</v>
      </c>
      <c r="H696" s="5">
        <v>7039.2060452464757</v>
      </c>
      <c r="I696" s="5">
        <f t="shared" si="44"/>
        <v>10712.219015889086</v>
      </c>
      <c r="J696" t="str">
        <f t="shared" si="43"/>
        <v/>
      </c>
    </row>
    <row r="697" spans="3:10" x14ac:dyDescent="0.25">
      <c r="C697" s="11">
        <f t="shared" si="41"/>
        <v>2.8666666666666667</v>
      </c>
      <c r="D697" s="13">
        <f t="shared" si="42"/>
        <v>247680</v>
      </c>
      <c r="E697" s="12">
        <f t="array" ref="E697:H697">DatosSiguientes(MasaK21,G696,H696,E696,F696,h)</f>
        <v>6501734.781212328</v>
      </c>
      <c r="F697" s="12">
        <v>107562.96716531669</v>
      </c>
      <c r="G697" s="9">
        <v>3886.474117320503</v>
      </c>
      <c r="H697" s="5">
        <v>8154.6391019196681</v>
      </c>
      <c r="I697" s="5">
        <f t="shared" si="44"/>
        <v>9033.4279178592769</v>
      </c>
      <c r="J697" t="str">
        <f t="shared" si="43"/>
        <v/>
      </c>
    </row>
    <row r="698" spans="3:10" x14ac:dyDescent="0.25">
      <c r="C698" s="11">
        <f t="shared" si="41"/>
        <v>2.8708333333333331</v>
      </c>
      <c r="D698" s="13">
        <f t="shared" si="42"/>
        <v>248040</v>
      </c>
      <c r="E698" s="12">
        <f t="array" ref="E698:H698">DatosSiguientes(MasaK21,G697,H697,E697,F697,h)</f>
        <v>7415005.2165975515</v>
      </c>
      <c r="F698" s="12">
        <v>2945700.7256169803</v>
      </c>
      <c r="G698" s="9">
        <v>1187.2505237085149</v>
      </c>
      <c r="H698" s="5">
        <v>7612.7928894784627</v>
      </c>
      <c r="I698" s="5">
        <f t="shared" si="44"/>
        <v>7704.815337445797</v>
      </c>
      <c r="J698" t="str">
        <f t="shared" si="43"/>
        <v/>
      </c>
    </row>
    <row r="699" spans="3:10" x14ac:dyDescent="0.25">
      <c r="C699" s="11">
        <f t="shared" si="41"/>
        <v>2.875</v>
      </c>
      <c r="D699" s="13">
        <f t="shared" si="42"/>
        <v>248400</v>
      </c>
      <c r="E699" s="12">
        <f t="array" ref="E699:H699">DatosSiguientes(MasaK21,G698,H698,E698,F698,h)</f>
        <v>7540580.0959193045</v>
      </c>
      <c r="F699" s="12">
        <v>5519333.7623174507</v>
      </c>
      <c r="G699" s="9">
        <v>-489.61230525433143</v>
      </c>
      <c r="H699" s="5">
        <v>6685.1684255241516</v>
      </c>
      <c r="I699" s="5">
        <f t="shared" si="44"/>
        <v>6703.0737044345206</v>
      </c>
      <c r="J699" t="str">
        <f t="shared" si="43"/>
        <v/>
      </c>
    </row>
    <row r="700" spans="3:10" x14ac:dyDescent="0.25">
      <c r="C700" s="11">
        <f t="shared" si="41"/>
        <v>2.8791666666666669</v>
      </c>
      <c r="D700" s="13">
        <f t="shared" si="42"/>
        <v>248760</v>
      </c>
      <c r="E700" s="12">
        <f t="array" ref="E700:H700">DatosSiguientes(MasaK21,G699,H699,E699,F699,h)</f>
        <v>7169668.8486205768</v>
      </c>
      <c r="F700" s="12">
        <v>7752395.629160461</v>
      </c>
      <c r="G700" s="9">
        <v>-1571.0057352941585</v>
      </c>
      <c r="H700" s="5">
        <v>5720.7308347147964</v>
      </c>
      <c r="I700" s="5">
        <f t="shared" si="44"/>
        <v>5932.522254790435</v>
      </c>
      <c r="J700" t="str">
        <f t="shared" si="43"/>
        <v/>
      </c>
    </row>
    <row r="701" spans="3:10" x14ac:dyDescent="0.25">
      <c r="C701" s="11">
        <f t="shared" si="41"/>
        <v>2.8833333333333333</v>
      </c>
      <c r="D701" s="13">
        <f t="shared" si="42"/>
        <v>249120</v>
      </c>
      <c r="E701" s="12">
        <f t="array" ref="E701:H701">DatosSiguientes(MasaK21,G700,H700,E700,F700,h)</f>
        <v>6473985.8703895314</v>
      </c>
      <c r="F701" s="12">
        <v>9647148.6180414464</v>
      </c>
      <c r="G701" s="9">
        <v>-2293.8996993227615</v>
      </c>
      <c r="H701" s="5">
        <v>4805.6746590684515</v>
      </c>
      <c r="I701" s="5">
        <f t="shared" si="44"/>
        <v>5325.0807279670171</v>
      </c>
      <c r="J701" t="str">
        <f t="shared" si="43"/>
        <v/>
      </c>
    </row>
    <row r="702" spans="3:10" x14ac:dyDescent="0.25">
      <c r="C702" s="11">
        <f t="shared" si="41"/>
        <v>2.8875000000000002</v>
      </c>
      <c r="D702" s="13">
        <f t="shared" si="42"/>
        <v>249480</v>
      </c>
      <c r="E702" s="12">
        <f t="array" ref="E702:H702">DatosSiguientes(MasaK21,G701,H701,E701,F701,h)</f>
        <v>5559384.7667990541</v>
      </c>
      <c r="F702" s="12">
        <v>11224029.332949778</v>
      </c>
      <c r="G702" s="9">
        <v>-2787.2175428465584</v>
      </c>
      <c r="H702" s="5">
        <v>3954.7737570889503</v>
      </c>
      <c r="I702" s="5">
        <f t="shared" si="44"/>
        <v>4838.2659187885756</v>
      </c>
      <c r="J702" t="str">
        <f t="shared" si="43"/>
        <v/>
      </c>
    </row>
    <row r="703" spans="3:10" x14ac:dyDescent="0.25">
      <c r="C703" s="11">
        <f t="shared" si="41"/>
        <v>2.8916666666666666</v>
      </c>
      <c r="D703" s="13">
        <f t="shared" si="42"/>
        <v>249840</v>
      </c>
      <c r="E703" s="12">
        <f t="array" ref="E703:H703">DatosSiguientes(MasaK21,G702,H702,E702,F702,h)</f>
        <v>4495343.2705157539</v>
      </c>
      <c r="F703" s="12">
        <v>12505283.726121666</v>
      </c>
      <c r="G703" s="9">
        <v>-3124.1241031717759</v>
      </c>
      <c r="H703" s="5">
        <v>3163.3062049770965</v>
      </c>
      <c r="I703" s="5">
        <f t="shared" si="44"/>
        <v>4445.9709354049373</v>
      </c>
      <c r="J703" t="str">
        <f t="shared" si="43"/>
        <v/>
      </c>
    </row>
    <row r="704" spans="3:10" x14ac:dyDescent="0.25">
      <c r="C704" s="11">
        <f t="shared" si="41"/>
        <v>2.8958333333333335</v>
      </c>
      <c r="D704" s="13">
        <f t="shared" si="42"/>
        <v>250200</v>
      </c>
      <c r="E704" s="12">
        <f t="array" ref="E704:H704">DatosSiguientes(MasaK21,G703,H703,E703,F703,h)</f>
        <v>3330348.883958884</v>
      </c>
      <c r="F704" s="12">
        <v>13510624.914599193</v>
      </c>
      <c r="G704" s="9">
        <v>-3348.0669332552779</v>
      </c>
      <c r="H704" s="5">
        <v>2421.9226198980505</v>
      </c>
      <c r="I704" s="5">
        <f t="shared" si="44"/>
        <v>4132.222327795449</v>
      </c>
      <c r="J704" t="str">
        <f t="shared" si="43"/>
        <v/>
      </c>
    </row>
    <row r="705" spans="3:10" x14ac:dyDescent="0.25">
      <c r="C705" s="11">
        <f t="shared" si="41"/>
        <v>2.9</v>
      </c>
      <c r="D705" s="13">
        <f t="shared" si="42"/>
        <v>250560</v>
      </c>
      <c r="E705" s="12">
        <f t="array" ref="E705:H705">DatosSiguientes(MasaK21,G704,H704,E704,F704,h)</f>
        <v>2100264.5592837939</v>
      </c>
      <c r="F705" s="12">
        <v>14256351.397962749</v>
      </c>
      <c r="G705" s="9">
        <v>-3485.7348704952228</v>
      </c>
      <c r="H705" s="5">
        <v>1721.0022876772578</v>
      </c>
      <c r="I705" s="5">
        <f t="shared" si="44"/>
        <v>3887.4408627754974</v>
      </c>
      <c r="J705" t="str">
        <f t="shared" si="43"/>
        <v/>
      </c>
    </row>
    <row r="706" spans="3:10" x14ac:dyDescent="0.25">
      <c r="C706" s="11">
        <f t="shared" si="41"/>
        <v>2.9041666666666668</v>
      </c>
      <c r="D706" s="13">
        <f t="shared" si="42"/>
        <v>250920</v>
      </c>
      <c r="E706" s="12">
        <f t="array" ref="E706:H706">DatosSiguientes(MasaK21,G705,H705,E705,F705,h)</f>
        <v>833155.28775877354</v>
      </c>
      <c r="F706" s="12">
        <v>14755459.013648581</v>
      </c>
      <c r="G706" s="9">
        <v>-3553.7610824215571</v>
      </c>
      <c r="H706" s="5">
        <v>1051.8177994662547</v>
      </c>
      <c r="I706" s="5">
        <f t="shared" si="44"/>
        <v>3706.1487442098264</v>
      </c>
      <c r="J706" t="str">
        <f t="shared" si="43"/>
        <v/>
      </c>
    </row>
    <row r="707" spans="3:10" x14ac:dyDescent="0.25">
      <c r="C707" s="11">
        <f t="shared" si="41"/>
        <v>2.9083333333333332</v>
      </c>
      <c r="D707" s="13">
        <f t="shared" si="42"/>
        <v>251280</v>
      </c>
      <c r="E707" s="12">
        <f t="array" ref="E707:H707">DatosSiguientes(MasaK21,G706,H706,E706,F706,h)</f>
        <v>-447740.03997451445</v>
      </c>
      <c r="F707" s="12">
        <v>15017992.447352244</v>
      </c>
      <c r="G707" s="9">
        <v>-3562.324071652265</v>
      </c>
      <c r="H707" s="5">
        <v>406.70127666520284</v>
      </c>
      <c r="I707" s="5">
        <f t="shared" si="44"/>
        <v>3585.4649238159168</v>
      </c>
      <c r="J707" t="str">
        <f t="shared" si="43"/>
        <v/>
      </c>
    </row>
    <row r="708" spans="3:10" x14ac:dyDescent="0.25">
      <c r="C708" s="11">
        <f t="shared" si="41"/>
        <v>2.9125000000000001</v>
      </c>
      <c r="D708" s="13">
        <f t="shared" si="42"/>
        <v>251640</v>
      </c>
      <c r="E708" s="12">
        <f t="array" ref="E708:H708">DatosSiguientes(MasaK21,G707,H707,E707,F707,h)</f>
        <v>-1722039.4472764709</v>
      </c>
      <c r="F708" s="12">
        <v>15051403.007989297</v>
      </c>
      <c r="G708" s="9">
        <v>-3517.1170800252708</v>
      </c>
      <c r="H708" s="5">
        <v>-221.08705090379701</v>
      </c>
      <c r="I708" s="5">
        <f t="shared" si="44"/>
        <v>3524.0590288306498</v>
      </c>
      <c r="J708" t="str">
        <f t="shared" si="43"/>
        <v/>
      </c>
    </row>
    <row r="709" spans="3:10" x14ac:dyDescent="0.25">
      <c r="C709" s="11">
        <f t="shared" si="41"/>
        <v>2.9166666666666665</v>
      </c>
      <c r="D709" s="13">
        <f t="shared" si="42"/>
        <v>252000</v>
      </c>
      <c r="E709" s="12">
        <f t="array" ref="E709:H709">DatosSiguientes(MasaK21,G708,H708,E708,F708,h)</f>
        <v>-2970790.7022140929</v>
      </c>
      <c r="F709" s="12">
        <v>14860847.441703295</v>
      </c>
      <c r="G709" s="9">
        <v>-3420.3898918504078</v>
      </c>
      <c r="H709" s="5">
        <v>-837.55498401842954</v>
      </c>
      <c r="I709" s="5">
        <f t="shared" si="44"/>
        <v>3521.443647643187</v>
      </c>
      <c r="J709" t="str">
        <f t="shared" si="43"/>
        <v/>
      </c>
    </row>
    <row r="710" spans="3:10" x14ac:dyDescent="0.25">
      <c r="C710" s="11">
        <f t="shared" si="41"/>
        <v>2.9208333333333334</v>
      </c>
      <c r="D710" s="13">
        <f t="shared" si="42"/>
        <v>252360</v>
      </c>
      <c r="E710" s="12">
        <f t="array" ref="E710:H710">DatosSiguientes(MasaK21,G709,H709,E709,F709,h)</f>
        <v>-4175312.7375193546</v>
      </c>
      <c r="F710" s="12">
        <v>14449419.015428543</v>
      </c>
      <c r="G710" s="9">
        <v>-3271.3991931788246</v>
      </c>
      <c r="H710" s="5">
        <v>-1448.1584952857527</v>
      </c>
      <c r="I710" s="5">
        <f t="shared" si="44"/>
        <v>3577.59915426524</v>
      </c>
      <c r="J710" t="str">
        <f t="shared" si="43"/>
        <v/>
      </c>
    </row>
    <row r="711" spans="3:10" x14ac:dyDescent="0.25">
      <c r="C711" s="11">
        <f t="shared" si="41"/>
        <v>2.9249999999999998</v>
      </c>
      <c r="D711" s="13">
        <f t="shared" si="42"/>
        <v>252720</v>
      </c>
      <c r="E711" s="12">
        <f t="array" ref="E711:H711">DatosSiguientes(MasaK21,G710,H710,E710,F710,h)</f>
        <v>-5316117.9638819005</v>
      </c>
      <c r="F711" s="12">
        <v>13818323.086837554</v>
      </c>
      <c r="G711" s="9">
        <v>-3066.4076199464307</v>
      </c>
      <c r="H711" s="5">
        <v>-2057.9299968864111</v>
      </c>
      <c r="I711" s="5">
        <f t="shared" si="44"/>
        <v>3692.9570216495126</v>
      </c>
      <c r="J711" t="str">
        <f t="shared" si="43"/>
        <v/>
      </c>
    </row>
    <row r="712" spans="3:10" x14ac:dyDescent="0.25">
      <c r="C712" s="11">
        <f t="shared" si="41"/>
        <v>2.9291666666666667</v>
      </c>
      <c r="D712" s="13">
        <f t="shared" si="42"/>
        <v>253080</v>
      </c>
      <c r="E712" s="12">
        <f t="array" ref="E712:H712">DatosSiguientes(MasaK21,G711,H711,E711,F711,h)</f>
        <v>-6371755.0433086883</v>
      </c>
      <c r="F712" s="12">
        <v>12967022.407756366</v>
      </c>
      <c r="G712" s="9">
        <v>-2798.2428213135026</v>
      </c>
      <c r="H712" s="5">
        <v>-2671.518220231299</v>
      </c>
      <c r="I712" s="5">
        <f t="shared" si="44"/>
        <v>3868.7430113746714</v>
      </c>
      <c r="J712" t="str">
        <f t="shared" si="43"/>
        <v/>
      </c>
    </row>
    <row r="713" spans="3:10" x14ac:dyDescent="0.25">
      <c r="C713" s="11">
        <f t="shared" si="41"/>
        <v>2.9333333333333331</v>
      </c>
      <c r="D713" s="13">
        <f t="shared" si="42"/>
        <v>253440</v>
      </c>
      <c r="E713" s="12">
        <f t="array" ref="E713:H713">DatosSiguientes(MasaK21,G712,H712,E712,F712,h)</f>
        <v>-7317394.0511864843</v>
      </c>
      <c r="F713" s="12">
        <v>11893397.084420128</v>
      </c>
      <c r="G713" s="9">
        <v>-2455.3072224520311</v>
      </c>
      <c r="H713" s="5">
        <v>-3293.0669094144646</v>
      </c>
      <c r="I713" s="5">
        <f t="shared" si="44"/>
        <v>4107.6542243116864</v>
      </c>
      <c r="J713" t="str">
        <f t="shared" si="43"/>
        <v/>
      </c>
    </row>
    <row r="714" spans="3:10" x14ac:dyDescent="0.25">
      <c r="C714" s="11">
        <f t="shared" ref="C714:C730" si="45">D714/86400</f>
        <v>2.9375</v>
      </c>
      <c r="D714" s="13">
        <f t="shared" ref="D714:D730" si="46">h+D713</f>
        <v>253800</v>
      </c>
      <c r="E714" s="12">
        <f t="array" ref="E714:H714">DatosSiguientes(MasaK21,G713,H713,E713,F713,h)</f>
        <v>-8122907.0022762725</v>
      </c>
      <c r="F714" s="12">
        <v>10594007.683969529</v>
      </c>
      <c r="G714" s="9">
        <v>-2019.7647280467925</v>
      </c>
      <c r="H714" s="5">
        <v>-3925.7630930888595</v>
      </c>
      <c r="I714" s="5">
        <f t="shared" si="44"/>
        <v>4414.8686752519088</v>
      </c>
      <c r="J714" t="str">
        <f t="shared" ref="J714:J730" si="47">IF(I714=$I$8,"&lt;--------&lt;&lt;&lt;","")</f>
        <v/>
      </c>
    </row>
    <row r="715" spans="3:10" x14ac:dyDescent="0.25">
      <c r="C715" s="11">
        <f t="shared" si="45"/>
        <v>2.9416666666666669</v>
      </c>
      <c r="D715" s="13">
        <f t="shared" si="46"/>
        <v>254160</v>
      </c>
      <c r="E715" s="12">
        <f t="array" ref="E715:H715">DatosSiguientes(MasaK21,G714,H714,E714,F714,h)</f>
        <v>-8750047.1399981882</v>
      </c>
      <c r="F715" s="12">
        <v>9064654.1315093394</v>
      </c>
      <c r="G715" s="9">
        <v>-1464.347148186074</v>
      </c>
      <c r="H715" s="5">
        <v>-4570.6455316899737</v>
      </c>
      <c r="I715" s="5">
        <f t="shared" si="44"/>
        <v>4799.4909257918398</v>
      </c>
      <c r="J715" t="str">
        <f t="shared" si="47"/>
        <v/>
      </c>
    </row>
    <row r="716" spans="3:10" x14ac:dyDescent="0.25">
      <c r="C716" s="11">
        <f t="shared" si="45"/>
        <v>2.9458333333333333</v>
      </c>
      <c r="D716" s="13">
        <f t="shared" si="46"/>
        <v>254520</v>
      </c>
      <c r="E716" s="12">
        <f t="array" ref="E716:H716">DatosSiguientes(MasaK21,G715,H715,E715,F715,h)</f>
        <v>-9148032.4051760528</v>
      </c>
      <c r="F716" s="12">
        <v>7301683.5873629441</v>
      </c>
      <c r="G716" s="9">
        <v>-746.6821028020637</v>
      </c>
      <c r="H716" s="5">
        <v>-5223.6352691233342</v>
      </c>
      <c r="I716" s="5">
        <f t="shared" si="44"/>
        <v>5276.7319040741604</v>
      </c>
      <c r="J716" t="str">
        <f t="shared" si="47"/>
        <v/>
      </c>
    </row>
    <row r="717" spans="3:10" x14ac:dyDescent="0.25">
      <c r="C717" s="11">
        <f t="shared" si="45"/>
        <v>2.95</v>
      </c>
      <c r="D717" s="13">
        <f t="shared" si="46"/>
        <v>254880</v>
      </c>
      <c r="E717" s="12">
        <f t="array" ref="E717:H717">DatosSiguientes(MasaK21,G716,H716,E716,F716,h)</f>
        <v>-9246254.9793384485</v>
      </c>
      <c r="F717" s="12">
        <v>5305193.1481426815</v>
      </c>
      <c r="G717" s="9">
        <v>201.00113523319979</v>
      </c>
      <c r="H717" s="5">
        <v>-5867.9782821003473</v>
      </c>
      <c r="I717" s="5">
        <f t="shared" ref="I717:I729" si="48">SQRT(G717^2+H717^2)</f>
        <v>5871.4198091744702</v>
      </c>
      <c r="J717" t="str">
        <f t="shared" si="47"/>
        <v/>
      </c>
    </row>
    <row r="718" spans="3:10" x14ac:dyDescent="0.25">
      <c r="C718" s="11">
        <f t="shared" si="45"/>
        <v>2.9541666666666666</v>
      </c>
      <c r="D718" s="13">
        <f t="shared" si="46"/>
        <v>255240</v>
      </c>
      <c r="E718" s="12">
        <f t="array" ref="E718:H718">DatosSiguientes(MasaK21,G717,H717,E717,F717,h)</f>
        <v>-8941754.3896924891</v>
      </c>
      <c r="F718" s="12">
        <v>3087262.9867384434</v>
      </c>
      <c r="G718" s="9">
        <v>1490.6688072443528</v>
      </c>
      <c r="H718" s="5">
        <v>-6453.8559479231972</v>
      </c>
      <c r="I718" s="5">
        <f t="shared" si="48"/>
        <v>6623.7715909770723</v>
      </c>
      <c r="J718" t="str">
        <f t="shared" si="47"/>
        <v/>
      </c>
    </row>
    <row r="719" spans="3:10" x14ac:dyDescent="0.25">
      <c r="C719" s="11">
        <f t="shared" si="45"/>
        <v>2.9583333333333335</v>
      </c>
      <c r="D719" s="13">
        <f t="shared" si="46"/>
        <v>255600</v>
      </c>
      <c r="E719" s="12">
        <f t="array" ref="E719:H719">DatosSiguientes(MasaK21,G718,H718,E718,F718,h)</f>
        <v>-8077671.6405269988</v>
      </c>
      <c r="F719" s="12">
        <v>694577.65187747567</v>
      </c>
      <c r="G719" s="9">
        <v>3309.7909103417041</v>
      </c>
      <c r="H719" s="5">
        <v>-6838.840356859957</v>
      </c>
      <c r="I719" s="5">
        <f t="shared" si="48"/>
        <v>7597.6610411887286</v>
      </c>
      <c r="J719" t="str">
        <f t="shared" si="47"/>
        <v/>
      </c>
    </row>
    <row r="720" spans="3:10" x14ac:dyDescent="0.25">
      <c r="C720" s="11">
        <f t="shared" si="45"/>
        <v>2.9624999999999999</v>
      </c>
      <c r="D720" s="13">
        <f t="shared" si="46"/>
        <v>255960</v>
      </c>
      <c r="E720" s="12">
        <f t="array" ref="E720:H720">DatosSiguientes(MasaK21,G719,H719,E719,F719,h)</f>
        <v>-6412581.2319894824</v>
      </c>
      <c r="F720" s="12">
        <v>-1724721.085178633</v>
      </c>
      <c r="G720" s="9">
        <v>5940.7113593111662</v>
      </c>
      <c r="H720" s="5">
        <v>-6601.7081823406461</v>
      </c>
      <c r="I720" s="5">
        <f t="shared" si="48"/>
        <v>8881.1374485159376</v>
      </c>
      <c r="J720" t="str">
        <f t="shared" si="47"/>
        <v/>
      </c>
    </row>
    <row r="721" spans="3:10" x14ac:dyDescent="0.25">
      <c r="C721" s="11">
        <f t="shared" si="45"/>
        <v>2.9666666666666668</v>
      </c>
      <c r="D721" s="13">
        <f t="shared" si="46"/>
        <v>256320</v>
      </c>
      <c r="E721" s="12">
        <f t="array" ref="E721:H721">DatosSiguientes(MasaK21,G720,H720,E720,F720,h)</f>
        <v>-3639196.9005916696</v>
      </c>
      <c r="F721" s="12">
        <v>-3725919.8273243415</v>
      </c>
      <c r="G721" s="9">
        <v>9466.9793706766832</v>
      </c>
      <c r="H721" s="5">
        <v>-4516.062607357735</v>
      </c>
      <c r="I721" s="5">
        <f t="shared" si="48"/>
        <v>10488.971345103038</v>
      </c>
      <c r="J721" t="str">
        <f t="shared" si="47"/>
        <v/>
      </c>
    </row>
    <row r="722" spans="3:10" x14ac:dyDescent="0.25">
      <c r="C722" s="11">
        <f t="shared" si="45"/>
        <v>2.9708333333333332</v>
      </c>
      <c r="D722" s="13">
        <f t="shared" si="46"/>
        <v>256680</v>
      </c>
      <c r="E722" s="12">
        <f t="array" ref="E722:H722">DatosSiguientes(MasaK21,G721,H721,E721,F721,h)</f>
        <v>168908.41453940849</v>
      </c>
      <c r="F722" s="12">
        <v>-4274597.9130642796</v>
      </c>
      <c r="G722" s="9">
        <v>11689.161268940417</v>
      </c>
      <c r="H722" s="5">
        <v>1467.851019913634</v>
      </c>
      <c r="I722" s="5">
        <f t="shared" si="48"/>
        <v>11780.962515344756</v>
      </c>
      <c r="J722" t="str">
        <f t="shared" si="47"/>
        <v/>
      </c>
    </row>
    <row r="723" spans="3:10" x14ac:dyDescent="0.25">
      <c r="C723" s="11">
        <f t="shared" si="45"/>
        <v>2.9750000000000001</v>
      </c>
      <c r="D723" s="13">
        <f t="shared" si="46"/>
        <v>257040</v>
      </c>
      <c r="E723" s="12">
        <f t="array" ref="E723:H723">DatosSiguientes(MasaK21,G722,H722,E722,F722,h)</f>
        <v>3710822.6574834962</v>
      </c>
      <c r="F723" s="12">
        <v>-2579152.4765549828</v>
      </c>
      <c r="G723" s="9">
        <v>7988.1400807489599</v>
      </c>
      <c r="H723" s="5">
        <v>7951.2902940269032</v>
      </c>
      <c r="I723" s="5">
        <f t="shared" si="48"/>
        <v>11270.909426020353</v>
      </c>
      <c r="J723" t="str">
        <f t="shared" si="47"/>
        <v/>
      </c>
    </row>
    <row r="724" spans="3:10" x14ac:dyDescent="0.25">
      <c r="C724" s="11">
        <f t="shared" si="45"/>
        <v>2.9791666666666665</v>
      </c>
      <c r="D724" s="13">
        <f t="shared" si="46"/>
        <v>257400</v>
      </c>
      <c r="E724" s="12">
        <f t="array" ref="E724:H724">DatosSiguientes(MasaK21,G723,H723,E723,F723,h)</f>
        <v>5603080.3094338141</v>
      </c>
      <c r="F724" s="12">
        <v>533406.17345249932</v>
      </c>
      <c r="G724" s="9">
        <v>2524.4024300861388</v>
      </c>
      <c r="H724" s="5">
        <v>9340.7022060146646</v>
      </c>
      <c r="I724" s="5">
        <f t="shared" si="48"/>
        <v>9675.8113525673925</v>
      </c>
      <c r="J724" t="str">
        <f t="shared" si="47"/>
        <v/>
      </c>
    </row>
    <row r="725" spans="3:10" x14ac:dyDescent="0.25">
      <c r="C725" s="11">
        <f t="shared" si="45"/>
        <v>2.9833333333333334</v>
      </c>
      <c r="D725" s="13">
        <f t="shared" si="46"/>
        <v>257760</v>
      </c>
      <c r="E725" s="12">
        <f t="array" ref="E725:H725">DatosSiguientes(MasaK21,G724,H724,E724,F724,h)</f>
        <v>5889903.5243261149</v>
      </c>
      <c r="F725" s="12">
        <v>3683901.0675369548</v>
      </c>
      <c r="G725" s="9">
        <v>-930.94012512891231</v>
      </c>
      <c r="H725" s="5">
        <v>8162.0472055656437</v>
      </c>
      <c r="I725" s="5">
        <f t="shared" si="48"/>
        <v>8214.9658613080665</v>
      </c>
      <c r="J725" t="str">
        <f t="shared" si="47"/>
        <v/>
      </c>
    </row>
    <row r="726" spans="3:10" x14ac:dyDescent="0.25">
      <c r="C726" s="11">
        <f t="shared" si="45"/>
        <v>2.9874999999999998</v>
      </c>
      <c r="D726" s="13">
        <f t="shared" si="46"/>
        <v>258120</v>
      </c>
      <c r="E726" s="12">
        <f t="array" ref="E726:H726">DatosSiguientes(MasaK21,G725,H725,E725,F725,h)</f>
        <v>5215867.3508410063</v>
      </c>
      <c r="F726" s="12">
        <v>6324593.3554388043</v>
      </c>
      <c r="G726" s="9">
        <v>-2813.7052831216893</v>
      </c>
      <c r="H726" s="5">
        <v>6508.4655050001884</v>
      </c>
      <c r="I726" s="5">
        <f t="shared" si="48"/>
        <v>7090.631893565218</v>
      </c>
      <c r="J726" t="str">
        <f t="shared" si="47"/>
        <v/>
      </c>
    </row>
    <row r="727" spans="3:10" x14ac:dyDescent="0.25">
      <c r="C727" s="11">
        <f t="shared" si="45"/>
        <v>2.9916666666666667</v>
      </c>
      <c r="D727" s="13">
        <f t="shared" si="46"/>
        <v>258480</v>
      </c>
      <c r="E727" s="12">
        <f t="array" ref="E727:H727">DatosSiguientes(MasaK21,G726,H726,E726,F726,h)</f>
        <v>4021475.1863947799</v>
      </c>
      <c r="F727" s="12">
        <v>8383378.2270995658</v>
      </c>
      <c r="G727" s="9">
        <v>-3821.8067415795676</v>
      </c>
      <c r="H727" s="5">
        <v>4929.2282264484847</v>
      </c>
      <c r="I727" s="5">
        <f t="shared" si="48"/>
        <v>6237.2668436102294</v>
      </c>
      <c r="J727" t="str">
        <f t="shared" si="47"/>
        <v/>
      </c>
    </row>
    <row r="728" spans="3:10" x14ac:dyDescent="0.25">
      <c r="C728" s="11">
        <f t="shared" si="45"/>
        <v>2.9958333333333331</v>
      </c>
      <c r="D728" s="13">
        <f t="shared" si="46"/>
        <v>258840</v>
      </c>
      <c r="E728" s="12">
        <f t="array" ref="E728:H728">DatosSiguientes(MasaK21,G727,H727,E727,F727,h)</f>
        <v>2552970.7887740121</v>
      </c>
      <c r="F728" s="12">
        <v>9903753.3090704549</v>
      </c>
      <c r="G728" s="9">
        <v>-4336.551022980253</v>
      </c>
      <c r="H728" s="5">
        <v>3517.3000067231164</v>
      </c>
      <c r="I728" s="5">
        <f t="shared" si="48"/>
        <v>5583.6434442221962</v>
      </c>
      <c r="J728" t="str">
        <f t="shared" si="47"/>
        <v/>
      </c>
    </row>
    <row r="729" spans="3:10" x14ac:dyDescent="0.25">
      <c r="C729" s="11">
        <f t="shared" si="45"/>
        <v>3</v>
      </c>
      <c r="D729" s="13">
        <f t="shared" si="46"/>
        <v>259200</v>
      </c>
      <c r="E729" s="12">
        <f t="array" ref="E729:H729">DatosSiguientes(MasaK21,G728,H728,E728,F728,h)</f>
        <v>953180.21354047966</v>
      </c>
      <c r="F729" s="12">
        <v>10944184.156711398</v>
      </c>
      <c r="G729" s="9">
        <v>-4551.1743949838165</v>
      </c>
      <c r="H729" s="5">
        <v>2262.8713690598956</v>
      </c>
      <c r="I729" s="5">
        <f t="shared" si="48"/>
        <v>5082.6936959123668</v>
      </c>
      <c r="J729" t="str">
        <f t="shared" si="47"/>
        <v/>
      </c>
    </row>
    <row r="730" spans="3:10" x14ac:dyDescent="0.25">
      <c r="C730" s="11">
        <f t="shared" si="45"/>
        <v>3.0041666666666669</v>
      </c>
      <c r="D730" s="13">
        <f t="shared" si="46"/>
        <v>259560</v>
      </c>
      <c r="E730" s="12">
        <f t="array" ref="E730:H730">DatosSiguientes(MasaK21,G729,H729,E729,F729,h)</f>
        <v>-687997.32278533618</v>
      </c>
      <c r="F730" s="12">
        <v>11556381.454657042</v>
      </c>
      <c r="G730" s="9">
        <v>-4566.4785846040495</v>
      </c>
      <c r="H730" s="5">
        <v>1138.2247306381335</v>
      </c>
      <c r="I730" s="5">
        <f t="shared" ref="I730" si="49">SQRT(G730^2+H730^2)</f>
        <v>4706.1961498734463</v>
      </c>
      <c r="J730" t="str">
        <f t="shared" si="47"/>
        <v/>
      </c>
    </row>
    <row r="731" spans="3:10" x14ac:dyDescent="0.25">
      <c r="C731" s="11"/>
      <c r="E731" s="12"/>
      <c r="F731" s="12"/>
      <c r="G731" s="9"/>
      <c r="H731" s="5"/>
      <c r="I731" s="5"/>
    </row>
    <row r="732" spans="3:10" x14ac:dyDescent="0.25">
      <c r="C732" s="11"/>
      <c r="E732" s="12"/>
      <c r="F732" s="12"/>
      <c r="G732" s="9"/>
      <c r="H732" s="5"/>
      <c r="I732" s="5"/>
    </row>
    <row r="733" spans="3:10" x14ac:dyDescent="0.25">
      <c r="C733" s="11"/>
      <c r="E733" s="12"/>
      <c r="F733" s="12"/>
      <c r="G733" s="9"/>
      <c r="H733" s="5"/>
      <c r="I733" s="5"/>
    </row>
    <row r="734" spans="3:10" x14ac:dyDescent="0.25">
      <c r="C734" s="11"/>
      <c r="E734" s="12"/>
      <c r="F734" s="12"/>
      <c r="G734" s="9"/>
      <c r="H734" s="5"/>
      <c r="I734" s="5"/>
    </row>
    <row r="735" spans="3:10" x14ac:dyDescent="0.25">
      <c r="C735" s="11"/>
      <c r="E735" s="12"/>
      <c r="F735" s="12"/>
      <c r="G735" s="9"/>
      <c r="H735" s="5"/>
      <c r="I735" s="5"/>
    </row>
    <row r="736" spans="3:10" x14ac:dyDescent="0.25">
      <c r="C736" s="11"/>
      <c r="E736" s="12"/>
      <c r="F736" s="12"/>
      <c r="G736" s="9"/>
      <c r="H736" s="5"/>
      <c r="I736" s="5"/>
    </row>
    <row r="737" spans="3:9" x14ac:dyDescent="0.25">
      <c r="C737" s="11"/>
      <c r="E737" s="12"/>
      <c r="F737" s="12"/>
      <c r="G737" s="9"/>
      <c r="H737" s="5"/>
      <c r="I737" s="5"/>
    </row>
    <row r="738" spans="3:9" x14ac:dyDescent="0.25">
      <c r="C738" s="11"/>
      <c r="E738" s="12"/>
      <c r="F738" s="12"/>
      <c r="G738" s="9"/>
      <c r="H738" s="5"/>
      <c r="I738" s="5"/>
    </row>
    <row r="739" spans="3:9" x14ac:dyDescent="0.25">
      <c r="C739" s="11"/>
      <c r="E739" s="12"/>
      <c r="F739" s="12"/>
      <c r="G739" s="9"/>
      <c r="H739" s="5"/>
      <c r="I739" s="5"/>
    </row>
    <row r="740" spans="3:9" x14ac:dyDescent="0.25">
      <c r="C740" s="11"/>
      <c r="E740" s="12"/>
      <c r="F740" s="12"/>
      <c r="G740" s="9"/>
      <c r="H740" s="5"/>
      <c r="I740" s="5"/>
    </row>
    <row r="741" spans="3:9" x14ac:dyDescent="0.25">
      <c r="C741" s="11"/>
      <c r="E741" s="12"/>
      <c r="F741" s="12"/>
      <c r="G741" s="9"/>
      <c r="H741" s="5"/>
      <c r="I741" s="5"/>
    </row>
    <row r="742" spans="3:9" x14ac:dyDescent="0.25">
      <c r="C742" s="11"/>
      <c r="E742" s="12"/>
      <c r="F742" s="12"/>
      <c r="G742" s="9"/>
      <c r="H742" s="5"/>
      <c r="I742" s="5"/>
    </row>
    <row r="743" spans="3:9" x14ac:dyDescent="0.25">
      <c r="C743" s="11"/>
      <c r="E743" s="12"/>
      <c r="F743" s="12"/>
      <c r="G743" s="9"/>
      <c r="H743" s="5"/>
      <c r="I743" s="5"/>
    </row>
    <row r="744" spans="3:9" x14ac:dyDescent="0.25">
      <c r="C744" s="11"/>
      <c r="E744" s="12"/>
      <c r="F744" s="12"/>
      <c r="G744" s="9"/>
      <c r="H744" s="5"/>
      <c r="I744" s="5"/>
    </row>
    <row r="745" spans="3:9" x14ac:dyDescent="0.25">
      <c r="C745" s="11"/>
      <c r="E745" s="12"/>
      <c r="F745" s="12"/>
      <c r="G745" s="9"/>
      <c r="H745" s="5"/>
      <c r="I745" s="5"/>
    </row>
    <row r="746" spans="3:9" x14ac:dyDescent="0.25">
      <c r="C746" s="11"/>
      <c r="E746" s="12"/>
      <c r="F746" s="12"/>
      <c r="G746" s="9"/>
      <c r="H746" s="5"/>
      <c r="I746" s="5"/>
    </row>
    <row r="747" spans="3:9" x14ac:dyDescent="0.25">
      <c r="C747" s="11"/>
      <c r="E747" s="12"/>
      <c r="F747" s="12"/>
      <c r="G747" s="9"/>
      <c r="H747" s="5"/>
      <c r="I747" s="5"/>
    </row>
    <row r="748" spans="3:9" x14ac:dyDescent="0.25">
      <c r="C748" s="11"/>
      <c r="E748" s="12"/>
      <c r="F748" s="12"/>
      <c r="G748" s="9"/>
      <c r="H748" s="5"/>
      <c r="I748" s="5"/>
    </row>
    <row r="749" spans="3:9" x14ac:dyDescent="0.25">
      <c r="C749" s="11"/>
      <c r="E749" s="12"/>
      <c r="F749" s="12"/>
      <c r="G749" s="9"/>
      <c r="H749" s="5"/>
      <c r="I749" s="5"/>
    </row>
    <row r="750" spans="3:9" x14ac:dyDescent="0.25">
      <c r="C750" s="11"/>
      <c r="E750" s="12"/>
      <c r="F750" s="12"/>
      <c r="G750" s="9"/>
      <c r="H750" s="5"/>
      <c r="I750" s="5"/>
    </row>
    <row r="751" spans="3:9" x14ac:dyDescent="0.25">
      <c r="C751" s="11"/>
      <c r="E751" s="12"/>
      <c r="F751" s="12"/>
      <c r="G751" s="9"/>
      <c r="H751" s="5"/>
      <c r="I751" s="5"/>
    </row>
    <row r="752" spans="3:9" x14ac:dyDescent="0.25">
      <c r="C752" s="11"/>
      <c r="E752" s="12"/>
      <c r="F752" s="12"/>
      <c r="G752" s="9"/>
      <c r="H752" s="5"/>
      <c r="I752" s="5"/>
    </row>
    <row r="753" spans="3:9" x14ac:dyDescent="0.25">
      <c r="C753" s="11"/>
      <c r="E753" s="12"/>
      <c r="F753" s="12"/>
      <c r="G753" s="9"/>
      <c r="H753" s="5"/>
      <c r="I753" s="5"/>
    </row>
    <row r="754" spans="3:9" x14ac:dyDescent="0.25">
      <c r="C754" s="11"/>
      <c r="E754" s="12"/>
      <c r="F754" s="12"/>
      <c r="G754" s="9"/>
      <c r="H754" s="5"/>
      <c r="I754" s="5"/>
    </row>
    <row r="755" spans="3:9" x14ac:dyDescent="0.25">
      <c r="C755" s="11"/>
      <c r="E755" s="12"/>
      <c r="F755" s="12"/>
      <c r="G755" s="9"/>
      <c r="H755" s="5"/>
      <c r="I755" s="5"/>
    </row>
    <row r="756" spans="3:9" x14ac:dyDescent="0.25">
      <c r="C756" s="11"/>
      <c r="E756" s="12"/>
      <c r="F756" s="12"/>
      <c r="G756" s="9"/>
      <c r="H756" s="5"/>
      <c r="I756" s="5"/>
    </row>
    <row r="757" spans="3:9" x14ac:dyDescent="0.25">
      <c r="C757" s="11"/>
      <c r="E757" s="12"/>
      <c r="F757" s="12"/>
      <c r="G757" s="9"/>
      <c r="H757" s="5"/>
      <c r="I757" s="5"/>
    </row>
    <row r="758" spans="3:9" x14ac:dyDescent="0.25">
      <c r="C758" s="11"/>
      <c r="E758" s="12"/>
      <c r="F758" s="12"/>
      <c r="G758" s="9"/>
      <c r="H758" s="5"/>
      <c r="I758" s="5"/>
    </row>
    <row r="759" spans="3:9" x14ac:dyDescent="0.25">
      <c r="C759" s="11"/>
      <c r="E759" s="12"/>
      <c r="F759" s="12"/>
      <c r="G759" s="9"/>
      <c r="H759" s="5"/>
      <c r="I759" s="5"/>
    </row>
    <row r="760" spans="3:9" x14ac:dyDescent="0.25">
      <c r="C760" s="11"/>
      <c r="E760" s="12"/>
      <c r="F760" s="12"/>
      <c r="G760" s="9"/>
      <c r="H760" s="5"/>
      <c r="I760" s="5"/>
    </row>
    <row r="761" spans="3:9" x14ac:dyDescent="0.25">
      <c r="C761" s="11"/>
      <c r="E761" s="12"/>
      <c r="F761" s="12"/>
      <c r="G761" s="9"/>
      <c r="H761" s="5"/>
      <c r="I761" s="5"/>
    </row>
    <row r="762" spans="3:9" x14ac:dyDescent="0.25">
      <c r="C762" s="11"/>
      <c r="E762" s="12"/>
      <c r="F762" s="12"/>
      <c r="G762" s="9"/>
      <c r="H762" s="5"/>
      <c r="I762" s="5"/>
    </row>
    <row r="763" spans="3:9" x14ac:dyDescent="0.25">
      <c r="C763" s="11"/>
      <c r="E763" s="12"/>
      <c r="F763" s="12"/>
      <c r="G763" s="9"/>
      <c r="H763" s="5"/>
      <c r="I763" s="5"/>
    </row>
    <row r="764" spans="3:9" x14ac:dyDescent="0.25">
      <c r="C764" s="11"/>
      <c r="E764" s="12"/>
      <c r="F764" s="12"/>
      <c r="G764" s="9"/>
      <c r="H764" s="5"/>
      <c r="I764" s="5"/>
    </row>
    <row r="765" spans="3:9" x14ac:dyDescent="0.25">
      <c r="C765" s="11"/>
      <c r="E765" s="12"/>
      <c r="F765" s="12"/>
      <c r="G765" s="9"/>
      <c r="H765" s="5"/>
      <c r="I765" s="5"/>
    </row>
    <row r="766" spans="3:9" x14ac:dyDescent="0.25">
      <c r="C766" s="11"/>
      <c r="E766" s="12"/>
      <c r="F766" s="12"/>
      <c r="G766" s="9"/>
      <c r="H766" s="5"/>
      <c r="I766" s="5"/>
    </row>
    <row r="767" spans="3:9" x14ac:dyDescent="0.25">
      <c r="C767" s="11"/>
      <c r="E767" s="12"/>
      <c r="F767" s="12"/>
      <c r="G767" s="9"/>
      <c r="H767" s="5"/>
      <c r="I767" s="5"/>
    </row>
    <row r="768" spans="3:9" x14ac:dyDescent="0.25">
      <c r="C768" s="11"/>
      <c r="E768" s="12"/>
      <c r="F768" s="12"/>
      <c r="G768" s="9"/>
      <c r="H768" s="5"/>
      <c r="I768" s="5"/>
    </row>
    <row r="769" spans="3:9" x14ac:dyDescent="0.25">
      <c r="C769" s="11"/>
      <c r="E769" s="12"/>
      <c r="F769" s="12"/>
      <c r="G769" s="9"/>
      <c r="H769" s="5"/>
      <c r="I769" s="5"/>
    </row>
    <row r="770" spans="3:9" x14ac:dyDescent="0.25">
      <c r="C770" s="11"/>
      <c r="E770" s="12"/>
      <c r="F770" s="12"/>
      <c r="G770" s="9"/>
      <c r="H770" s="5"/>
      <c r="I770" s="5"/>
    </row>
    <row r="771" spans="3:9" x14ac:dyDescent="0.25">
      <c r="C771" s="11"/>
      <c r="E771" s="12"/>
      <c r="F771" s="12"/>
      <c r="G771" s="9"/>
      <c r="H771" s="5"/>
      <c r="I771" s="5"/>
    </row>
    <row r="772" spans="3:9" x14ac:dyDescent="0.25">
      <c r="C772" s="11"/>
      <c r="E772" s="12"/>
      <c r="F772" s="12"/>
      <c r="G772" s="9"/>
      <c r="H772" s="5"/>
      <c r="I772" s="5"/>
    </row>
    <row r="773" spans="3:9" x14ac:dyDescent="0.25">
      <c r="C773" s="11"/>
      <c r="E773" s="12"/>
      <c r="F773" s="12"/>
      <c r="G773" s="9"/>
      <c r="H773" s="5"/>
      <c r="I773" s="5"/>
    </row>
    <row r="774" spans="3:9" x14ac:dyDescent="0.25">
      <c r="C774" s="11"/>
      <c r="E774" s="12"/>
      <c r="F774" s="12"/>
      <c r="G774" s="9"/>
      <c r="H774" s="5"/>
      <c r="I774" s="5"/>
    </row>
    <row r="775" spans="3:9" x14ac:dyDescent="0.25">
      <c r="C775" s="11"/>
      <c r="E775" s="12"/>
      <c r="F775" s="12"/>
      <c r="G775" s="9"/>
      <c r="H775" s="5"/>
      <c r="I775" s="5"/>
    </row>
    <row r="776" spans="3:9" x14ac:dyDescent="0.25">
      <c r="C776" s="11"/>
      <c r="E776" s="12"/>
      <c r="F776" s="12"/>
      <c r="G776" s="9"/>
      <c r="H776" s="5"/>
      <c r="I776" s="5"/>
    </row>
    <row r="777" spans="3:9" x14ac:dyDescent="0.25">
      <c r="C777" s="11"/>
      <c r="E777" s="12"/>
      <c r="F777" s="12"/>
      <c r="G777" s="9"/>
      <c r="H777" s="5"/>
      <c r="I777" s="5"/>
    </row>
    <row r="778" spans="3:9" x14ac:dyDescent="0.25">
      <c r="C778" s="11"/>
      <c r="E778" s="12"/>
      <c r="F778" s="12"/>
      <c r="G778" s="9"/>
      <c r="H778" s="5"/>
      <c r="I778" s="5"/>
    </row>
    <row r="779" spans="3:9" x14ac:dyDescent="0.25">
      <c r="C779" s="11"/>
      <c r="E779" s="12"/>
      <c r="F779" s="12"/>
      <c r="G779" s="9"/>
      <c r="H779" s="5"/>
      <c r="I779" s="5"/>
    </row>
    <row r="780" spans="3:9" x14ac:dyDescent="0.25">
      <c r="C780" s="11"/>
      <c r="E780" s="12"/>
      <c r="F780" s="12"/>
      <c r="G780" s="9"/>
      <c r="H780" s="5"/>
      <c r="I780" s="5"/>
    </row>
    <row r="781" spans="3:9" x14ac:dyDescent="0.25">
      <c r="C781" s="11"/>
      <c r="E781" s="12"/>
      <c r="F781" s="12"/>
      <c r="G781" s="9"/>
      <c r="H781" s="5"/>
      <c r="I781" s="5"/>
    </row>
    <row r="782" spans="3:9" x14ac:dyDescent="0.25">
      <c r="C782" s="11"/>
      <c r="E782" s="12"/>
      <c r="F782" s="12"/>
      <c r="G782" s="9"/>
      <c r="H782" s="5"/>
      <c r="I782" s="5"/>
    </row>
    <row r="783" spans="3:9" x14ac:dyDescent="0.25">
      <c r="C783" s="11"/>
      <c r="E783" s="12"/>
      <c r="F783" s="12"/>
      <c r="G783" s="9"/>
      <c r="H783" s="5"/>
      <c r="I783" s="5"/>
    </row>
    <row r="784" spans="3:9" x14ac:dyDescent="0.25">
      <c r="C784" s="11"/>
      <c r="E784" s="12"/>
      <c r="F784" s="12"/>
      <c r="G784" s="9"/>
      <c r="H784" s="5"/>
      <c r="I784" s="5"/>
    </row>
    <row r="785" spans="3:9" x14ac:dyDescent="0.25">
      <c r="C785" s="11"/>
      <c r="E785" s="12"/>
      <c r="F785" s="12"/>
      <c r="G785" s="9"/>
      <c r="H785" s="5"/>
      <c r="I785" s="5"/>
    </row>
    <row r="786" spans="3:9" x14ac:dyDescent="0.25">
      <c r="C786" s="11"/>
      <c r="E786" s="12"/>
      <c r="F786" s="12"/>
      <c r="G786" s="9"/>
      <c r="H786" s="5"/>
      <c r="I786" s="5"/>
    </row>
    <row r="787" spans="3:9" x14ac:dyDescent="0.25">
      <c r="C787" s="11"/>
      <c r="E787" s="12"/>
      <c r="F787" s="12"/>
      <c r="G787" s="9"/>
      <c r="H787" s="5"/>
      <c r="I787" s="5"/>
    </row>
    <row r="788" spans="3:9" x14ac:dyDescent="0.25">
      <c r="C788" s="11"/>
      <c r="E788" s="12"/>
      <c r="F788" s="12"/>
      <c r="G788" s="9"/>
      <c r="H788" s="5"/>
      <c r="I788" s="5"/>
    </row>
    <row r="789" spans="3:9" x14ac:dyDescent="0.25">
      <c r="C789" s="11"/>
      <c r="E789" s="12"/>
      <c r="F789" s="12"/>
      <c r="G789" s="9"/>
      <c r="H789" s="5"/>
      <c r="I789" s="5"/>
    </row>
    <row r="790" spans="3:9" x14ac:dyDescent="0.25">
      <c r="C790" s="11"/>
      <c r="E790" s="12"/>
      <c r="F790" s="12"/>
      <c r="G790" s="9"/>
      <c r="H790" s="5"/>
      <c r="I790" s="5"/>
    </row>
    <row r="791" spans="3:9" x14ac:dyDescent="0.25">
      <c r="C791" s="11"/>
      <c r="E791" s="12"/>
      <c r="F791" s="12"/>
      <c r="G791" s="9"/>
      <c r="H791" s="5"/>
      <c r="I791" s="5"/>
    </row>
    <row r="792" spans="3:9" x14ac:dyDescent="0.25">
      <c r="C792" s="11"/>
      <c r="E792" s="12"/>
      <c r="F792" s="12"/>
      <c r="G792" s="9"/>
      <c r="H792" s="5"/>
      <c r="I792" s="5"/>
    </row>
    <row r="793" spans="3:9" x14ac:dyDescent="0.25">
      <c r="C793" s="11"/>
      <c r="E793" s="12"/>
      <c r="F793" s="12"/>
      <c r="G793" s="9"/>
      <c r="H793" s="5"/>
      <c r="I793" s="5"/>
    </row>
    <row r="794" spans="3:9" x14ac:dyDescent="0.25">
      <c r="C794" s="11"/>
      <c r="E794" s="12"/>
      <c r="F794" s="12"/>
      <c r="G794" s="9"/>
      <c r="H794" s="5"/>
      <c r="I794" s="5"/>
    </row>
    <row r="795" spans="3:9" x14ac:dyDescent="0.25">
      <c r="C795" s="11"/>
      <c r="E795" s="12"/>
      <c r="F795" s="12"/>
      <c r="G795" s="9"/>
      <c r="H795" s="5"/>
      <c r="I795" s="5"/>
    </row>
    <row r="796" spans="3:9" x14ac:dyDescent="0.25">
      <c r="C796" s="11"/>
      <c r="E796" s="12"/>
      <c r="F796" s="12"/>
      <c r="G796" s="9"/>
      <c r="H796" s="5"/>
      <c r="I796" s="5"/>
    </row>
    <row r="797" spans="3:9" x14ac:dyDescent="0.25">
      <c r="C797" s="11"/>
      <c r="E797" s="12"/>
      <c r="F797" s="12"/>
      <c r="G797" s="9"/>
      <c r="H797" s="5"/>
      <c r="I797" s="5"/>
    </row>
    <row r="798" spans="3:9" x14ac:dyDescent="0.25">
      <c r="C798" s="11"/>
      <c r="E798" s="12"/>
      <c r="F798" s="12"/>
      <c r="G798" s="9"/>
      <c r="H798" s="5"/>
      <c r="I798" s="5"/>
    </row>
    <row r="799" spans="3:9" x14ac:dyDescent="0.25">
      <c r="C799" s="11"/>
      <c r="E799" s="12"/>
      <c r="F799" s="12"/>
      <c r="G799" s="9"/>
      <c r="H799" s="5"/>
      <c r="I799" s="5"/>
    </row>
    <row r="800" spans="3:9" x14ac:dyDescent="0.25">
      <c r="C800" s="11"/>
      <c r="E800" s="12"/>
      <c r="F800" s="12"/>
      <c r="G800" s="9"/>
      <c r="H800" s="5"/>
      <c r="I800" s="5"/>
    </row>
    <row r="801" spans="3:9" x14ac:dyDescent="0.25">
      <c r="C801" s="11"/>
      <c r="E801" s="12"/>
      <c r="F801" s="12"/>
      <c r="G801" s="9"/>
      <c r="H801" s="5"/>
      <c r="I801" s="5"/>
    </row>
    <row r="802" spans="3:9" x14ac:dyDescent="0.25">
      <c r="C802" s="11"/>
      <c r="E802" s="12"/>
      <c r="F802" s="12"/>
      <c r="G802" s="9"/>
      <c r="H802" s="5"/>
      <c r="I802" s="5"/>
    </row>
    <row r="803" spans="3:9" x14ac:dyDescent="0.25">
      <c r="C803" s="11"/>
      <c r="E803" s="12"/>
      <c r="F803" s="12"/>
      <c r="G803" s="9"/>
      <c r="H803" s="5"/>
      <c r="I803" s="5"/>
    </row>
    <row r="804" spans="3:9" x14ac:dyDescent="0.25">
      <c r="C804" s="11"/>
      <c r="E804" s="12"/>
      <c r="F804" s="12"/>
      <c r="G804" s="9"/>
      <c r="H804" s="5"/>
      <c r="I804" s="5"/>
    </row>
    <row r="805" spans="3:9" x14ac:dyDescent="0.25">
      <c r="C805" s="11"/>
      <c r="E805" s="12"/>
      <c r="F805" s="12"/>
      <c r="G805" s="9"/>
      <c r="H805" s="5"/>
      <c r="I805" s="5"/>
    </row>
    <row r="806" spans="3:9" x14ac:dyDescent="0.25">
      <c r="C806" s="11"/>
      <c r="E806" s="12"/>
      <c r="F806" s="12"/>
      <c r="G806" s="9"/>
      <c r="H806" s="5"/>
      <c r="I806" s="5"/>
    </row>
    <row r="807" spans="3:9" x14ac:dyDescent="0.25">
      <c r="C807" s="11"/>
      <c r="E807" s="12"/>
      <c r="F807" s="12"/>
      <c r="G807" s="9"/>
      <c r="H807" s="5"/>
      <c r="I807" s="5"/>
    </row>
    <row r="808" spans="3:9" x14ac:dyDescent="0.25">
      <c r="C808" s="11"/>
      <c r="E808" s="12"/>
      <c r="F808" s="12"/>
      <c r="G808" s="9"/>
      <c r="H808" s="5"/>
      <c r="I808" s="5"/>
    </row>
    <row r="809" spans="3:9" x14ac:dyDescent="0.25">
      <c r="C809" s="11"/>
      <c r="E809" s="12"/>
      <c r="F809" s="12"/>
      <c r="G809" s="9"/>
      <c r="H809" s="5"/>
      <c r="I809" s="5"/>
    </row>
    <row r="810" spans="3:9" x14ac:dyDescent="0.25">
      <c r="C810" s="11"/>
      <c r="E810" s="12"/>
      <c r="F810" s="12"/>
      <c r="G810" s="9"/>
      <c r="H810" s="5"/>
      <c r="I810" s="5"/>
    </row>
    <row r="811" spans="3:9" x14ac:dyDescent="0.25">
      <c r="C811" s="11"/>
      <c r="E811" s="12"/>
      <c r="F811" s="12"/>
      <c r="G811" s="9"/>
      <c r="H811" s="5"/>
      <c r="I811" s="5"/>
    </row>
    <row r="812" spans="3:9" x14ac:dyDescent="0.25">
      <c r="C812" s="11"/>
      <c r="E812" s="12"/>
      <c r="F812" s="12"/>
      <c r="G812" s="9"/>
      <c r="H812" s="5"/>
      <c r="I812" s="5"/>
    </row>
    <row r="813" spans="3:9" x14ac:dyDescent="0.25">
      <c r="C813" s="11"/>
      <c r="E813" s="12"/>
      <c r="F813" s="12"/>
      <c r="G813" s="9"/>
      <c r="H813" s="5"/>
      <c r="I813" s="5"/>
    </row>
    <row r="814" spans="3:9" x14ac:dyDescent="0.25">
      <c r="C814" s="11"/>
      <c r="E814" s="12"/>
      <c r="F814" s="12"/>
      <c r="G814" s="9"/>
      <c r="H814" s="5"/>
      <c r="I814" s="5"/>
    </row>
    <row r="815" spans="3:9" x14ac:dyDescent="0.25">
      <c r="C815" s="11"/>
      <c r="E815" s="12"/>
      <c r="F815" s="12"/>
      <c r="G815" s="9"/>
      <c r="H815" s="5"/>
      <c r="I815" s="5"/>
    </row>
    <row r="816" spans="3:9" x14ac:dyDescent="0.25">
      <c r="C816" s="11"/>
      <c r="E816" s="12"/>
      <c r="F816" s="12"/>
      <c r="G816" s="9"/>
      <c r="H816" s="5"/>
      <c r="I816" s="5"/>
    </row>
    <row r="817" spans="3:9" x14ac:dyDescent="0.25">
      <c r="C817" s="11"/>
      <c r="E817" s="12"/>
      <c r="F817" s="12"/>
      <c r="G817" s="9"/>
      <c r="H817" s="5"/>
      <c r="I817" s="5"/>
    </row>
    <row r="818" spans="3:9" x14ac:dyDescent="0.25">
      <c r="C818" s="11"/>
      <c r="E818" s="12"/>
      <c r="F818" s="12"/>
      <c r="G818" s="9"/>
      <c r="H818" s="5"/>
      <c r="I818" s="5"/>
    </row>
    <row r="819" spans="3:9" x14ac:dyDescent="0.25">
      <c r="C819" s="11"/>
      <c r="E819" s="12"/>
      <c r="F819" s="12"/>
      <c r="G819" s="9"/>
      <c r="H819" s="5"/>
      <c r="I819" s="5"/>
    </row>
    <row r="820" spans="3:9" x14ac:dyDescent="0.25">
      <c r="C820" s="11"/>
      <c r="E820" s="12"/>
      <c r="F820" s="12"/>
      <c r="G820" s="9"/>
      <c r="H820" s="5"/>
      <c r="I820" s="5"/>
    </row>
    <row r="821" spans="3:9" x14ac:dyDescent="0.25">
      <c r="C821" s="11"/>
      <c r="E821" s="12"/>
      <c r="F821" s="12"/>
      <c r="G821" s="9"/>
      <c r="H821" s="5"/>
      <c r="I821" s="5"/>
    </row>
    <row r="822" spans="3:9" x14ac:dyDescent="0.25">
      <c r="C822" s="11"/>
      <c r="E822" s="12"/>
      <c r="F822" s="12"/>
      <c r="G822" s="9"/>
      <c r="H822" s="5"/>
      <c r="I822" s="5"/>
    </row>
    <row r="823" spans="3:9" x14ac:dyDescent="0.25">
      <c r="C823" s="11"/>
      <c r="E823" s="12"/>
      <c r="F823" s="12"/>
      <c r="G823" s="9"/>
      <c r="H823" s="5"/>
      <c r="I823" s="5"/>
    </row>
    <row r="824" spans="3:9" x14ac:dyDescent="0.25">
      <c r="C824" s="11"/>
      <c r="E824" s="12"/>
      <c r="F824" s="12"/>
      <c r="G824" s="9"/>
      <c r="H824" s="5"/>
      <c r="I824" s="5"/>
    </row>
    <row r="825" spans="3:9" x14ac:dyDescent="0.25">
      <c r="C825" s="11"/>
      <c r="E825" s="12"/>
      <c r="F825" s="12"/>
      <c r="G825" s="9"/>
      <c r="H825" s="5"/>
      <c r="I825" s="5"/>
    </row>
    <row r="826" spans="3:9" x14ac:dyDescent="0.25">
      <c r="C826" s="11"/>
      <c r="E826" s="12"/>
      <c r="F826" s="12"/>
      <c r="G826" s="9"/>
      <c r="H826" s="5"/>
      <c r="I826" s="5"/>
    </row>
    <row r="827" spans="3:9" x14ac:dyDescent="0.25">
      <c r="C827" s="11"/>
      <c r="E827" s="12"/>
      <c r="F827" s="12"/>
      <c r="G827" s="9"/>
      <c r="H827" s="5"/>
      <c r="I827" s="5"/>
    </row>
    <row r="828" spans="3:9" x14ac:dyDescent="0.25">
      <c r="C828" s="11"/>
      <c r="E828" s="12"/>
      <c r="F828" s="12"/>
      <c r="G828" s="9"/>
      <c r="H828" s="5"/>
      <c r="I828" s="5"/>
    </row>
    <row r="829" spans="3:9" x14ac:dyDescent="0.25">
      <c r="C829" s="11"/>
      <c r="E829" s="12"/>
      <c r="F829" s="12"/>
      <c r="G829" s="9"/>
      <c r="H829" s="5"/>
      <c r="I829" s="5"/>
    </row>
    <row r="830" spans="3:9" x14ac:dyDescent="0.25">
      <c r="C830" s="11"/>
      <c r="E830" s="12"/>
      <c r="F830" s="12"/>
      <c r="G830" s="9"/>
      <c r="H830" s="5"/>
      <c r="I830" s="5"/>
    </row>
    <row r="831" spans="3:9" x14ac:dyDescent="0.25">
      <c r="C831" s="11"/>
      <c r="E831" s="12"/>
      <c r="F831" s="12"/>
      <c r="G831" s="9"/>
      <c r="H831" s="5"/>
      <c r="I831" s="5"/>
    </row>
    <row r="832" spans="3:9" x14ac:dyDescent="0.25">
      <c r="C832" s="11"/>
      <c r="E832" s="12"/>
      <c r="F832" s="12"/>
      <c r="G832" s="9"/>
      <c r="H832" s="5"/>
      <c r="I832" s="5"/>
    </row>
    <row r="833" spans="3:9" x14ac:dyDescent="0.25">
      <c r="C833" s="11"/>
      <c r="E833" s="12"/>
      <c r="F833" s="12"/>
      <c r="G833" s="9"/>
      <c r="H833" s="5"/>
      <c r="I833" s="5"/>
    </row>
    <row r="834" spans="3:9" x14ac:dyDescent="0.25">
      <c r="C834" s="11"/>
      <c r="E834" s="12"/>
      <c r="F834" s="12"/>
      <c r="G834" s="9"/>
      <c r="H834" s="5"/>
      <c r="I834" s="5"/>
    </row>
    <row r="835" spans="3:9" x14ac:dyDescent="0.25">
      <c r="C835" s="11"/>
      <c r="E835" s="12"/>
      <c r="F835" s="12"/>
      <c r="G835" s="9"/>
      <c r="H835" s="5"/>
      <c r="I835" s="5"/>
    </row>
    <row r="836" spans="3:9" x14ac:dyDescent="0.25">
      <c r="C836" s="11"/>
      <c r="E836" s="12"/>
      <c r="F836" s="12"/>
      <c r="G836" s="9"/>
      <c r="H836" s="5"/>
      <c r="I836" s="5"/>
    </row>
    <row r="837" spans="3:9" x14ac:dyDescent="0.25">
      <c r="C837" s="11"/>
      <c r="E837" s="12"/>
      <c r="F837" s="12"/>
      <c r="G837" s="9"/>
      <c r="H837" s="5"/>
      <c r="I837" s="5"/>
    </row>
    <row r="838" spans="3:9" x14ac:dyDescent="0.25">
      <c r="C838" s="11"/>
      <c r="E838" s="12"/>
      <c r="F838" s="12"/>
      <c r="G838" s="9"/>
      <c r="H838" s="5"/>
      <c r="I838" s="5"/>
    </row>
    <row r="839" spans="3:9" x14ac:dyDescent="0.25">
      <c r="C839" s="11"/>
      <c r="E839" s="12"/>
      <c r="F839" s="12"/>
      <c r="G839" s="9"/>
      <c r="H839" s="5"/>
      <c r="I839" s="5"/>
    </row>
    <row r="840" spans="3:9" x14ac:dyDescent="0.25">
      <c r="C840" s="11"/>
      <c r="E840" s="12"/>
      <c r="F840" s="12"/>
      <c r="G840" s="9"/>
      <c r="H840" s="5"/>
      <c r="I840" s="5"/>
    </row>
    <row r="841" spans="3:9" x14ac:dyDescent="0.25">
      <c r="C841" s="11"/>
      <c r="E841" s="12"/>
      <c r="F841" s="12"/>
      <c r="G841" s="9"/>
      <c r="H841" s="5"/>
      <c r="I841" s="5"/>
    </row>
    <row r="842" spans="3:9" x14ac:dyDescent="0.25">
      <c r="C842" s="11"/>
      <c r="E842" s="12"/>
      <c r="F842" s="12"/>
      <c r="G842" s="9"/>
      <c r="H842" s="5"/>
      <c r="I842" s="5"/>
    </row>
    <row r="843" spans="3:9" x14ac:dyDescent="0.25">
      <c r="C843" s="11"/>
      <c r="E843" s="12"/>
      <c r="F843" s="12"/>
      <c r="G843" s="9"/>
      <c r="H843" s="5"/>
      <c r="I843" s="5"/>
    </row>
    <row r="844" spans="3:9" x14ac:dyDescent="0.25">
      <c r="C844" s="11"/>
      <c r="E844" s="12"/>
      <c r="F844" s="12"/>
      <c r="G844" s="9"/>
      <c r="H844" s="5"/>
      <c r="I844" s="5"/>
    </row>
    <row r="845" spans="3:9" x14ac:dyDescent="0.25">
      <c r="C845" s="11"/>
      <c r="E845" s="12"/>
      <c r="F845" s="12"/>
      <c r="G845" s="9"/>
      <c r="H845" s="5"/>
      <c r="I845" s="5"/>
    </row>
    <row r="846" spans="3:9" x14ac:dyDescent="0.25">
      <c r="C846" s="11"/>
      <c r="E846" s="12"/>
      <c r="F846" s="12"/>
      <c r="G846" s="9"/>
      <c r="H846" s="5"/>
      <c r="I846" s="5"/>
    </row>
    <row r="847" spans="3:9" x14ac:dyDescent="0.25">
      <c r="C847" s="11"/>
      <c r="E847" s="12"/>
      <c r="F847" s="12"/>
      <c r="G847" s="9"/>
      <c r="H847" s="5"/>
      <c r="I847" s="5"/>
    </row>
    <row r="848" spans="3:9" x14ac:dyDescent="0.25">
      <c r="C848" s="11"/>
      <c r="E848" s="12"/>
      <c r="F848" s="12"/>
      <c r="G848" s="9"/>
      <c r="H848" s="5"/>
      <c r="I848" s="5"/>
    </row>
    <row r="849" spans="3:9" x14ac:dyDescent="0.25">
      <c r="C849" s="11"/>
      <c r="E849" s="12"/>
      <c r="F849" s="12"/>
      <c r="G849" s="9"/>
      <c r="H849" s="5"/>
      <c r="I849" s="5"/>
    </row>
    <row r="850" spans="3:9" x14ac:dyDescent="0.25">
      <c r="C850" s="11"/>
      <c r="E850" s="12"/>
      <c r="F850" s="12"/>
      <c r="G850" s="9"/>
      <c r="H850" s="5"/>
      <c r="I850" s="5"/>
    </row>
    <row r="851" spans="3:9" x14ac:dyDescent="0.25">
      <c r="C851" s="11"/>
      <c r="E851" s="12"/>
      <c r="F851" s="12"/>
      <c r="G851" s="9"/>
      <c r="H851" s="5"/>
      <c r="I851" s="5"/>
    </row>
    <row r="852" spans="3:9" x14ac:dyDescent="0.25">
      <c r="C852" s="11"/>
      <c r="E852" s="12"/>
      <c r="F852" s="12"/>
      <c r="G852" s="9"/>
      <c r="H852" s="5"/>
      <c r="I852" s="5"/>
    </row>
    <row r="853" spans="3:9" x14ac:dyDescent="0.25">
      <c r="C853" s="11"/>
      <c r="E853" s="12"/>
      <c r="F853" s="12"/>
      <c r="G853" s="9"/>
      <c r="H853" s="5"/>
      <c r="I853" s="5"/>
    </row>
    <row r="854" spans="3:9" x14ac:dyDescent="0.25">
      <c r="C854" s="11"/>
      <c r="E854" s="12"/>
      <c r="F854" s="12"/>
      <c r="G854" s="9"/>
      <c r="H854" s="5"/>
      <c r="I854" s="5"/>
    </row>
    <row r="855" spans="3:9" x14ac:dyDescent="0.25">
      <c r="C855" s="11"/>
      <c r="E855" s="12"/>
      <c r="F855" s="12"/>
      <c r="G855" s="9"/>
      <c r="H855" s="5"/>
      <c r="I855" s="5"/>
    </row>
    <row r="856" spans="3:9" x14ac:dyDescent="0.25">
      <c r="C856" s="11"/>
      <c r="E856" s="12"/>
      <c r="F856" s="12"/>
      <c r="G856" s="9"/>
      <c r="H856" s="5"/>
      <c r="I856" s="5"/>
    </row>
    <row r="857" spans="3:9" x14ac:dyDescent="0.25">
      <c r="C857" s="11"/>
      <c r="E857" s="12"/>
      <c r="F857" s="12"/>
      <c r="G857" s="9"/>
      <c r="H857" s="5"/>
      <c r="I857" s="5"/>
    </row>
    <row r="858" spans="3:9" x14ac:dyDescent="0.25">
      <c r="C858" s="11"/>
      <c r="E858" s="12"/>
      <c r="F858" s="12"/>
      <c r="G858" s="9"/>
      <c r="H858" s="5"/>
      <c r="I858" s="5"/>
    </row>
    <row r="859" spans="3:9" x14ac:dyDescent="0.25">
      <c r="C859" s="11"/>
      <c r="E859" s="12"/>
      <c r="F859" s="12"/>
      <c r="G859" s="9"/>
      <c r="H859" s="5"/>
      <c r="I859" s="5"/>
    </row>
    <row r="860" spans="3:9" x14ac:dyDescent="0.25">
      <c r="C860" s="11"/>
      <c r="E860" s="12"/>
      <c r="F860" s="12"/>
      <c r="G860" s="9"/>
      <c r="H860" s="5"/>
      <c r="I860" s="5"/>
    </row>
    <row r="861" spans="3:9" x14ac:dyDescent="0.25">
      <c r="C861" s="11"/>
      <c r="E861" s="12"/>
      <c r="F861" s="12"/>
      <c r="G861" s="9"/>
      <c r="H861" s="5"/>
      <c r="I861" s="5"/>
    </row>
    <row r="862" spans="3:9" x14ac:dyDescent="0.25">
      <c r="C862" s="11"/>
      <c r="E862" s="12"/>
      <c r="F862" s="12"/>
      <c r="G862" s="9"/>
      <c r="H862" s="5"/>
      <c r="I862" s="5"/>
    </row>
    <row r="863" spans="3:9" x14ac:dyDescent="0.25">
      <c r="C863" s="11"/>
      <c r="E863" s="12"/>
      <c r="F863" s="12"/>
      <c r="G863" s="9"/>
      <c r="H863" s="5"/>
      <c r="I863" s="5"/>
    </row>
    <row r="864" spans="3:9" x14ac:dyDescent="0.25">
      <c r="C864" s="11"/>
      <c r="E864" s="12"/>
      <c r="F864" s="12"/>
      <c r="G864" s="9"/>
      <c r="H864" s="5"/>
      <c r="I864" s="5"/>
    </row>
    <row r="865" spans="3:9" x14ac:dyDescent="0.25">
      <c r="C865" s="11"/>
      <c r="E865" s="12"/>
      <c r="F865" s="12"/>
      <c r="G865" s="9"/>
      <c r="H865" s="5"/>
      <c r="I865" s="5"/>
    </row>
    <row r="866" spans="3:9" x14ac:dyDescent="0.25">
      <c r="C866" s="11"/>
      <c r="E866" s="12"/>
      <c r="F866" s="12"/>
      <c r="G866" s="9"/>
      <c r="H866" s="5"/>
      <c r="I866" s="5"/>
    </row>
    <row r="867" spans="3:9" x14ac:dyDescent="0.25">
      <c r="C867" s="11"/>
      <c r="E867" s="12"/>
      <c r="F867" s="12"/>
      <c r="G867" s="9"/>
      <c r="H867" s="5"/>
      <c r="I867" s="5"/>
    </row>
    <row r="868" spans="3:9" x14ac:dyDescent="0.25">
      <c r="C868" s="11"/>
      <c r="E868" s="12"/>
      <c r="F868" s="12"/>
      <c r="G868" s="9"/>
      <c r="H868" s="5"/>
      <c r="I868" s="5"/>
    </row>
    <row r="869" spans="3:9" x14ac:dyDescent="0.25">
      <c r="C869" s="11"/>
      <c r="E869" s="12"/>
      <c r="F869" s="12"/>
      <c r="G869" s="9"/>
      <c r="H869" s="5"/>
      <c r="I869" s="5"/>
    </row>
    <row r="870" spans="3:9" x14ac:dyDescent="0.25">
      <c r="C870" s="11"/>
      <c r="E870" s="12"/>
      <c r="F870" s="12"/>
      <c r="G870" s="9"/>
      <c r="H870" s="5"/>
      <c r="I870" s="5"/>
    </row>
    <row r="871" spans="3:9" x14ac:dyDescent="0.25">
      <c r="C871" s="11"/>
      <c r="E871" s="12"/>
      <c r="F871" s="12"/>
      <c r="G871" s="9"/>
      <c r="H871" s="5"/>
      <c r="I871" s="5"/>
    </row>
    <row r="872" spans="3:9" x14ac:dyDescent="0.25">
      <c r="C872" s="11"/>
      <c r="E872" s="12"/>
      <c r="F872" s="12"/>
      <c r="G872" s="9"/>
      <c r="H872" s="5"/>
      <c r="I872" s="5"/>
    </row>
    <row r="873" spans="3:9" x14ac:dyDescent="0.25">
      <c r="C873" s="11"/>
      <c r="E873" s="12"/>
      <c r="F873" s="12"/>
      <c r="G873" s="9"/>
      <c r="H873" s="5"/>
      <c r="I873" s="5"/>
    </row>
    <row r="874" spans="3:9" x14ac:dyDescent="0.25">
      <c r="C874" s="11"/>
      <c r="E874" s="12"/>
      <c r="F874" s="12"/>
      <c r="G874" s="9"/>
      <c r="H874" s="5"/>
      <c r="I874" s="5"/>
    </row>
    <row r="875" spans="3:9" x14ac:dyDescent="0.25">
      <c r="C875" s="11"/>
      <c r="E875" s="12"/>
      <c r="F875" s="12"/>
      <c r="G875" s="9"/>
      <c r="H875" s="5"/>
      <c r="I875" s="5"/>
    </row>
    <row r="876" spans="3:9" x14ac:dyDescent="0.25">
      <c r="C876" s="11"/>
      <c r="E876" s="12"/>
      <c r="F876" s="12"/>
      <c r="G876" s="9"/>
      <c r="H876" s="5"/>
      <c r="I876" s="5"/>
    </row>
    <row r="877" spans="3:9" x14ac:dyDescent="0.25">
      <c r="C877" s="11"/>
      <c r="E877" s="12"/>
      <c r="F877" s="12"/>
      <c r="G877" s="9"/>
      <c r="H877" s="5"/>
      <c r="I877" s="5"/>
    </row>
    <row r="878" spans="3:9" x14ac:dyDescent="0.25">
      <c r="C878" s="11"/>
      <c r="E878" s="12"/>
      <c r="F878" s="12"/>
      <c r="G878" s="9"/>
      <c r="H878" s="5"/>
      <c r="I878" s="5"/>
    </row>
    <row r="879" spans="3:9" x14ac:dyDescent="0.25">
      <c r="C879" s="11"/>
      <c r="E879" s="12"/>
      <c r="F879" s="12"/>
      <c r="G879" s="9"/>
      <c r="H879" s="5"/>
      <c r="I879" s="5"/>
    </row>
    <row r="880" spans="3:9" x14ac:dyDescent="0.25">
      <c r="C880" s="11"/>
      <c r="E880" s="12"/>
      <c r="F880" s="12"/>
      <c r="G880" s="9"/>
      <c r="H880" s="5"/>
      <c r="I880" s="5"/>
    </row>
    <row r="881" spans="3:9" x14ac:dyDescent="0.25">
      <c r="C881" s="11"/>
      <c r="E881" s="12"/>
      <c r="F881" s="12"/>
      <c r="G881" s="9"/>
      <c r="H881" s="5"/>
      <c r="I881" s="5"/>
    </row>
    <row r="882" spans="3:9" x14ac:dyDescent="0.25">
      <c r="C882" s="11"/>
      <c r="E882" s="12"/>
      <c r="F882" s="12"/>
      <c r="G882" s="9"/>
      <c r="H882" s="5"/>
      <c r="I882" s="5"/>
    </row>
    <row r="883" spans="3:9" x14ac:dyDescent="0.25">
      <c r="C883" s="11"/>
      <c r="E883" s="12"/>
      <c r="F883" s="12"/>
      <c r="G883" s="9"/>
      <c r="H883" s="5"/>
      <c r="I883" s="5"/>
    </row>
    <row r="884" spans="3:9" x14ac:dyDescent="0.25">
      <c r="C884" s="11"/>
      <c r="E884" s="12"/>
      <c r="F884" s="12"/>
      <c r="G884" s="9"/>
      <c r="H884" s="5"/>
      <c r="I884" s="5"/>
    </row>
    <row r="885" spans="3:9" x14ac:dyDescent="0.25">
      <c r="C885" s="11"/>
      <c r="E885" s="12"/>
      <c r="F885" s="12"/>
      <c r="G885" s="9"/>
      <c r="H885" s="5"/>
      <c r="I885" s="5"/>
    </row>
    <row r="886" spans="3:9" x14ac:dyDescent="0.25">
      <c r="C886" s="11"/>
      <c r="E886" s="12"/>
      <c r="F886" s="12"/>
      <c r="G886" s="9"/>
      <c r="H886" s="5"/>
      <c r="I886" s="5"/>
    </row>
    <row r="887" spans="3:9" x14ac:dyDescent="0.25">
      <c r="C887" s="11"/>
      <c r="E887" s="12"/>
      <c r="F887" s="12"/>
      <c r="G887" s="9"/>
      <c r="H887" s="5"/>
      <c r="I887" s="5"/>
    </row>
    <row r="888" spans="3:9" x14ac:dyDescent="0.25">
      <c r="C888" s="11"/>
      <c r="E888" s="12"/>
      <c r="F888" s="12"/>
      <c r="G888" s="9"/>
      <c r="H888" s="5"/>
      <c r="I888" s="5"/>
    </row>
    <row r="889" spans="3:9" x14ac:dyDescent="0.25">
      <c r="C889" s="11"/>
      <c r="E889" s="12"/>
      <c r="F889" s="12"/>
      <c r="G889" s="9"/>
      <c r="H889" s="5"/>
      <c r="I889" s="5"/>
    </row>
    <row r="890" spans="3:9" x14ac:dyDescent="0.25">
      <c r="C890" s="11"/>
      <c r="E890" s="12"/>
      <c r="F890" s="12"/>
      <c r="G890" s="9"/>
      <c r="H890" s="5"/>
      <c r="I890" s="5"/>
    </row>
    <row r="891" spans="3:9" x14ac:dyDescent="0.25">
      <c r="C891" s="11"/>
      <c r="E891" s="12"/>
      <c r="F891" s="12"/>
      <c r="G891" s="9"/>
      <c r="H891" s="5"/>
      <c r="I891" s="5"/>
    </row>
    <row r="892" spans="3:9" x14ac:dyDescent="0.25">
      <c r="C892" s="11"/>
      <c r="E892" s="12"/>
      <c r="F892" s="12"/>
      <c r="G892" s="9"/>
      <c r="H892" s="5"/>
      <c r="I892" s="5"/>
    </row>
    <row r="893" spans="3:9" x14ac:dyDescent="0.25">
      <c r="C893" s="11"/>
      <c r="E893" s="12"/>
      <c r="F893" s="12"/>
      <c r="G893" s="9"/>
      <c r="H893" s="5"/>
      <c r="I893" s="5"/>
    </row>
    <row r="894" spans="3:9" x14ac:dyDescent="0.25">
      <c r="C894" s="11"/>
      <c r="E894" s="12"/>
      <c r="F894" s="12"/>
      <c r="G894" s="9"/>
      <c r="H894" s="5"/>
      <c r="I894" s="5"/>
    </row>
    <row r="895" spans="3:9" x14ac:dyDescent="0.25">
      <c r="C895" s="11"/>
      <c r="E895" s="12"/>
      <c r="F895" s="12"/>
      <c r="G895" s="9"/>
      <c r="H895" s="5"/>
      <c r="I895" s="5"/>
    </row>
    <row r="896" spans="3:9" x14ac:dyDescent="0.25">
      <c r="C896" s="11"/>
      <c r="E896" s="12"/>
      <c r="F896" s="12"/>
      <c r="G896" s="9"/>
      <c r="H896" s="5"/>
      <c r="I896" s="5"/>
    </row>
    <row r="897" spans="3:9" x14ac:dyDescent="0.25">
      <c r="C897" s="11"/>
      <c r="E897" s="12"/>
      <c r="F897" s="12"/>
      <c r="G897" s="9"/>
      <c r="H897" s="5"/>
      <c r="I897" s="5"/>
    </row>
    <row r="898" spans="3:9" x14ac:dyDescent="0.25">
      <c r="C898" s="11"/>
      <c r="E898" s="12"/>
      <c r="F898" s="12"/>
      <c r="G898" s="9"/>
      <c r="H898" s="5"/>
      <c r="I898" s="5"/>
    </row>
    <row r="899" spans="3:9" x14ac:dyDescent="0.25">
      <c r="C899" s="11"/>
      <c r="E899" s="12"/>
      <c r="F899" s="12"/>
      <c r="G899" s="9"/>
      <c r="H899" s="5"/>
      <c r="I899" s="5"/>
    </row>
    <row r="900" spans="3:9" x14ac:dyDescent="0.25">
      <c r="C900" s="11"/>
      <c r="E900" s="12"/>
      <c r="F900" s="12"/>
      <c r="G900" s="9"/>
      <c r="H900" s="5"/>
      <c r="I900" s="5"/>
    </row>
    <row r="901" spans="3:9" x14ac:dyDescent="0.25">
      <c r="C901" s="11"/>
      <c r="E901" s="12"/>
      <c r="F901" s="12"/>
      <c r="G901" s="9"/>
      <c r="H901" s="5"/>
      <c r="I901" s="5"/>
    </row>
    <row r="902" spans="3:9" x14ac:dyDescent="0.25">
      <c r="C902" s="11"/>
      <c r="E902" s="12"/>
      <c r="F902" s="12"/>
      <c r="G902" s="9"/>
      <c r="H902" s="5"/>
      <c r="I902" s="5"/>
    </row>
    <row r="903" spans="3:9" x14ac:dyDescent="0.25">
      <c r="C903" s="11"/>
      <c r="E903" s="12"/>
      <c r="F903" s="12"/>
      <c r="G903" s="9"/>
      <c r="H903" s="5"/>
      <c r="I903" s="5"/>
    </row>
    <row r="904" spans="3:9" x14ac:dyDescent="0.25">
      <c r="C904" s="11"/>
      <c r="E904" s="12"/>
      <c r="F904" s="12"/>
      <c r="G904" s="9"/>
      <c r="H904" s="5"/>
      <c r="I904" s="5"/>
    </row>
    <row r="905" spans="3:9" x14ac:dyDescent="0.25">
      <c r="C905" s="11"/>
      <c r="E905" s="12"/>
      <c r="F905" s="12"/>
      <c r="G905" s="9"/>
      <c r="H905" s="5"/>
      <c r="I905" s="5"/>
    </row>
    <row r="906" spans="3:9" x14ac:dyDescent="0.25">
      <c r="C906" s="11"/>
      <c r="E906" s="12"/>
      <c r="F906" s="12"/>
      <c r="G906" s="9"/>
      <c r="H906" s="5"/>
      <c r="I906" s="5"/>
    </row>
    <row r="907" spans="3:9" x14ac:dyDescent="0.25">
      <c r="C907" s="11"/>
      <c r="E907" s="12"/>
      <c r="F907" s="12"/>
      <c r="G907" s="9"/>
      <c r="H907" s="5"/>
      <c r="I907" s="5"/>
    </row>
    <row r="908" spans="3:9" x14ac:dyDescent="0.25">
      <c r="C908" s="11"/>
      <c r="E908" s="12"/>
      <c r="F908" s="12"/>
      <c r="G908" s="9"/>
      <c r="H908" s="5"/>
      <c r="I908" s="5"/>
    </row>
    <row r="909" spans="3:9" x14ac:dyDescent="0.25">
      <c r="C909" s="11"/>
      <c r="E909" s="12"/>
      <c r="F909" s="12"/>
      <c r="G909" s="9"/>
      <c r="H909" s="5"/>
      <c r="I909" s="5"/>
    </row>
    <row r="910" spans="3:9" x14ac:dyDescent="0.25">
      <c r="C910" s="11"/>
      <c r="E910" s="12"/>
      <c r="F910" s="12"/>
      <c r="G910" s="9"/>
      <c r="H910" s="5"/>
      <c r="I910" s="5"/>
    </row>
    <row r="911" spans="3:9" x14ac:dyDescent="0.25">
      <c r="C911" s="11"/>
      <c r="E911" s="12"/>
      <c r="F911" s="12"/>
      <c r="G911" s="9"/>
      <c r="H911" s="5"/>
      <c r="I911" s="5"/>
    </row>
    <row r="912" spans="3:9" x14ac:dyDescent="0.25">
      <c r="C912" s="11"/>
      <c r="E912" s="12"/>
      <c r="F912" s="12"/>
      <c r="G912" s="9"/>
      <c r="H912" s="5"/>
      <c r="I912" s="5"/>
    </row>
    <row r="913" spans="3:9" x14ac:dyDescent="0.25">
      <c r="C913" s="11"/>
      <c r="E913" s="12"/>
      <c r="F913" s="12"/>
      <c r="G913" s="9"/>
      <c r="H913" s="5"/>
      <c r="I913" s="5"/>
    </row>
    <row r="914" spans="3:9" x14ac:dyDescent="0.25">
      <c r="C914" s="11"/>
      <c r="E914" s="12"/>
      <c r="F914" s="12"/>
      <c r="G914" s="9"/>
      <c r="H914" s="5"/>
      <c r="I914" s="5"/>
    </row>
    <row r="915" spans="3:9" x14ac:dyDescent="0.25">
      <c r="C915" s="11"/>
      <c r="E915" s="12"/>
      <c r="F915" s="12"/>
      <c r="G915" s="9"/>
      <c r="H915" s="5"/>
      <c r="I915" s="5"/>
    </row>
    <row r="916" spans="3:9" x14ac:dyDescent="0.25">
      <c r="C916" s="11"/>
      <c r="E916" s="12"/>
      <c r="F916" s="12"/>
      <c r="G916" s="9"/>
      <c r="H916" s="5"/>
      <c r="I916" s="5"/>
    </row>
    <row r="917" spans="3:9" x14ac:dyDescent="0.25">
      <c r="C917" s="11"/>
      <c r="E917" s="12"/>
      <c r="F917" s="12"/>
      <c r="G917" s="9"/>
      <c r="H917" s="5"/>
      <c r="I917" s="5"/>
    </row>
    <row r="918" spans="3:9" x14ac:dyDescent="0.25">
      <c r="C918" s="11"/>
      <c r="E918" s="12"/>
      <c r="F918" s="12"/>
      <c r="G918" s="9"/>
      <c r="H918" s="5"/>
      <c r="I918" s="5"/>
    </row>
    <row r="919" spans="3:9" x14ac:dyDescent="0.25">
      <c r="C919" s="11"/>
      <c r="E919" s="12"/>
      <c r="F919" s="12"/>
      <c r="G919" s="9"/>
      <c r="H919" s="5"/>
      <c r="I919" s="5"/>
    </row>
    <row r="920" spans="3:9" x14ac:dyDescent="0.25">
      <c r="C920" s="11"/>
      <c r="E920" s="12"/>
      <c r="F920" s="12"/>
      <c r="G920" s="9"/>
      <c r="H920" s="5"/>
      <c r="I920" s="5"/>
    </row>
    <row r="921" spans="3:9" x14ac:dyDescent="0.25">
      <c r="C921" s="11"/>
      <c r="E921" s="12"/>
      <c r="F921" s="12"/>
      <c r="G921" s="9"/>
      <c r="H921" s="5"/>
      <c r="I921" s="5"/>
    </row>
    <row r="922" spans="3:9" x14ac:dyDescent="0.25">
      <c r="C922" s="11"/>
      <c r="E922" s="12"/>
      <c r="F922" s="12"/>
      <c r="G922" s="9"/>
      <c r="H922" s="5"/>
      <c r="I922" s="5"/>
    </row>
    <row r="923" spans="3:9" x14ac:dyDescent="0.25">
      <c r="C923" s="11"/>
      <c r="E923" s="12"/>
      <c r="F923" s="12"/>
      <c r="G923" s="9"/>
      <c r="H923" s="5"/>
      <c r="I923" s="5"/>
    </row>
    <row r="924" spans="3:9" x14ac:dyDescent="0.25">
      <c r="C924" s="11"/>
      <c r="E924" s="12"/>
      <c r="F924" s="12"/>
      <c r="G924" s="9"/>
      <c r="H924" s="5"/>
      <c r="I924" s="5"/>
    </row>
    <row r="925" spans="3:9" x14ac:dyDescent="0.25">
      <c r="C925" s="11"/>
      <c r="E925" s="12"/>
      <c r="F925" s="12"/>
      <c r="G925" s="9"/>
      <c r="H925" s="5"/>
      <c r="I925" s="5"/>
    </row>
    <row r="926" spans="3:9" x14ac:dyDescent="0.25">
      <c r="C926" s="11"/>
      <c r="E926" s="12"/>
      <c r="F926" s="12"/>
      <c r="G926" s="9"/>
      <c r="H926" s="5"/>
      <c r="I926" s="5"/>
    </row>
    <row r="927" spans="3:9" x14ac:dyDescent="0.25">
      <c r="C927" s="11"/>
      <c r="E927" s="12"/>
      <c r="F927" s="12"/>
      <c r="G927" s="9"/>
      <c r="H927" s="5"/>
      <c r="I927" s="5"/>
    </row>
    <row r="928" spans="3:9" x14ac:dyDescent="0.25">
      <c r="C928" s="11"/>
      <c r="E928" s="12"/>
      <c r="F928" s="12"/>
      <c r="G928" s="9"/>
      <c r="H928" s="5"/>
      <c r="I928" s="5"/>
    </row>
    <row r="929" spans="3:9" x14ac:dyDescent="0.25">
      <c r="C929" s="11"/>
      <c r="E929" s="12"/>
      <c r="F929" s="12"/>
      <c r="G929" s="9"/>
      <c r="H929" s="5"/>
      <c r="I929" s="5"/>
    </row>
    <row r="930" spans="3:9" x14ac:dyDescent="0.25">
      <c r="C930" s="11"/>
      <c r="E930" s="12"/>
      <c r="F930" s="12"/>
      <c r="G930" s="9"/>
      <c r="H930" s="5"/>
      <c r="I930" s="5"/>
    </row>
    <row r="931" spans="3:9" x14ac:dyDescent="0.25">
      <c r="C931" s="11"/>
      <c r="E931" s="12"/>
      <c r="F931" s="12"/>
      <c r="G931" s="9"/>
      <c r="H931" s="5"/>
      <c r="I931" s="5"/>
    </row>
    <row r="932" spans="3:9" x14ac:dyDescent="0.25">
      <c r="C932" s="11"/>
      <c r="E932" s="12"/>
      <c r="F932" s="12"/>
      <c r="G932" s="9"/>
      <c r="H932" s="5"/>
      <c r="I932" s="5"/>
    </row>
    <row r="933" spans="3:9" x14ac:dyDescent="0.25">
      <c r="C933" s="11"/>
      <c r="E933" s="12"/>
      <c r="F933" s="12"/>
      <c r="G933" s="9"/>
      <c r="H933" s="5"/>
      <c r="I933" s="5"/>
    </row>
    <row r="934" spans="3:9" x14ac:dyDescent="0.25">
      <c r="C934" s="11"/>
      <c r="E934" s="12"/>
      <c r="F934" s="12"/>
      <c r="G934" s="9"/>
      <c r="H934" s="5"/>
      <c r="I934" s="5"/>
    </row>
    <row r="935" spans="3:9" x14ac:dyDescent="0.25">
      <c r="C935" s="11"/>
      <c r="E935" s="12"/>
      <c r="F935" s="12"/>
      <c r="G935" s="9"/>
      <c r="H935" s="5"/>
      <c r="I935" s="5"/>
    </row>
    <row r="936" spans="3:9" x14ac:dyDescent="0.25">
      <c r="C936" s="11"/>
      <c r="E936" s="12"/>
      <c r="F936" s="12"/>
      <c r="G936" s="9"/>
      <c r="H936" s="5"/>
      <c r="I936" s="5"/>
    </row>
    <row r="937" spans="3:9" x14ac:dyDescent="0.25">
      <c r="C937" s="11"/>
      <c r="E937" s="12"/>
      <c r="F937" s="12"/>
      <c r="G937" s="9"/>
      <c r="H937" s="5"/>
      <c r="I937" s="5"/>
    </row>
    <row r="938" spans="3:9" x14ac:dyDescent="0.25">
      <c r="C938" s="11"/>
      <c r="E938" s="12"/>
      <c r="F938" s="12"/>
      <c r="G938" s="9"/>
      <c r="H938" s="5"/>
      <c r="I938" s="5"/>
    </row>
    <row r="939" spans="3:9" x14ac:dyDescent="0.25">
      <c r="C939" s="11"/>
      <c r="E939" s="12"/>
      <c r="F939" s="12"/>
      <c r="G939" s="9"/>
      <c r="H939" s="5"/>
      <c r="I939" s="5"/>
    </row>
    <row r="940" spans="3:9" x14ac:dyDescent="0.25">
      <c r="C940" s="11"/>
      <c r="E940" s="12"/>
      <c r="F940" s="12"/>
      <c r="G940" s="9"/>
      <c r="H940" s="5"/>
      <c r="I940" s="5"/>
    </row>
    <row r="941" spans="3:9" x14ac:dyDescent="0.25">
      <c r="C941" s="11"/>
      <c r="E941" s="12"/>
      <c r="F941" s="12"/>
      <c r="G941" s="9"/>
      <c r="H941" s="5"/>
      <c r="I941" s="5"/>
    </row>
    <row r="942" spans="3:9" x14ac:dyDescent="0.25">
      <c r="C942" s="11"/>
      <c r="E942" s="12"/>
      <c r="F942" s="12"/>
      <c r="G942" s="9"/>
      <c r="H942" s="5"/>
      <c r="I942" s="5"/>
    </row>
    <row r="943" spans="3:9" x14ac:dyDescent="0.25">
      <c r="C943" s="11"/>
      <c r="E943" s="12"/>
      <c r="F943" s="12"/>
      <c r="G943" s="9"/>
      <c r="H943" s="5"/>
      <c r="I943" s="5"/>
    </row>
    <row r="944" spans="3:9" x14ac:dyDescent="0.25">
      <c r="C944" s="11"/>
      <c r="E944" s="12"/>
      <c r="F944" s="12"/>
      <c r="G944" s="9"/>
      <c r="H944" s="5"/>
      <c r="I944" s="5"/>
    </row>
    <row r="945" spans="3:9" x14ac:dyDescent="0.25">
      <c r="C945" s="11"/>
      <c r="E945" s="12"/>
      <c r="F945" s="12"/>
      <c r="G945" s="9"/>
      <c r="H945" s="5"/>
      <c r="I945" s="5"/>
    </row>
    <row r="946" spans="3:9" x14ac:dyDescent="0.25">
      <c r="C946" s="11"/>
      <c r="E946" s="12"/>
      <c r="F946" s="12"/>
      <c r="G946" s="9"/>
      <c r="H946" s="5"/>
      <c r="I946" s="5"/>
    </row>
    <row r="947" spans="3:9" x14ac:dyDescent="0.25">
      <c r="C947" s="11"/>
      <c r="E947" s="12"/>
      <c r="F947" s="12"/>
      <c r="G947" s="9"/>
      <c r="H947" s="5"/>
      <c r="I947" s="5"/>
    </row>
    <row r="948" spans="3:9" x14ac:dyDescent="0.25">
      <c r="C948" s="11"/>
      <c r="E948" s="12"/>
      <c r="F948" s="12"/>
      <c r="G948" s="9"/>
      <c r="H948" s="5"/>
      <c r="I948" s="5"/>
    </row>
    <row r="949" spans="3:9" x14ac:dyDescent="0.25">
      <c r="C949" s="11"/>
      <c r="E949" s="12"/>
      <c r="F949" s="12"/>
      <c r="G949" s="9"/>
      <c r="H949" s="5"/>
      <c r="I949" s="5"/>
    </row>
    <row r="950" spans="3:9" x14ac:dyDescent="0.25">
      <c r="C950" s="11"/>
      <c r="E950" s="12"/>
      <c r="F950" s="12"/>
      <c r="G950" s="9"/>
      <c r="H950" s="5"/>
      <c r="I950" s="5"/>
    </row>
    <row r="951" spans="3:9" x14ac:dyDescent="0.25">
      <c r="C951" s="11"/>
      <c r="E951" s="12"/>
      <c r="F951" s="12"/>
      <c r="G951" s="9"/>
      <c r="H951" s="5"/>
      <c r="I951" s="5"/>
    </row>
    <row r="952" spans="3:9" x14ac:dyDescent="0.25">
      <c r="C952" s="11"/>
      <c r="E952" s="12"/>
      <c r="F952" s="12"/>
      <c r="G952" s="9"/>
      <c r="H952" s="5"/>
      <c r="I952" s="5"/>
    </row>
    <row r="953" spans="3:9" x14ac:dyDescent="0.25">
      <c r="C953" s="11"/>
      <c r="E953" s="12"/>
      <c r="F953" s="12"/>
      <c r="G953" s="9"/>
      <c r="H953" s="5"/>
      <c r="I953" s="5"/>
    </row>
    <row r="954" spans="3:9" x14ac:dyDescent="0.25">
      <c r="C954" s="11"/>
      <c r="E954" s="12"/>
      <c r="F954" s="12"/>
      <c r="G954" s="9"/>
      <c r="H954" s="5"/>
      <c r="I954" s="5"/>
    </row>
    <row r="955" spans="3:9" x14ac:dyDescent="0.25">
      <c r="C955" s="11"/>
      <c r="E955" s="12"/>
      <c r="F955" s="12"/>
      <c r="G955" s="9"/>
      <c r="H955" s="5"/>
      <c r="I955" s="5"/>
    </row>
    <row r="956" spans="3:9" x14ac:dyDescent="0.25">
      <c r="C956" s="11"/>
      <c r="E956" s="12"/>
      <c r="F956" s="12"/>
      <c r="G956" s="9"/>
      <c r="H956" s="5"/>
      <c r="I956" s="5"/>
    </row>
    <row r="957" spans="3:9" x14ac:dyDescent="0.25">
      <c r="C957" s="11"/>
      <c r="E957" s="12"/>
      <c r="F957" s="12"/>
      <c r="G957" s="9"/>
      <c r="H957" s="5"/>
      <c r="I957" s="5"/>
    </row>
    <row r="958" spans="3:9" x14ac:dyDescent="0.25">
      <c r="C958" s="11"/>
      <c r="E958" s="12"/>
      <c r="F958" s="12"/>
      <c r="G958" s="9"/>
      <c r="H958" s="5"/>
      <c r="I958" s="5"/>
    </row>
    <row r="959" spans="3:9" x14ac:dyDescent="0.25">
      <c r="C959" s="11"/>
      <c r="E959" s="12"/>
      <c r="F959" s="12"/>
      <c r="G959" s="9"/>
      <c r="H959" s="5"/>
      <c r="I959" s="5"/>
    </row>
    <row r="960" spans="3:9" x14ac:dyDescent="0.25">
      <c r="C960" s="11"/>
      <c r="E960" s="12"/>
      <c r="F960" s="12"/>
      <c r="G960" s="9"/>
      <c r="H960" s="5"/>
      <c r="I960" s="5"/>
    </row>
    <row r="961" spans="3:9" x14ac:dyDescent="0.25">
      <c r="C961" s="11"/>
      <c r="E961" s="12"/>
      <c r="F961" s="12"/>
      <c r="G961" s="9"/>
      <c r="H961" s="5"/>
      <c r="I961" s="5"/>
    </row>
    <row r="962" spans="3:9" x14ac:dyDescent="0.25">
      <c r="C962" s="11"/>
      <c r="E962" s="12"/>
      <c r="F962" s="12"/>
      <c r="G962" s="9"/>
      <c r="H962" s="5"/>
      <c r="I962" s="5"/>
    </row>
    <row r="963" spans="3:9" x14ac:dyDescent="0.25">
      <c r="C963" s="11"/>
      <c r="E963" s="12"/>
      <c r="F963" s="12"/>
      <c r="G963" s="9"/>
      <c r="H963" s="5"/>
      <c r="I963" s="5"/>
    </row>
    <row r="964" spans="3:9" x14ac:dyDescent="0.25">
      <c r="C964" s="11"/>
      <c r="E964" s="12"/>
      <c r="F964" s="12"/>
      <c r="G964" s="9"/>
      <c r="H964" s="5"/>
      <c r="I964" s="5"/>
    </row>
    <row r="965" spans="3:9" x14ac:dyDescent="0.25">
      <c r="C965" s="11"/>
      <c r="E965" s="12"/>
      <c r="F965" s="12"/>
      <c r="G965" s="9"/>
      <c r="H965" s="5"/>
      <c r="I965" s="5"/>
    </row>
    <row r="966" spans="3:9" x14ac:dyDescent="0.25">
      <c r="C966" s="11"/>
      <c r="E966" s="12"/>
      <c r="F966" s="12"/>
      <c r="G966" s="9"/>
      <c r="H966" s="5"/>
      <c r="I966" s="5"/>
    </row>
    <row r="967" spans="3:9" x14ac:dyDescent="0.25">
      <c r="C967" s="11"/>
      <c r="E967" s="12"/>
      <c r="F967" s="12"/>
      <c r="G967" s="9"/>
      <c r="H967" s="5"/>
      <c r="I967" s="5"/>
    </row>
    <row r="968" spans="3:9" x14ac:dyDescent="0.25">
      <c r="C968" s="11"/>
      <c r="E968" s="12"/>
      <c r="F968" s="12"/>
      <c r="G968" s="9"/>
      <c r="H968" s="5"/>
      <c r="I968" s="5"/>
    </row>
    <row r="969" spans="3:9" x14ac:dyDescent="0.25">
      <c r="C969" s="11"/>
      <c r="E969" s="12"/>
      <c r="F969" s="12"/>
      <c r="G969" s="9"/>
      <c r="H969" s="5"/>
      <c r="I969" s="5"/>
    </row>
    <row r="970" spans="3:9" x14ac:dyDescent="0.25">
      <c r="C970" s="11"/>
      <c r="E970" s="12"/>
      <c r="F970" s="12"/>
      <c r="G970" s="9"/>
      <c r="H970" s="5"/>
      <c r="I970" s="5"/>
    </row>
    <row r="971" spans="3:9" x14ac:dyDescent="0.25">
      <c r="C971" s="11"/>
      <c r="E971" s="12"/>
      <c r="F971" s="12"/>
      <c r="G971" s="9"/>
      <c r="H971" s="5"/>
      <c r="I971" s="5"/>
    </row>
    <row r="972" spans="3:9" x14ac:dyDescent="0.25">
      <c r="C972" s="11"/>
      <c r="E972" s="12"/>
      <c r="F972" s="12"/>
      <c r="G972" s="9"/>
      <c r="H972" s="5"/>
      <c r="I972" s="5"/>
    </row>
    <row r="973" spans="3:9" x14ac:dyDescent="0.25">
      <c r="C973" s="11"/>
      <c r="E973" s="12"/>
      <c r="F973" s="12"/>
      <c r="G973" s="9"/>
      <c r="H973" s="5"/>
      <c r="I973" s="5"/>
    </row>
    <row r="974" spans="3:9" x14ac:dyDescent="0.25">
      <c r="C974" s="11"/>
      <c r="E974" s="12"/>
      <c r="F974" s="12"/>
      <c r="G974" s="9"/>
      <c r="H974" s="5"/>
      <c r="I974" s="5"/>
    </row>
    <row r="975" spans="3:9" x14ac:dyDescent="0.25">
      <c r="C975" s="11"/>
      <c r="E975" s="12"/>
      <c r="F975" s="12"/>
      <c r="G975" s="9"/>
      <c r="H975" s="5"/>
      <c r="I975" s="5"/>
    </row>
    <row r="976" spans="3:9" x14ac:dyDescent="0.25">
      <c r="C976" s="11"/>
      <c r="E976" s="12"/>
      <c r="F976" s="12"/>
      <c r="G976" s="9"/>
      <c r="H976" s="5"/>
      <c r="I976" s="5"/>
    </row>
    <row r="977" spans="3:9" x14ac:dyDescent="0.25">
      <c r="C977" s="11"/>
      <c r="E977" s="12"/>
      <c r="F977" s="12"/>
      <c r="G977" s="9"/>
      <c r="H977" s="5"/>
      <c r="I977" s="5"/>
    </row>
    <row r="978" spans="3:9" x14ac:dyDescent="0.25">
      <c r="C978" s="11"/>
      <c r="E978" s="12"/>
      <c r="F978" s="12"/>
      <c r="G978" s="9"/>
      <c r="H978" s="5"/>
      <c r="I978" s="5"/>
    </row>
    <row r="979" spans="3:9" x14ac:dyDescent="0.25">
      <c r="C979" s="11"/>
      <c r="E979" s="12"/>
      <c r="F979" s="12"/>
      <c r="G979" s="9"/>
      <c r="H979" s="5"/>
      <c r="I979" s="5"/>
    </row>
    <row r="980" spans="3:9" x14ac:dyDescent="0.25">
      <c r="C980" s="11"/>
      <c r="E980" s="12"/>
      <c r="F980" s="12"/>
      <c r="G980" s="9"/>
      <c r="H980" s="5"/>
      <c r="I980" s="5"/>
    </row>
    <row r="981" spans="3:9" x14ac:dyDescent="0.25">
      <c r="C981" s="11"/>
      <c r="E981" s="12"/>
      <c r="F981" s="12"/>
      <c r="G981" s="9"/>
      <c r="H981" s="5"/>
      <c r="I981" s="5"/>
    </row>
    <row r="982" spans="3:9" x14ac:dyDescent="0.25">
      <c r="C982" s="11"/>
      <c r="E982" s="12"/>
      <c r="F982" s="12"/>
      <c r="G982" s="9"/>
      <c r="H982" s="5"/>
      <c r="I982" s="5"/>
    </row>
    <row r="983" spans="3:9" x14ac:dyDescent="0.25">
      <c r="C983" s="11"/>
      <c r="E983" s="12"/>
      <c r="F983" s="12"/>
      <c r="G983" s="9"/>
      <c r="H983" s="5"/>
      <c r="I983" s="5"/>
    </row>
    <row r="984" spans="3:9" x14ac:dyDescent="0.25">
      <c r="C984" s="11"/>
      <c r="E984" s="12"/>
      <c r="F984" s="12"/>
      <c r="G984" s="9"/>
      <c r="H984" s="5"/>
      <c r="I984" s="5"/>
    </row>
    <row r="985" spans="3:9" x14ac:dyDescent="0.25">
      <c r="C985" s="11"/>
      <c r="E985" s="12"/>
      <c r="F985" s="12"/>
      <c r="G985" s="9"/>
      <c r="H985" s="5"/>
      <c r="I985" s="5"/>
    </row>
    <row r="986" spans="3:9" x14ac:dyDescent="0.25">
      <c r="C986" s="11"/>
      <c r="E986" s="12"/>
      <c r="F986" s="12"/>
      <c r="G986" s="9"/>
      <c r="H986" s="5"/>
      <c r="I986" s="5"/>
    </row>
    <row r="987" spans="3:9" x14ac:dyDescent="0.25">
      <c r="C987" s="11"/>
      <c r="E987" s="12"/>
      <c r="F987" s="12"/>
      <c r="G987" s="9"/>
      <c r="H987" s="5"/>
      <c r="I987" s="5"/>
    </row>
    <row r="988" spans="3:9" x14ac:dyDescent="0.25">
      <c r="C988" s="11"/>
      <c r="E988" s="12"/>
      <c r="F988" s="12"/>
      <c r="G988" s="9"/>
      <c r="H988" s="5"/>
      <c r="I988" s="5"/>
    </row>
    <row r="989" spans="3:9" x14ac:dyDescent="0.25">
      <c r="C989" s="11"/>
      <c r="E989" s="12"/>
      <c r="F989" s="12"/>
      <c r="G989" s="9"/>
      <c r="H989" s="5"/>
      <c r="I989" s="5"/>
    </row>
    <row r="990" spans="3:9" x14ac:dyDescent="0.25">
      <c r="C990" s="11"/>
      <c r="E990" s="12"/>
      <c r="F990" s="12"/>
      <c r="G990" s="9"/>
      <c r="H990" s="5"/>
      <c r="I990" s="5"/>
    </row>
    <row r="991" spans="3:9" x14ac:dyDescent="0.25">
      <c r="C991" s="11"/>
      <c r="E991" s="12"/>
      <c r="F991" s="12"/>
      <c r="G991" s="9"/>
      <c r="H991" s="5"/>
      <c r="I991" s="5"/>
    </row>
    <row r="992" spans="3:9" x14ac:dyDescent="0.25">
      <c r="C992" s="11"/>
      <c r="E992" s="12"/>
      <c r="F992" s="12"/>
      <c r="G992" s="9"/>
      <c r="H992" s="5"/>
      <c r="I992" s="5"/>
    </row>
    <row r="993" spans="3:9" x14ac:dyDescent="0.25">
      <c r="C993" s="11"/>
      <c r="E993" s="12"/>
      <c r="F993" s="12"/>
      <c r="G993" s="9"/>
      <c r="H993" s="5"/>
      <c r="I993" s="5"/>
    </row>
    <row r="994" spans="3:9" x14ac:dyDescent="0.25">
      <c r="C994" s="11"/>
      <c r="E994" s="12"/>
      <c r="F994" s="12"/>
      <c r="G994" s="9"/>
      <c r="H994" s="5"/>
      <c r="I994" s="5"/>
    </row>
    <row r="995" spans="3:9" x14ac:dyDescent="0.25">
      <c r="C995" s="11"/>
      <c r="E995" s="12"/>
      <c r="F995" s="12"/>
      <c r="G995" s="9"/>
      <c r="H995" s="5"/>
      <c r="I995" s="5"/>
    </row>
    <row r="996" spans="3:9" x14ac:dyDescent="0.25">
      <c r="C996" s="11"/>
      <c r="E996" s="12"/>
      <c r="F996" s="12"/>
      <c r="G996" s="9"/>
      <c r="H996" s="5"/>
      <c r="I996" s="5"/>
    </row>
    <row r="997" spans="3:9" x14ac:dyDescent="0.25">
      <c r="C997" s="11"/>
      <c r="E997" s="12"/>
      <c r="F997" s="12"/>
      <c r="G997" s="9"/>
      <c r="H997" s="5"/>
      <c r="I997" s="5"/>
    </row>
    <row r="998" spans="3:9" x14ac:dyDescent="0.25">
      <c r="C998" s="11"/>
      <c r="E998" s="12"/>
      <c r="F998" s="12"/>
      <c r="G998" s="9"/>
      <c r="H998" s="5"/>
      <c r="I998" s="5"/>
    </row>
    <row r="999" spans="3:9" x14ac:dyDescent="0.25">
      <c r="C999" s="11"/>
      <c r="E999" s="12"/>
      <c r="F999" s="12"/>
      <c r="G999" s="9"/>
      <c r="H999" s="5"/>
      <c r="I999" s="5"/>
    </row>
    <row r="1000" spans="3:9" x14ac:dyDescent="0.25">
      <c r="C1000" s="11"/>
      <c r="E1000" s="12"/>
      <c r="F1000" s="12"/>
      <c r="G1000" s="9"/>
      <c r="H1000" s="5"/>
      <c r="I1000" s="5"/>
    </row>
    <row r="1001" spans="3:9" x14ac:dyDescent="0.25">
      <c r="C1001" s="11"/>
      <c r="E1001" s="12"/>
      <c r="F1001" s="12"/>
      <c r="G1001" s="9"/>
      <c r="H1001" s="5"/>
      <c r="I1001" s="5"/>
    </row>
    <row r="1002" spans="3:9" x14ac:dyDescent="0.25">
      <c r="C1002" s="11"/>
      <c r="E1002" s="12"/>
      <c r="F1002" s="12"/>
      <c r="G1002" s="9"/>
      <c r="H1002" s="5"/>
      <c r="I1002" s="5"/>
    </row>
    <row r="1003" spans="3:9" x14ac:dyDescent="0.25">
      <c r="C1003" s="11"/>
      <c r="E1003" s="12"/>
      <c r="F1003" s="12"/>
      <c r="G1003" s="9"/>
      <c r="H1003" s="5"/>
      <c r="I1003" s="5"/>
    </row>
    <row r="1004" spans="3:9" x14ac:dyDescent="0.25">
      <c r="C1004" s="11"/>
      <c r="E1004" s="12"/>
      <c r="F1004" s="12"/>
      <c r="G1004" s="9"/>
      <c r="H1004" s="5"/>
      <c r="I1004" s="5"/>
    </row>
    <row r="1005" spans="3:9" x14ac:dyDescent="0.25">
      <c r="C1005" s="11"/>
      <c r="E1005" s="12"/>
      <c r="F1005" s="12"/>
      <c r="G1005" s="9"/>
      <c r="H1005" s="5"/>
      <c r="I1005" s="5"/>
    </row>
    <row r="1006" spans="3:9" x14ac:dyDescent="0.25">
      <c r="C1006" s="11"/>
      <c r="E1006" s="12"/>
      <c r="F1006" s="12"/>
      <c r="G1006" s="9"/>
      <c r="H1006" s="5"/>
      <c r="I1006" s="5"/>
    </row>
    <row r="1007" spans="3:9" x14ac:dyDescent="0.25">
      <c r="C1007" s="11"/>
      <c r="E1007" s="12"/>
      <c r="F1007" s="12"/>
      <c r="G1007" s="9"/>
      <c r="H1007" s="5"/>
      <c r="I1007" s="5"/>
    </row>
    <row r="1008" spans="3:9" x14ac:dyDescent="0.25">
      <c r="C1008" s="11"/>
      <c r="E1008" s="12"/>
      <c r="F1008" s="12"/>
      <c r="G1008" s="9"/>
      <c r="H1008" s="5"/>
      <c r="I1008" s="5"/>
    </row>
    <row r="1009" spans="3:9" x14ac:dyDescent="0.25">
      <c r="C1009" s="11"/>
      <c r="E1009" s="12"/>
      <c r="F1009" s="12"/>
      <c r="G1009" s="9"/>
      <c r="H1009" s="5"/>
      <c r="I1009" s="5"/>
    </row>
    <row r="1010" spans="3:9" x14ac:dyDescent="0.25">
      <c r="C1010" s="11"/>
      <c r="E1010" s="12"/>
      <c r="F1010" s="12"/>
      <c r="G1010" s="9"/>
      <c r="H1010" s="5"/>
      <c r="I1010" s="5"/>
    </row>
    <row r="1011" spans="3:9" x14ac:dyDescent="0.25">
      <c r="C1011" s="11"/>
      <c r="E1011" s="12"/>
      <c r="F1011" s="12"/>
      <c r="G1011" s="9"/>
      <c r="H1011" s="5"/>
      <c r="I1011" s="5"/>
    </row>
    <row r="1012" spans="3:9" x14ac:dyDescent="0.25">
      <c r="C1012" s="11"/>
      <c r="E1012" s="12"/>
      <c r="F1012" s="12"/>
      <c r="G1012" s="9"/>
      <c r="H1012" s="5"/>
      <c r="I1012" s="5"/>
    </row>
    <row r="1013" spans="3:9" x14ac:dyDescent="0.25">
      <c r="C1013" s="11"/>
      <c r="E1013" s="12"/>
      <c r="F1013" s="12"/>
      <c r="G1013" s="9"/>
      <c r="H1013" s="5"/>
      <c r="I1013" s="5"/>
    </row>
    <row r="1014" spans="3:9" x14ac:dyDescent="0.25">
      <c r="C1014" s="11"/>
      <c r="E1014" s="12"/>
      <c r="F1014" s="12"/>
      <c r="G1014" s="9"/>
      <c r="H1014" s="5"/>
      <c r="I1014" s="5"/>
    </row>
    <row r="1015" spans="3:9" x14ac:dyDescent="0.25">
      <c r="C1015" s="11"/>
      <c r="E1015" s="12"/>
      <c r="F1015" s="12"/>
      <c r="G1015" s="9"/>
      <c r="H1015" s="5"/>
      <c r="I1015" s="5"/>
    </row>
    <row r="1016" spans="3:9" x14ac:dyDescent="0.25">
      <c r="C1016" s="11"/>
      <c r="E1016" s="12"/>
      <c r="F1016" s="12"/>
      <c r="G1016" s="9"/>
      <c r="H1016" s="5"/>
      <c r="I1016" s="5"/>
    </row>
    <row r="1017" spans="3:9" x14ac:dyDescent="0.25">
      <c r="C1017" s="11"/>
      <c r="E1017" s="12"/>
      <c r="F1017" s="12"/>
      <c r="G1017" s="9"/>
      <c r="H1017" s="5"/>
      <c r="I1017" s="5"/>
    </row>
    <row r="1018" spans="3:9" x14ac:dyDescent="0.25">
      <c r="C1018" s="11"/>
      <c r="E1018" s="12"/>
      <c r="F1018" s="12"/>
      <c r="G1018" s="9"/>
      <c r="H1018" s="5"/>
      <c r="I1018" s="5"/>
    </row>
    <row r="1019" spans="3:9" x14ac:dyDescent="0.25">
      <c r="C1019" s="11"/>
      <c r="E1019" s="12"/>
      <c r="F1019" s="12"/>
      <c r="G1019" s="9"/>
      <c r="H1019" s="5"/>
      <c r="I1019" s="5"/>
    </row>
    <row r="1020" spans="3:9" x14ac:dyDescent="0.25">
      <c r="C1020" s="11"/>
      <c r="E1020" s="12"/>
      <c r="F1020" s="12"/>
      <c r="G1020" s="9"/>
      <c r="H1020" s="5"/>
      <c r="I1020" s="5"/>
    </row>
    <row r="1021" spans="3:9" x14ac:dyDescent="0.25">
      <c r="C1021" s="11"/>
      <c r="E1021" s="12"/>
      <c r="F1021" s="12"/>
      <c r="G1021" s="9"/>
      <c r="H1021" s="5"/>
      <c r="I1021" s="5"/>
    </row>
    <row r="1022" spans="3:9" x14ac:dyDescent="0.25">
      <c r="C1022" s="11"/>
      <c r="E1022" s="12"/>
      <c r="F1022" s="12"/>
      <c r="G1022" s="9"/>
      <c r="H1022" s="5"/>
      <c r="I1022" s="5"/>
    </row>
    <row r="1023" spans="3:9" x14ac:dyDescent="0.25">
      <c r="C1023" s="11"/>
      <c r="E1023" s="12"/>
      <c r="F1023" s="12"/>
      <c r="G1023" s="9"/>
      <c r="H1023" s="5"/>
      <c r="I1023" s="5"/>
    </row>
    <row r="1024" spans="3:9" x14ac:dyDescent="0.25">
      <c r="C1024" s="11"/>
      <c r="E1024" s="12"/>
      <c r="F1024" s="12"/>
      <c r="G1024" s="9"/>
      <c r="H1024" s="5"/>
      <c r="I1024" s="5"/>
    </row>
    <row r="1025" spans="3:9" x14ac:dyDescent="0.25">
      <c r="C1025" s="11"/>
      <c r="E1025" s="12"/>
      <c r="F1025" s="12"/>
      <c r="G1025" s="9"/>
      <c r="H1025" s="5"/>
      <c r="I1025" s="5"/>
    </row>
    <row r="1026" spans="3:9" x14ac:dyDescent="0.25">
      <c r="C1026" s="11"/>
      <c r="E1026" s="12"/>
      <c r="F1026" s="12"/>
      <c r="G1026" s="9"/>
      <c r="H1026" s="5"/>
      <c r="I1026" s="5"/>
    </row>
    <row r="1027" spans="3:9" x14ac:dyDescent="0.25">
      <c r="C1027" s="11"/>
      <c r="E1027" s="12"/>
      <c r="F1027" s="12"/>
      <c r="G1027" s="9"/>
      <c r="H1027" s="5"/>
      <c r="I1027" s="5"/>
    </row>
    <row r="1028" spans="3:9" x14ac:dyDescent="0.25">
      <c r="C1028" s="11"/>
      <c r="E1028" s="12"/>
      <c r="F1028" s="12"/>
      <c r="G1028" s="9"/>
      <c r="H1028" s="5"/>
      <c r="I1028" s="5"/>
    </row>
    <row r="1029" spans="3:9" x14ac:dyDescent="0.25">
      <c r="C1029" s="11"/>
      <c r="E1029" s="12"/>
      <c r="F1029" s="12"/>
      <c r="G1029" s="9"/>
      <c r="H1029" s="5"/>
      <c r="I1029" s="5"/>
    </row>
    <row r="1030" spans="3:9" x14ac:dyDescent="0.25">
      <c r="C1030" s="11"/>
      <c r="E1030" s="12"/>
      <c r="F1030" s="12"/>
      <c r="G1030" s="9"/>
      <c r="H1030" s="5"/>
      <c r="I1030" s="5"/>
    </row>
    <row r="1031" spans="3:9" x14ac:dyDescent="0.25">
      <c r="C1031" s="11"/>
      <c r="E1031" s="12"/>
      <c r="F1031" s="12"/>
      <c r="G1031" s="9"/>
      <c r="H1031" s="5"/>
      <c r="I1031" s="5"/>
    </row>
    <row r="1032" spans="3:9" x14ac:dyDescent="0.25">
      <c r="C1032" s="11"/>
      <c r="E1032" s="12"/>
      <c r="F1032" s="12"/>
      <c r="G1032" s="9"/>
      <c r="H1032" s="5"/>
      <c r="I1032" s="5"/>
    </row>
    <row r="1033" spans="3:9" x14ac:dyDescent="0.25">
      <c r="C1033" s="11"/>
      <c r="E1033" s="12"/>
      <c r="F1033" s="12"/>
      <c r="G1033" s="9"/>
      <c r="H1033" s="5"/>
      <c r="I1033" s="5"/>
    </row>
    <row r="1034" spans="3:9" x14ac:dyDescent="0.25">
      <c r="C1034" s="11"/>
      <c r="E1034" s="12"/>
      <c r="F1034" s="12"/>
      <c r="G1034" s="9"/>
      <c r="H1034" s="5"/>
      <c r="I1034" s="5"/>
    </row>
    <row r="1035" spans="3:9" x14ac:dyDescent="0.25">
      <c r="C1035" s="11"/>
      <c r="E1035" s="12"/>
      <c r="F1035" s="12"/>
      <c r="G1035" s="9"/>
      <c r="H1035" s="5"/>
      <c r="I1035" s="5"/>
    </row>
    <row r="1036" spans="3:9" x14ac:dyDescent="0.25">
      <c r="C1036" s="11"/>
      <c r="E1036" s="12"/>
      <c r="F1036" s="12"/>
      <c r="G1036" s="9"/>
      <c r="H1036" s="5"/>
      <c r="I1036" s="5"/>
    </row>
    <row r="1037" spans="3:9" x14ac:dyDescent="0.25">
      <c r="C1037" s="11"/>
      <c r="E1037" s="12"/>
      <c r="F1037" s="12"/>
      <c r="G1037" s="9"/>
      <c r="H1037" s="5"/>
      <c r="I1037" s="5"/>
    </row>
    <row r="1038" spans="3:9" x14ac:dyDescent="0.25">
      <c r="C1038" s="11"/>
      <c r="E1038" s="12"/>
      <c r="F1038" s="12"/>
      <c r="G1038" s="9"/>
      <c r="H1038" s="5"/>
      <c r="I1038" s="5"/>
    </row>
    <row r="1039" spans="3:9" x14ac:dyDescent="0.25">
      <c r="C1039" s="11"/>
      <c r="E1039" s="12"/>
      <c r="F1039" s="12"/>
      <c r="G1039" s="9"/>
      <c r="H1039" s="5"/>
      <c r="I1039" s="5"/>
    </row>
    <row r="1040" spans="3:9" x14ac:dyDescent="0.25">
      <c r="C1040" s="11"/>
      <c r="E1040" s="12"/>
      <c r="F1040" s="12"/>
      <c r="G1040" s="9"/>
      <c r="H1040" s="5"/>
      <c r="I1040" s="5"/>
    </row>
    <row r="1041" spans="3:9" x14ac:dyDescent="0.25">
      <c r="C1041" s="11"/>
      <c r="E1041" s="12"/>
      <c r="F1041" s="12"/>
      <c r="G1041" s="9"/>
      <c r="H1041" s="5"/>
      <c r="I1041" s="5"/>
    </row>
    <row r="1042" spans="3:9" x14ac:dyDescent="0.25">
      <c r="C1042" s="11"/>
      <c r="E1042" s="12"/>
      <c r="F1042" s="12"/>
      <c r="G1042" s="9"/>
      <c r="H1042" s="5"/>
      <c r="I1042" s="5"/>
    </row>
    <row r="1043" spans="3:9" x14ac:dyDescent="0.25">
      <c r="C1043" s="11"/>
      <c r="E1043" s="12"/>
      <c r="F1043" s="12"/>
      <c r="G1043" s="9"/>
      <c r="H1043" s="5"/>
      <c r="I1043" s="5"/>
    </row>
    <row r="1044" spans="3:9" x14ac:dyDescent="0.25">
      <c r="C1044" s="11"/>
      <c r="E1044" s="12"/>
      <c r="F1044" s="12"/>
      <c r="G1044" s="9"/>
      <c r="H1044" s="5"/>
      <c r="I1044" s="5"/>
    </row>
    <row r="1045" spans="3:9" x14ac:dyDescent="0.25">
      <c r="C1045" s="11"/>
      <c r="E1045" s="12"/>
      <c r="F1045" s="12"/>
      <c r="G1045" s="9"/>
      <c r="H1045" s="5"/>
      <c r="I1045" s="5"/>
    </row>
    <row r="1046" spans="3:9" x14ac:dyDescent="0.25">
      <c r="C1046" s="11"/>
      <c r="E1046" s="12"/>
      <c r="F1046" s="12"/>
      <c r="G1046" s="9"/>
      <c r="H1046" s="5"/>
      <c r="I1046" s="5"/>
    </row>
    <row r="1047" spans="3:9" x14ac:dyDescent="0.25">
      <c r="C1047" s="11"/>
      <c r="E1047" s="12"/>
      <c r="F1047" s="12"/>
      <c r="G1047" s="9"/>
      <c r="H1047" s="5"/>
      <c r="I1047" s="5"/>
    </row>
    <row r="1048" spans="3:9" x14ac:dyDescent="0.25">
      <c r="C1048" s="11"/>
      <c r="E1048" s="12"/>
      <c r="F1048" s="12"/>
      <c r="G1048" s="9"/>
      <c r="H1048" s="5"/>
      <c r="I1048" s="5"/>
    </row>
    <row r="1049" spans="3:9" x14ac:dyDescent="0.25">
      <c r="C1049" s="11"/>
      <c r="E1049" s="12"/>
      <c r="F1049" s="12"/>
      <c r="G1049" s="9"/>
      <c r="H1049" s="5"/>
      <c r="I1049" s="5"/>
    </row>
    <row r="1050" spans="3:9" x14ac:dyDescent="0.25">
      <c r="C1050" s="11"/>
      <c r="E1050" s="12"/>
      <c r="F1050" s="12"/>
      <c r="G1050" s="9"/>
      <c r="H1050" s="5"/>
      <c r="I1050" s="5"/>
    </row>
    <row r="1051" spans="3:9" x14ac:dyDescent="0.25">
      <c r="C1051" s="11"/>
      <c r="E1051" s="12"/>
      <c r="F1051" s="12"/>
      <c r="G1051" s="9"/>
      <c r="H1051" s="5"/>
      <c r="I1051" s="5"/>
    </row>
    <row r="1052" spans="3:9" x14ac:dyDescent="0.25">
      <c r="C1052" s="11"/>
      <c r="E1052" s="12"/>
      <c r="F1052" s="12"/>
      <c r="G1052" s="9"/>
      <c r="H1052" s="5"/>
      <c r="I1052" s="5"/>
    </row>
    <row r="1053" spans="3:9" x14ac:dyDescent="0.25">
      <c r="C1053" s="11"/>
      <c r="E1053" s="12"/>
      <c r="F1053" s="12"/>
      <c r="G1053" s="9"/>
      <c r="H1053" s="5"/>
      <c r="I1053" s="5"/>
    </row>
    <row r="1054" spans="3:9" x14ac:dyDescent="0.25">
      <c r="C1054" s="11"/>
      <c r="E1054" s="12"/>
      <c r="F1054" s="12"/>
      <c r="G1054" s="9"/>
      <c r="H1054" s="5"/>
      <c r="I1054" s="5"/>
    </row>
    <row r="1055" spans="3:9" x14ac:dyDescent="0.25">
      <c r="C1055" s="11"/>
      <c r="E1055" s="12"/>
      <c r="F1055" s="12"/>
      <c r="G1055" s="9"/>
      <c r="H1055" s="5"/>
      <c r="I1055" s="5"/>
    </row>
    <row r="1056" spans="3:9" x14ac:dyDescent="0.25">
      <c r="C1056" s="11"/>
      <c r="E1056" s="12"/>
      <c r="F1056" s="12"/>
      <c r="G1056" s="9"/>
      <c r="H1056" s="5"/>
      <c r="I1056" s="5"/>
    </row>
    <row r="1057" spans="3:9" x14ac:dyDescent="0.25">
      <c r="C1057" s="11"/>
      <c r="E1057" s="12"/>
      <c r="F1057" s="12"/>
      <c r="G1057" s="9"/>
      <c r="H1057" s="5"/>
      <c r="I1057" s="5"/>
    </row>
    <row r="1058" spans="3:9" x14ac:dyDescent="0.25">
      <c r="C1058" s="11"/>
      <c r="E1058" s="12"/>
      <c r="F1058" s="12"/>
      <c r="G1058" s="9"/>
      <c r="H1058" s="5"/>
      <c r="I1058" s="5"/>
    </row>
    <row r="1059" spans="3:9" x14ac:dyDescent="0.25">
      <c r="C1059" s="11"/>
      <c r="E1059" s="12"/>
      <c r="F1059" s="12"/>
      <c r="G1059" s="9"/>
      <c r="H1059" s="5"/>
      <c r="I1059" s="5"/>
    </row>
    <row r="1060" spans="3:9" x14ac:dyDescent="0.25">
      <c r="C1060" s="11"/>
      <c r="E1060" s="12"/>
      <c r="F1060" s="12"/>
      <c r="G1060" s="9"/>
      <c r="H1060" s="5"/>
      <c r="I1060" s="5"/>
    </row>
    <row r="1061" spans="3:9" x14ac:dyDescent="0.25">
      <c r="C1061" s="11"/>
      <c r="E1061" s="12"/>
      <c r="F1061" s="12"/>
      <c r="G1061" s="9"/>
      <c r="H1061" s="5"/>
      <c r="I1061" s="5"/>
    </row>
    <row r="1062" spans="3:9" x14ac:dyDescent="0.25">
      <c r="C1062" s="11"/>
      <c r="E1062" s="12"/>
      <c r="F1062" s="12"/>
      <c r="G1062" s="9"/>
      <c r="H1062" s="5"/>
      <c r="I1062" s="5"/>
    </row>
    <row r="1063" spans="3:9" x14ac:dyDescent="0.25">
      <c r="C1063" s="11"/>
      <c r="E1063" s="12"/>
      <c r="F1063" s="12"/>
      <c r="G1063" s="9"/>
      <c r="H1063" s="5"/>
      <c r="I1063" s="5"/>
    </row>
    <row r="1064" spans="3:9" x14ac:dyDescent="0.25">
      <c r="C1064" s="11"/>
      <c r="E1064" s="12"/>
      <c r="F1064" s="12"/>
      <c r="G1064" s="9"/>
      <c r="H1064" s="5"/>
      <c r="I1064" s="5"/>
    </row>
    <row r="1065" spans="3:9" x14ac:dyDescent="0.25">
      <c r="C1065" s="11"/>
      <c r="E1065" s="12"/>
      <c r="F1065" s="12"/>
      <c r="G1065" s="9"/>
      <c r="H1065" s="5"/>
      <c r="I1065" s="5"/>
    </row>
    <row r="1066" spans="3:9" x14ac:dyDescent="0.25">
      <c r="C1066" s="11"/>
      <c r="E1066" s="12"/>
      <c r="F1066" s="12"/>
      <c r="G1066" s="9"/>
      <c r="H1066" s="5"/>
      <c r="I1066" s="5"/>
    </row>
    <row r="1067" spans="3:9" x14ac:dyDescent="0.25">
      <c r="C1067" s="11"/>
      <c r="E1067" s="12"/>
      <c r="F1067" s="12"/>
      <c r="G1067" s="9"/>
      <c r="H1067" s="5"/>
      <c r="I1067" s="5"/>
    </row>
    <row r="1068" spans="3:9" x14ac:dyDescent="0.25">
      <c r="C1068" s="11"/>
      <c r="E1068" s="12"/>
      <c r="F1068" s="12"/>
      <c r="G1068" s="9"/>
      <c r="H1068" s="5"/>
      <c r="I1068" s="5"/>
    </row>
    <row r="1069" spans="3:9" x14ac:dyDescent="0.25">
      <c r="C1069" s="11"/>
      <c r="E1069" s="12"/>
      <c r="F1069" s="12"/>
      <c r="G1069" s="9"/>
      <c r="H1069" s="5"/>
      <c r="I1069" s="5"/>
    </row>
    <row r="1070" spans="3:9" x14ac:dyDescent="0.25">
      <c r="C1070" s="11"/>
      <c r="E1070" s="12"/>
      <c r="F1070" s="12"/>
      <c r="G1070" s="9"/>
      <c r="H1070" s="5"/>
      <c r="I1070" s="5"/>
    </row>
    <row r="1071" spans="3:9" x14ac:dyDescent="0.25">
      <c r="C1071" s="11"/>
      <c r="E1071" s="12"/>
      <c r="F1071" s="12"/>
      <c r="G1071" s="9"/>
      <c r="H1071" s="5"/>
      <c r="I1071" s="5"/>
    </row>
    <row r="1072" spans="3:9" x14ac:dyDescent="0.25">
      <c r="C1072" s="11"/>
      <c r="E1072" s="12"/>
      <c r="F1072" s="12"/>
      <c r="G1072" s="9"/>
      <c r="H1072" s="5"/>
      <c r="I1072" s="5"/>
    </row>
    <row r="1073" spans="3:9" x14ac:dyDescent="0.25">
      <c r="C1073" s="11"/>
      <c r="E1073" s="12"/>
      <c r="F1073" s="12"/>
      <c r="G1073" s="9"/>
      <c r="H1073" s="5"/>
      <c r="I1073" s="5"/>
    </row>
    <row r="1074" spans="3:9" x14ac:dyDescent="0.25">
      <c r="C1074" s="11"/>
      <c r="E1074" s="12"/>
      <c r="F1074" s="12"/>
      <c r="G1074" s="9"/>
      <c r="H1074" s="5"/>
      <c r="I1074" s="5"/>
    </row>
    <row r="1075" spans="3:9" x14ac:dyDescent="0.25">
      <c r="C1075" s="11"/>
      <c r="E1075" s="12"/>
      <c r="F1075" s="12"/>
      <c r="G1075" s="9"/>
      <c r="H1075" s="5"/>
      <c r="I1075" s="5"/>
    </row>
    <row r="1076" spans="3:9" x14ac:dyDescent="0.25">
      <c r="C1076" s="11"/>
      <c r="E1076" s="12"/>
      <c r="F1076" s="12"/>
      <c r="G1076" s="9"/>
      <c r="H1076" s="5"/>
      <c r="I1076" s="5"/>
    </row>
    <row r="1077" spans="3:9" x14ac:dyDescent="0.25">
      <c r="C1077" s="11"/>
      <c r="E1077" s="12"/>
      <c r="F1077" s="12"/>
      <c r="G1077" s="9"/>
      <c r="H1077" s="5"/>
      <c r="I1077" s="5"/>
    </row>
    <row r="1078" spans="3:9" x14ac:dyDescent="0.25">
      <c r="C1078" s="11"/>
      <c r="E1078" s="12"/>
      <c r="F1078" s="12"/>
      <c r="G1078" s="9"/>
      <c r="H1078" s="5"/>
      <c r="I1078" s="5"/>
    </row>
    <row r="1079" spans="3:9" x14ac:dyDescent="0.25">
      <c r="C1079" s="11"/>
      <c r="E1079" s="12"/>
      <c r="F1079" s="12"/>
      <c r="G1079" s="9"/>
      <c r="H1079" s="5"/>
      <c r="I1079" s="5"/>
    </row>
    <row r="1080" spans="3:9" x14ac:dyDescent="0.25">
      <c r="C1080" s="11"/>
      <c r="E1080" s="12"/>
      <c r="F1080" s="12"/>
      <c r="G1080" s="9"/>
      <c r="H1080" s="5"/>
      <c r="I1080" s="5"/>
    </row>
    <row r="1081" spans="3:9" x14ac:dyDescent="0.25">
      <c r="C1081" s="11"/>
      <c r="E1081" s="12"/>
      <c r="F1081" s="12"/>
      <c r="G1081" s="9"/>
      <c r="H1081" s="5"/>
      <c r="I1081" s="5"/>
    </row>
    <row r="1082" spans="3:9" x14ac:dyDescent="0.25">
      <c r="C1082" s="11"/>
      <c r="E1082" s="12"/>
      <c r="F1082" s="12"/>
      <c r="G1082" s="9"/>
      <c r="H1082" s="5"/>
      <c r="I1082" s="5"/>
    </row>
    <row r="1083" spans="3:9" x14ac:dyDescent="0.25">
      <c r="C1083" s="11"/>
      <c r="E1083" s="12"/>
      <c r="F1083" s="12"/>
      <c r="G1083" s="9"/>
      <c r="H1083" s="5"/>
      <c r="I1083" s="5"/>
    </row>
    <row r="1084" spans="3:9" x14ac:dyDescent="0.25">
      <c r="C1084" s="11"/>
      <c r="E1084" s="12"/>
      <c r="F1084" s="12"/>
      <c r="G1084" s="9"/>
      <c r="H1084" s="5"/>
      <c r="I1084" s="5"/>
    </row>
    <row r="1085" spans="3:9" x14ac:dyDescent="0.25">
      <c r="C1085" s="11"/>
      <c r="E1085" s="12"/>
      <c r="F1085" s="12"/>
      <c r="G1085" s="9"/>
      <c r="H1085" s="5"/>
      <c r="I1085" s="5"/>
    </row>
    <row r="1086" spans="3:9" x14ac:dyDescent="0.25">
      <c r="C1086" s="11"/>
      <c r="E1086" s="12"/>
      <c r="F1086" s="12"/>
      <c r="G1086" s="9"/>
      <c r="H1086" s="5"/>
      <c r="I1086" s="5"/>
    </row>
    <row r="1087" spans="3:9" x14ac:dyDescent="0.25">
      <c r="C1087" s="11"/>
      <c r="E1087" s="12"/>
      <c r="F1087" s="12"/>
      <c r="G1087" s="9"/>
      <c r="H1087" s="5"/>
      <c r="I1087" s="5"/>
    </row>
    <row r="1088" spans="3:9" x14ac:dyDescent="0.25">
      <c r="C1088" s="11"/>
      <c r="E1088" s="12"/>
      <c r="F1088" s="12"/>
      <c r="G1088" s="9"/>
      <c r="H1088" s="5"/>
      <c r="I1088" s="5"/>
    </row>
    <row r="1089" spans="3:9" x14ac:dyDescent="0.25">
      <c r="C1089" s="11"/>
      <c r="E1089" s="12"/>
      <c r="F1089" s="12"/>
      <c r="G1089" s="9"/>
      <c r="H1089" s="5"/>
      <c r="I1089" s="5"/>
    </row>
    <row r="1090" spans="3:9" x14ac:dyDescent="0.25">
      <c r="C1090" s="11"/>
      <c r="E1090" s="12"/>
      <c r="F1090" s="12"/>
      <c r="G1090" s="9"/>
      <c r="H1090" s="5"/>
      <c r="I1090" s="5"/>
    </row>
    <row r="1091" spans="3:9" x14ac:dyDescent="0.25">
      <c r="C1091" s="11"/>
      <c r="E1091" s="12"/>
      <c r="F1091" s="12"/>
      <c r="G1091" s="9"/>
      <c r="H1091" s="5"/>
      <c r="I1091" s="5"/>
    </row>
    <row r="1092" spans="3:9" x14ac:dyDescent="0.25">
      <c r="C1092" s="11"/>
      <c r="E1092" s="12"/>
      <c r="F1092" s="12"/>
      <c r="G1092" s="9"/>
      <c r="H1092" s="5"/>
      <c r="I1092" s="5"/>
    </row>
    <row r="1093" spans="3:9" x14ac:dyDescent="0.25">
      <c r="C1093" s="11"/>
      <c r="E1093" s="12"/>
      <c r="F1093" s="12"/>
      <c r="G1093" s="9"/>
      <c r="H1093" s="5"/>
      <c r="I1093" s="5"/>
    </row>
    <row r="1094" spans="3:9" x14ac:dyDescent="0.25">
      <c r="C1094" s="11"/>
      <c r="E1094" s="12"/>
      <c r="F1094" s="12"/>
      <c r="G1094" s="9"/>
      <c r="H1094" s="5"/>
      <c r="I1094" s="5"/>
    </row>
    <row r="1095" spans="3:9" x14ac:dyDescent="0.25">
      <c r="C1095" s="11"/>
      <c r="E1095" s="12"/>
      <c r="F1095" s="12"/>
      <c r="G1095" s="9"/>
      <c r="H1095" s="5"/>
      <c r="I1095" s="5"/>
    </row>
    <row r="1096" spans="3:9" x14ac:dyDescent="0.25">
      <c r="C1096" s="11"/>
      <c r="E1096" s="12"/>
      <c r="F1096" s="12"/>
      <c r="G1096" s="9"/>
      <c r="H1096" s="5"/>
      <c r="I1096" s="5"/>
    </row>
    <row r="1097" spans="3:9" x14ac:dyDescent="0.25">
      <c r="C1097" s="11"/>
      <c r="E1097" s="12"/>
      <c r="F1097" s="12"/>
      <c r="G1097" s="9"/>
      <c r="H1097" s="5"/>
      <c r="I1097" s="5"/>
    </row>
    <row r="1098" spans="3:9" x14ac:dyDescent="0.25">
      <c r="C1098" s="11"/>
      <c r="E1098" s="12"/>
      <c r="F1098" s="12"/>
      <c r="G1098" s="9"/>
      <c r="H1098" s="5"/>
      <c r="I1098" s="5"/>
    </row>
    <row r="1099" spans="3:9" x14ac:dyDescent="0.25">
      <c r="C1099" s="11"/>
      <c r="E1099" s="12"/>
      <c r="F1099" s="12"/>
      <c r="G1099" s="9"/>
      <c r="H1099" s="5"/>
      <c r="I1099" s="5"/>
    </row>
    <row r="1100" spans="3:9" x14ac:dyDescent="0.25">
      <c r="C1100" s="11"/>
      <c r="E1100" s="12"/>
      <c r="F1100" s="12"/>
      <c r="G1100" s="9"/>
      <c r="H1100" s="5"/>
      <c r="I1100" s="5"/>
    </row>
    <row r="1101" spans="3:9" x14ac:dyDescent="0.25">
      <c r="C1101" s="11"/>
      <c r="E1101" s="12"/>
      <c r="F1101" s="12"/>
      <c r="G1101" s="9"/>
      <c r="H1101" s="5"/>
      <c r="I1101" s="5"/>
    </row>
    <row r="1102" spans="3:9" x14ac:dyDescent="0.25">
      <c r="C1102" s="11"/>
      <c r="E1102" s="12"/>
      <c r="F1102" s="12"/>
      <c r="G1102" s="9"/>
      <c r="H1102" s="5"/>
      <c r="I1102" s="5"/>
    </row>
    <row r="1103" spans="3:9" x14ac:dyDescent="0.25">
      <c r="C1103" s="11"/>
      <c r="E1103" s="12"/>
      <c r="F1103" s="12"/>
      <c r="G1103" s="9"/>
      <c r="H1103" s="5"/>
      <c r="I1103" s="5"/>
    </row>
    <row r="1104" spans="3:9" x14ac:dyDescent="0.25">
      <c r="C1104" s="11"/>
      <c r="E1104" s="12"/>
      <c r="F1104" s="12"/>
      <c r="G1104" s="9"/>
      <c r="H1104" s="5"/>
      <c r="I1104" s="5"/>
    </row>
    <row r="1105" spans="3:9" x14ac:dyDescent="0.25">
      <c r="C1105" s="11"/>
      <c r="E1105" s="12"/>
      <c r="F1105" s="12"/>
      <c r="G1105" s="9"/>
      <c r="H1105" s="5"/>
      <c r="I1105" s="5"/>
    </row>
    <row r="1106" spans="3:9" x14ac:dyDescent="0.25">
      <c r="C1106" s="11"/>
      <c r="E1106" s="12"/>
      <c r="F1106" s="12"/>
      <c r="G1106" s="9"/>
      <c r="H1106" s="5"/>
      <c r="I1106" s="5"/>
    </row>
    <row r="1107" spans="3:9" x14ac:dyDescent="0.25">
      <c r="C1107" s="11"/>
      <c r="E1107" s="12"/>
      <c r="F1107" s="12"/>
      <c r="G1107" s="9"/>
      <c r="H1107" s="5"/>
      <c r="I1107" s="5"/>
    </row>
    <row r="1108" spans="3:9" x14ac:dyDescent="0.25">
      <c r="C1108" s="11"/>
      <c r="E1108" s="12"/>
      <c r="F1108" s="12"/>
      <c r="G1108" s="9"/>
      <c r="H1108" s="5"/>
      <c r="I1108" s="5"/>
    </row>
    <row r="1109" spans="3:9" x14ac:dyDescent="0.25">
      <c r="C1109" s="11"/>
      <c r="E1109" s="12"/>
      <c r="F1109" s="12"/>
      <c r="G1109" s="9"/>
      <c r="H1109" s="5"/>
      <c r="I1109" s="5"/>
    </row>
    <row r="1110" spans="3:9" x14ac:dyDescent="0.25">
      <c r="C1110" s="11"/>
      <c r="E1110" s="12"/>
      <c r="F1110" s="12"/>
      <c r="G1110" s="9"/>
      <c r="H1110" s="5"/>
      <c r="I1110" s="5"/>
    </row>
    <row r="1111" spans="3:9" x14ac:dyDescent="0.25">
      <c r="C1111" s="11"/>
      <c r="E1111" s="12"/>
      <c r="F1111" s="12"/>
      <c r="G1111" s="9"/>
      <c r="H1111" s="5"/>
      <c r="I1111" s="5"/>
    </row>
    <row r="1112" spans="3:9" x14ac:dyDescent="0.25">
      <c r="C1112" s="11"/>
      <c r="E1112" s="12"/>
      <c r="F1112" s="12"/>
      <c r="G1112" s="9"/>
      <c r="H1112" s="5"/>
      <c r="I1112" s="5"/>
    </row>
    <row r="1113" spans="3:9" x14ac:dyDescent="0.25">
      <c r="C1113" s="11"/>
      <c r="E1113" s="12"/>
      <c r="F1113" s="12"/>
      <c r="G1113" s="9"/>
      <c r="H1113" s="5"/>
      <c r="I1113" s="5"/>
    </row>
    <row r="1114" spans="3:9" x14ac:dyDescent="0.25">
      <c r="C1114" s="11"/>
      <c r="E1114" s="12"/>
      <c r="F1114" s="12"/>
      <c r="G1114" s="9"/>
      <c r="H1114" s="5"/>
      <c r="I1114" s="5"/>
    </row>
    <row r="1115" spans="3:9" x14ac:dyDescent="0.25">
      <c r="C1115" s="11"/>
      <c r="E1115" s="12"/>
      <c r="F1115" s="12"/>
      <c r="G1115" s="9"/>
      <c r="H1115" s="5"/>
      <c r="I1115" s="5"/>
    </row>
    <row r="1116" spans="3:9" x14ac:dyDescent="0.25">
      <c r="C1116" s="11"/>
      <c r="E1116" s="12"/>
      <c r="F1116" s="12"/>
      <c r="G1116" s="9"/>
      <c r="H1116" s="5"/>
      <c r="I1116" s="5"/>
    </row>
    <row r="1117" spans="3:9" x14ac:dyDescent="0.25">
      <c r="C1117" s="11"/>
      <c r="E1117" s="12"/>
      <c r="F1117" s="12"/>
      <c r="G1117" s="9"/>
      <c r="H1117" s="5"/>
      <c r="I1117" s="5"/>
    </row>
    <row r="1118" spans="3:9" x14ac:dyDescent="0.25">
      <c r="C1118" s="11"/>
      <c r="E1118" s="12"/>
      <c r="F1118" s="12"/>
      <c r="G1118" s="9"/>
      <c r="H1118" s="5"/>
      <c r="I1118" s="5"/>
    </row>
    <row r="1119" spans="3:9" x14ac:dyDescent="0.25">
      <c r="C1119" s="11"/>
      <c r="E1119" s="12"/>
      <c r="F1119" s="12"/>
      <c r="G1119" s="9"/>
      <c r="H1119" s="5"/>
      <c r="I1119" s="5"/>
    </row>
    <row r="1120" spans="3:9" x14ac:dyDescent="0.25">
      <c r="C1120" s="11"/>
      <c r="E1120" s="12"/>
      <c r="F1120" s="12"/>
      <c r="G1120" s="9"/>
      <c r="H1120" s="5"/>
      <c r="I1120" s="5"/>
    </row>
    <row r="1121" spans="3:9" x14ac:dyDescent="0.25">
      <c r="C1121" s="11"/>
      <c r="E1121" s="12"/>
      <c r="F1121" s="12"/>
      <c r="G1121" s="9"/>
      <c r="H1121" s="5"/>
      <c r="I1121" s="5"/>
    </row>
    <row r="1122" spans="3:9" x14ac:dyDescent="0.25">
      <c r="C1122" s="11"/>
      <c r="E1122" s="12"/>
      <c r="F1122" s="12"/>
      <c r="G1122" s="9"/>
      <c r="H1122" s="5"/>
      <c r="I1122" s="5"/>
    </row>
    <row r="1123" spans="3:9" x14ac:dyDescent="0.25">
      <c r="C1123" s="11"/>
      <c r="E1123" s="12"/>
      <c r="F1123" s="12"/>
      <c r="G1123" s="9"/>
      <c r="H1123" s="5"/>
      <c r="I1123" s="5"/>
    </row>
    <row r="1124" spans="3:9" x14ac:dyDescent="0.25">
      <c r="C1124" s="11"/>
      <c r="E1124" s="12"/>
      <c r="F1124" s="12"/>
      <c r="G1124" s="9"/>
      <c r="H1124" s="5"/>
      <c r="I1124" s="5"/>
    </row>
    <row r="1125" spans="3:9" x14ac:dyDescent="0.25">
      <c r="C1125" s="11"/>
      <c r="E1125" s="12"/>
      <c r="F1125" s="12"/>
      <c r="G1125" s="9"/>
      <c r="H1125" s="5"/>
      <c r="I1125" s="5"/>
    </row>
    <row r="1126" spans="3:9" x14ac:dyDescent="0.25">
      <c r="C1126" s="11"/>
      <c r="E1126" s="12"/>
      <c r="F1126" s="12"/>
      <c r="G1126" s="9"/>
      <c r="H1126" s="5"/>
      <c r="I1126" s="5"/>
    </row>
    <row r="1127" spans="3:9" x14ac:dyDescent="0.25">
      <c r="C1127" s="11"/>
      <c r="E1127" s="12"/>
      <c r="F1127" s="12"/>
      <c r="G1127" s="9"/>
      <c r="H1127" s="5"/>
      <c r="I1127" s="5"/>
    </row>
    <row r="1128" spans="3:9" x14ac:dyDescent="0.25">
      <c r="C1128" s="11"/>
      <c r="E1128" s="12"/>
      <c r="F1128" s="12"/>
      <c r="G1128" s="9"/>
      <c r="H1128" s="5"/>
      <c r="I1128" s="5"/>
    </row>
    <row r="1129" spans="3:9" x14ac:dyDescent="0.25">
      <c r="C1129" s="11"/>
      <c r="E1129" s="12"/>
      <c r="F1129" s="12"/>
      <c r="G1129" s="9"/>
      <c r="H1129" s="5"/>
      <c r="I1129" s="5"/>
    </row>
    <row r="1130" spans="3:9" x14ac:dyDescent="0.25">
      <c r="C1130" s="11"/>
      <c r="E1130" s="12"/>
      <c r="F1130" s="12"/>
      <c r="G1130" s="9"/>
      <c r="H1130" s="5"/>
      <c r="I1130" s="5"/>
    </row>
    <row r="1131" spans="3:9" x14ac:dyDescent="0.25">
      <c r="C1131" s="11"/>
      <c r="E1131" s="12"/>
      <c r="F1131" s="12"/>
      <c r="G1131" s="9"/>
      <c r="H1131" s="5"/>
      <c r="I1131" s="5"/>
    </row>
    <row r="1132" spans="3:9" x14ac:dyDescent="0.25">
      <c r="C1132" s="11"/>
      <c r="E1132" s="12"/>
      <c r="F1132" s="12"/>
      <c r="G1132" s="9"/>
      <c r="H1132" s="5"/>
      <c r="I1132" s="5"/>
    </row>
    <row r="1133" spans="3:9" x14ac:dyDescent="0.25">
      <c r="C1133" s="11"/>
      <c r="E1133" s="12"/>
      <c r="F1133" s="12"/>
      <c r="G1133" s="9"/>
      <c r="H1133" s="5"/>
      <c r="I1133" s="5"/>
    </row>
    <row r="1134" spans="3:9" x14ac:dyDescent="0.25">
      <c r="C1134" s="11"/>
      <c r="E1134" s="12"/>
      <c r="F1134" s="12"/>
      <c r="G1134" s="9"/>
      <c r="H1134" s="5"/>
      <c r="I1134" s="5"/>
    </row>
    <row r="1135" spans="3:9" x14ac:dyDescent="0.25">
      <c r="C1135" s="11"/>
      <c r="E1135" s="12"/>
      <c r="F1135" s="12"/>
      <c r="G1135" s="9"/>
      <c r="H1135" s="5"/>
      <c r="I1135" s="5"/>
    </row>
    <row r="1136" spans="3:9" x14ac:dyDescent="0.25">
      <c r="C1136" s="11"/>
      <c r="E1136" s="12"/>
      <c r="F1136" s="12"/>
      <c r="G1136" s="9"/>
      <c r="H1136" s="5"/>
      <c r="I1136" s="5"/>
    </row>
    <row r="1137" spans="3:9" x14ac:dyDescent="0.25">
      <c r="C1137" s="11"/>
      <c r="E1137" s="12"/>
      <c r="F1137" s="12"/>
      <c r="G1137" s="9"/>
      <c r="H1137" s="5"/>
      <c r="I1137" s="5"/>
    </row>
    <row r="1138" spans="3:9" x14ac:dyDescent="0.25">
      <c r="C1138" s="11"/>
      <c r="E1138" s="12"/>
      <c r="F1138" s="12"/>
      <c r="G1138" s="9"/>
      <c r="H1138" s="5"/>
      <c r="I1138" s="5"/>
    </row>
    <row r="1139" spans="3:9" x14ac:dyDescent="0.25">
      <c r="C1139" s="11"/>
      <c r="E1139" s="12"/>
      <c r="F1139" s="12"/>
      <c r="G1139" s="9"/>
      <c r="H1139" s="5"/>
      <c r="I1139" s="5"/>
    </row>
    <row r="1140" spans="3:9" x14ac:dyDescent="0.25">
      <c r="C1140" s="11"/>
      <c r="E1140" s="12"/>
      <c r="F1140" s="12"/>
      <c r="G1140" s="9"/>
      <c r="H1140" s="5"/>
      <c r="I1140" s="5"/>
    </row>
    <row r="1141" spans="3:9" x14ac:dyDescent="0.25">
      <c r="C1141" s="11"/>
      <c r="E1141" s="12"/>
      <c r="F1141" s="12"/>
      <c r="G1141" s="9"/>
      <c r="H1141" s="5"/>
      <c r="I1141" s="5"/>
    </row>
    <row r="1142" spans="3:9" x14ac:dyDescent="0.25">
      <c r="C1142" s="11"/>
      <c r="E1142" s="12"/>
      <c r="F1142" s="12"/>
      <c r="G1142" s="9"/>
      <c r="H1142" s="5"/>
      <c r="I1142" s="5"/>
    </row>
    <row r="1143" spans="3:9" x14ac:dyDescent="0.25">
      <c r="C1143" s="11"/>
      <c r="E1143" s="12"/>
      <c r="F1143" s="12"/>
      <c r="G1143" s="9"/>
      <c r="H1143" s="5"/>
      <c r="I1143" s="5"/>
    </row>
    <row r="1144" spans="3:9" x14ac:dyDescent="0.25">
      <c r="C1144" s="11"/>
      <c r="E1144" s="12"/>
      <c r="F1144" s="12"/>
      <c r="G1144" s="9"/>
      <c r="H1144" s="5"/>
      <c r="I1144" s="5"/>
    </row>
    <row r="1145" spans="3:9" x14ac:dyDescent="0.25">
      <c r="C1145" s="11"/>
      <c r="E1145" s="12"/>
      <c r="F1145" s="12"/>
      <c r="G1145" s="9"/>
      <c r="H1145" s="5"/>
      <c r="I1145" s="5"/>
    </row>
    <row r="1146" spans="3:9" x14ac:dyDescent="0.25">
      <c r="C1146" s="11"/>
      <c r="E1146" s="12"/>
      <c r="F1146" s="12"/>
      <c r="G1146" s="9"/>
      <c r="H1146" s="5"/>
      <c r="I1146" s="5"/>
    </row>
    <row r="1147" spans="3:9" x14ac:dyDescent="0.25">
      <c r="C1147" s="11"/>
      <c r="E1147" s="12"/>
      <c r="F1147" s="12"/>
      <c r="G1147" s="9"/>
      <c r="H1147" s="5"/>
      <c r="I1147" s="5"/>
    </row>
    <row r="1148" spans="3:9" x14ac:dyDescent="0.25">
      <c r="C1148" s="11"/>
      <c r="E1148" s="12"/>
      <c r="F1148" s="12"/>
      <c r="G1148" s="9"/>
      <c r="H1148" s="5"/>
      <c r="I1148" s="5"/>
    </row>
    <row r="1149" spans="3:9" x14ac:dyDescent="0.25">
      <c r="C1149" s="11"/>
      <c r="E1149" s="12"/>
      <c r="F1149" s="12"/>
      <c r="G1149" s="9"/>
      <c r="H1149" s="5"/>
      <c r="I1149" s="5"/>
    </row>
    <row r="1150" spans="3:9" x14ac:dyDescent="0.25">
      <c r="C1150" s="11"/>
      <c r="E1150" s="12"/>
      <c r="F1150" s="12"/>
      <c r="G1150" s="9"/>
      <c r="H1150" s="5"/>
      <c r="I1150" s="5"/>
    </row>
    <row r="1151" spans="3:9" x14ac:dyDescent="0.25">
      <c r="C1151" s="11"/>
      <c r="E1151" s="12"/>
      <c r="F1151" s="12"/>
      <c r="G1151" s="9"/>
      <c r="H1151" s="5"/>
      <c r="I1151" s="5"/>
    </row>
    <row r="1152" spans="3:9" x14ac:dyDescent="0.25">
      <c r="C1152" s="11"/>
      <c r="E1152" s="12"/>
      <c r="F1152" s="12"/>
      <c r="G1152" s="9"/>
      <c r="H1152" s="5"/>
      <c r="I1152" s="5"/>
    </row>
    <row r="1153" spans="3:9" x14ac:dyDescent="0.25">
      <c r="C1153" s="11"/>
      <c r="E1153" s="12"/>
      <c r="F1153" s="12"/>
      <c r="G1153" s="9"/>
      <c r="H1153" s="5"/>
      <c r="I1153" s="5"/>
    </row>
    <row r="1154" spans="3:9" x14ac:dyDescent="0.25">
      <c r="C1154" s="11"/>
      <c r="E1154" s="12"/>
      <c r="F1154" s="12"/>
      <c r="G1154" s="9"/>
      <c r="H1154" s="5"/>
      <c r="I1154" s="5"/>
    </row>
    <row r="1155" spans="3:9" x14ac:dyDescent="0.25">
      <c r="C1155" s="11"/>
      <c r="E1155" s="12"/>
      <c r="F1155" s="12"/>
      <c r="G1155" s="9"/>
      <c r="H1155" s="5"/>
      <c r="I1155" s="5"/>
    </row>
    <row r="1156" spans="3:9" x14ac:dyDescent="0.25">
      <c r="C1156" s="11"/>
      <c r="E1156" s="12"/>
      <c r="F1156" s="12"/>
      <c r="G1156" s="9"/>
      <c r="H1156" s="5"/>
      <c r="I1156" s="5"/>
    </row>
    <row r="1157" spans="3:9" x14ac:dyDescent="0.25">
      <c r="C1157" s="11"/>
      <c r="E1157" s="12"/>
      <c r="F1157" s="12"/>
      <c r="G1157" s="9"/>
      <c r="H1157" s="5"/>
      <c r="I1157" s="5"/>
    </row>
    <row r="1158" spans="3:9" x14ac:dyDescent="0.25">
      <c r="C1158" s="11"/>
      <c r="E1158" s="12"/>
      <c r="F1158" s="12"/>
      <c r="G1158" s="9"/>
      <c r="H1158" s="5"/>
      <c r="I1158" s="5"/>
    </row>
    <row r="1159" spans="3:9" x14ac:dyDescent="0.25">
      <c r="C1159" s="11"/>
      <c r="E1159" s="12"/>
      <c r="F1159" s="12"/>
      <c r="G1159" s="9"/>
      <c r="H1159" s="5"/>
      <c r="I1159" s="5"/>
    </row>
    <row r="1160" spans="3:9" x14ac:dyDescent="0.25">
      <c r="C1160" s="11"/>
      <c r="E1160" s="12"/>
      <c r="F1160" s="12"/>
      <c r="G1160" s="9"/>
      <c r="H1160" s="5"/>
      <c r="I1160" s="5"/>
    </row>
    <row r="1161" spans="3:9" x14ac:dyDescent="0.25">
      <c r="C1161" s="11"/>
      <c r="E1161" s="12"/>
      <c r="F1161" s="12"/>
      <c r="G1161" s="9"/>
      <c r="H1161" s="5"/>
      <c r="I1161" s="5"/>
    </row>
    <row r="1162" spans="3:9" x14ac:dyDescent="0.25">
      <c r="C1162" s="11"/>
      <c r="E1162" s="12"/>
      <c r="F1162" s="12"/>
      <c r="G1162" s="9"/>
      <c r="H1162" s="5"/>
      <c r="I1162" s="5"/>
    </row>
    <row r="1163" spans="3:9" x14ac:dyDescent="0.25">
      <c r="C1163" s="11"/>
      <c r="E1163" s="12"/>
      <c r="F1163" s="12"/>
      <c r="G1163" s="9"/>
      <c r="H1163" s="5"/>
      <c r="I1163" s="5"/>
    </row>
    <row r="1164" spans="3:9" x14ac:dyDescent="0.25">
      <c r="C1164" s="11"/>
      <c r="E1164" s="12"/>
      <c r="F1164" s="12"/>
      <c r="G1164" s="9"/>
      <c r="H1164" s="5"/>
      <c r="I1164" s="5"/>
    </row>
    <row r="1165" spans="3:9" x14ac:dyDescent="0.25">
      <c r="C1165" s="11"/>
      <c r="E1165" s="12"/>
      <c r="F1165" s="12"/>
      <c r="G1165" s="9"/>
      <c r="H1165" s="5"/>
      <c r="I1165" s="5"/>
    </row>
    <row r="1166" spans="3:9" x14ac:dyDescent="0.25">
      <c r="C1166" s="11"/>
      <c r="E1166" s="12"/>
      <c r="F1166" s="12"/>
      <c r="G1166" s="9"/>
      <c r="H1166" s="5"/>
      <c r="I1166" s="5"/>
    </row>
    <row r="1167" spans="3:9" x14ac:dyDescent="0.25">
      <c r="C1167" s="11"/>
      <c r="E1167" s="12"/>
      <c r="F1167" s="12"/>
      <c r="G1167" s="9"/>
      <c r="H1167" s="5"/>
      <c r="I1167" s="5"/>
    </row>
    <row r="1168" spans="3:9" x14ac:dyDescent="0.25">
      <c r="C1168" s="11"/>
      <c r="E1168" s="12"/>
      <c r="F1168" s="12"/>
      <c r="G1168" s="9"/>
      <c r="H1168" s="5"/>
      <c r="I1168" s="5"/>
    </row>
    <row r="1169" spans="3:9" x14ac:dyDescent="0.25">
      <c r="C1169" s="11"/>
      <c r="E1169" s="12"/>
      <c r="F1169" s="12"/>
      <c r="G1169" s="9"/>
      <c r="H1169" s="5"/>
      <c r="I1169" s="5"/>
    </row>
    <row r="1170" spans="3:9" x14ac:dyDescent="0.25">
      <c r="C1170" s="11"/>
      <c r="E1170" s="12"/>
      <c r="F1170" s="12"/>
      <c r="G1170" s="9"/>
      <c r="H1170" s="5"/>
      <c r="I1170" s="5"/>
    </row>
    <row r="1171" spans="3:9" x14ac:dyDescent="0.25">
      <c r="C1171" s="11"/>
      <c r="E1171" s="12"/>
      <c r="F1171" s="12"/>
      <c r="G1171" s="9"/>
      <c r="H1171" s="5"/>
      <c r="I1171" s="5"/>
    </row>
    <row r="1172" spans="3:9" x14ac:dyDescent="0.25">
      <c r="C1172" s="11"/>
      <c r="E1172" s="12"/>
      <c r="F1172" s="12"/>
      <c r="G1172" s="9"/>
      <c r="H1172" s="5"/>
      <c r="I1172" s="5"/>
    </row>
    <row r="1173" spans="3:9" x14ac:dyDescent="0.25">
      <c r="C1173" s="11"/>
      <c r="E1173" s="12"/>
      <c r="F1173" s="12"/>
      <c r="G1173" s="9"/>
      <c r="H1173" s="5"/>
      <c r="I1173" s="5"/>
    </row>
    <row r="1174" spans="3:9" x14ac:dyDescent="0.25">
      <c r="C1174" s="11"/>
      <c r="E1174" s="12"/>
      <c r="F1174" s="12"/>
      <c r="G1174" s="9"/>
      <c r="H1174" s="5"/>
      <c r="I1174" s="5"/>
    </row>
    <row r="1175" spans="3:9" x14ac:dyDescent="0.25">
      <c r="C1175" s="11"/>
      <c r="E1175" s="12"/>
      <c r="F1175" s="12"/>
      <c r="G1175" s="9"/>
      <c r="H1175" s="5"/>
      <c r="I1175" s="5"/>
    </row>
    <row r="1176" spans="3:9" x14ac:dyDescent="0.25">
      <c r="C1176" s="11"/>
      <c r="E1176" s="12"/>
      <c r="F1176" s="12"/>
      <c r="G1176" s="9"/>
      <c r="H1176" s="5"/>
      <c r="I1176" s="5"/>
    </row>
    <row r="1177" spans="3:9" x14ac:dyDescent="0.25">
      <c r="C1177" s="11"/>
      <c r="E1177" s="12"/>
      <c r="F1177" s="12"/>
      <c r="G1177" s="9"/>
      <c r="H1177" s="5"/>
      <c r="I1177" s="5"/>
    </row>
    <row r="1178" spans="3:9" x14ac:dyDescent="0.25">
      <c r="C1178" s="11"/>
      <c r="E1178" s="12"/>
      <c r="F1178" s="12"/>
      <c r="G1178" s="9"/>
      <c r="H1178" s="5"/>
      <c r="I1178" s="5"/>
    </row>
    <row r="1179" spans="3:9" x14ac:dyDescent="0.25">
      <c r="C1179" s="11"/>
      <c r="E1179" s="12"/>
      <c r="F1179" s="12"/>
      <c r="G1179" s="9"/>
      <c r="H1179" s="5"/>
      <c r="I1179" s="5"/>
    </row>
    <row r="1180" spans="3:9" x14ac:dyDescent="0.25">
      <c r="C1180" s="11"/>
      <c r="E1180" s="12"/>
      <c r="F1180" s="12"/>
      <c r="G1180" s="9"/>
      <c r="H1180" s="5"/>
      <c r="I1180" s="5"/>
    </row>
    <row r="1181" spans="3:9" x14ac:dyDescent="0.25">
      <c r="C1181" s="11"/>
      <c r="E1181" s="12"/>
      <c r="F1181" s="12"/>
      <c r="G1181" s="9"/>
      <c r="H1181" s="5"/>
      <c r="I1181" s="5"/>
    </row>
    <row r="1182" spans="3:9" x14ac:dyDescent="0.25">
      <c r="C1182" s="11"/>
      <c r="E1182" s="12"/>
      <c r="F1182" s="12"/>
      <c r="G1182" s="9"/>
      <c r="H1182" s="5"/>
      <c r="I1182" s="5"/>
    </row>
    <row r="1183" spans="3:9" x14ac:dyDescent="0.25">
      <c r="C1183" s="11"/>
      <c r="E1183" s="12"/>
      <c r="F1183" s="12"/>
      <c r="G1183" s="9"/>
      <c r="H1183" s="5"/>
      <c r="I1183" s="5"/>
    </row>
    <row r="1184" spans="3:9" x14ac:dyDescent="0.25">
      <c r="C1184" s="11"/>
      <c r="E1184" s="12"/>
      <c r="F1184" s="12"/>
      <c r="G1184" s="9"/>
      <c r="H1184" s="5"/>
      <c r="I1184" s="5"/>
    </row>
    <row r="1185" spans="3:9" x14ac:dyDescent="0.25">
      <c r="C1185" s="11"/>
      <c r="E1185" s="12"/>
      <c r="F1185" s="12"/>
      <c r="G1185" s="9"/>
      <c r="H1185" s="5"/>
      <c r="I1185" s="5"/>
    </row>
    <row r="1186" spans="3:9" x14ac:dyDescent="0.25">
      <c r="C1186" s="11"/>
      <c r="E1186" s="12"/>
      <c r="F1186" s="12"/>
      <c r="G1186" s="9"/>
      <c r="H1186" s="5"/>
      <c r="I1186" s="5"/>
    </row>
    <row r="1187" spans="3:9" x14ac:dyDescent="0.25">
      <c r="C1187" s="11"/>
      <c r="E1187" s="12"/>
      <c r="F1187" s="12"/>
      <c r="G1187" s="9"/>
      <c r="H1187" s="5"/>
      <c r="I1187" s="5"/>
    </row>
    <row r="1188" spans="3:9" x14ac:dyDescent="0.25">
      <c r="C1188" s="11"/>
      <c r="E1188" s="12"/>
      <c r="F1188" s="12"/>
      <c r="G1188" s="9"/>
      <c r="H1188" s="5"/>
      <c r="I1188" s="5"/>
    </row>
    <row r="1189" spans="3:9" x14ac:dyDescent="0.25">
      <c r="C1189" s="11"/>
      <c r="E1189" s="12"/>
      <c r="F1189" s="12"/>
      <c r="G1189" s="9"/>
      <c r="H1189" s="5"/>
      <c r="I1189" s="5"/>
    </row>
    <row r="1190" spans="3:9" x14ac:dyDescent="0.25">
      <c r="C1190" s="11"/>
      <c r="E1190" s="12"/>
      <c r="F1190" s="12"/>
      <c r="G1190" s="9"/>
      <c r="H1190" s="5"/>
      <c r="I1190" s="5"/>
    </row>
    <row r="1191" spans="3:9" x14ac:dyDescent="0.25">
      <c r="C1191" s="11"/>
      <c r="E1191" s="12"/>
      <c r="F1191" s="12"/>
      <c r="G1191" s="9"/>
      <c r="H1191" s="5"/>
      <c r="I1191" s="5"/>
    </row>
    <row r="1192" spans="3:9" x14ac:dyDescent="0.25">
      <c r="C1192" s="11"/>
      <c r="E1192" s="12"/>
      <c r="F1192" s="12"/>
      <c r="G1192" s="9"/>
      <c r="H1192" s="5"/>
      <c r="I1192" s="5"/>
    </row>
    <row r="1193" spans="3:9" x14ac:dyDescent="0.25">
      <c r="C1193" s="11"/>
      <c r="E1193" s="12"/>
      <c r="F1193" s="12"/>
      <c r="G1193" s="9"/>
      <c r="H1193" s="5"/>
      <c r="I1193" s="5"/>
    </row>
    <row r="1194" spans="3:9" x14ac:dyDescent="0.25">
      <c r="C1194" s="11"/>
      <c r="E1194" s="12"/>
      <c r="F1194" s="12"/>
      <c r="G1194" s="9"/>
      <c r="H1194" s="5"/>
      <c r="I1194" s="5"/>
    </row>
    <row r="1195" spans="3:9" x14ac:dyDescent="0.25">
      <c r="C1195" s="11"/>
      <c r="E1195" s="12"/>
      <c r="F1195" s="12"/>
      <c r="G1195" s="9"/>
      <c r="H1195" s="5"/>
      <c r="I1195" s="5"/>
    </row>
    <row r="1196" spans="3:9" x14ac:dyDescent="0.25">
      <c r="C1196" s="11"/>
      <c r="E1196" s="12"/>
      <c r="F1196" s="12"/>
      <c r="G1196" s="9"/>
      <c r="H1196" s="5"/>
      <c r="I1196" s="5"/>
    </row>
    <row r="1197" spans="3:9" x14ac:dyDescent="0.25">
      <c r="C1197" s="11"/>
      <c r="E1197" s="12"/>
      <c r="F1197" s="12"/>
      <c r="G1197" s="9"/>
      <c r="H1197" s="5"/>
      <c r="I1197" s="5"/>
    </row>
    <row r="1198" spans="3:9" x14ac:dyDescent="0.25">
      <c r="C1198" s="11"/>
      <c r="E1198" s="12"/>
      <c r="F1198" s="12"/>
      <c r="G1198" s="9"/>
      <c r="H1198" s="5"/>
      <c r="I1198" s="5"/>
    </row>
    <row r="1199" spans="3:9" x14ac:dyDescent="0.25">
      <c r="C1199" s="11"/>
      <c r="E1199" s="12"/>
      <c r="F1199" s="12"/>
      <c r="G1199" s="9"/>
      <c r="H1199" s="5"/>
      <c r="I1199" s="5"/>
    </row>
    <row r="1200" spans="3:9" x14ac:dyDescent="0.25">
      <c r="C1200" s="11"/>
      <c r="E1200" s="12"/>
      <c r="F1200" s="12"/>
      <c r="G1200" s="9"/>
      <c r="H1200" s="5"/>
      <c r="I1200" s="5"/>
    </row>
    <row r="1201" spans="3:9" x14ac:dyDescent="0.25">
      <c r="C1201" s="11"/>
      <c r="E1201" s="12"/>
      <c r="F1201" s="12"/>
      <c r="G1201" s="9"/>
      <c r="H1201" s="5"/>
      <c r="I1201" s="5"/>
    </row>
    <row r="1202" spans="3:9" x14ac:dyDescent="0.25">
      <c r="C1202" s="11"/>
      <c r="E1202" s="12"/>
      <c r="F1202" s="12"/>
      <c r="G1202" s="9"/>
      <c r="H1202" s="5"/>
      <c r="I1202" s="5"/>
    </row>
    <row r="1203" spans="3:9" x14ac:dyDescent="0.25">
      <c r="C1203" s="11"/>
      <c r="E1203" s="12"/>
      <c r="F1203" s="12"/>
      <c r="G1203" s="9"/>
      <c r="H1203" s="5"/>
      <c r="I1203" s="5"/>
    </row>
    <row r="1204" spans="3:9" x14ac:dyDescent="0.25">
      <c r="C1204" s="11"/>
      <c r="E1204" s="12"/>
      <c r="F1204" s="12"/>
      <c r="G1204" s="9"/>
      <c r="H1204" s="5"/>
      <c r="I1204" s="5"/>
    </row>
    <row r="1205" spans="3:9" x14ac:dyDescent="0.25">
      <c r="C1205" s="11"/>
      <c r="E1205" s="12"/>
      <c r="F1205" s="12"/>
      <c r="G1205" s="9"/>
      <c r="H1205" s="5"/>
      <c r="I1205" s="5"/>
    </row>
    <row r="1206" spans="3:9" x14ac:dyDescent="0.25">
      <c r="C1206" s="11"/>
      <c r="E1206" s="12"/>
      <c r="F1206" s="12"/>
      <c r="G1206" s="9"/>
      <c r="H1206" s="5"/>
      <c r="I1206" s="5"/>
    </row>
    <row r="1207" spans="3:9" x14ac:dyDescent="0.25">
      <c r="C1207" s="11"/>
      <c r="E1207" s="12"/>
      <c r="F1207" s="12"/>
      <c r="G1207" s="9"/>
      <c r="H1207" s="5"/>
      <c r="I1207" s="5"/>
    </row>
    <row r="1208" spans="3:9" x14ac:dyDescent="0.25">
      <c r="C1208" s="11"/>
      <c r="E1208" s="12"/>
      <c r="F1208" s="12"/>
      <c r="G1208" s="9"/>
      <c r="H1208" s="5"/>
      <c r="I1208" s="5"/>
    </row>
    <row r="1209" spans="3:9" x14ac:dyDescent="0.25">
      <c r="C1209" s="11"/>
      <c r="E1209" s="12"/>
      <c r="F1209" s="12"/>
      <c r="G1209" s="9"/>
      <c r="H1209" s="5"/>
      <c r="I1209" s="5"/>
    </row>
    <row r="1210" spans="3:9" x14ac:dyDescent="0.25">
      <c r="C1210" s="11"/>
      <c r="E1210" s="12"/>
      <c r="F1210" s="12"/>
      <c r="G1210" s="9"/>
      <c r="H1210" s="5"/>
      <c r="I1210" s="5"/>
    </row>
    <row r="1211" spans="3:9" x14ac:dyDescent="0.25">
      <c r="C1211" s="11"/>
      <c r="E1211" s="12"/>
      <c r="F1211" s="12"/>
      <c r="G1211" s="9"/>
      <c r="H1211" s="5"/>
      <c r="I1211" s="5"/>
    </row>
    <row r="1212" spans="3:9" x14ac:dyDescent="0.25">
      <c r="C1212" s="11"/>
      <c r="E1212" s="12"/>
      <c r="F1212" s="12"/>
      <c r="G1212" s="9"/>
      <c r="H1212" s="5"/>
      <c r="I1212" s="5"/>
    </row>
    <row r="1213" spans="3:9" x14ac:dyDescent="0.25">
      <c r="C1213" s="11"/>
      <c r="E1213" s="12"/>
      <c r="F1213" s="12"/>
      <c r="G1213" s="9"/>
      <c r="H1213" s="5"/>
      <c r="I1213" s="5"/>
    </row>
    <row r="1214" spans="3:9" x14ac:dyDescent="0.25">
      <c r="C1214" s="11"/>
      <c r="E1214" s="12"/>
      <c r="F1214" s="12"/>
      <c r="G1214" s="9"/>
      <c r="H1214" s="5"/>
      <c r="I1214" s="5"/>
    </row>
    <row r="1215" spans="3:9" x14ac:dyDescent="0.25">
      <c r="C1215" s="11"/>
      <c r="E1215" s="12"/>
      <c r="F1215" s="12"/>
      <c r="G1215" s="9"/>
      <c r="H1215" s="5"/>
      <c r="I1215" s="5"/>
    </row>
    <row r="1216" spans="3:9" x14ac:dyDescent="0.25">
      <c r="C1216" s="11"/>
      <c r="E1216" s="12"/>
      <c r="F1216" s="12"/>
      <c r="G1216" s="9"/>
      <c r="H1216" s="5"/>
      <c r="I1216" s="5"/>
    </row>
    <row r="1217" spans="3:9" x14ac:dyDescent="0.25">
      <c r="C1217" s="11"/>
      <c r="E1217" s="12"/>
      <c r="F1217" s="12"/>
      <c r="G1217" s="9"/>
      <c r="H1217" s="5"/>
      <c r="I1217" s="5"/>
    </row>
    <row r="1218" spans="3:9" x14ac:dyDescent="0.25">
      <c r="C1218" s="11"/>
      <c r="E1218" s="12"/>
      <c r="F1218" s="12"/>
      <c r="G1218" s="9"/>
      <c r="H1218" s="5"/>
      <c r="I1218" s="5"/>
    </row>
    <row r="1219" spans="3:9" x14ac:dyDescent="0.25">
      <c r="C1219" s="11"/>
      <c r="E1219" s="12"/>
      <c r="F1219" s="12"/>
      <c r="G1219" s="9"/>
      <c r="H1219" s="5"/>
      <c r="I1219" s="5"/>
    </row>
    <row r="1220" spans="3:9" x14ac:dyDescent="0.25">
      <c r="C1220" s="11"/>
      <c r="E1220" s="12"/>
      <c r="F1220" s="12"/>
      <c r="G1220" s="9"/>
      <c r="H1220" s="5"/>
      <c r="I1220" s="5"/>
    </row>
    <row r="1221" spans="3:9" x14ac:dyDescent="0.25">
      <c r="C1221" s="11"/>
      <c r="E1221" s="12"/>
      <c r="F1221" s="12"/>
      <c r="G1221" s="9"/>
      <c r="H1221" s="5"/>
      <c r="I1221" s="5"/>
    </row>
    <row r="1222" spans="3:9" x14ac:dyDescent="0.25">
      <c r="C1222" s="11"/>
      <c r="E1222" s="12"/>
      <c r="F1222" s="12"/>
      <c r="G1222" s="9"/>
      <c r="H1222" s="5"/>
      <c r="I1222" s="5"/>
    </row>
    <row r="1223" spans="3:9" x14ac:dyDescent="0.25">
      <c r="C1223" s="11"/>
      <c r="E1223" s="12"/>
      <c r="F1223" s="12"/>
      <c r="G1223" s="9"/>
      <c r="H1223" s="5"/>
      <c r="I1223" s="5"/>
    </row>
    <row r="1224" spans="3:9" x14ac:dyDescent="0.25">
      <c r="C1224" s="11"/>
      <c r="E1224" s="12"/>
      <c r="F1224" s="12"/>
      <c r="G1224" s="9"/>
      <c r="H1224" s="5"/>
      <c r="I1224" s="5"/>
    </row>
    <row r="1225" spans="3:9" x14ac:dyDescent="0.25">
      <c r="C1225" s="11"/>
      <c r="E1225" s="12"/>
      <c r="F1225" s="12"/>
      <c r="G1225" s="9"/>
      <c r="H1225" s="5"/>
      <c r="I1225" s="5"/>
    </row>
    <row r="1226" spans="3:9" x14ac:dyDescent="0.25">
      <c r="C1226" s="11"/>
      <c r="E1226" s="12"/>
      <c r="F1226" s="12"/>
      <c r="G1226" s="9"/>
      <c r="H1226" s="5"/>
      <c r="I1226" s="5"/>
    </row>
    <row r="1227" spans="3:9" x14ac:dyDescent="0.25">
      <c r="C1227" s="11"/>
      <c r="E1227" s="12"/>
      <c r="F1227" s="12"/>
      <c r="G1227" s="9"/>
      <c r="H1227" s="5"/>
      <c r="I1227" s="5"/>
    </row>
    <row r="1228" spans="3:9" x14ac:dyDescent="0.25">
      <c r="C1228" s="11"/>
      <c r="E1228" s="12"/>
      <c r="F1228" s="12"/>
      <c r="G1228" s="9"/>
      <c r="H1228" s="5"/>
      <c r="I1228" s="5"/>
    </row>
    <row r="1229" spans="3:9" x14ac:dyDescent="0.25">
      <c r="C1229" s="11"/>
      <c r="E1229" s="12"/>
      <c r="F1229" s="12"/>
      <c r="G1229" s="9"/>
      <c r="H1229" s="5"/>
      <c r="I1229" s="5"/>
    </row>
    <row r="1230" spans="3:9" x14ac:dyDescent="0.25">
      <c r="C1230" s="11"/>
      <c r="E1230" s="12"/>
      <c r="F1230" s="12"/>
      <c r="G1230" s="9"/>
      <c r="H1230" s="5"/>
      <c r="I1230" s="5"/>
    </row>
    <row r="1231" spans="3:9" x14ac:dyDescent="0.25">
      <c r="C1231" s="11"/>
      <c r="E1231" s="12"/>
      <c r="F1231" s="12"/>
      <c r="G1231" s="9"/>
      <c r="H1231" s="5"/>
      <c r="I1231" s="5"/>
    </row>
    <row r="1232" spans="3:9" x14ac:dyDescent="0.25">
      <c r="C1232" s="11"/>
      <c r="E1232" s="12"/>
      <c r="F1232" s="12"/>
      <c r="G1232" s="9"/>
      <c r="H1232" s="5"/>
      <c r="I1232" s="5"/>
    </row>
    <row r="1233" spans="3:9" x14ac:dyDescent="0.25">
      <c r="C1233" s="11"/>
      <c r="E1233" s="12"/>
      <c r="F1233" s="12"/>
      <c r="G1233" s="9"/>
      <c r="H1233" s="5"/>
      <c r="I1233" s="5"/>
    </row>
    <row r="1234" spans="3:9" x14ac:dyDescent="0.25">
      <c r="C1234" s="11"/>
      <c r="E1234" s="12"/>
      <c r="F1234" s="12"/>
      <c r="G1234" s="9"/>
      <c r="H1234" s="5"/>
      <c r="I1234" s="5"/>
    </row>
    <row r="1235" spans="3:9" x14ac:dyDescent="0.25">
      <c r="C1235" s="11"/>
      <c r="E1235" s="12"/>
      <c r="F1235" s="12"/>
      <c r="G1235" s="9"/>
      <c r="H1235" s="5"/>
      <c r="I1235" s="5"/>
    </row>
    <row r="1236" spans="3:9" x14ac:dyDescent="0.25">
      <c r="C1236" s="11"/>
      <c r="E1236" s="12"/>
      <c r="F1236" s="12"/>
      <c r="G1236" s="9"/>
      <c r="H1236" s="5"/>
      <c r="I1236" s="5"/>
    </row>
    <row r="1237" spans="3:9" x14ac:dyDescent="0.25">
      <c r="C1237" s="11"/>
      <c r="E1237" s="12"/>
      <c r="F1237" s="12"/>
      <c r="G1237" s="9"/>
      <c r="H1237" s="5"/>
      <c r="I1237" s="5"/>
    </row>
    <row r="1238" spans="3:9" x14ac:dyDescent="0.25">
      <c r="C1238" s="11"/>
      <c r="E1238" s="12"/>
      <c r="F1238" s="12"/>
      <c r="G1238" s="9"/>
      <c r="H1238" s="5"/>
      <c r="I1238" s="5"/>
    </row>
    <row r="1239" spans="3:9" x14ac:dyDescent="0.25">
      <c r="C1239" s="11"/>
      <c r="E1239" s="12"/>
      <c r="F1239" s="12"/>
      <c r="G1239" s="9"/>
      <c r="H1239" s="5"/>
      <c r="I1239" s="5"/>
    </row>
    <row r="1240" spans="3:9" x14ac:dyDescent="0.25">
      <c r="C1240" s="11"/>
      <c r="E1240" s="12"/>
      <c r="F1240" s="12"/>
      <c r="G1240" s="9"/>
      <c r="H1240" s="5"/>
      <c r="I1240" s="5"/>
    </row>
    <row r="1241" spans="3:9" x14ac:dyDescent="0.25">
      <c r="C1241" s="11"/>
      <c r="E1241" s="12"/>
      <c r="F1241" s="12"/>
      <c r="G1241" s="9"/>
      <c r="H1241" s="5"/>
      <c r="I1241" s="5"/>
    </row>
    <row r="1242" spans="3:9" x14ac:dyDescent="0.25">
      <c r="C1242" s="11"/>
      <c r="E1242" s="12"/>
      <c r="F1242" s="12"/>
      <c r="G1242" s="9"/>
      <c r="H1242" s="5"/>
      <c r="I1242" s="5"/>
    </row>
    <row r="1243" spans="3:9" x14ac:dyDescent="0.25">
      <c r="C1243" s="11"/>
      <c r="E1243" s="12"/>
      <c r="F1243" s="12"/>
      <c r="G1243" s="9"/>
      <c r="H1243" s="5"/>
      <c r="I1243" s="5"/>
    </row>
    <row r="1244" spans="3:9" x14ac:dyDescent="0.25">
      <c r="C1244" s="11"/>
      <c r="E1244" s="12"/>
      <c r="F1244" s="12"/>
      <c r="G1244" s="9"/>
      <c r="H1244" s="5"/>
      <c r="I1244" s="5"/>
    </row>
    <row r="1245" spans="3:9" x14ac:dyDescent="0.25">
      <c r="C1245" s="11"/>
      <c r="E1245" s="12"/>
      <c r="F1245" s="12"/>
      <c r="G1245" s="9"/>
      <c r="H1245" s="5"/>
      <c r="I1245" s="5"/>
    </row>
    <row r="1246" spans="3:9" x14ac:dyDescent="0.25">
      <c r="C1246" s="11"/>
      <c r="E1246" s="12"/>
      <c r="F1246" s="12"/>
      <c r="G1246" s="9"/>
      <c r="H1246" s="5"/>
      <c r="I1246" s="5"/>
    </row>
    <row r="1247" spans="3:9" x14ac:dyDescent="0.25">
      <c r="C1247" s="11"/>
      <c r="E1247" s="12"/>
      <c r="F1247" s="12"/>
      <c r="G1247" s="9"/>
      <c r="H1247" s="5"/>
      <c r="I1247" s="5"/>
    </row>
    <row r="1248" spans="3:9" x14ac:dyDescent="0.25">
      <c r="C1248" s="11"/>
      <c r="E1248" s="12"/>
      <c r="F1248" s="12"/>
      <c r="G1248" s="9"/>
      <c r="H1248" s="5"/>
      <c r="I1248" s="5"/>
    </row>
    <row r="1249" spans="3:9" x14ac:dyDescent="0.25">
      <c r="C1249" s="11"/>
      <c r="E1249" s="12"/>
      <c r="F1249" s="12"/>
      <c r="G1249" s="9"/>
      <c r="H1249" s="5"/>
      <c r="I1249" s="5"/>
    </row>
    <row r="1250" spans="3:9" x14ac:dyDescent="0.25">
      <c r="C1250" s="11"/>
      <c r="E1250" s="12"/>
      <c r="F1250" s="12"/>
      <c r="G1250" s="9"/>
      <c r="H1250" s="5"/>
      <c r="I1250" s="5"/>
    </row>
    <row r="1251" spans="3:9" x14ac:dyDescent="0.25">
      <c r="C1251" s="11"/>
      <c r="E1251" s="12"/>
      <c r="F1251" s="12"/>
      <c r="G1251" s="9"/>
      <c r="H1251" s="5"/>
      <c r="I1251" s="5"/>
    </row>
    <row r="1252" spans="3:9" x14ac:dyDescent="0.25">
      <c r="C1252" s="11"/>
      <c r="E1252" s="12"/>
      <c r="F1252" s="12"/>
      <c r="G1252" s="9"/>
      <c r="H1252" s="5"/>
      <c r="I1252" s="5"/>
    </row>
    <row r="1253" spans="3:9" x14ac:dyDescent="0.25">
      <c r="C1253" s="11"/>
      <c r="E1253" s="12"/>
      <c r="F1253" s="12"/>
      <c r="G1253" s="9"/>
      <c r="H1253" s="5"/>
      <c r="I1253" s="5"/>
    </row>
    <row r="1254" spans="3:9" x14ac:dyDescent="0.25">
      <c r="C1254" s="11"/>
      <c r="E1254" s="12"/>
      <c r="F1254" s="12"/>
      <c r="G1254" s="9"/>
      <c r="H1254" s="5"/>
      <c r="I1254" s="5"/>
    </row>
    <row r="1255" spans="3:9" x14ac:dyDescent="0.25">
      <c r="C1255" s="11"/>
      <c r="E1255" s="12"/>
      <c r="F1255" s="12"/>
      <c r="G1255" s="9"/>
      <c r="H1255" s="5"/>
      <c r="I1255" s="5"/>
    </row>
    <row r="1256" spans="3:9" x14ac:dyDescent="0.25">
      <c r="C1256" s="11"/>
      <c r="E1256" s="12"/>
      <c r="F1256" s="12"/>
      <c r="G1256" s="9"/>
      <c r="H1256" s="5"/>
      <c r="I1256" s="5"/>
    </row>
    <row r="1257" spans="3:9" x14ac:dyDescent="0.25">
      <c r="C1257" s="11"/>
      <c r="E1257" s="12"/>
      <c r="F1257" s="12"/>
      <c r="G1257" s="9"/>
      <c r="H1257" s="5"/>
      <c r="I1257" s="5"/>
    </row>
    <row r="1258" spans="3:9" x14ac:dyDescent="0.25">
      <c r="C1258" s="11"/>
      <c r="E1258" s="12"/>
      <c r="F1258" s="12"/>
      <c r="G1258" s="9"/>
      <c r="H1258" s="5"/>
      <c r="I1258" s="5"/>
    </row>
    <row r="1259" spans="3:9" x14ac:dyDescent="0.25">
      <c r="C1259" s="11"/>
      <c r="E1259" s="12"/>
      <c r="F1259" s="12"/>
      <c r="G1259" s="9"/>
      <c r="H1259" s="5"/>
      <c r="I1259" s="5"/>
    </row>
    <row r="1260" spans="3:9" x14ac:dyDescent="0.25">
      <c r="C1260" s="11"/>
      <c r="E1260" s="12"/>
      <c r="F1260" s="12"/>
      <c r="G1260" s="9"/>
      <c r="H1260" s="5"/>
      <c r="I1260" s="5"/>
    </row>
    <row r="1261" spans="3:9" x14ac:dyDescent="0.25">
      <c r="C1261" s="11"/>
      <c r="E1261" s="12"/>
      <c r="F1261" s="12"/>
      <c r="G1261" s="9"/>
      <c r="H1261" s="5"/>
      <c r="I1261" s="5"/>
    </row>
    <row r="1262" spans="3:9" x14ac:dyDescent="0.25">
      <c r="C1262" s="11"/>
      <c r="E1262" s="12"/>
      <c r="F1262" s="12"/>
      <c r="G1262" s="9"/>
      <c r="H1262" s="5"/>
      <c r="I1262" s="5"/>
    </row>
    <row r="1263" spans="3:9" x14ac:dyDescent="0.25">
      <c r="C1263" s="11"/>
      <c r="E1263" s="12"/>
      <c r="F1263" s="12"/>
      <c r="G1263" s="9"/>
      <c r="H1263" s="5"/>
      <c r="I1263" s="5"/>
    </row>
    <row r="1264" spans="3:9" x14ac:dyDescent="0.25">
      <c r="C1264" s="11"/>
      <c r="E1264" s="12"/>
      <c r="F1264" s="12"/>
      <c r="G1264" s="9"/>
      <c r="H1264" s="5"/>
      <c r="I1264" s="5"/>
    </row>
    <row r="1265" spans="3:9" x14ac:dyDescent="0.25">
      <c r="C1265" s="11"/>
      <c r="E1265" s="12"/>
      <c r="F1265" s="12"/>
      <c r="G1265" s="9"/>
      <c r="H1265" s="5"/>
      <c r="I1265" s="5"/>
    </row>
    <row r="1266" spans="3:9" x14ac:dyDescent="0.25">
      <c r="C1266" s="11"/>
      <c r="E1266" s="12"/>
      <c r="F1266" s="12"/>
      <c r="G1266" s="9"/>
      <c r="H1266" s="5"/>
      <c r="I1266" s="5"/>
    </row>
    <row r="1267" spans="3:9" x14ac:dyDescent="0.25">
      <c r="C1267" s="11"/>
      <c r="E1267" s="12"/>
      <c r="F1267" s="12"/>
      <c r="G1267" s="9"/>
      <c r="H1267" s="5"/>
      <c r="I1267" s="5"/>
    </row>
    <row r="1268" spans="3:9" x14ac:dyDescent="0.25">
      <c r="C1268" s="11"/>
      <c r="E1268" s="12"/>
      <c r="F1268" s="12"/>
      <c r="G1268" s="9"/>
      <c r="H1268" s="5"/>
      <c r="I1268" s="5"/>
    </row>
    <row r="1269" spans="3:9" x14ac:dyDescent="0.25">
      <c r="C1269" s="11"/>
      <c r="E1269" s="12"/>
      <c r="F1269" s="12"/>
      <c r="G1269" s="9"/>
      <c r="H1269" s="5"/>
      <c r="I1269" s="5"/>
    </row>
    <row r="1270" spans="3:9" x14ac:dyDescent="0.25">
      <c r="C1270" s="11"/>
      <c r="E1270" s="12"/>
      <c r="F1270" s="12"/>
      <c r="G1270" s="9"/>
      <c r="H1270" s="5"/>
      <c r="I1270" s="5"/>
    </row>
    <row r="1271" spans="3:9" x14ac:dyDescent="0.25">
      <c r="C1271" s="11"/>
      <c r="E1271" s="12"/>
      <c r="F1271" s="12"/>
      <c r="G1271" s="9"/>
      <c r="H1271" s="5"/>
      <c r="I1271" s="5"/>
    </row>
    <row r="1272" spans="3:9" x14ac:dyDescent="0.25">
      <c r="C1272" s="11"/>
      <c r="E1272" s="12"/>
      <c r="F1272" s="12"/>
      <c r="G1272" s="9"/>
      <c r="H1272" s="5"/>
      <c r="I1272" s="5"/>
    </row>
    <row r="1273" spans="3:9" x14ac:dyDescent="0.25">
      <c r="C1273" s="11"/>
      <c r="E1273" s="12"/>
      <c r="F1273" s="12"/>
      <c r="G1273" s="9"/>
      <c r="H1273" s="5"/>
      <c r="I1273" s="5"/>
    </row>
    <row r="1274" spans="3:9" x14ac:dyDescent="0.25">
      <c r="C1274" s="11"/>
      <c r="E1274" s="12"/>
      <c r="F1274" s="12"/>
      <c r="G1274" s="9"/>
      <c r="H1274" s="5"/>
      <c r="I1274" s="5"/>
    </row>
    <row r="1275" spans="3:9" x14ac:dyDescent="0.25">
      <c r="C1275" s="11"/>
      <c r="E1275" s="12"/>
      <c r="F1275" s="12"/>
      <c r="G1275" s="9"/>
      <c r="H1275" s="5"/>
      <c r="I1275" s="5"/>
    </row>
    <row r="1276" spans="3:9" x14ac:dyDescent="0.25">
      <c r="C1276" s="11"/>
      <c r="E1276" s="12"/>
      <c r="F1276" s="12"/>
      <c r="G1276" s="9"/>
      <c r="H1276" s="5"/>
      <c r="I1276" s="5"/>
    </row>
    <row r="1277" spans="3:9" x14ac:dyDescent="0.25">
      <c r="C1277" s="11"/>
      <c r="E1277" s="12"/>
      <c r="F1277" s="12"/>
      <c r="G1277" s="9"/>
      <c r="H1277" s="5"/>
      <c r="I1277" s="5"/>
    </row>
    <row r="1278" spans="3:9" x14ac:dyDescent="0.25">
      <c r="C1278" s="11"/>
      <c r="E1278" s="12"/>
      <c r="F1278" s="12"/>
      <c r="G1278" s="9"/>
      <c r="H1278" s="5"/>
      <c r="I1278" s="5"/>
    </row>
    <row r="1279" spans="3:9" x14ac:dyDescent="0.25">
      <c r="C1279" s="11"/>
      <c r="E1279" s="12"/>
      <c r="F1279" s="12"/>
      <c r="G1279" s="9"/>
      <c r="H1279" s="5"/>
      <c r="I1279" s="5"/>
    </row>
    <row r="1280" spans="3:9" x14ac:dyDescent="0.25">
      <c r="C1280" s="11"/>
      <c r="E1280" s="12"/>
      <c r="F1280" s="12"/>
      <c r="G1280" s="9"/>
      <c r="H1280" s="5"/>
      <c r="I1280" s="5"/>
    </row>
    <row r="1281" spans="3:9" x14ac:dyDescent="0.25">
      <c r="C1281" s="11"/>
      <c r="E1281" s="12"/>
      <c r="F1281" s="12"/>
      <c r="G1281" s="9"/>
      <c r="H1281" s="5"/>
      <c r="I1281" s="5"/>
    </row>
    <row r="1282" spans="3:9" x14ac:dyDescent="0.25">
      <c r="C1282" s="11"/>
      <c r="E1282" s="12"/>
      <c r="F1282" s="12"/>
      <c r="G1282" s="9"/>
      <c r="H1282" s="5"/>
      <c r="I1282" s="5"/>
    </row>
    <row r="1283" spans="3:9" x14ac:dyDescent="0.25">
      <c r="C1283" s="11"/>
      <c r="E1283" s="12"/>
      <c r="F1283" s="12"/>
      <c r="G1283" s="9"/>
      <c r="H1283" s="5"/>
      <c r="I1283" s="5"/>
    </row>
    <row r="1284" spans="3:9" x14ac:dyDescent="0.25">
      <c r="C1284" s="11"/>
      <c r="E1284" s="12"/>
      <c r="F1284" s="12"/>
      <c r="G1284" s="9"/>
      <c r="H1284" s="5"/>
      <c r="I1284" s="5"/>
    </row>
    <row r="1285" spans="3:9" x14ac:dyDescent="0.25">
      <c r="C1285" s="11"/>
      <c r="E1285" s="12"/>
      <c r="F1285" s="12"/>
      <c r="G1285" s="9"/>
      <c r="H1285" s="5"/>
      <c r="I1285" s="5"/>
    </row>
    <row r="1286" spans="3:9" x14ac:dyDescent="0.25">
      <c r="C1286" s="11"/>
      <c r="E1286" s="12"/>
      <c r="F1286" s="12"/>
      <c r="G1286" s="9"/>
      <c r="H1286" s="5"/>
      <c r="I1286" s="5"/>
    </row>
    <row r="1287" spans="3:9" x14ac:dyDescent="0.25">
      <c r="C1287" s="11"/>
      <c r="E1287" s="12"/>
      <c r="F1287" s="12"/>
      <c r="G1287" s="9"/>
      <c r="H1287" s="5"/>
      <c r="I1287" s="5"/>
    </row>
    <row r="1288" spans="3:9" x14ac:dyDescent="0.25">
      <c r="C1288" s="11"/>
      <c r="E1288" s="12"/>
      <c r="F1288" s="12"/>
      <c r="G1288" s="9"/>
      <c r="H1288" s="5"/>
      <c r="I1288" s="5"/>
    </row>
    <row r="1289" spans="3:9" x14ac:dyDescent="0.25">
      <c r="C1289" s="11"/>
      <c r="E1289" s="12"/>
      <c r="F1289" s="12"/>
      <c r="G1289" s="9"/>
      <c r="H1289" s="5"/>
      <c r="I1289" s="5"/>
    </row>
    <row r="1290" spans="3:9" x14ac:dyDescent="0.25">
      <c r="C1290" s="11"/>
      <c r="E1290" s="12"/>
      <c r="F1290" s="12"/>
      <c r="G1290" s="9"/>
      <c r="H1290" s="5"/>
      <c r="I1290" s="5"/>
    </row>
    <row r="1291" spans="3:9" x14ac:dyDescent="0.25">
      <c r="C1291" s="11"/>
      <c r="E1291" s="12"/>
      <c r="F1291" s="12"/>
      <c r="G1291" s="9"/>
      <c r="H1291" s="5"/>
      <c r="I1291" s="5"/>
    </row>
    <row r="1292" spans="3:9" x14ac:dyDescent="0.25">
      <c r="C1292" s="11"/>
      <c r="E1292" s="12"/>
      <c r="F1292" s="12"/>
      <c r="G1292" s="9"/>
      <c r="H1292" s="5"/>
      <c r="I1292" s="5"/>
    </row>
    <row r="1293" spans="3:9" x14ac:dyDescent="0.25">
      <c r="C1293" s="11"/>
      <c r="E1293" s="12"/>
      <c r="F1293" s="12"/>
      <c r="G1293" s="9"/>
      <c r="H1293" s="5"/>
      <c r="I1293" s="5"/>
    </row>
    <row r="1294" spans="3:9" x14ac:dyDescent="0.25">
      <c r="C1294" s="11"/>
      <c r="E1294" s="12"/>
      <c r="F1294" s="12"/>
      <c r="G1294" s="9"/>
      <c r="H1294" s="5"/>
      <c r="I1294" s="5"/>
    </row>
    <row r="1295" spans="3:9" x14ac:dyDescent="0.25">
      <c r="C1295" s="11"/>
      <c r="E1295" s="12"/>
      <c r="F1295" s="12"/>
      <c r="G1295" s="9"/>
      <c r="H1295" s="5"/>
      <c r="I1295" s="5"/>
    </row>
    <row r="1296" spans="3:9" x14ac:dyDescent="0.25">
      <c r="C1296" s="11"/>
      <c r="E1296" s="12"/>
      <c r="F1296" s="12"/>
      <c r="G1296" s="9"/>
      <c r="H1296" s="5"/>
      <c r="I1296" s="5"/>
    </row>
    <row r="1297" spans="3:9" x14ac:dyDescent="0.25">
      <c r="C1297" s="11"/>
      <c r="E1297" s="12"/>
      <c r="F1297" s="12"/>
      <c r="G1297" s="9"/>
      <c r="H1297" s="5"/>
      <c r="I1297" s="5"/>
    </row>
    <row r="1298" spans="3:9" x14ac:dyDescent="0.25">
      <c r="C1298" s="11"/>
      <c r="E1298" s="12"/>
      <c r="F1298" s="12"/>
      <c r="G1298" s="9"/>
      <c r="H1298" s="5"/>
      <c r="I1298" s="5"/>
    </row>
    <row r="1299" spans="3:9" x14ac:dyDescent="0.25">
      <c r="C1299" s="11"/>
      <c r="E1299" s="12"/>
      <c r="F1299" s="12"/>
      <c r="G1299" s="9"/>
      <c r="H1299" s="5"/>
      <c r="I1299" s="5"/>
    </row>
    <row r="1300" spans="3:9" x14ac:dyDescent="0.25">
      <c r="C1300" s="11"/>
      <c r="E1300" s="12"/>
      <c r="F1300" s="12"/>
      <c r="G1300" s="9"/>
      <c r="H1300" s="5"/>
      <c r="I1300" s="5"/>
    </row>
    <row r="1301" spans="3:9" x14ac:dyDescent="0.25">
      <c r="C1301" s="11"/>
      <c r="E1301" s="12"/>
      <c r="F1301" s="12"/>
      <c r="G1301" s="9"/>
      <c r="H1301" s="5"/>
      <c r="I1301" s="5"/>
    </row>
    <row r="1302" spans="3:9" x14ac:dyDescent="0.25">
      <c r="C1302" s="11"/>
      <c r="E1302" s="12"/>
      <c r="F1302" s="12"/>
      <c r="G1302" s="9"/>
      <c r="H1302" s="5"/>
      <c r="I1302" s="5"/>
    </row>
    <row r="1303" spans="3:9" x14ac:dyDescent="0.25">
      <c r="C1303" s="11"/>
      <c r="E1303" s="12"/>
      <c r="F1303" s="12"/>
      <c r="G1303" s="9"/>
      <c r="H1303" s="5"/>
      <c r="I1303" s="5"/>
    </row>
    <row r="1304" spans="3:9" x14ac:dyDescent="0.25">
      <c r="C1304" s="11"/>
      <c r="E1304" s="12"/>
      <c r="F1304" s="12"/>
      <c r="G1304" s="9"/>
      <c r="H1304" s="5"/>
      <c r="I1304" s="5"/>
    </row>
    <row r="1305" spans="3:9" x14ac:dyDescent="0.25">
      <c r="C1305" s="11"/>
      <c r="E1305" s="12"/>
      <c r="F1305" s="12"/>
      <c r="G1305" s="9"/>
      <c r="H1305" s="5"/>
      <c r="I1305" s="5"/>
    </row>
    <row r="1306" spans="3:9" x14ac:dyDescent="0.25">
      <c r="C1306" s="11"/>
      <c r="E1306" s="12"/>
      <c r="F1306" s="12"/>
      <c r="G1306" s="9"/>
      <c r="H1306" s="5"/>
      <c r="I1306" s="5"/>
    </row>
    <row r="1307" spans="3:9" x14ac:dyDescent="0.25">
      <c r="C1307" s="11"/>
      <c r="E1307" s="12"/>
      <c r="F1307" s="12"/>
      <c r="G1307" s="9"/>
      <c r="H1307" s="5"/>
      <c r="I1307" s="5"/>
    </row>
    <row r="1308" spans="3:9" x14ac:dyDescent="0.25">
      <c r="C1308" s="11"/>
      <c r="E1308" s="12"/>
      <c r="F1308" s="12"/>
      <c r="G1308" s="9"/>
      <c r="H1308" s="5"/>
      <c r="I1308" s="5"/>
    </row>
    <row r="1309" spans="3:9" x14ac:dyDescent="0.25">
      <c r="C1309" s="11"/>
      <c r="E1309" s="12"/>
      <c r="F1309" s="12"/>
      <c r="G1309" s="9"/>
      <c r="H1309" s="5"/>
      <c r="I1309" s="5"/>
    </row>
    <row r="1310" spans="3:9" x14ac:dyDescent="0.25">
      <c r="C1310" s="11"/>
      <c r="E1310" s="12"/>
      <c r="F1310" s="12"/>
      <c r="G1310" s="9"/>
      <c r="H1310" s="5"/>
      <c r="I1310" s="5"/>
    </row>
    <row r="1311" spans="3:9" x14ac:dyDescent="0.25">
      <c r="C1311" s="11"/>
      <c r="E1311" s="12"/>
      <c r="F1311" s="12"/>
      <c r="G1311" s="9"/>
      <c r="H1311" s="5"/>
      <c r="I1311" s="5"/>
    </row>
    <row r="1312" spans="3:9" x14ac:dyDescent="0.25">
      <c r="C1312" s="11"/>
      <c r="E1312" s="12"/>
      <c r="F1312" s="12"/>
      <c r="G1312" s="9"/>
      <c r="H1312" s="5"/>
      <c r="I1312" s="5"/>
    </row>
    <row r="1313" spans="3:9" x14ac:dyDescent="0.25">
      <c r="C1313" s="11"/>
      <c r="E1313" s="12"/>
      <c r="F1313" s="12"/>
      <c r="G1313" s="9"/>
      <c r="H1313" s="5"/>
      <c r="I1313" s="5"/>
    </row>
    <row r="1314" spans="3:9" x14ac:dyDescent="0.25">
      <c r="C1314" s="11"/>
      <c r="E1314" s="12"/>
      <c r="F1314" s="12"/>
      <c r="G1314" s="9"/>
      <c r="H1314" s="5"/>
      <c r="I1314" s="5"/>
    </row>
    <row r="1315" spans="3:9" x14ac:dyDescent="0.25">
      <c r="C1315" s="11"/>
      <c r="E1315" s="12"/>
      <c r="F1315" s="12"/>
      <c r="G1315" s="9"/>
      <c r="H1315" s="5"/>
      <c r="I1315" s="5"/>
    </row>
    <row r="1316" spans="3:9" x14ac:dyDescent="0.25">
      <c r="C1316" s="11"/>
      <c r="E1316" s="12"/>
      <c r="F1316" s="12"/>
      <c r="G1316" s="9"/>
      <c r="H1316" s="5"/>
      <c r="I1316" s="5"/>
    </row>
    <row r="1317" spans="3:9" x14ac:dyDescent="0.25">
      <c r="C1317" s="11"/>
      <c r="E1317" s="12"/>
      <c r="F1317" s="12"/>
      <c r="G1317" s="9"/>
      <c r="H1317" s="5"/>
      <c r="I1317" s="5"/>
    </row>
    <row r="1318" spans="3:9" x14ac:dyDescent="0.25">
      <c r="C1318" s="11"/>
      <c r="E1318" s="12"/>
      <c r="F1318" s="12"/>
      <c r="G1318" s="9"/>
      <c r="H1318" s="5"/>
      <c r="I1318" s="5"/>
    </row>
    <row r="1319" spans="3:9" x14ac:dyDescent="0.25">
      <c r="C1319" s="11"/>
      <c r="E1319" s="12"/>
      <c r="F1319" s="12"/>
      <c r="G1319" s="9"/>
      <c r="H1319" s="5"/>
      <c r="I1319" s="5"/>
    </row>
    <row r="1320" spans="3:9" x14ac:dyDescent="0.25">
      <c r="C1320" s="11"/>
      <c r="E1320" s="12"/>
      <c r="F1320" s="12"/>
      <c r="G1320" s="9"/>
      <c r="H1320" s="5"/>
      <c r="I1320" s="5"/>
    </row>
    <row r="1321" spans="3:9" x14ac:dyDescent="0.25">
      <c r="C1321" s="11"/>
      <c r="E1321" s="12"/>
      <c r="F1321" s="12"/>
      <c r="G1321" s="9"/>
      <c r="H1321" s="5"/>
      <c r="I1321" s="5"/>
    </row>
    <row r="1322" spans="3:9" x14ac:dyDescent="0.25">
      <c r="C1322" s="11"/>
      <c r="E1322" s="12"/>
      <c r="F1322" s="12"/>
      <c r="G1322" s="9"/>
      <c r="H1322" s="5"/>
      <c r="I1322" s="5"/>
    </row>
    <row r="1323" spans="3:9" x14ac:dyDescent="0.25">
      <c r="C1323" s="11"/>
      <c r="E1323" s="12"/>
      <c r="F1323" s="12"/>
      <c r="G1323" s="9"/>
      <c r="H1323" s="5"/>
      <c r="I1323" s="5"/>
    </row>
    <row r="1324" spans="3:9" x14ac:dyDescent="0.25">
      <c r="C1324" s="11"/>
      <c r="E1324" s="12"/>
      <c r="F1324" s="12"/>
      <c r="G1324" s="9"/>
      <c r="H1324" s="5"/>
      <c r="I1324" s="5"/>
    </row>
    <row r="1325" spans="3:9" x14ac:dyDescent="0.25">
      <c r="C1325" s="11"/>
      <c r="E1325" s="12"/>
      <c r="F1325" s="12"/>
      <c r="G1325" s="9"/>
      <c r="H1325" s="5"/>
      <c r="I1325" s="5"/>
    </row>
    <row r="1326" spans="3:9" x14ac:dyDescent="0.25">
      <c r="C1326" s="11"/>
      <c r="E1326" s="12"/>
      <c r="F1326" s="12"/>
      <c r="G1326" s="9"/>
      <c r="H1326" s="5"/>
      <c r="I1326" s="5"/>
    </row>
    <row r="1327" spans="3:9" x14ac:dyDescent="0.25">
      <c r="C1327" s="11"/>
      <c r="E1327" s="12"/>
      <c r="F1327" s="12"/>
      <c r="G1327" s="9"/>
      <c r="H1327" s="5"/>
      <c r="I1327" s="5"/>
    </row>
    <row r="1328" spans="3:9" x14ac:dyDescent="0.25">
      <c r="C1328" s="11"/>
      <c r="E1328" s="12"/>
      <c r="F1328" s="12"/>
      <c r="G1328" s="9"/>
      <c r="H1328" s="5"/>
      <c r="I1328" s="5"/>
    </row>
    <row r="1329" spans="3:9" x14ac:dyDescent="0.25">
      <c r="C1329" s="11"/>
      <c r="E1329" s="12"/>
      <c r="F1329" s="12"/>
      <c r="G1329" s="9"/>
      <c r="H1329" s="5"/>
      <c r="I1329" s="5"/>
    </row>
    <row r="1330" spans="3:9" x14ac:dyDescent="0.25">
      <c r="C1330" s="11"/>
      <c r="E1330" s="12"/>
      <c r="F1330" s="12"/>
      <c r="G1330" s="9"/>
      <c r="H1330" s="5"/>
      <c r="I1330" s="5"/>
    </row>
    <row r="1331" spans="3:9" x14ac:dyDescent="0.25">
      <c r="C1331" s="11"/>
      <c r="E1331" s="12"/>
      <c r="F1331" s="12"/>
      <c r="G1331" s="9"/>
      <c r="H1331" s="5"/>
      <c r="I1331" s="5"/>
    </row>
    <row r="1332" spans="3:9" x14ac:dyDescent="0.25">
      <c r="C1332" s="11"/>
      <c r="E1332" s="12"/>
      <c r="F1332" s="12"/>
      <c r="G1332" s="9"/>
      <c r="H1332" s="5"/>
      <c r="I1332" s="5"/>
    </row>
    <row r="1333" spans="3:9" x14ac:dyDescent="0.25">
      <c r="C1333" s="11"/>
      <c r="E1333" s="12"/>
      <c r="F1333" s="12"/>
      <c r="G1333" s="9"/>
      <c r="H1333" s="5"/>
      <c r="I1333" s="5"/>
    </row>
    <row r="1334" spans="3:9" x14ac:dyDescent="0.25">
      <c r="C1334" s="11"/>
      <c r="E1334" s="12"/>
      <c r="F1334" s="12"/>
      <c r="G1334" s="9"/>
      <c r="H1334" s="5"/>
      <c r="I1334" s="5"/>
    </row>
    <row r="1335" spans="3:9" x14ac:dyDescent="0.25">
      <c r="C1335" s="11"/>
      <c r="E1335" s="12"/>
      <c r="F1335" s="12"/>
      <c r="G1335" s="9"/>
      <c r="H1335" s="5"/>
      <c r="I1335" s="5"/>
    </row>
    <row r="1336" spans="3:9" x14ac:dyDescent="0.25">
      <c r="C1336" s="11"/>
      <c r="E1336" s="12"/>
      <c r="F1336" s="12"/>
      <c r="G1336" s="9"/>
      <c r="H1336" s="5"/>
      <c r="I1336" s="5"/>
    </row>
    <row r="1337" spans="3:9" x14ac:dyDescent="0.25">
      <c r="C1337" s="11"/>
      <c r="E1337" s="12"/>
      <c r="F1337" s="12"/>
      <c r="G1337" s="9"/>
      <c r="H1337" s="5"/>
      <c r="I1337" s="5"/>
    </row>
    <row r="1338" spans="3:9" x14ac:dyDescent="0.25">
      <c r="C1338" s="11"/>
      <c r="E1338" s="12"/>
      <c r="F1338" s="12"/>
      <c r="G1338" s="9"/>
      <c r="H1338" s="5"/>
      <c r="I1338" s="5"/>
    </row>
    <row r="1339" spans="3:9" x14ac:dyDescent="0.25">
      <c r="C1339" s="11"/>
      <c r="E1339" s="12"/>
      <c r="F1339" s="12"/>
      <c r="G1339" s="9"/>
      <c r="H1339" s="5"/>
      <c r="I1339" s="5"/>
    </row>
    <row r="1340" spans="3:9" x14ac:dyDescent="0.25">
      <c r="C1340" s="11"/>
      <c r="E1340" s="12"/>
      <c r="F1340" s="12"/>
      <c r="G1340" s="9"/>
      <c r="H1340" s="5"/>
      <c r="I1340" s="5"/>
    </row>
    <row r="1341" spans="3:9" x14ac:dyDescent="0.25">
      <c r="C1341" s="11"/>
      <c r="E1341" s="12"/>
      <c r="F1341" s="12"/>
      <c r="G1341" s="9"/>
      <c r="H1341" s="5"/>
      <c r="I1341" s="5"/>
    </row>
    <row r="1342" spans="3:9" x14ac:dyDescent="0.25">
      <c r="C1342" s="11"/>
      <c r="E1342" s="12"/>
      <c r="F1342" s="12"/>
      <c r="G1342" s="9"/>
      <c r="H1342" s="5"/>
      <c r="I1342" s="5"/>
    </row>
    <row r="1343" spans="3:9" x14ac:dyDescent="0.25">
      <c r="C1343" s="11"/>
      <c r="E1343" s="12"/>
      <c r="F1343" s="12"/>
      <c r="G1343" s="9"/>
      <c r="H1343" s="5"/>
      <c r="I1343" s="5"/>
    </row>
    <row r="1344" spans="3:9" x14ac:dyDescent="0.25">
      <c r="C1344" s="11"/>
      <c r="E1344" s="12"/>
      <c r="F1344" s="12"/>
      <c r="G1344" s="9"/>
      <c r="H1344" s="5"/>
      <c r="I1344" s="5"/>
    </row>
    <row r="1345" spans="3:9" x14ac:dyDescent="0.25">
      <c r="C1345" s="11"/>
      <c r="E1345" s="12"/>
      <c r="F1345" s="12"/>
      <c r="G1345" s="9"/>
      <c r="H1345" s="5"/>
      <c r="I1345" s="5"/>
    </row>
    <row r="1346" spans="3:9" x14ac:dyDescent="0.25">
      <c r="C1346" s="11"/>
      <c r="E1346" s="12"/>
      <c r="F1346" s="12"/>
      <c r="G1346" s="9"/>
      <c r="H1346" s="5"/>
      <c r="I1346" s="5"/>
    </row>
    <row r="1347" spans="3:9" x14ac:dyDescent="0.25">
      <c r="C1347" s="11"/>
      <c r="E1347" s="12"/>
      <c r="F1347" s="12"/>
      <c r="G1347" s="9"/>
      <c r="H1347" s="5"/>
      <c r="I1347" s="5"/>
    </row>
    <row r="1348" spans="3:9" x14ac:dyDescent="0.25">
      <c r="C1348" s="11"/>
      <c r="E1348" s="12"/>
      <c r="F1348" s="12"/>
      <c r="G1348" s="9"/>
      <c r="H1348" s="5"/>
      <c r="I1348" s="5"/>
    </row>
    <row r="1349" spans="3:9" x14ac:dyDescent="0.25">
      <c r="C1349" s="11"/>
      <c r="E1349" s="12"/>
      <c r="F1349" s="12"/>
      <c r="G1349" s="9"/>
      <c r="H1349" s="5"/>
      <c r="I1349" s="5"/>
    </row>
    <row r="1350" spans="3:9" x14ac:dyDescent="0.25">
      <c r="C1350" s="11"/>
      <c r="E1350" s="12"/>
      <c r="F1350" s="12"/>
      <c r="G1350" s="9"/>
      <c r="H1350" s="5"/>
      <c r="I1350" s="5"/>
    </row>
    <row r="1351" spans="3:9" x14ac:dyDescent="0.25">
      <c r="C1351" s="11"/>
      <c r="E1351" s="12"/>
      <c r="F1351" s="12"/>
      <c r="G1351" s="9"/>
      <c r="H1351" s="5"/>
      <c r="I1351" s="5"/>
    </row>
    <row r="1352" spans="3:9" x14ac:dyDescent="0.25">
      <c r="C1352" s="11"/>
      <c r="E1352" s="12"/>
      <c r="F1352" s="12"/>
      <c r="G1352" s="9"/>
      <c r="H1352" s="5"/>
      <c r="I1352" s="5"/>
    </row>
    <row r="1353" spans="3:9" x14ac:dyDescent="0.25">
      <c r="C1353" s="11"/>
      <c r="E1353" s="12"/>
      <c r="F1353" s="12"/>
      <c r="G1353" s="9"/>
      <c r="H1353" s="5"/>
      <c r="I1353" s="5"/>
    </row>
    <row r="1354" spans="3:9" x14ac:dyDescent="0.25">
      <c r="C1354" s="11"/>
      <c r="E1354" s="12"/>
      <c r="F1354" s="12"/>
      <c r="G1354" s="9"/>
      <c r="H1354" s="5"/>
      <c r="I1354" s="5"/>
    </row>
    <row r="1355" spans="3:9" x14ac:dyDescent="0.25">
      <c r="C1355" s="11"/>
      <c r="E1355" s="12"/>
      <c r="F1355" s="12"/>
      <c r="G1355" s="9"/>
      <c r="H1355" s="5"/>
      <c r="I1355" s="5"/>
    </row>
    <row r="1356" spans="3:9" x14ac:dyDescent="0.25">
      <c r="C1356" s="11"/>
      <c r="E1356" s="12"/>
      <c r="F1356" s="12"/>
      <c r="G1356" s="9"/>
      <c r="H1356" s="5"/>
      <c r="I1356" s="5"/>
    </row>
    <row r="1357" spans="3:9" x14ac:dyDescent="0.25">
      <c r="C1357" s="11"/>
      <c r="E1357" s="12"/>
      <c r="F1357" s="12"/>
      <c r="G1357" s="9"/>
      <c r="H1357" s="5"/>
      <c r="I1357" s="5"/>
    </row>
    <row r="1358" spans="3:9" x14ac:dyDescent="0.25">
      <c r="C1358" s="11"/>
      <c r="E1358" s="12"/>
      <c r="F1358" s="12"/>
      <c r="G1358" s="9"/>
      <c r="H1358" s="5"/>
      <c r="I1358" s="5"/>
    </row>
    <row r="1359" spans="3:9" x14ac:dyDescent="0.25">
      <c r="C1359" s="11"/>
      <c r="E1359" s="12"/>
      <c r="F1359" s="12"/>
      <c r="G1359" s="9"/>
      <c r="H1359" s="5"/>
      <c r="I1359" s="5"/>
    </row>
    <row r="1360" spans="3:9" x14ac:dyDescent="0.25">
      <c r="C1360" s="11"/>
      <c r="E1360" s="12"/>
      <c r="F1360" s="12"/>
      <c r="G1360" s="9"/>
      <c r="H1360" s="5"/>
      <c r="I1360" s="5"/>
    </row>
    <row r="1361" spans="3:9" x14ac:dyDescent="0.25">
      <c r="C1361" s="11"/>
      <c r="E1361" s="12"/>
      <c r="F1361" s="12"/>
      <c r="G1361" s="9"/>
      <c r="H1361" s="5"/>
      <c r="I1361" s="5"/>
    </row>
    <row r="1362" spans="3:9" x14ac:dyDescent="0.25">
      <c r="C1362" s="11"/>
      <c r="E1362" s="12"/>
      <c r="F1362" s="12"/>
      <c r="G1362" s="9"/>
      <c r="H1362" s="5"/>
      <c r="I1362" s="5"/>
    </row>
    <row r="1363" spans="3:9" x14ac:dyDescent="0.25">
      <c r="C1363" s="11"/>
      <c r="E1363" s="12"/>
      <c r="F1363" s="12"/>
      <c r="G1363" s="9"/>
      <c r="H1363" s="5"/>
      <c r="I1363" s="5"/>
    </row>
    <row r="1364" spans="3:9" x14ac:dyDescent="0.25">
      <c r="C1364" s="11"/>
      <c r="E1364" s="12"/>
      <c r="F1364" s="12"/>
      <c r="G1364" s="9"/>
      <c r="H1364" s="5"/>
      <c r="I1364" s="5"/>
    </row>
    <row r="1365" spans="3:9" x14ac:dyDescent="0.25">
      <c r="C1365" s="11"/>
      <c r="E1365" s="12"/>
      <c r="F1365" s="12"/>
      <c r="G1365" s="9"/>
      <c r="H1365" s="5"/>
      <c r="I1365" s="5"/>
    </row>
    <row r="1366" spans="3:9" x14ac:dyDescent="0.25">
      <c r="C1366" s="11"/>
      <c r="E1366" s="12"/>
      <c r="F1366" s="12"/>
      <c r="G1366" s="9"/>
      <c r="H1366" s="5"/>
      <c r="I1366" s="5"/>
    </row>
    <row r="1367" spans="3:9" x14ac:dyDescent="0.25">
      <c r="C1367" s="11"/>
      <c r="E1367" s="12"/>
      <c r="F1367" s="12"/>
      <c r="G1367" s="9"/>
      <c r="H1367" s="5"/>
      <c r="I1367" s="5"/>
    </row>
    <row r="1368" spans="3:9" x14ac:dyDescent="0.25">
      <c r="C1368" s="11"/>
      <c r="E1368" s="12"/>
      <c r="F1368" s="12"/>
      <c r="G1368" s="9"/>
      <c r="H1368" s="5"/>
      <c r="I1368" s="5"/>
    </row>
    <row r="1369" spans="3:9" x14ac:dyDescent="0.25">
      <c r="C1369" s="11"/>
      <c r="E1369" s="12"/>
      <c r="F1369" s="12"/>
      <c r="G1369" s="9"/>
      <c r="H1369" s="5"/>
      <c r="I1369" s="5"/>
    </row>
    <row r="1370" spans="3:9" x14ac:dyDescent="0.25">
      <c r="C1370" s="11"/>
      <c r="E1370" s="12"/>
      <c r="F1370" s="12"/>
      <c r="G1370" s="9"/>
      <c r="H1370" s="5"/>
      <c r="I1370" s="5"/>
    </row>
    <row r="1371" spans="3:9" x14ac:dyDescent="0.25">
      <c r="C1371" s="11"/>
      <c r="E1371" s="12"/>
      <c r="F1371" s="12"/>
      <c r="G1371" s="9"/>
      <c r="H1371" s="5"/>
      <c r="I1371" s="5"/>
    </row>
    <row r="1372" spans="3:9" x14ac:dyDescent="0.25">
      <c r="C1372" s="11"/>
      <c r="E1372" s="12"/>
      <c r="F1372" s="12"/>
      <c r="G1372" s="9"/>
      <c r="H1372" s="5"/>
      <c r="I1372" s="5"/>
    </row>
    <row r="1373" spans="3:9" x14ac:dyDescent="0.25">
      <c r="C1373" s="11"/>
      <c r="E1373" s="12"/>
      <c r="F1373" s="12"/>
      <c r="G1373" s="9"/>
      <c r="H1373" s="5"/>
      <c r="I1373" s="5"/>
    </row>
    <row r="1374" spans="3:9" x14ac:dyDescent="0.25">
      <c r="C1374" s="11"/>
      <c r="E1374" s="12"/>
      <c r="F1374" s="12"/>
      <c r="G1374" s="9"/>
      <c r="H1374" s="5"/>
      <c r="I1374" s="5"/>
    </row>
    <row r="1375" spans="3:9" x14ac:dyDescent="0.25">
      <c r="C1375" s="11"/>
      <c r="E1375" s="12"/>
      <c r="F1375" s="12"/>
      <c r="G1375" s="9"/>
      <c r="H1375" s="5"/>
      <c r="I1375" s="5"/>
    </row>
    <row r="1376" spans="3:9" x14ac:dyDescent="0.25">
      <c r="C1376" s="11"/>
      <c r="E1376" s="12"/>
      <c r="F1376" s="12"/>
      <c r="G1376" s="9"/>
      <c r="H1376" s="5"/>
      <c r="I1376" s="5"/>
    </row>
    <row r="1377" spans="3:9" x14ac:dyDescent="0.25">
      <c r="C1377" s="11"/>
      <c r="E1377" s="12"/>
      <c r="F1377" s="12"/>
      <c r="G1377" s="9"/>
      <c r="H1377" s="5"/>
      <c r="I1377" s="5"/>
    </row>
    <row r="1378" spans="3:9" x14ac:dyDescent="0.25">
      <c r="C1378" s="11"/>
      <c r="E1378" s="12"/>
      <c r="F1378" s="12"/>
      <c r="G1378" s="9"/>
      <c r="H1378" s="5"/>
      <c r="I1378" s="5"/>
    </row>
    <row r="1379" spans="3:9" x14ac:dyDescent="0.25">
      <c r="C1379" s="11"/>
      <c r="E1379" s="12"/>
      <c r="F1379" s="12"/>
      <c r="G1379" s="9"/>
      <c r="H1379" s="5"/>
      <c r="I1379" s="5"/>
    </row>
    <row r="1380" spans="3:9" x14ac:dyDescent="0.25">
      <c r="C1380" s="11"/>
      <c r="E1380" s="12"/>
      <c r="F1380" s="12"/>
      <c r="G1380" s="9"/>
      <c r="H1380" s="5"/>
      <c r="I1380" s="5"/>
    </row>
    <row r="1381" spans="3:9" x14ac:dyDescent="0.25">
      <c r="C1381" s="11"/>
      <c r="E1381" s="12"/>
      <c r="F1381" s="12"/>
      <c r="G1381" s="9"/>
      <c r="H1381" s="5"/>
      <c r="I1381" s="5"/>
    </row>
    <row r="1382" spans="3:9" x14ac:dyDescent="0.25">
      <c r="C1382" s="11"/>
      <c r="E1382" s="12"/>
      <c r="F1382" s="12"/>
      <c r="G1382" s="9"/>
      <c r="H1382" s="5"/>
      <c r="I1382" s="5"/>
    </row>
    <row r="1383" spans="3:9" x14ac:dyDescent="0.25">
      <c r="C1383" s="11"/>
      <c r="E1383" s="12"/>
      <c r="F1383" s="12"/>
      <c r="G1383" s="9"/>
      <c r="H1383" s="5"/>
      <c r="I1383" s="5"/>
    </row>
    <row r="1384" spans="3:9" x14ac:dyDescent="0.25">
      <c r="C1384" s="11"/>
      <c r="E1384" s="12"/>
      <c r="F1384" s="12"/>
      <c r="G1384" s="9"/>
      <c r="H1384" s="5"/>
      <c r="I1384" s="5"/>
    </row>
    <row r="1385" spans="3:9" x14ac:dyDescent="0.25">
      <c r="C1385" s="11"/>
      <c r="E1385" s="12"/>
      <c r="F1385" s="12"/>
      <c r="G1385" s="9"/>
      <c r="H1385" s="5"/>
      <c r="I1385" s="5"/>
    </row>
    <row r="1386" spans="3:9" x14ac:dyDescent="0.25">
      <c r="C1386" s="11"/>
      <c r="E1386" s="12"/>
      <c r="F1386" s="12"/>
      <c r="G1386" s="9"/>
      <c r="H1386" s="5"/>
      <c r="I1386" s="5"/>
    </row>
    <row r="1387" spans="3:9" x14ac:dyDescent="0.25">
      <c r="C1387" s="11"/>
      <c r="E1387" s="12"/>
      <c r="F1387" s="12"/>
      <c r="G1387" s="9"/>
      <c r="H1387" s="5"/>
      <c r="I1387" s="5"/>
    </row>
    <row r="1388" spans="3:9" x14ac:dyDescent="0.25">
      <c r="C1388" s="11"/>
      <c r="E1388" s="12"/>
      <c r="F1388" s="12"/>
      <c r="G1388" s="9"/>
      <c r="H1388" s="5"/>
      <c r="I1388" s="5"/>
    </row>
    <row r="1389" spans="3:9" x14ac:dyDescent="0.25">
      <c r="C1389" s="11"/>
      <c r="E1389" s="12"/>
      <c r="F1389" s="12"/>
      <c r="G1389" s="9"/>
      <c r="H1389" s="5"/>
      <c r="I1389" s="5"/>
    </row>
    <row r="1390" spans="3:9" x14ac:dyDescent="0.25">
      <c r="C1390" s="11"/>
      <c r="E1390" s="12"/>
      <c r="F1390" s="12"/>
      <c r="G1390" s="9"/>
      <c r="H1390" s="5"/>
      <c r="I1390" s="5"/>
    </row>
    <row r="1391" spans="3:9" x14ac:dyDescent="0.25">
      <c r="C1391" s="11"/>
      <c r="E1391" s="12"/>
      <c r="F1391" s="12"/>
      <c r="G1391" s="9"/>
      <c r="H1391" s="5"/>
      <c r="I1391" s="5"/>
    </row>
    <row r="1392" spans="3:9" x14ac:dyDescent="0.25">
      <c r="C1392" s="11"/>
      <c r="E1392" s="12"/>
      <c r="F1392" s="12"/>
      <c r="G1392" s="9"/>
      <c r="H1392" s="5"/>
      <c r="I1392" s="5"/>
    </row>
    <row r="1393" spans="3:9" x14ac:dyDescent="0.25">
      <c r="C1393" s="11"/>
      <c r="E1393" s="12"/>
      <c r="F1393" s="12"/>
      <c r="G1393" s="9"/>
      <c r="H1393" s="5"/>
      <c r="I1393" s="5"/>
    </row>
    <row r="1394" spans="3:9" x14ac:dyDescent="0.25">
      <c r="C1394" s="11"/>
      <c r="E1394" s="12"/>
      <c r="F1394" s="12"/>
      <c r="G1394" s="9"/>
      <c r="H1394" s="5"/>
      <c r="I1394" s="5"/>
    </row>
    <row r="1395" spans="3:9" x14ac:dyDescent="0.25">
      <c r="C1395" s="11"/>
      <c r="E1395" s="12"/>
      <c r="F1395" s="12"/>
      <c r="G1395" s="9"/>
      <c r="H1395" s="5"/>
      <c r="I1395" s="5"/>
    </row>
    <row r="1396" spans="3:9" x14ac:dyDescent="0.25">
      <c r="C1396" s="11"/>
      <c r="E1396" s="12"/>
      <c r="F1396" s="12"/>
      <c r="G1396" s="9"/>
      <c r="H1396" s="5"/>
      <c r="I1396" s="5"/>
    </row>
    <row r="1397" spans="3:9" x14ac:dyDescent="0.25">
      <c r="C1397" s="11"/>
      <c r="E1397" s="12"/>
      <c r="F1397" s="12"/>
      <c r="G1397" s="9"/>
      <c r="H1397" s="5"/>
      <c r="I1397" s="5"/>
    </row>
    <row r="1398" spans="3:9" x14ac:dyDescent="0.25">
      <c r="C1398" s="11"/>
      <c r="E1398" s="12"/>
      <c r="F1398" s="12"/>
      <c r="G1398" s="9"/>
      <c r="H1398" s="5"/>
      <c r="I1398" s="5"/>
    </row>
    <row r="1399" spans="3:9" x14ac:dyDescent="0.25">
      <c r="C1399" s="11"/>
      <c r="E1399" s="12"/>
      <c r="F1399" s="12"/>
      <c r="G1399" s="9"/>
      <c r="H1399" s="5"/>
      <c r="I1399" s="5"/>
    </row>
    <row r="1400" spans="3:9" x14ac:dyDescent="0.25">
      <c r="C1400" s="11"/>
      <c r="E1400" s="12"/>
      <c r="F1400" s="12"/>
      <c r="G1400" s="9"/>
      <c r="H1400" s="5"/>
      <c r="I1400" s="5"/>
    </row>
    <row r="1401" spans="3:9" x14ac:dyDescent="0.25">
      <c r="C1401" s="11"/>
      <c r="E1401" s="12"/>
      <c r="F1401" s="12"/>
      <c r="G1401" s="9"/>
      <c r="H1401" s="5"/>
      <c r="I1401" s="5"/>
    </row>
    <row r="1402" spans="3:9" x14ac:dyDescent="0.25">
      <c r="C1402" s="11"/>
      <c r="E1402" s="12"/>
      <c r="F1402" s="12"/>
      <c r="G1402" s="9"/>
      <c r="H1402" s="5"/>
      <c r="I1402" s="5"/>
    </row>
    <row r="1403" spans="3:9" x14ac:dyDescent="0.25">
      <c r="C1403" s="11"/>
      <c r="E1403" s="12"/>
      <c r="F1403" s="12"/>
      <c r="G1403" s="9"/>
      <c r="H1403" s="5"/>
      <c r="I1403" s="5"/>
    </row>
    <row r="1404" spans="3:9" x14ac:dyDescent="0.25">
      <c r="C1404" s="11"/>
      <c r="E1404" s="12"/>
      <c r="F1404" s="12"/>
      <c r="G1404" s="9"/>
      <c r="H1404" s="5"/>
      <c r="I1404" s="5"/>
    </row>
    <row r="1405" spans="3:9" x14ac:dyDescent="0.25">
      <c r="C1405" s="11"/>
      <c r="E1405" s="12"/>
      <c r="F1405" s="12"/>
      <c r="G1405" s="9"/>
      <c r="H1405" s="5"/>
      <c r="I1405" s="5"/>
    </row>
    <row r="1406" spans="3:9" x14ac:dyDescent="0.25">
      <c r="C1406" s="11"/>
      <c r="E1406" s="12"/>
      <c r="F1406" s="12"/>
      <c r="G1406" s="9"/>
      <c r="H1406" s="5"/>
      <c r="I1406" s="5"/>
    </row>
    <row r="1407" spans="3:9" x14ac:dyDescent="0.25">
      <c r="C1407" s="11"/>
      <c r="E1407" s="12"/>
      <c r="F1407" s="12"/>
      <c r="G1407" s="9"/>
      <c r="H1407" s="5"/>
      <c r="I1407" s="5"/>
    </row>
    <row r="1408" spans="3:9" x14ac:dyDescent="0.25">
      <c r="C1408" s="11"/>
      <c r="E1408" s="12"/>
      <c r="F1408" s="12"/>
      <c r="G1408" s="9"/>
      <c r="H1408" s="5"/>
      <c r="I1408" s="5"/>
    </row>
    <row r="1409" spans="3:9" x14ac:dyDescent="0.25">
      <c r="C1409" s="11"/>
      <c r="E1409" s="12"/>
      <c r="F1409" s="12"/>
      <c r="G1409" s="9"/>
      <c r="H1409" s="5"/>
      <c r="I1409" s="5"/>
    </row>
    <row r="1410" spans="3:9" x14ac:dyDescent="0.25">
      <c r="C1410" s="11"/>
      <c r="E1410" s="12"/>
      <c r="F1410" s="12"/>
      <c r="G1410" s="9"/>
      <c r="H1410" s="5"/>
      <c r="I1410" s="5"/>
    </row>
    <row r="1411" spans="3:9" x14ac:dyDescent="0.25">
      <c r="C1411" s="11"/>
      <c r="E1411" s="12"/>
      <c r="F1411" s="12"/>
      <c r="G1411" s="9"/>
      <c r="H1411" s="5"/>
      <c r="I1411" s="5"/>
    </row>
    <row r="1412" spans="3:9" x14ac:dyDescent="0.25">
      <c r="C1412" s="11"/>
      <c r="E1412" s="12"/>
      <c r="F1412" s="12"/>
      <c r="G1412" s="9"/>
      <c r="H1412" s="5"/>
      <c r="I1412" s="5"/>
    </row>
    <row r="1413" spans="3:9" x14ac:dyDescent="0.25">
      <c r="C1413" s="11"/>
      <c r="E1413" s="12"/>
      <c r="F1413" s="12"/>
      <c r="G1413" s="9"/>
      <c r="H1413" s="5"/>
      <c r="I1413" s="5"/>
    </row>
    <row r="1414" spans="3:9" x14ac:dyDescent="0.25">
      <c r="C1414" s="11"/>
      <c r="E1414" s="12"/>
      <c r="F1414" s="12"/>
      <c r="G1414" s="9"/>
      <c r="H1414" s="5"/>
      <c r="I1414" s="5"/>
    </row>
    <row r="1415" spans="3:9" x14ac:dyDescent="0.25">
      <c r="C1415" s="11"/>
      <c r="E1415" s="12"/>
      <c r="F1415" s="12"/>
      <c r="G1415" s="9"/>
      <c r="H1415" s="5"/>
      <c r="I1415" s="5"/>
    </row>
    <row r="1416" spans="3:9" x14ac:dyDescent="0.25">
      <c r="C1416" s="11"/>
      <c r="E1416" s="12"/>
      <c r="F1416" s="12"/>
      <c r="G1416" s="9"/>
      <c r="H1416" s="5"/>
      <c r="I1416" s="5"/>
    </row>
    <row r="1417" spans="3:9" x14ac:dyDescent="0.25">
      <c r="C1417" s="11"/>
      <c r="E1417" s="12"/>
      <c r="F1417" s="12"/>
      <c r="G1417" s="9"/>
      <c r="H1417" s="5"/>
      <c r="I1417" s="5"/>
    </row>
    <row r="1418" spans="3:9" x14ac:dyDescent="0.25">
      <c r="C1418" s="11"/>
      <c r="E1418" s="12"/>
      <c r="F1418" s="12"/>
      <c r="G1418" s="9"/>
      <c r="H1418" s="5"/>
      <c r="I1418" s="5"/>
    </row>
    <row r="1419" spans="3:9" x14ac:dyDescent="0.25">
      <c r="C1419" s="11"/>
      <c r="E1419" s="12"/>
      <c r="F1419" s="12"/>
      <c r="G1419" s="9"/>
      <c r="H1419" s="5"/>
      <c r="I1419" s="5"/>
    </row>
    <row r="1420" spans="3:9" x14ac:dyDescent="0.25">
      <c r="C1420" s="11"/>
      <c r="E1420" s="12"/>
      <c r="F1420" s="12"/>
      <c r="G1420" s="9"/>
      <c r="H1420" s="5"/>
      <c r="I1420" s="5"/>
    </row>
    <row r="1421" spans="3:9" x14ac:dyDescent="0.25">
      <c r="C1421" s="11"/>
      <c r="E1421" s="12"/>
      <c r="F1421" s="12"/>
      <c r="G1421" s="9"/>
      <c r="H1421" s="5"/>
      <c r="I1421" s="5"/>
    </row>
    <row r="1422" spans="3:9" x14ac:dyDescent="0.25">
      <c r="C1422" s="11"/>
      <c r="E1422" s="12"/>
      <c r="F1422" s="12"/>
      <c r="G1422" s="9"/>
      <c r="H1422" s="5"/>
      <c r="I1422" s="5"/>
    </row>
    <row r="1423" spans="3:9" x14ac:dyDescent="0.25">
      <c r="C1423" s="11"/>
      <c r="E1423" s="12"/>
      <c r="F1423" s="12"/>
      <c r="G1423" s="9"/>
      <c r="H1423" s="5"/>
      <c r="I1423" s="5"/>
    </row>
    <row r="1424" spans="3:9" x14ac:dyDescent="0.25">
      <c r="C1424" s="11"/>
      <c r="E1424" s="12"/>
      <c r="F1424" s="12"/>
      <c r="G1424" s="9"/>
      <c r="H1424" s="5"/>
      <c r="I1424" s="5"/>
    </row>
    <row r="1425" spans="3:9" x14ac:dyDescent="0.25">
      <c r="C1425" s="11"/>
      <c r="E1425" s="12"/>
      <c r="F1425" s="12"/>
      <c r="G1425" s="9"/>
      <c r="H1425" s="5"/>
      <c r="I1425" s="5"/>
    </row>
    <row r="1426" spans="3:9" x14ac:dyDescent="0.25">
      <c r="C1426" s="11"/>
      <c r="E1426" s="12"/>
      <c r="F1426" s="12"/>
      <c r="G1426" s="9"/>
      <c r="H1426" s="5"/>
      <c r="I1426" s="5"/>
    </row>
    <row r="1427" spans="3:9" x14ac:dyDescent="0.25">
      <c r="C1427" s="11"/>
      <c r="E1427" s="12"/>
      <c r="F1427" s="12"/>
      <c r="G1427" s="9"/>
      <c r="H1427" s="5"/>
      <c r="I1427" s="5"/>
    </row>
    <row r="1428" spans="3:9" x14ac:dyDescent="0.25">
      <c r="C1428" s="11"/>
      <c r="E1428" s="12"/>
      <c r="F1428" s="12"/>
      <c r="G1428" s="9"/>
      <c r="H1428" s="5"/>
      <c r="I1428" s="5"/>
    </row>
    <row r="1429" spans="3:9" x14ac:dyDescent="0.25">
      <c r="C1429" s="11"/>
      <c r="E1429" s="12"/>
      <c r="F1429" s="12"/>
      <c r="G1429" s="9"/>
      <c r="H1429" s="5"/>
      <c r="I1429" s="5"/>
    </row>
    <row r="1430" spans="3:9" x14ac:dyDescent="0.25">
      <c r="C1430" s="11"/>
      <c r="E1430" s="12"/>
      <c r="F1430" s="12"/>
      <c r="G1430" s="9"/>
      <c r="H1430" s="5"/>
      <c r="I1430" s="5"/>
    </row>
    <row r="1431" spans="3:9" x14ac:dyDescent="0.25">
      <c r="C1431" s="11"/>
      <c r="E1431" s="12"/>
      <c r="F1431" s="12"/>
      <c r="G1431" s="9"/>
      <c r="H1431" s="5"/>
      <c r="I1431" s="5"/>
    </row>
    <row r="1432" spans="3:9" x14ac:dyDescent="0.25">
      <c r="C1432" s="11"/>
      <c r="E1432" s="12"/>
      <c r="F1432" s="12"/>
      <c r="G1432" s="9"/>
      <c r="H1432" s="5"/>
      <c r="I1432" s="5"/>
    </row>
    <row r="1433" spans="3:9" x14ac:dyDescent="0.25">
      <c r="C1433" s="11"/>
      <c r="E1433" s="12"/>
      <c r="F1433" s="12"/>
      <c r="G1433" s="9"/>
      <c r="H1433" s="5"/>
      <c r="I1433" s="5"/>
    </row>
    <row r="1434" spans="3:9" x14ac:dyDescent="0.25">
      <c r="C1434" s="11"/>
      <c r="E1434" s="12"/>
      <c r="F1434" s="12"/>
      <c r="G1434" s="9"/>
      <c r="H1434" s="5"/>
      <c r="I1434" s="5"/>
    </row>
    <row r="1435" spans="3:9" x14ac:dyDescent="0.25">
      <c r="C1435" s="11"/>
      <c r="E1435" s="12"/>
      <c r="F1435" s="12"/>
      <c r="G1435" s="9"/>
      <c r="H1435" s="5"/>
      <c r="I1435" s="5"/>
    </row>
    <row r="1436" spans="3:9" x14ac:dyDescent="0.25">
      <c r="C1436" s="11"/>
      <c r="E1436" s="12"/>
      <c r="F1436" s="12"/>
      <c r="G1436" s="9"/>
      <c r="H1436" s="5"/>
      <c r="I1436" s="5"/>
    </row>
    <row r="1437" spans="3:9" x14ac:dyDescent="0.25">
      <c r="C1437" s="11"/>
      <c r="E1437" s="12"/>
      <c r="F1437" s="12"/>
      <c r="G1437" s="9"/>
      <c r="H1437" s="5"/>
      <c r="I1437" s="5"/>
    </row>
    <row r="1438" spans="3:9" x14ac:dyDescent="0.25">
      <c r="C1438" s="11"/>
      <c r="E1438" s="12"/>
      <c r="F1438" s="12"/>
      <c r="G1438" s="9"/>
      <c r="H1438" s="5"/>
      <c r="I1438" s="5"/>
    </row>
    <row r="1439" spans="3:9" x14ac:dyDescent="0.25">
      <c r="C1439" s="11"/>
      <c r="E1439" s="12"/>
      <c r="F1439" s="12"/>
      <c r="G1439" s="9"/>
      <c r="H1439" s="5"/>
      <c r="I1439" s="5"/>
    </row>
    <row r="1440" spans="3:9" x14ac:dyDescent="0.25">
      <c r="C1440" s="11"/>
      <c r="E1440" s="12"/>
      <c r="F1440" s="12"/>
      <c r="G1440" s="9"/>
      <c r="H1440" s="5"/>
      <c r="I1440" s="5"/>
    </row>
    <row r="1441" spans="3:9" x14ac:dyDescent="0.25">
      <c r="C1441" s="11"/>
      <c r="E1441" s="12"/>
      <c r="F1441" s="12"/>
      <c r="G1441" s="9"/>
      <c r="H1441" s="5"/>
      <c r="I1441" s="5"/>
    </row>
    <row r="1442" spans="3:9" x14ac:dyDescent="0.25">
      <c r="C1442" s="11"/>
      <c r="E1442" s="12"/>
      <c r="F1442" s="12"/>
      <c r="G1442" s="9"/>
      <c r="H1442" s="5"/>
      <c r="I1442" s="5"/>
    </row>
    <row r="1443" spans="3:9" x14ac:dyDescent="0.25">
      <c r="C1443" s="11"/>
      <c r="E1443" s="12"/>
      <c r="F1443" s="12"/>
      <c r="G1443" s="9"/>
      <c r="H1443" s="5"/>
      <c r="I1443" s="5"/>
    </row>
    <row r="1444" spans="3:9" x14ac:dyDescent="0.25">
      <c r="C1444" s="11"/>
      <c r="E1444" s="12"/>
      <c r="F1444" s="12"/>
      <c r="G1444" s="9"/>
      <c r="H1444" s="5"/>
      <c r="I1444" s="5"/>
    </row>
    <row r="1445" spans="3:9" x14ac:dyDescent="0.25">
      <c r="C1445" s="11"/>
      <c r="E1445" s="12"/>
      <c r="F1445" s="12"/>
      <c r="G1445" s="9"/>
      <c r="H1445" s="5"/>
      <c r="I1445" s="5"/>
    </row>
    <row r="1446" spans="3:9" x14ac:dyDescent="0.25">
      <c r="C1446" s="11"/>
      <c r="E1446" s="12"/>
      <c r="F1446" s="12"/>
      <c r="G1446" s="9"/>
      <c r="H1446" s="5"/>
      <c r="I1446" s="5"/>
    </row>
    <row r="1447" spans="3:9" x14ac:dyDescent="0.25">
      <c r="C1447" s="11"/>
      <c r="E1447" s="12"/>
      <c r="F1447" s="12"/>
      <c r="G1447" s="9"/>
      <c r="H1447" s="5"/>
      <c r="I1447" s="5"/>
    </row>
    <row r="1448" spans="3:9" x14ac:dyDescent="0.25">
      <c r="C1448" s="11"/>
      <c r="E1448" s="12"/>
      <c r="F1448" s="12"/>
      <c r="G1448" s="9"/>
      <c r="H1448" s="5"/>
      <c r="I1448" s="5"/>
    </row>
    <row r="1449" spans="3:9" x14ac:dyDescent="0.25">
      <c r="C1449" s="11"/>
      <c r="E1449" s="12"/>
      <c r="F1449" s="12"/>
      <c r="G1449" s="9"/>
      <c r="H1449" s="5"/>
      <c r="I1449" s="5"/>
    </row>
    <row r="1450" spans="3:9" x14ac:dyDescent="0.25">
      <c r="C1450" s="11"/>
      <c r="E1450" s="12"/>
      <c r="F1450" s="12"/>
      <c r="G1450" s="9"/>
      <c r="H1450" s="5"/>
      <c r="I1450" s="5"/>
    </row>
    <row r="1451" spans="3:9" x14ac:dyDescent="0.25">
      <c r="C1451" s="11"/>
      <c r="E1451" s="12"/>
      <c r="F1451" s="12"/>
      <c r="G1451" s="9"/>
      <c r="H1451" s="5"/>
      <c r="I1451" s="5"/>
    </row>
    <row r="1452" spans="3:9" x14ac:dyDescent="0.25">
      <c r="C1452" s="11"/>
      <c r="E1452" s="12"/>
      <c r="F1452" s="12"/>
      <c r="G1452" s="9"/>
      <c r="H1452" s="5"/>
      <c r="I1452" s="5"/>
    </row>
    <row r="1453" spans="3:9" x14ac:dyDescent="0.25">
      <c r="C1453" s="11"/>
      <c r="E1453" s="12"/>
      <c r="F1453" s="12"/>
      <c r="G1453" s="9"/>
      <c r="H1453" s="5"/>
      <c r="I1453" s="5"/>
    </row>
    <row r="1454" spans="3:9" x14ac:dyDescent="0.25">
      <c r="C1454" s="11"/>
      <c r="E1454" s="12"/>
      <c r="F1454" s="12"/>
      <c r="G1454" s="9"/>
      <c r="H1454" s="5"/>
      <c r="I1454" s="5"/>
    </row>
    <row r="1455" spans="3:9" x14ac:dyDescent="0.25">
      <c r="C1455" s="11"/>
      <c r="E1455" s="12"/>
      <c r="F1455" s="12"/>
      <c r="G1455" s="9"/>
      <c r="H1455" s="5"/>
      <c r="I1455" s="5"/>
    </row>
    <row r="1456" spans="3:9" x14ac:dyDescent="0.25">
      <c r="C1456" s="11"/>
      <c r="E1456" s="12"/>
      <c r="F1456" s="12"/>
      <c r="G1456" s="9"/>
      <c r="H1456" s="5"/>
      <c r="I1456" s="5"/>
    </row>
    <row r="1457" spans="3:9" x14ac:dyDescent="0.25">
      <c r="C1457" s="11"/>
      <c r="E1457" s="12"/>
      <c r="F1457" s="12"/>
      <c r="G1457" s="9"/>
      <c r="H1457" s="5"/>
      <c r="I1457" s="5"/>
    </row>
    <row r="1458" spans="3:9" x14ac:dyDescent="0.25">
      <c r="C1458" s="11"/>
      <c r="E1458" s="12"/>
      <c r="F1458" s="12"/>
      <c r="G1458" s="9"/>
      <c r="H1458" s="5"/>
      <c r="I1458" s="5"/>
    </row>
    <row r="1459" spans="3:9" x14ac:dyDescent="0.25">
      <c r="C1459" s="11"/>
      <c r="E1459" s="12"/>
      <c r="F1459" s="12"/>
      <c r="G1459" s="9"/>
      <c r="H1459" s="5"/>
      <c r="I1459" s="5"/>
    </row>
    <row r="1460" spans="3:9" x14ac:dyDescent="0.25">
      <c r="C1460" s="11"/>
      <c r="E1460" s="12"/>
      <c r="F1460" s="12"/>
      <c r="G1460" s="9"/>
      <c r="H1460" s="5"/>
      <c r="I1460" s="5"/>
    </row>
    <row r="1461" spans="3:9" x14ac:dyDescent="0.25">
      <c r="C1461" s="11"/>
      <c r="E1461" s="12"/>
      <c r="F1461" s="12"/>
      <c r="G1461" s="9"/>
      <c r="H1461" s="5"/>
      <c r="I1461" s="5"/>
    </row>
    <row r="1462" spans="3:9" x14ac:dyDescent="0.25">
      <c r="C1462" s="11"/>
      <c r="E1462" s="12"/>
      <c r="F1462" s="12"/>
      <c r="G1462" s="9"/>
      <c r="H1462" s="5"/>
      <c r="I1462" s="5"/>
    </row>
    <row r="1463" spans="3:9" x14ac:dyDescent="0.25">
      <c r="C1463" s="11"/>
      <c r="E1463" s="12"/>
      <c r="F1463" s="12"/>
      <c r="G1463" s="9"/>
      <c r="H1463" s="5"/>
      <c r="I1463" s="5"/>
    </row>
    <row r="1464" spans="3:9" x14ac:dyDescent="0.25">
      <c r="C1464" s="11"/>
      <c r="E1464" s="12"/>
      <c r="F1464" s="12"/>
      <c r="G1464" s="9"/>
      <c r="H1464" s="5"/>
      <c r="I1464" s="5"/>
    </row>
    <row r="1465" spans="3:9" x14ac:dyDescent="0.25">
      <c r="C1465" s="11"/>
      <c r="E1465" s="12"/>
      <c r="F1465" s="12"/>
      <c r="G1465" s="9"/>
      <c r="H1465" s="5"/>
      <c r="I1465" s="5"/>
    </row>
    <row r="1466" spans="3:9" x14ac:dyDescent="0.25">
      <c r="C1466" s="11"/>
      <c r="E1466" s="12"/>
      <c r="F1466" s="12"/>
      <c r="G1466" s="9"/>
      <c r="H1466" s="5"/>
      <c r="I1466" s="5"/>
    </row>
    <row r="1467" spans="3:9" x14ac:dyDescent="0.25">
      <c r="C1467" s="11"/>
      <c r="E1467" s="12"/>
      <c r="F1467" s="12"/>
      <c r="G1467" s="9"/>
      <c r="H1467" s="5"/>
      <c r="I1467" s="5"/>
    </row>
    <row r="1468" spans="3:9" x14ac:dyDescent="0.25">
      <c r="C1468" s="11"/>
      <c r="E1468" s="12"/>
      <c r="F1468" s="12"/>
      <c r="G1468" s="9"/>
      <c r="H1468" s="5"/>
      <c r="I1468" s="5"/>
    </row>
    <row r="1469" spans="3:9" x14ac:dyDescent="0.25">
      <c r="C1469" s="11"/>
      <c r="E1469" s="12"/>
      <c r="F1469" s="12"/>
      <c r="G1469" s="9"/>
      <c r="H1469" s="5"/>
      <c r="I1469" s="5"/>
    </row>
    <row r="1470" spans="3:9" x14ac:dyDescent="0.25">
      <c r="C1470" s="11"/>
      <c r="E1470" s="12"/>
      <c r="F1470" s="12"/>
      <c r="G1470" s="9"/>
      <c r="H1470" s="5"/>
      <c r="I1470" s="5"/>
    </row>
    <row r="1471" spans="3:9" x14ac:dyDescent="0.25">
      <c r="C1471" s="11"/>
      <c r="E1471" s="12"/>
      <c r="F1471" s="12"/>
      <c r="G1471" s="9"/>
      <c r="H1471" s="5"/>
      <c r="I1471" s="5"/>
    </row>
    <row r="1472" spans="3:9" x14ac:dyDescent="0.25">
      <c r="C1472" s="11"/>
      <c r="E1472" s="12"/>
      <c r="F1472" s="12"/>
      <c r="G1472" s="9"/>
      <c r="H1472" s="5"/>
      <c r="I1472" s="5"/>
    </row>
    <row r="1473" spans="3:9" x14ac:dyDescent="0.25">
      <c r="C1473" s="11"/>
      <c r="E1473" s="12"/>
      <c r="F1473" s="12"/>
      <c r="G1473" s="9"/>
      <c r="H1473" s="5"/>
      <c r="I1473" s="5"/>
    </row>
    <row r="1474" spans="3:9" x14ac:dyDescent="0.25">
      <c r="C1474" s="11"/>
      <c r="E1474" s="12"/>
      <c r="F1474" s="12"/>
      <c r="G1474" s="9"/>
      <c r="H1474" s="5"/>
      <c r="I1474" s="5"/>
    </row>
    <row r="1475" spans="3:9" x14ac:dyDescent="0.25">
      <c r="C1475" s="11"/>
      <c r="E1475" s="12"/>
      <c r="F1475" s="12"/>
      <c r="G1475" s="9"/>
      <c r="H1475" s="5"/>
      <c r="I1475" s="5"/>
    </row>
    <row r="1476" spans="3:9" x14ac:dyDescent="0.25">
      <c r="C1476" s="11"/>
      <c r="E1476" s="12"/>
      <c r="F1476" s="12"/>
      <c r="G1476" s="9"/>
      <c r="H1476" s="5"/>
      <c r="I1476" s="5"/>
    </row>
    <row r="1477" spans="3:9" x14ac:dyDescent="0.25">
      <c r="C1477" s="11"/>
      <c r="E1477" s="12"/>
      <c r="F1477" s="12"/>
      <c r="G1477" s="9"/>
      <c r="H1477" s="5"/>
      <c r="I1477" s="5"/>
    </row>
    <row r="1478" spans="3:9" x14ac:dyDescent="0.25">
      <c r="C1478" s="11"/>
      <c r="E1478" s="12"/>
      <c r="F1478" s="12"/>
      <c r="G1478" s="9"/>
      <c r="H1478" s="5"/>
      <c r="I1478" s="5"/>
    </row>
    <row r="1479" spans="3:9" x14ac:dyDescent="0.25">
      <c r="C1479" s="11"/>
      <c r="E1479" s="12"/>
      <c r="F1479" s="12"/>
      <c r="G1479" s="9"/>
      <c r="H1479" s="5"/>
      <c r="I1479" s="5"/>
    </row>
    <row r="1480" spans="3:9" x14ac:dyDescent="0.25">
      <c r="C1480" s="11"/>
      <c r="E1480" s="12"/>
      <c r="F1480" s="12"/>
      <c r="G1480" s="9"/>
      <c r="H1480" s="5"/>
      <c r="I1480" s="5"/>
    </row>
    <row r="1481" spans="3:9" x14ac:dyDescent="0.25">
      <c r="C1481" s="11"/>
      <c r="E1481" s="12"/>
      <c r="F1481" s="12"/>
      <c r="G1481" s="9"/>
      <c r="H1481" s="5"/>
      <c r="I1481" s="5"/>
    </row>
    <row r="1482" spans="3:9" x14ac:dyDescent="0.25">
      <c r="C1482" s="11"/>
      <c r="E1482" s="12"/>
      <c r="F1482" s="12"/>
      <c r="G1482" s="9"/>
      <c r="H1482" s="5"/>
      <c r="I1482" s="5"/>
    </row>
    <row r="1483" spans="3:9" x14ac:dyDescent="0.25">
      <c r="C1483" s="11"/>
      <c r="E1483" s="12"/>
      <c r="F1483" s="12"/>
      <c r="G1483" s="9"/>
      <c r="H1483" s="5"/>
      <c r="I1483" s="5"/>
    </row>
    <row r="1484" spans="3:9" x14ac:dyDescent="0.25">
      <c r="C1484" s="11"/>
      <c r="E1484" s="12"/>
      <c r="F1484" s="12"/>
      <c r="G1484" s="9"/>
      <c r="H1484" s="5"/>
      <c r="I1484" s="5"/>
    </row>
    <row r="1485" spans="3:9" x14ac:dyDescent="0.25">
      <c r="C1485" s="11"/>
      <c r="E1485" s="12"/>
      <c r="F1485" s="12"/>
      <c r="G1485" s="9"/>
      <c r="H1485" s="5"/>
      <c r="I1485" s="5"/>
    </row>
    <row r="1486" spans="3:9" x14ac:dyDescent="0.25">
      <c r="C1486" s="11"/>
      <c r="E1486" s="12"/>
      <c r="F1486" s="12"/>
      <c r="G1486" s="9"/>
      <c r="H1486" s="5"/>
      <c r="I1486" s="5"/>
    </row>
    <row r="1487" spans="3:9" x14ac:dyDescent="0.25">
      <c r="C1487" s="11"/>
      <c r="E1487" s="12"/>
      <c r="F1487" s="12"/>
      <c r="G1487" s="9"/>
      <c r="H1487" s="5"/>
      <c r="I1487" s="5"/>
    </row>
    <row r="1488" spans="3:9" x14ac:dyDescent="0.25">
      <c r="C1488" s="11"/>
      <c r="E1488" s="12"/>
      <c r="F1488" s="12"/>
      <c r="G1488" s="9"/>
      <c r="H1488" s="5"/>
      <c r="I1488" s="5"/>
    </row>
    <row r="1489" spans="3:9" x14ac:dyDescent="0.25">
      <c r="C1489" s="11"/>
      <c r="E1489" s="12"/>
      <c r="F1489" s="12"/>
      <c r="G1489" s="9"/>
      <c r="H1489" s="5"/>
      <c r="I1489" s="5"/>
    </row>
    <row r="1490" spans="3:9" x14ac:dyDescent="0.25">
      <c r="C1490" s="11"/>
      <c r="E1490" s="12"/>
      <c r="F1490" s="12"/>
      <c r="G1490" s="9"/>
      <c r="H1490" s="5"/>
      <c r="I1490" s="5"/>
    </row>
    <row r="1491" spans="3:9" x14ac:dyDescent="0.25">
      <c r="C1491" s="11"/>
      <c r="E1491" s="12"/>
      <c r="F1491" s="12"/>
      <c r="G1491" s="9"/>
      <c r="H1491" s="5"/>
      <c r="I1491" s="5"/>
    </row>
    <row r="1492" spans="3:9" x14ac:dyDescent="0.25">
      <c r="C1492" s="11"/>
      <c r="E1492" s="12"/>
      <c r="F1492" s="12"/>
      <c r="G1492" s="9"/>
      <c r="H1492" s="5"/>
      <c r="I1492" s="5"/>
    </row>
    <row r="1493" spans="3:9" x14ac:dyDescent="0.25">
      <c r="C1493" s="11"/>
      <c r="E1493" s="12"/>
      <c r="F1493" s="12"/>
      <c r="G1493" s="9"/>
      <c r="H1493" s="5"/>
      <c r="I1493" s="5"/>
    </row>
    <row r="1494" spans="3:9" x14ac:dyDescent="0.25">
      <c r="C1494" s="11"/>
      <c r="E1494" s="12"/>
      <c r="F1494" s="12"/>
      <c r="G1494" s="9"/>
      <c r="H1494" s="5"/>
      <c r="I1494" s="5"/>
    </row>
    <row r="1495" spans="3:9" x14ac:dyDescent="0.25">
      <c r="C1495" s="11"/>
      <c r="E1495" s="12"/>
      <c r="F1495" s="12"/>
      <c r="G1495" s="9"/>
      <c r="H1495" s="5"/>
      <c r="I1495" s="5"/>
    </row>
    <row r="1496" spans="3:9" x14ac:dyDescent="0.25">
      <c r="C1496" s="11"/>
      <c r="E1496" s="12"/>
      <c r="F1496" s="12"/>
      <c r="G1496" s="9"/>
      <c r="H1496" s="5"/>
      <c r="I1496" s="5"/>
    </row>
    <row r="1497" spans="3:9" x14ac:dyDescent="0.25">
      <c r="C1497" s="11"/>
      <c r="E1497" s="12"/>
      <c r="F1497" s="12"/>
      <c r="G1497" s="9"/>
      <c r="H1497" s="5"/>
      <c r="I1497" s="5"/>
    </row>
    <row r="1498" spans="3:9" x14ac:dyDescent="0.25">
      <c r="C1498" s="11"/>
      <c r="E1498" s="12"/>
      <c r="F1498" s="12"/>
      <c r="G1498" s="9"/>
      <c r="H1498" s="5"/>
      <c r="I1498" s="5"/>
    </row>
    <row r="1499" spans="3:9" x14ac:dyDescent="0.25">
      <c r="C1499" s="11"/>
      <c r="E1499" s="12"/>
      <c r="F1499" s="12"/>
      <c r="G1499" s="9"/>
      <c r="H1499" s="5"/>
      <c r="I1499" s="5"/>
    </row>
    <row r="1500" spans="3:9" x14ac:dyDescent="0.25">
      <c r="C1500" s="11"/>
      <c r="E1500" s="12"/>
      <c r="F1500" s="12"/>
      <c r="G1500" s="9"/>
      <c r="H1500" s="5"/>
      <c r="I1500" s="5"/>
    </row>
    <row r="1501" spans="3:9" x14ac:dyDescent="0.25">
      <c r="C1501" s="11"/>
      <c r="E1501" s="12"/>
      <c r="F1501" s="12"/>
      <c r="G1501" s="9"/>
      <c r="H1501" s="5"/>
      <c r="I1501" s="5"/>
    </row>
    <row r="1502" spans="3:9" x14ac:dyDescent="0.25">
      <c r="C1502" s="11"/>
      <c r="E1502" s="12"/>
      <c r="F1502" s="12"/>
      <c r="G1502" s="9"/>
      <c r="H1502" s="5"/>
      <c r="I1502" s="5"/>
    </row>
    <row r="1503" spans="3:9" x14ac:dyDescent="0.25">
      <c r="C1503" s="11"/>
      <c r="E1503" s="12"/>
      <c r="F1503" s="12"/>
      <c r="G1503" s="9"/>
      <c r="H1503" s="5"/>
      <c r="I1503" s="5"/>
    </row>
    <row r="1504" spans="3:9" x14ac:dyDescent="0.25">
      <c r="C1504" s="11"/>
      <c r="E1504" s="12"/>
      <c r="F1504" s="12"/>
      <c r="G1504" s="9"/>
      <c r="H1504" s="5"/>
      <c r="I1504" s="5"/>
    </row>
    <row r="1505" spans="3:9" x14ac:dyDescent="0.25">
      <c r="C1505" s="11"/>
      <c r="E1505" s="12"/>
      <c r="F1505" s="12"/>
      <c r="G1505" s="9"/>
      <c r="H1505" s="5"/>
      <c r="I1505" s="5"/>
    </row>
    <row r="1506" spans="3:9" x14ac:dyDescent="0.25">
      <c r="C1506" s="11"/>
      <c r="E1506" s="12"/>
      <c r="F1506" s="12"/>
      <c r="G1506" s="9"/>
      <c r="H1506" s="5"/>
      <c r="I1506" s="5"/>
    </row>
    <row r="1507" spans="3:9" x14ac:dyDescent="0.25">
      <c r="C1507" s="11"/>
      <c r="E1507" s="12"/>
      <c r="F1507" s="12"/>
      <c r="G1507" s="9"/>
      <c r="H1507" s="5"/>
      <c r="I1507" s="5"/>
    </row>
    <row r="1508" spans="3:9" x14ac:dyDescent="0.25">
      <c r="C1508" s="11"/>
      <c r="E1508" s="12"/>
      <c r="F1508" s="12"/>
      <c r="G1508" s="9"/>
      <c r="H1508" s="5"/>
      <c r="I1508" s="5"/>
    </row>
    <row r="1509" spans="3:9" x14ac:dyDescent="0.25">
      <c r="C1509" s="11"/>
      <c r="E1509" s="12"/>
      <c r="F1509" s="12"/>
      <c r="G1509" s="9"/>
      <c r="H1509" s="5"/>
      <c r="I1509" s="5"/>
    </row>
    <row r="1510" spans="3:9" x14ac:dyDescent="0.25">
      <c r="C1510" s="11"/>
      <c r="E1510" s="12"/>
      <c r="F1510" s="12"/>
      <c r="G1510" s="9"/>
      <c r="H1510" s="5"/>
      <c r="I1510" s="5"/>
    </row>
    <row r="1511" spans="3:9" x14ac:dyDescent="0.25">
      <c r="C1511" s="11"/>
      <c r="E1511" s="12"/>
      <c r="F1511" s="12"/>
      <c r="G1511" s="9"/>
      <c r="H1511" s="5"/>
      <c r="I1511" s="5"/>
    </row>
    <row r="1512" spans="3:9" x14ac:dyDescent="0.25">
      <c r="C1512" s="11"/>
      <c r="E1512" s="12"/>
      <c r="F1512" s="12"/>
      <c r="G1512" s="9"/>
      <c r="H1512" s="5"/>
      <c r="I1512" s="5"/>
    </row>
    <row r="1513" spans="3:9" x14ac:dyDescent="0.25">
      <c r="C1513" s="11"/>
      <c r="E1513" s="12"/>
      <c r="F1513" s="12"/>
      <c r="G1513" s="9"/>
      <c r="H1513" s="5"/>
      <c r="I1513" s="5"/>
    </row>
    <row r="1514" spans="3:9" x14ac:dyDescent="0.25">
      <c r="C1514" s="11"/>
      <c r="E1514" s="12"/>
      <c r="F1514" s="12"/>
      <c r="G1514" s="9"/>
      <c r="H1514" s="5"/>
      <c r="I1514" s="5"/>
    </row>
    <row r="1515" spans="3:9" x14ac:dyDescent="0.25">
      <c r="C1515" s="11"/>
      <c r="E1515" s="12"/>
      <c r="F1515" s="12"/>
      <c r="G1515" s="9"/>
      <c r="H1515" s="5"/>
      <c r="I1515" s="5"/>
    </row>
    <row r="1516" spans="3:9" x14ac:dyDescent="0.25">
      <c r="C1516" s="11"/>
      <c r="E1516" s="12"/>
      <c r="F1516" s="12"/>
      <c r="G1516" s="9"/>
      <c r="H1516" s="5"/>
      <c r="I1516" s="5"/>
    </row>
    <row r="1517" spans="3:9" x14ac:dyDescent="0.25">
      <c r="C1517" s="11"/>
      <c r="E1517" s="12"/>
      <c r="F1517" s="12"/>
      <c r="G1517" s="9"/>
      <c r="H1517" s="5"/>
      <c r="I1517" s="5"/>
    </row>
    <row r="1518" spans="3:9" x14ac:dyDescent="0.25">
      <c r="C1518" s="11"/>
      <c r="E1518" s="12"/>
      <c r="F1518" s="12"/>
      <c r="G1518" s="9"/>
      <c r="H1518" s="5"/>
      <c r="I1518" s="5"/>
    </row>
    <row r="1519" spans="3:9" x14ac:dyDescent="0.25">
      <c r="C1519" s="11"/>
      <c r="E1519" s="12"/>
      <c r="F1519" s="12"/>
      <c r="G1519" s="9"/>
      <c r="H1519" s="5"/>
      <c r="I1519" s="5"/>
    </row>
    <row r="1520" spans="3:9" x14ac:dyDescent="0.25">
      <c r="C1520" s="11"/>
      <c r="E1520" s="12"/>
      <c r="F1520" s="12"/>
      <c r="G1520" s="9"/>
      <c r="H1520" s="5"/>
      <c r="I1520" s="5"/>
    </row>
    <row r="1521" spans="3:9" x14ac:dyDescent="0.25">
      <c r="C1521" s="11"/>
      <c r="E1521" s="12"/>
      <c r="F1521" s="12"/>
      <c r="G1521" s="9"/>
      <c r="H1521" s="5"/>
      <c r="I1521" s="5"/>
    </row>
    <row r="1522" spans="3:9" x14ac:dyDescent="0.25">
      <c r="C1522" s="11"/>
      <c r="E1522" s="12"/>
      <c r="F1522" s="12"/>
      <c r="G1522" s="9"/>
      <c r="H1522" s="5"/>
      <c r="I1522" s="5"/>
    </row>
    <row r="1523" spans="3:9" x14ac:dyDescent="0.25">
      <c r="C1523" s="11"/>
      <c r="E1523" s="12"/>
      <c r="F1523" s="12"/>
      <c r="G1523" s="9"/>
      <c r="H1523" s="5"/>
      <c r="I1523" s="5"/>
    </row>
    <row r="1524" spans="3:9" x14ac:dyDescent="0.25">
      <c r="C1524" s="11"/>
      <c r="E1524" s="12"/>
      <c r="F1524" s="12"/>
      <c r="G1524" s="9"/>
      <c r="H1524" s="5"/>
      <c r="I1524" s="5"/>
    </row>
    <row r="1525" spans="3:9" x14ac:dyDescent="0.25">
      <c r="C1525" s="11"/>
      <c r="E1525" s="12"/>
      <c r="F1525" s="12"/>
      <c r="G1525" s="9"/>
      <c r="H1525" s="5"/>
      <c r="I1525" s="5"/>
    </row>
    <row r="1526" spans="3:9" x14ac:dyDescent="0.25">
      <c r="C1526" s="11"/>
      <c r="E1526" s="12"/>
      <c r="F1526" s="12"/>
      <c r="G1526" s="9"/>
      <c r="H1526" s="5"/>
      <c r="I1526" s="5"/>
    </row>
    <row r="1527" spans="3:9" x14ac:dyDescent="0.25">
      <c r="C1527" s="11"/>
      <c r="E1527" s="12"/>
      <c r="F1527" s="12"/>
      <c r="G1527" s="9"/>
      <c r="H1527" s="5"/>
      <c r="I1527" s="5"/>
    </row>
    <row r="1528" spans="3:9" x14ac:dyDescent="0.25">
      <c r="C1528" s="11"/>
      <c r="E1528" s="12"/>
      <c r="F1528" s="12"/>
      <c r="G1528" s="9"/>
      <c r="H1528" s="5"/>
      <c r="I1528" s="5"/>
    </row>
    <row r="1529" spans="3:9" x14ac:dyDescent="0.25">
      <c r="C1529" s="11"/>
      <c r="E1529" s="12"/>
      <c r="F1529" s="12"/>
      <c r="G1529" s="9"/>
      <c r="H1529" s="5"/>
      <c r="I1529" s="5"/>
    </row>
    <row r="1530" spans="3:9" x14ac:dyDescent="0.25">
      <c r="C1530" s="11"/>
      <c r="E1530" s="12"/>
      <c r="F1530" s="12"/>
      <c r="G1530" s="9"/>
      <c r="H1530" s="5"/>
      <c r="I1530" s="5"/>
    </row>
    <row r="1531" spans="3:9" x14ac:dyDescent="0.25">
      <c r="C1531" s="11"/>
      <c r="E1531" s="12"/>
      <c r="F1531" s="12"/>
      <c r="G1531" s="9"/>
      <c r="H1531" s="5"/>
      <c r="I1531" s="5"/>
    </row>
    <row r="1532" spans="3:9" x14ac:dyDescent="0.25">
      <c r="C1532" s="11"/>
      <c r="E1532" s="12"/>
      <c r="F1532" s="12"/>
      <c r="G1532" s="9"/>
      <c r="H1532" s="5"/>
      <c r="I1532" s="5"/>
    </row>
    <row r="1533" spans="3:9" x14ac:dyDescent="0.25">
      <c r="C1533" s="11"/>
      <c r="E1533" s="12"/>
      <c r="F1533" s="12"/>
      <c r="G1533" s="9"/>
      <c r="H1533" s="5"/>
      <c r="I1533" s="5"/>
    </row>
    <row r="1534" spans="3:9" x14ac:dyDescent="0.25">
      <c r="C1534" s="11"/>
      <c r="E1534" s="12"/>
      <c r="F1534" s="12"/>
      <c r="G1534" s="9"/>
      <c r="H1534" s="5"/>
      <c r="I1534" s="5"/>
    </row>
    <row r="1535" spans="3:9" x14ac:dyDescent="0.25">
      <c r="C1535" s="11"/>
      <c r="E1535" s="12"/>
      <c r="F1535" s="12"/>
      <c r="G1535" s="9"/>
      <c r="H1535" s="5"/>
      <c r="I1535" s="5"/>
    </row>
    <row r="1536" spans="3:9" x14ac:dyDescent="0.25">
      <c r="C1536" s="11"/>
      <c r="E1536" s="12"/>
      <c r="F1536" s="12"/>
      <c r="G1536" s="9"/>
      <c r="H1536" s="5"/>
      <c r="I1536" s="5"/>
    </row>
    <row r="1537" spans="3:9" x14ac:dyDescent="0.25">
      <c r="C1537" s="11"/>
      <c r="E1537" s="12"/>
      <c r="F1537" s="12"/>
      <c r="G1537" s="9"/>
      <c r="H1537" s="5"/>
      <c r="I1537" s="5"/>
    </row>
    <row r="1538" spans="3:9" x14ac:dyDescent="0.25">
      <c r="C1538" s="11"/>
      <c r="E1538" s="12"/>
      <c r="F1538" s="12"/>
      <c r="G1538" s="9"/>
      <c r="H1538" s="5"/>
      <c r="I1538" s="5"/>
    </row>
    <row r="1539" spans="3:9" x14ac:dyDescent="0.25">
      <c r="C1539" s="11"/>
      <c r="E1539" s="12"/>
      <c r="F1539" s="12"/>
      <c r="G1539" s="9"/>
      <c r="H1539" s="5"/>
      <c r="I1539" s="5"/>
    </row>
    <row r="1540" spans="3:9" x14ac:dyDescent="0.25">
      <c r="C1540" s="11"/>
      <c r="E1540" s="12"/>
      <c r="F1540" s="12"/>
      <c r="G1540" s="9"/>
      <c r="H1540" s="5"/>
      <c r="I1540" s="5"/>
    </row>
    <row r="1541" spans="3:9" x14ac:dyDescent="0.25">
      <c r="C1541" s="11"/>
      <c r="E1541" s="12"/>
      <c r="F1541" s="12"/>
      <c r="G1541" s="9"/>
      <c r="H1541" s="5"/>
      <c r="I1541" s="5"/>
    </row>
    <row r="1542" spans="3:9" x14ac:dyDescent="0.25">
      <c r="C1542" s="11"/>
      <c r="E1542" s="12"/>
      <c r="F1542" s="12"/>
      <c r="G1542" s="9"/>
      <c r="H1542" s="5"/>
      <c r="I1542" s="5"/>
    </row>
    <row r="1543" spans="3:9" x14ac:dyDescent="0.25">
      <c r="C1543" s="11"/>
      <c r="E1543" s="12"/>
      <c r="F1543" s="12"/>
      <c r="G1543" s="9"/>
      <c r="H1543" s="5"/>
      <c r="I1543" s="5"/>
    </row>
    <row r="1544" spans="3:9" x14ac:dyDescent="0.25">
      <c r="C1544" s="11"/>
      <c r="E1544" s="12"/>
      <c r="F1544" s="12"/>
      <c r="G1544" s="9"/>
      <c r="H1544" s="5"/>
      <c r="I1544" s="5"/>
    </row>
    <row r="1545" spans="3:9" x14ac:dyDescent="0.25">
      <c r="C1545" s="11"/>
      <c r="E1545" s="12"/>
      <c r="F1545" s="12"/>
      <c r="G1545" s="9"/>
      <c r="H1545" s="5"/>
      <c r="I1545" s="5"/>
    </row>
    <row r="1546" spans="3:9" x14ac:dyDescent="0.25">
      <c r="C1546" s="11"/>
      <c r="E1546" s="12"/>
      <c r="F1546" s="12"/>
      <c r="G1546" s="9"/>
      <c r="H1546" s="5"/>
      <c r="I1546" s="5"/>
    </row>
    <row r="1547" spans="3:9" x14ac:dyDescent="0.25">
      <c r="C1547" s="11"/>
      <c r="E1547" s="12"/>
      <c r="F1547" s="12"/>
      <c r="G1547" s="9"/>
      <c r="H1547" s="5"/>
      <c r="I1547" s="5"/>
    </row>
    <row r="1548" spans="3:9" x14ac:dyDescent="0.25">
      <c r="C1548" s="11"/>
      <c r="E1548" s="12"/>
      <c r="F1548" s="12"/>
      <c r="G1548" s="9"/>
      <c r="H1548" s="5"/>
      <c r="I1548" s="5"/>
    </row>
    <row r="1549" spans="3:9" x14ac:dyDescent="0.25">
      <c r="C1549" s="11"/>
      <c r="E1549" s="12"/>
      <c r="F1549" s="12"/>
      <c r="G1549" s="9"/>
      <c r="H1549" s="5"/>
      <c r="I1549" s="5"/>
    </row>
    <row r="1550" spans="3:9" x14ac:dyDescent="0.25">
      <c r="C1550" s="11"/>
      <c r="E1550" s="12"/>
      <c r="F1550" s="12"/>
      <c r="G1550" s="9"/>
      <c r="H1550" s="5"/>
      <c r="I1550" s="5"/>
    </row>
    <row r="1551" spans="3:9" x14ac:dyDescent="0.25">
      <c r="C1551" s="11"/>
      <c r="E1551" s="12"/>
      <c r="F1551" s="12"/>
      <c r="G1551" s="9"/>
      <c r="H1551" s="5"/>
      <c r="I1551" s="5"/>
    </row>
    <row r="1552" spans="3:9" x14ac:dyDescent="0.25">
      <c r="C1552" s="11"/>
      <c r="E1552" s="12"/>
      <c r="F1552" s="12"/>
      <c r="G1552" s="9"/>
      <c r="H1552" s="5"/>
      <c r="I1552" s="5"/>
    </row>
    <row r="1553" spans="3:9" x14ac:dyDescent="0.25">
      <c r="C1553" s="11"/>
      <c r="E1553" s="12"/>
      <c r="F1553" s="12"/>
      <c r="G1553" s="9"/>
      <c r="H1553" s="5"/>
      <c r="I1553" s="5"/>
    </row>
    <row r="1554" spans="3:9" x14ac:dyDescent="0.25">
      <c r="C1554" s="11"/>
      <c r="E1554" s="12"/>
      <c r="F1554" s="12"/>
      <c r="G1554" s="9"/>
      <c r="H1554" s="5"/>
      <c r="I1554" s="5"/>
    </row>
    <row r="1555" spans="3:9" x14ac:dyDescent="0.25">
      <c r="C1555" s="11"/>
      <c r="E1555" s="12"/>
      <c r="F1555" s="12"/>
      <c r="G1555" s="9"/>
      <c r="H1555" s="5"/>
      <c r="I1555" s="5"/>
    </row>
    <row r="1556" spans="3:9" x14ac:dyDescent="0.25">
      <c r="C1556" s="11"/>
      <c r="E1556" s="12"/>
      <c r="F1556" s="12"/>
      <c r="G1556" s="9"/>
      <c r="H1556" s="5"/>
      <c r="I1556" s="5"/>
    </row>
    <row r="1557" spans="3:9" x14ac:dyDescent="0.25">
      <c r="C1557" s="11"/>
      <c r="E1557" s="12"/>
      <c r="F1557" s="12"/>
      <c r="G1557" s="9"/>
      <c r="H1557" s="5"/>
      <c r="I1557" s="5"/>
    </row>
    <row r="1558" spans="3:9" x14ac:dyDescent="0.25">
      <c r="C1558" s="11"/>
      <c r="E1558" s="12"/>
      <c r="F1558" s="12"/>
      <c r="G1558" s="9"/>
      <c r="H1558" s="5"/>
      <c r="I1558" s="5"/>
    </row>
    <row r="1559" spans="3:9" x14ac:dyDescent="0.25">
      <c r="C1559" s="11"/>
      <c r="E1559" s="12"/>
      <c r="F1559" s="12"/>
      <c r="G1559" s="9"/>
      <c r="H1559" s="5"/>
      <c r="I1559" s="5"/>
    </row>
    <row r="1560" spans="3:9" x14ac:dyDescent="0.25">
      <c r="C1560" s="11"/>
      <c r="E1560" s="12"/>
      <c r="F1560" s="12"/>
      <c r="G1560" s="9"/>
      <c r="H1560" s="5"/>
      <c r="I1560" s="5"/>
    </row>
    <row r="1561" spans="3:9" x14ac:dyDescent="0.25">
      <c r="C1561" s="11"/>
      <c r="E1561" s="12"/>
      <c r="F1561" s="12"/>
      <c r="G1561" s="9"/>
      <c r="H1561" s="5"/>
      <c r="I1561" s="5"/>
    </row>
    <row r="1562" spans="3:9" x14ac:dyDescent="0.25">
      <c r="C1562" s="11"/>
      <c r="E1562" s="12"/>
      <c r="F1562" s="12"/>
      <c r="G1562" s="9"/>
      <c r="H1562" s="5"/>
      <c r="I1562" s="5"/>
    </row>
    <row r="1563" spans="3:9" x14ac:dyDescent="0.25">
      <c r="C1563" s="11"/>
      <c r="E1563" s="12"/>
      <c r="F1563" s="12"/>
      <c r="G1563" s="9"/>
      <c r="H1563" s="5"/>
      <c r="I1563" s="5"/>
    </row>
    <row r="1564" spans="3:9" x14ac:dyDescent="0.25">
      <c r="C1564" s="11"/>
      <c r="E1564" s="12"/>
      <c r="F1564" s="12"/>
      <c r="G1564" s="9"/>
      <c r="H1564" s="5"/>
      <c r="I1564" s="5"/>
    </row>
    <row r="1565" spans="3:9" x14ac:dyDescent="0.25">
      <c r="C1565" s="11"/>
      <c r="E1565" s="12"/>
      <c r="F1565" s="12"/>
      <c r="G1565" s="9"/>
      <c r="H1565" s="5"/>
      <c r="I1565" s="5"/>
    </row>
    <row r="1566" spans="3:9" x14ac:dyDescent="0.25">
      <c r="C1566" s="11"/>
      <c r="E1566" s="12"/>
      <c r="F1566" s="12"/>
      <c r="G1566" s="9"/>
      <c r="H1566" s="5"/>
      <c r="I1566" s="5"/>
    </row>
    <row r="1567" spans="3:9" x14ac:dyDescent="0.25">
      <c r="C1567" s="11"/>
      <c r="E1567" s="12"/>
      <c r="F1567" s="12"/>
      <c r="G1567" s="9"/>
      <c r="H1567" s="5"/>
      <c r="I1567" s="5"/>
    </row>
    <row r="1568" spans="3:9" x14ac:dyDescent="0.25">
      <c r="C1568" s="11"/>
      <c r="E1568" s="12"/>
      <c r="F1568" s="12"/>
      <c r="G1568" s="9"/>
      <c r="H1568" s="5"/>
      <c r="I1568" s="5"/>
    </row>
    <row r="1569" spans="3:9" x14ac:dyDescent="0.25">
      <c r="C1569" s="11"/>
      <c r="E1569" s="12"/>
      <c r="F1569" s="12"/>
      <c r="G1569" s="9"/>
      <c r="H1569" s="5"/>
      <c r="I1569" s="5"/>
    </row>
    <row r="1570" spans="3:9" x14ac:dyDescent="0.25">
      <c r="C1570" s="11"/>
      <c r="E1570" s="12"/>
      <c r="F1570" s="12"/>
      <c r="G1570" s="9"/>
      <c r="H1570" s="5"/>
      <c r="I1570" s="5"/>
    </row>
    <row r="1571" spans="3:9" x14ac:dyDescent="0.25">
      <c r="C1571" s="11"/>
      <c r="E1571" s="12"/>
      <c r="F1571" s="12"/>
      <c r="G1571" s="9"/>
      <c r="H1571" s="5"/>
      <c r="I1571" s="5"/>
    </row>
    <row r="1572" spans="3:9" x14ac:dyDescent="0.25">
      <c r="C1572" s="11"/>
      <c r="E1572" s="12"/>
      <c r="F1572" s="12"/>
      <c r="G1572" s="9"/>
      <c r="H1572" s="5"/>
      <c r="I1572" s="5"/>
    </row>
    <row r="1573" spans="3:9" x14ac:dyDescent="0.25">
      <c r="C1573" s="11"/>
      <c r="E1573" s="12"/>
      <c r="F1573" s="12"/>
      <c r="G1573" s="9"/>
      <c r="H1573" s="5"/>
      <c r="I1573" s="5"/>
    </row>
    <row r="1574" spans="3:9" x14ac:dyDescent="0.25">
      <c r="C1574" s="11"/>
      <c r="E1574" s="12"/>
      <c r="F1574" s="12"/>
      <c r="G1574" s="9"/>
      <c r="H1574" s="5"/>
      <c r="I1574" s="5"/>
    </row>
    <row r="1575" spans="3:9" x14ac:dyDescent="0.25">
      <c r="C1575" s="11"/>
      <c r="E1575" s="12"/>
      <c r="F1575" s="12"/>
      <c r="G1575" s="9"/>
      <c r="H1575" s="5"/>
      <c r="I1575" s="5"/>
    </row>
    <row r="1576" spans="3:9" x14ac:dyDescent="0.25">
      <c r="C1576" s="11"/>
      <c r="E1576" s="12"/>
      <c r="F1576" s="12"/>
      <c r="G1576" s="9"/>
      <c r="H1576" s="5"/>
      <c r="I1576" s="5"/>
    </row>
    <row r="1577" spans="3:9" x14ac:dyDescent="0.25">
      <c r="C1577" s="11"/>
      <c r="E1577" s="12"/>
      <c r="F1577" s="12"/>
      <c r="G1577" s="9"/>
      <c r="H1577" s="5"/>
      <c r="I1577" s="5"/>
    </row>
    <row r="1578" spans="3:9" x14ac:dyDescent="0.25">
      <c r="C1578" s="11"/>
      <c r="E1578" s="12"/>
      <c r="F1578" s="12"/>
      <c r="G1578" s="9"/>
      <c r="H1578" s="5"/>
      <c r="I1578" s="5"/>
    </row>
    <row r="1579" spans="3:9" x14ac:dyDescent="0.25">
      <c r="C1579" s="11"/>
      <c r="E1579" s="12"/>
      <c r="F1579" s="12"/>
      <c r="G1579" s="9"/>
      <c r="H1579" s="5"/>
      <c r="I1579" s="5"/>
    </row>
    <row r="1580" spans="3:9" x14ac:dyDescent="0.25">
      <c r="C1580" s="11"/>
      <c r="E1580" s="12"/>
      <c r="F1580" s="12"/>
      <c r="G1580" s="9"/>
      <c r="H1580" s="5"/>
      <c r="I1580" s="5"/>
    </row>
    <row r="1581" spans="3:9" x14ac:dyDescent="0.25">
      <c r="C1581" s="11"/>
      <c r="E1581" s="12"/>
      <c r="F1581" s="12"/>
      <c r="G1581" s="9"/>
      <c r="H1581" s="5"/>
      <c r="I1581" s="5"/>
    </row>
    <row r="1582" spans="3:9" x14ac:dyDescent="0.25">
      <c r="C1582" s="11"/>
      <c r="E1582" s="12"/>
      <c r="F1582" s="12"/>
      <c r="G1582" s="9"/>
      <c r="H1582" s="5"/>
      <c r="I1582" s="5"/>
    </row>
    <row r="1583" spans="3:9" x14ac:dyDescent="0.25">
      <c r="C1583" s="11"/>
      <c r="E1583" s="12"/>
      <c r="F1583" s="12"/>
      <c r="G1583" s="9"/>
      <c r="H1583" s="5"/>
      <c r="I1583" s="5"/>
    </row>
    <row r="1584" spans="3:9" x14ac:dyDescent="0.25">
      <c r="C1584" s="11"/>
      <c r="E1584" s="12"/>
      <c r="F1584" s="12"/>
      <c r="G1584" s="9"/>
      <c r="H1584" s="5"/>
      <c r="I1584" s="5"/>
    </row>
    <row r="1585" spans="3:9" x14ac:dyDescent="0.25">
      <c r="C1585" s="11"/>
      <c r="E1585" s="12"/>
      <c r="F1585" s="12"/>
      <c r="G1585" s="9"/>
      <c r="H1585" s="5"/>
      <c r="I1585" s="5"/>
    </row>
    <row r="1586" spans="3:9" x14ac:dyDescent="0.25">
      <c r="C1586" s="11"/>
      <c r="E1586" s="12"/>
      <c r="F1586" s="12"/>
      <c r="G1586" s="9"/>
      <c r="H1586" s="5"/>
      <c r="I1586" s="5"/>
    </row>
    <row r="1587" spans="3:9" x14ac:dyDescent="0.25">
      <c r="C1587" s="11"/>
      <c r="E1587" s="12"/>
      <c r="F1587" s="12"/>
      <c r="G1587" s="9"/>
      <c r="H1587" s="5"/>
      <c r="I1587" s="5"/>
    </row>
    <row r="1588" spans="3:9" x14ac:dyDescent="0.25">
      <c r="C1588" s="11"/>
      <c r="E1588" s="12"/>
      <c r="F1588" s="12"/>
      <c r="G1588" s="9"/>
      <c r="H1588" s="5"/>
      <c r="I1588" s="5"/>
    </row>
    <row r="1589" spans="3:9" x14ac:dyDescent="0.25">
      <c r="C1589" s="11"/>
      <c r="E1589" s="12"/>
      <c r="F1589" s="12"/>
      <c r="G1589" s="9"/>
      <c r="H1589" s="5"/>
      <c r="I1589" s="5"/>
    </row>
    <row r="1590" spans="3:9" x14ac:dyDescent="0.25">
      <c r="C1590" s="11"/>
      <c r="E1590" s="12"/>
      <c r="F1590" s="12"/>
      <c r="G1590" s="9"/>
      <c r="H1590" s="5"/>
      <c r="I1590" s="5"/>
    </row>
    <row r="1591" spans="3:9" x14ac:dyDescent="0.25">
      <c r="C1591" s="11"/>
      <c r="E1591" s="12"/>
      <c r="F1591" s="12"/>
      <c r="G1591" s="9"/>
      <c r="H1591" s="5"/>
      <c r="I1591" s="5"/>
    </row>
    <row r="1592" spans="3:9" x14ac:dyDescent="0.25">
      <c r="C1592" s="11"/>
      <c r="E1592" s="12"/>
      <c r="F1592" s="12"/>
      <c r="G1592" s="9"/>
      <c r="H1592" s="5"/>
      <c r="I1592" s="5"/>
    </row>
    <row r="1593" spans="3:9" x14ac:dyDescent="0.25">
      <c r="C1593" s="11"/>
      <c r="E1593" s="12"/>
      <c r="F1593" s="12"/>
      <c r="G1593" s="9"/>
      <c r="H1593" s="5"/>
      <c r="I1593" s="5"/>
    </row>
    <row r="1594" spans="3:9" x14ac:dyDescent="0.25">
      <c r="C1594" s="11"/>
      <c r="E1594" s="12"/>
      <c r="F1594" s="12"/>
      <c r="G1594" s="9"/>
      <c r="H1594" s="5"/>
      <c r="I1594" s="5"/>
    </row>
    <row r="1595" spans="3:9" x14ac:dyDescent="0.25">
      <c r="C1595" s="11"/>
      <c r="E1595" s="12"/>
      <c r="F1595" s="12"/>
      <c r="G1595" s="9"/>
      <c r="H1595" s="5"/>
      <c r="I1595" s="5"/>
    </row>
    <row r="1596" spans="3:9" x14ac:dyDescent="0.25">
      <c r="C1596" s="11"/>
      <c r="E1596" s="12"/>
      <c r="F1596" s="12"/>
      <c r="G1596" s="9"/>
      <c r="H1596" s="5"/>
      <c r="I1596" s="5"/>
    </row>
    <row r="1597" spans="3:9" x14ac:dyDescent="0.25">
      <c r="C1597" s="11"/>
      <c r="E1597" s="12"/>
      <c r="F1597" s="12"/>
      <c r="G1597" s="9"/>
      <c r="H1597" s="5"/>
      <c r="I1597" s="5"/>
    </row>
    <row r="1598" spans="3:9" x14ac:dyDescent="0.25">
      <c r="C1598" s="11"/>
      <c r="E1598" s="12"/>
      <c r="F1598" s="12"/>
      <c r="G1598" s="9"/>
      <c r="H1598" s="5"/>
      <c r="I1598" s="5"/>
    </row>
    <row r="1599" spans="3:9" x14ac:dyDescent="0.25">
      <c r="C1599" s="11"/>
      <c r="E1599" s="12"/>
      <c r="F1599" s="12"/>
      <c r="G1599" s="9"/>
      <c r="H1599" s="5"/>
      <c r="I1599" s="5"/>
    </row>
    <row r="1600" spans="3:9" x14ac:dyDescent="0.25">
      <c r="C1600" s="11"/>
      <c r="E1600" s="12"/>
      <c r="F1600" s="12"/>
      <c r="G1600" s="9"/>
      <c r="H1600" s="5"/>
      <c r="I1600" s="5"/>
    </row>
    <row r="1601" spans="3:9" x14ac:dyDescent="0.25">
      <c r="C1601" s="11"/>
      <c r="E1601" s="12"/>
      <c r="F1601" s="12"/>
      <c r="G1601" s="9"/>
      <c r="H1601" s="5"/>
      <c r="I1601" s="5"/>
    </row>
    <row r="1602" spans="3:9" x14ac:dyDescent="0.25">
      <c r="C1602" s="11"/>
      <c r="E1602" s="12"/>
      <c r="F1602" s="12"/>
      <c r="G1602" s="9"/>
      <c r="H1602" s="5"/>
      <c r="I1602" s="5"/>
    </row>
    <row r="1603" spans="3:9" x14ac:dyDescent="0.25">
      <c r="C1603" s="11"/>
      <c r="E1603" s="12"/>
      <c r="F1603" s="12"/>
      <c r="G1603" s="9"/>
      <c r="H1603" s="5"/>
      <c r="I1603" s="5"/>
    </row>
    <row r="1604" spans="3:9" x14ac:dyDescent="0.25">
      <c r="C1604" s="11"/>
      <c r="E1604" s="12"/>
      <c r="F1604" s="12"/>
      <c r="G1604" s="9"/>
      <c r="H1604" s="5"/>
      <c r="I1604" s="5"/>
    </row>
    <row r="1605" spans="3:9" x14ac:dyDescent="0.25">
      <c r="C1605" s="11"/>
      <c r="E1605" s="12"/>
      <c r="F1605" s="12"/>
      <c r="G1605" s="9"/>
      <c r="H1605" s="5"/>
      <c r="I1605" s="5"/>
    </row>
    <row r="1606" spans="3:9" x14ac:dyDescent="0.25">
      <c r="C1606" s="11"/>
      <c r="E1606" s="12"/>
      <c r="F1606" s="12"/>
      <c r="G1606" s="9"/>
      <c r="H1606" s="5"/>
      <c r="I1606" s="5"/>
    </row>
    <row r="1607" spans="3:9" x14ac:dyDescent="0.25">
      <c r="C1607" s="11"/>
      <c r="E1607" s="12"/>
      <c r="F1607" s="12"/>
      <c r="G1607" s="9"/>
      <c r="H1607" s="5"/>
      <c r="I1607" s="5"/>
    </row>
    <row r="1608" spans="3:9" x14ac:dyDescent="0.25">
      <c r="C1608" s="11"/>
      <c r="E1608" s="12"/>
      <c r="F1608" s="12"/>
      <c r="G1608" s="9"/>
      <c r="H1608" s="5"/>
      <c r="I1608" s="5"/>
    </row>
    <row r="1609" spans="3:9" x14ac:dyDescent="0.25">
      <c r="C1609" s="11"/>
      <c r="E1609" s="12"/>
      <c r="F1609" s="12"/>
      <c r="G1609" s="9"/>
      <c r="H1609" s="5"/>
      <c r="I1609" s="5"/>
    </row>
    <row r="1610" spans="3:9" x14ac:dyDescent="0.25">
      <c r="C1610" s="11"/>
      <c r="E1610" s="12"/>
      <c r="F1610" s="12"/>
      <c r="G1610" s="9"/>
      <c r="H1610" s="5"/>
      <c r="I1610" s="5"/>
    </row>
    <row r="1611" spans="3:9" x14ac:dyDescent="0.25">
      <c r="C1611" s="11"/>
      <c r="E1611" s="12"/>
      <c r="F1611" s="12"/>
      <c r="G1611" s="9"/>
      <c r="H1611" s="5"/>
      <c r="I1611" s="5"/>
    </row>
    <row r="1612" spans="3:9" x14ac:dyDescent="0.25">
      <c r="C1612" s="11"/>
      <c r="E1612" s="12"/>
      <c r="F1612" s="12"/>
      <c r="G1612" s="9"/>
      <c r="H1612" s="5"/>
      <c r="I1612" s="5"/>
    </row>
    <row r="1613" spans="3:9" x14ac:dyDescent="0.25">
      <c r="C1613" s="11"/>
      <c r="E1613" s="12"/>
      <c r="F1613" s="12"/>
      <c r="G1613" s="9"/>
      <c r="H1613" s="5"/>
      <c r="I1613" s="5"/>
    </row>
    <row r="1614" spans="3:9" x14ac:dyDescent="0.25">
      <c r="C1614" s="11"/>
      <c r="E1614" s="12"/>
      <c r="F1614" s="12"/>
      <c r="G1614" s="9"/>
      <c r="H1614" s="5"/>
      <c r="I1614" s="5"/>
    </row>
    <row r="1615" spans="3:9" x14ac:dyDescent="0.25">
      <c r="C1615" s="11"/>
      <c r="E1615" s="12"/>
      <c r="F1615" s="12"/>
      <c r="G1615" s="9"/>
      <c r="H1615" s="5"/>
      <c r="I1615" s="5"/>
    </row>
    <row r="1616" spans="3:9" x14ac:dyDescent="0.25">
      <c r="C1616" s="11"/>
      <c r="E1616" s="12"/>
      <c r="F1616" s="12"/>
      <c r="G1616" s="9"/>
      <c r="H1616" s="5"/>
      <c r="I1616" s="5"/>
    </row>
    <row r="1617" spans="3:9" x14ac:dyDescent="0.25">
      <c r="C1617" s="11"/>
      <c r="E1617" s="12"/>
      <c r="F1617" s="12"/>
      <c r="G1617" s="9"/>
      <c r="H1617" s="5"/>
      <c r="I1617" s="5"/>
    </row>
    <row r="1618" spans="3:9" x14ac:dyDescent="0.25">
      <c r="C1618" s="11"/>
      <c r="E1618" s="12"/>
      <c r="F1618" s="12"/>
      <c r="G1618" s="9"/>
      <c r="H1618" s="5"/>
      <c r="I1618" s="5"/>
    </row>
    <row r="1619" spans="3:9" x14ac:dyDescent="0.25">
      <c r="C1619" s="11"/>
      <c r="E1619" s="12"/>
      <c r="F1619" s="12"/>
      <c r="G1619" s="9"/>
      <c r="H1619" s="5"/>
      <c r="I1619" s="5"/>
    </row>
    <row r="1620" spans="3:9" x14ac:dyDescent="0.25">
      <c r="C1620" s="11"/>
      <c r="E1620" s="12"/>
      <c r="F1620" s="12"/>
      <c r="G1620" s="9"/>
      <c r="H1620" s="5"/>
      <c r="I1620" s="5"/>
    </row>
    <row r="1621" spans="3:9" x14ac:dyDescent="0.25">
      <c r="C1621" s="11"/>
      <c r="E1621" s="12"/>
      <c r="F1621" s="12"/>
      <c r="G1621" s="9"/>
      <c r="H1621" s="5"/>
      <c r="I1621" s="5"/>
    </row>
    <row r="1622" spans="3:9" x14ac:dyDescent="0.25">
      <c r="C1622" s="11"/>
      <c r="E1622" s="12"/>
      <c r="F1622" s="12"/>
      <c r="G1622" s="9"/>
      <c r="H1622" s="5"/>
      <c r="I1622" s="5"/>
    </row>
    <row r="1623" spans="3:9" x14ac:dyDescent="0.25">
      <c r="C1623" s="11"/>
      <c r="E1623" s="12"/>
      <c r="F1623" s="12"/>
      <c r="G1623" s="9"/>
      <c r="H1623" s="5"/>
      <c r="I1623" s="5"/>
    </row>
    <row r="1624" spans="3:9" x14ac:dyDescent="0.25">
      <c r="C1624" s="11"/>
      <c r="E1624" s="12"/>
      <c r="F1624" s="12"/>
      <c r="G1624" s="9"/>
      <c r="H1624" s="5"/>
      <c r="I1624" s="5"/>
    </row>
    <row r="1625" spans="3:9" x14ac:dyDescent="0.25">
      <c r="C1625" s="11"/>
      <c r="E1625" s="12"/>
      <c r="F1625" s="12"/>
      <c r="G1625" s="9"/>
      <c r="H1625" s="5"/>
      <c r="I1625" s="5"/>
    </row>
    <row r="1626" spans="3:9" x14ac:dyDescent="0.25">
      <c r="C1626" s="11"/>
      <c r="E1626" s="12"/>
      <c r="F1626" s="12"/>
      <c r="G1626" s="9"/>
      <c r="H1626" s="5"/>
      <c r="I1626" s="5"/>
    </row>
    <row r="1627" spans="3:9" x14ac:dyDescent="0.25">
      <c r="C1627" s="11"/>
      <c r="E1627" s="12"/>
      <c r="F1627" s="12"/>
      <c r="G1627" s="9"/>
      <c r="H1627" s="5"/>
      <c r="I1627" s="5"/>
    </row>
    <row r="1628" spans="3:9" x14ac:dyDescent="0.25">
      <c r="C1628" s="11"/>
      <c r="E1628" s="12"/>
      <c r="F1628" s="12"/>
      <c r="G1628" s="9"/>
      <c r="H1628" s="5"/>
      <c r="I1628" s="5"/>
    </row>
    <row r="1629" spans="3:9" x14ac:dyDescent="0.25">
      <c r="C1629" s="11"/>
      <c r="E1629" s="12"/>
      <c r="F1629" s="12"/>
      <c r="G1629" s="9"/>
      <c r="H1629" s="5"/>
      <c r="I1629" s="5"/>
    </row>
    <row r="1630" spans="3:9" x14ac:dyDescent="0.25">
      <c r="C1630" s="11"/>
      <c r="E1630" s="12"/>
      <c r="F1630" s="12"/>
      <c r="G1630" s="9"/>
      <c r="H1630" s="5"/>
      <c r="I1630" s="5"/>
    </row>
    <row r="1631" spans="3:9" x14ac:dyDescent="0.25">
      <c r="C1631" s="11"/>
      <c r="E1631" s="12"/>
      <c r="F1631" s="12"/>
      <c r="G1631" s="9"/>
      <c r="H1631" s="5"/>
      <c r="I1631" s="5"/>
    </row>
    <row r="1632" spans="3:9" x14ac:dyDescent="0.25">
      <c r="C1632" s="11"/>
      <c r="E1632" s="12"/>
      <c r="F1632" s="12"/>
      <c r="G1632" s="9"/>
      <c r="H1632" s="5"/>
      <c r="I1632" s="5"/>
    </row>
    <row r="1633" spans="3:9" x14ac:dyDescent="0.25">
      <c r="C1633" s="11"/>
      <c r="E1633" s="12"/>
      <c r="F1633" s="12"/>
      <c r="G1633" s="9"/>
      <c r="H1633" s="5"/>
      <c r="I1633" s="5"/>
    </row>
    <row r="1634" spans="3:9" x14ac:dyDescent="0.25">
      <c r="C1634" s="11"/>
      <c r="E1634" s="12"/>
      <c r="F1634" s="12"/>
      <c r="G1634" s="9"/>
      <c r="H1634" s="5"/>
      <c r="I1634" s="5"/>
    </row>
    <row r="1635" spans="3:9" x14ac:dyDescent="0.25">
      <c r="C1635" s="11"/>
      <c r="E1635" s="12"/>
      <c r="F1635" s="12"/>
      <c r="G1635" s="9"/>
      <c r="H1635" s="5"/>
      <c r="I1635" s="5"/>
    </row>
    <row r="1636" spans="3:9" x14ac:dyDescent="0.25">
      <c r="C1636" s="11"/>
      <c r="E1636" s="12"/>
      <c r="F1636" s="12"/>
      <c r="G1636" s="9"/>
      <c r="H1636" s="5"/>
      <c r="I1636" s="5"/>
    </row>
    <row r="1637" spans="3:9" x14ac:dyDescent="0.25">
      <c r="C1637" s="11"/>
      <c r="E1637" s="12"/>
      <c r="F1637" s="12"/>
      <c r="G1637" s="9"/>
      <c r="H1637" s="5"/>
      <c r="I1637" s="5"/>
    </row>
    <row r="1638" spans="3:9" x14ac:dyDescent="0.25">
      <c r="C1638" s="11"/>
      <c r="E1638" s="12"/>
      <c r="F1638" s="12"/>
      <c r="G1638" s="9"/>
      <c r="H1638" s="5"/>
      <c r="I1638" s="5"/>
    </row>
    <row r="1639" spans="3:9" x14ac:dyDescent="0.25">
      <c r="C1639" s="11"/>
      <c r="E1639" s="12"/>
      <c r="F1639" s="12"/>
      <c r="G1639" s="9"/>
      <c r="H1639" s="5"/>
      <c r="I1639" s="5"/>
    </row>
    <row r="1640" spans="3:9" x14ac:dyDescent="0.25">
      <c r="C1640" s="11"/>
      <c r="E1640" s="12"/>
      <c r="F1640" s="12"/>
      <c r="G1640" s="9"/>
      <c r="H1640" s="5"/>
      <c r="I1640" s="5"/>
    </row>
    <row r="1641" spans="3:9" x14ac:dyDescent="0.25">
      <c r="C1641" s="11"/>
      <c r="E1641" s="12"/>
      <c r="F1641" s="12"/>
      <c r="G1641" s="9"/>
      <c r="H1641" s="5"/>
      <c r="I1641" s="5"/>
    </row>
    <row r="1642" spans="3:9" x14ac:dyDescent="0.25">
      <c r="C1642" s="11"/>
      <c r="E1642" s="12"/>
      <c r="F1642" s="12"/>
      <c r="G1642" s="9"/>
      <c r="H1642" s="5"/>
      <c r="I1642" s="5"/>
    </row>
    <row r="1643" spans="3:9" x14ac:dyDescent="0.25">
      <c r="C1643" s="11"/>
      <c r="E1643" s="12"/>
      <c r="F1643" s="12"/>
      <c r="G1643" s="9"/>
      <c r="H1643" s="5"/>
      <c r="I1643" s="5"/>
    </row>
    <row r="1644" spans="3:9" x14ac:dyDescent="0.25">
      <c r="C1644" s="11"/>
      <c r="E1644" s="12"/>
      <c r="F1644" s="12"/>
      <c r="G1644" s="9"/>
      <c r="H1644" s="5"/>
      <c r="I1644" s="5"/>
    </row>
    <row r="1645" spans="3:9" x14ac:dyDescent="0.25">
      <c r="C1645" s="11"/>
      <c r="E1645" s="12"/>
      <c r="F1645" s="12"/>
      <c r="G1645" s="9"/>
      <c r="H1645" s="5"/>
      <c r="I1645" s="5"/>
    </row>
    <row r="1646" spans="3:9" x14ac:dyDescent="0.25">
      <c r="C1646" s="11"/>
      <c r="E1646" s="12"/>
      <c r="F1646" s="12"/>
      <c r="G1646" s="9"/>
      <c r="H1646" s="5"/>
      <c r="I1646" s="5"/>
    </row>
    <row r="1647" spans="3:9" x14ac:dyDescent="0.25">
      <c r="C1647" s="11"/>
      <c r="E1647" s="12"/>
      <c r="F1647" s="12"/>
      <c r="G1647" s="9"/>
      <c r="H1647" s="5"/>
      <c r="I1647" s="5"/>
    </row>
    <row r="1648" spans="3:9" x14ac:dyDescent="0.25">
      <c r="C1648" s="11"/>
      <c r="E1648" s="12"/>
      <c r="F1648" s="12"/>
      <c r="G1648" s="9"/>
      <c r="H1648" s="5"/>
      <c r="I1648" s="5"/>
    </row>
    <row r="1649" spans="3:9" x14ac:dyDescent="0.25">
      <c r="C1649" s="11"/>
      <c r="E1649" s="12"/>
      <c r="F1649" s="12"/>
      <c r="G1649" s="9"/>
      <c r="H1649" s="5"/>
      <c r="I1649" s="5"/>
    </row>
    <row r="1650" spans="3:9" x14ac:dyDescent="0.25">
      <c r="C1650" s="11"/>
      <c r="E1650" s="12"/>
      <c r="F1650" s="12"/>
      <c r="G1650" s="9"/>
      <c r="H1650" s="5"/>
      <c r="I1650" s="5"/>
    </row>
    <row r="1651" spans="3:9" x14ac:dyDescent="0.25">
      <c r="C1651" s="11"/>
      <c r="E1651" s="12"/>
      <c r="F1651" s="12"/>
      <c r="G1651" s="9"/>
      <c r="H1651" s="5"/>
      <c r="I1651" s="5"/>
    </row>
    <row r="1652" spans="3:9" x14ac:dyDescent="0.25">
      <c r="C1652" s="11"/>
      <c r="E1652" s="12"/>
      <c r="F1652" s="12"/>
      <c r="G1652" s="9"/>
      <c r="H1652" s="5"/>
      <c r="I1652" s="5"/>
    </row>
    <row r="1653" spans="3:9" x14ac:dyDescent="0.25">
      <c r="C1653" s="11"/>
      <c r="E1653" s="12"/>
      <c r="F1653" s="12"/>
      <c r="G1653" s="9"/>
      <c r="H1653" s="5"/>
      <c r="I1653" s="5"/>
    </row>
    <row r="1654" spans="3:9" x14ac:dyDescent="0.25">
      <c r="C1654" s="11"/>
      <c r="E1654" s="12"/>
      <c r="F1654" s="12"/>
      <c r="G1654" s="9"/>
      <c r="H1654" s="5"/>
      <c r="I1654" s="5"/>
    </row>
    <row r="1655" spans="3:9" x14ac:dyDescent="0.25">
      <c r="C1655" s="11"/>
      <c r="E1655" s="12"/>
      <c r="F1655" s="12"/>
      <c r="G1655" s="9"/>
      <c r="H1655" s="5"/>
      <c r="I1655" s="5"/>
    </row>
    <row r="1656" spans="3:9" x14ac:dyDescent="0.25">
      <c r="C1656" s="11"/>
      <c r="E1656" s="12"/>
      <c r="F1656" s="12"/>
      <c r="G1656" s="9"/>
      <c r="H1656" s="5"/>
      <c r="I1656" s="5"/>
    </row>
    <row r="1657" spans="3:9" x14ac:dyDescent="0.25">
      <c r="C1657" s="11"/>
      <c r="E1657" s="12"/>
      <c r="F1657" s="12"/>
      <c r="G1657" s="9"/>
      <c r="H1657" s="5"/>
      <c r="I1657" s="5"/>
    </row>
    <row r="1658" spans="3:9" x14ac:dyDescent="0.25">
      <c r="C1658" s="11"/>
      <c r="E1658" s="12"/>
      <c r="F1658" s="12"/>
      <c r="G1658" s="9"/>
      <c r="H1658" s="5"/>
      <c r="I1658" s="5"/>
    </row>
    <row r="1659" spans="3:9" x14ac:dyDescent="0.25">
      <c r="C1659" s="11"/>
      <c r="E1659" s="12"/>
      <c r="F1659" s="12"/>
      <c r="G1659" s="9"/>
      <c r="H1659" s="5"/>
      <c r="I1659" s="5"/>
    </row>
    <row r="1660" spans="3:9" x14ac:dyDescent="0.25">
      <c r="C1660" s="11"/>
      <c r="E1660" s="12"/>
      <c r="F1660" s="12"/>
      <c r="G1660" s="9"/>
      <c r="H1660" s="5"/>
      <c r="I1660" s="5"/>
    </row>
    <row r="1661" spans="3:9" x14ac:dyDescent="0.25">
      <c r="C1661" s="11"/>
      <c r="E1661" s="12"/>
      <c r="F1661" s="12"/>
      <c r="G1661" s="9"/>
      <c r="H1661" s="5"/>
      <c r="I1661" s="5"/>
    </row>
    <row r="1662" spans="3:9" x14ac:dyDescent="0.25">
      <c r="C1662" s="11"/>
      <c r="E1662" s="12"/>
      <c r="F1662" s="12"/>
      <c r="G1662" s="9"/>
      <c r="H1662" s="5"/>
      <c r="I1662" s="5"/>
    </row>
    <row r="1663" spans="3:9" x14ac:dyDescent="0.25">
      <c r="C1663" s="11"/>
      <c r="E1663" s="12"/>
      <c r="F1663" s="12"/>
      <c r="G1663" s="9"/>
      <c r="H1663" s="5"/>
      <c r="I1663" s="5"/>
    </row>
    <row r="1664" spans="3:9" x14ac:dyDescent="0.25">
      <c r="C1664" s="11"/>
      <c r="E1664" s="12"/>
      <c r="F1664" s="12"/>
      <c r="G1664" s="9"/>
      <c r="H1664" s="5"/>
      <c r="I1664" s="5"/>
    </row>
    <row r="1665" spans="3:9" x14ac:dyDescent="0.25">
      <c r="C1665" s="11"/>
      <c r="E1665" s="12"/>
      <c r="F1665" s="12"/>
      <c r="G1665" s="9"/>
      <c r="H1665" s="5"/>
      <c r="I1665" s="5"/>
    </row>
    <row r="1666" spans="3:9" x14ac:dyDescent="0.25">
      <c r="C1666" s="11"/>
      <c r="E1666" s="12"/>
      <c r="F1666" s="12"/>
      <c r="G1666" s="9"/>
      <c r="H1666" s="5"/>
      <c r="I1666" s="5"/>
    </row>
    <row r="1667" spans="3:9" x14ac:dyDescent="0.25">
      <c r="C1667" s="11"/>
      <c r="E1667" s="12"/>
      <c r="F1667" s="12"/>
      <c r="G1667" s="9"/>
      <c r="H1667" s="5"/>
      <c r="I1667" s="5"/>
    </row>
    <row r="1668" spans="3:9" x14ac:dyDescent="0.25">
      <c r="C1668" s="11"/>
      <c r="E1668" s="12"/>
      <c r="F1668" s="12"/>
      <c r="G1668" s="9"/>
      <c r="H1668" s="5"/>
      <c r="I1668" s="5"/>
    </row>
    <row r="1669" spans="3:9" x14ac:dyDescent="0.25">
      <c r="C1669" s="11"/>
      <c r="E1669" s="12"/>
      <c r="F1669" s="12"/>
      <c r="G1669" s="9"/>
      <c r="H1669" s="5"/>
      <c r="I1669" s="5"/>
    </row>
    <row r="1670" spans="3:9" x14ac:dyDescent="0.25">
      <c r="C1670" s="11"/>
      <c r="E1670" s="12"/>
      <c r="F1670" s="12"/>
      <c r="G1670" s="9"/>
      <c r="H1670" s="5"/>
      <c r="I1670" s="5"/>
    </row>
    <row r="1671" spans="3:9" x14ac:dyDescent="0.25">
      <c r="C1671" s="11"/>
      <c r="E1671" s="12"/>
      <c r="F1671" s="12"/>
      <c r="G1671" s="9"/>
      <c r="H1671" s="5"/>
      <c r="I1671" s="5"/>
    </row>
    <row r="1672" spans="3:9" x14ac:dyDescent="0.25">
      <c r="C1672" s="11"/>
      <c r="E1672" s="12"/>
      <c r="F1672" s="12"/>
      <c r="G1672" s="9"/>
      <c r="H1672" s="5"/>
      <c r="I1672" s="5"/>
    </row>
    <row r="1673" spans="3:9" x14ac:dyDescent="0.25">
      <c r="C1673" s="11"/>
      <c r="E1673" s="12"/>
      <c r="F1673" s="12"/>
      <c r="G1673" s="9"/>
      <c r="H1673" s="5"/>
      <c r="I1673" s="5"/>
    </row>
    <row r="1674" spans="3:9" x14ac:dyDescent="0.25">
      <c r="C1674" s="11"/>
      <c r="E1674" s="12"/>
      <c r="F1674" s="12"/>
      <c r="G1674" s="9"/>
      <c r="H1674" s="5"/>
      <c r="I1674" s="5"/>
    </row>
    <row r="1675" spans="3:9" x14ac:dyDescent="0.25">
      <c r="C1675" s="11"/>
      <c r="E1675" s="12"/>
      <c r="F1675" s="12"/>
      <c r="G1675" s="9"/>
      <c r="H1675" s="5"/>
      <c r="I1675" s="5"/>
    </row>
    <row r="1676" spans="3:9" x14ac:dyDescent="0.25">
      <c r="C1676" s="11"/>
      <c r="E1676" s="12"/>
      <c r="F1676" s="12"/>
      <c r="G1676" s="9"/>
      <c r="H1676" s="5"/>
      <c r="I1676" s="5"/>
    </row>
    <row r="1677" spans="3:9" x14ac:dyDescent="0.25">
      <c r="C1677" s="11"/>
      <c r="E1677" s="12"/>
      <c r="F1677" s="12"/>
      <c r="G1677" s="9"/>
      <c r="H1677" s="5"/>
      <c r="I1677" s="5"/>
    </row>
    <row r="1678" spans="3:9" x14ac:dyDescent="0.25">
      <c r="C1678" s="11"/>
      <c r="E1678" s="12"/>
      <c r="F1678" s="12"/>
      <c r="G1678" s="9"/>
      <c r="H1678" s="5"/>
      <c r="I1678" s="5"/>
    </row>
    <row r="1679" spans="3:9" x14ac:dyDescent="0.25">
      <c r="C1679" s="11"/>
      <c r="E1679" s="12"/>
      <c r="F1679" s="12"/>
      <c r="G1679" s="9"/>
      <c r="H1679" s="5"/>
      <c r="I1679" s="5"/>
    </row>
    <row r="1680" spans="3:9" x14ac:dyDescent="0.25">
      <c r="C1680" s="11"/>
      <c r="E1680" s="12"/>
      <c r="F1680" s="12"/>
      <c r="G1680" s="9"/>
      <c r="H1680" s="5"/>
      <c r="I1680" s="5"/>
    </row>
    <row r="1681" spans="3:9" x14ac:dyDescent="0.25">
      <c r="C1681" s="11"/>
      <c r="E1681" s="12"/>
      <c r="F1681" s="12"/>
      <c r="G1681" s="9"/>
      <c r="H1681" s="5"/>
      <c r="I1681" s="5"/>
    </row>
    <row r="1682" spans="3:9" x14ac:dyDescent="0.25">
      <c r="C1682" s="11"/>
      <c r="E1682" s="12"/>
      <c r="F1682" s="12"/>
      <c r="G1682" s="9"/>
      <c r="H1682" s="5"/>
      <c r="I1682" s="5"/>
    </row>
    <row r="1683" spans="3:9" x14ac:dyDescent="0.25">
      <c r="C1683" s="11"/>
      <c r="E1683" s="12"/>
      <c r="F1683" s="12"/>
      <c r="G1683" s="9"/>
      <c r="H1683" s="5"/>
      <c r="I1683" s="5"/>
    </row>
    <row r="1684" spans="3:9" x14ac:dyDescent="0.25">
      <c r="C1684" s="11"/>
      <c r="E1684" s="12"/>
      <c r="F1684" s="12"/>
      <c r="G1684" s="9"/>
      <c r="H1684" s="5"/>
      <c r="I1684" s="5"/>
    </row>
    <row r="1685" spans="3:9" x14ac:dyDescent="0.25">
      <c r="C1685" s="11"/>
      <c r="E1685" s="12"/>
      <c r="F1685" s="12"/>
      <c r="G1685" s="9"/>
      <c r="H1685" s="5"/>
      <c r="I1685" s="5"/>
    </row>
    <row r="1686" spans="3:9" x14ac:dyDescent="0.25">
      <c r="C1686" s="11"/>
      <c r="E1686" s="12"/>
      <c r="F1686" s="12"/>
      <c r="G1686" s="9"/>
      <c r="H1686" s="5"/>
      <c r="I1686" s="5"/>
    </row>
    <row r="1687" spans="3:9" x14ac:dyDescent="0.25">
      <c r="C1687" s="11"/>
      <c r="E1687" s="12"/>
      <c r="F1687" s="12"/>
      <c r="G1687" s="9"/>
      <c r="H1687" s="5"/>
      <c r="I1687" s="5"/>
    </row>
    <row r="1688" spans="3:9" x14ac:dyDescent="0.25">
      <c r="C1688" s="11"/>
      <c r="E1688" s="12"/>
      <c r="F1688" s="12"/>
      <c r="G1688" s="9"/>
      <c r="H1688" s="5"/>
      <c r="I1688" s="5"/>
    </row>
    <row r="1689" spans="3:9" x14ac:dyDescent="0.25">
      <c r="C1689" s="11"/>
      <c r="E1689" s="12"/>
      <c r="F1689" s="12"/>
      <c r="G1689" s="9"/>
      <c r="H1689" s="5"/>
      <c r="I1689" s="5"/>
    </row>
    <row r="1690" spans="3:9" x14ac:dyDescent="0.25">
      <c r="C1690" s="11"/>
      <c r="E1690" s="12"/>
      <c r="F1690" s="12"/>
      <c r="G1690" s="9"/>
      <c r="H1690" s="5"/>
      <c r="I1690" s="5"/>
    </row>
    <row r="1691" spans="3:9" x14ac:dyDescent="0.25">
      <c r="C1691" s="11"/>
      <c r="E1691" s="12"/>
      <c r="F1691" s="12"/>
      <c r="G1691" s="9"/>
      <c r="H1691" s="5"/>
      <c r="I1691" s="5"/>
    </row>
    <row r="1692" spans="3:9" x14ac:dyDescent="0.25">
      <c r="C1692" s="11"/>
      <c r="E1692" s="12"/>
      <c r="F1692" s="12"/>
      <c r="G1692" s="9"/>
      <c r="H1692" s="5"/>
      <c r="I1692" s="5"/>
    </row>
    <row r="1693" spans="3:9" x14ac:dyDescent="0.25">
      <c r="C1693" s="11"/>
      <c r="E1693" s="12"/>
      <c r="F1693" s="12"/>
      <c r="G1693" s="9"/>
      <c r="H1693" s="5"/>
      <c r="I1693" s="5"/>
    </row>
    <row r="1694" spans="3:9" x14ac:dyDescent="0.25">
      <c r="C1694" s="11"/>
      <c r="E1694" s="12"/>
      <c r="F1694" s="12"/>
      <c r="G1694" s="9"/>
      <c r="H1694" s="5"/>
      <c r="I1694" s="5"/>
    </row>
    <row r="1695" spans="3:9" x14ac:dyDescent="0.25">
      <c r="C1695" s="11"/>
      <c r="E1695" s="12"/>
      <c r="F1695" s="12"/>
      <c r="G1695" s="9"/>
      <c r="H1695" s="5"/>
      <c r="I1695" s="5"/>
    </row>
    <row r="1696" spans="3:9" x14ac:dyDescent="0.25">
      <c r="C1696" s="11"/>
      <c r="E1696" s="12"/>
      <c r="F1696" s="12"/>
      <c r="G1696" s="9"/>
      <c r="H1696" s="5"/>
      <c r="I1696" s="5"/>
    </row>
    <row r="1697" spans="3:9" x14ac:dyDescent="0.25">
      <c r="C1697" s="11"/>
      <c r="E1697" s="12"/>
      <c r="F1697" s="12"/>
      <c r="G1697" s="9"/>
      <c r="H1697" s="5"/>
      <c r="I1697" s="5"/>
    </row>
    <row r="1698" spans="3:9" x14ac:dyDescent="0.25">
      <c r="C1698" s="11"/>
      <c r="E1698" s="12"/>
      <c r="F1698" s="12"/>
      <c r="G1698" s="9"/>
      <c r="H1698" s="5"/>
      <c r="I1698" s="5"/>
    </row>
    <row r="1699" spans="3:9" x14ac:dyDescent="0.25">
      <c r="C1699" s="11"/>
      <c r="E1699" s="12"/>
      <c r="F1699" s="12"/>
      <c r="G1699" s="9"/>
      <c r="H1699" s="5"/>
      <c r="I1699" s="5"/>
    </row>
    <row r="1700" spans="3:9" x14ac:dyDescent="0.25">
      <c r="C1700" s="11"/>
      <c r="E1700" s="12"/>
      <c r="F1700" s="12"/>
      <c r="G1700" s="9"/>
      <c r="H1700" s="5"/>
      <c r="I1700" s="5"/>
    </row>
    <row r="1701" spans="3:9" x14ac:dyDescent="0.25">
      <c r="C1701" s="11"/>
      <c r="E1701" s="12"/>
      <c r="F1701" s="12"/>
      <c r="G1701" s="9"/>
      <c r="H1701" s="5"/>
      <c r="I1701" s="5"/>
    </row>
    <row r="1702" spans="3:9" x14ac:dyDescent="0.25">
      <c r="C1702" s="11"/>
      <c r="E1702" s="12"/>
      <c r="F1702" s="12"/>
      <c r="G1702" s="9"/>
      <c r="H1702" s="5"/>
      <c r="I1702" s="5"/>
    </row>
    <row r="1703" spans="3:9" x14ac:dyDescent="0.25">
      <c r="C1703" s="11"/>
      <c r="E1703" s="12"/>
      <c r="F1703" s="12"/>
      <c r="G1703" s="9"/>
      <c r="H1703" s="5"/>
      <c r="I1703" s="5"/>
    </row>
    <row r="1704" spans="3:9" x14ac:dyDescent="0.25">
      <c r="C1704" s="11"/>
      <c r="E1704" s="12"/>
      <c r="F1704" s="12"/>
      <c r="G1704" s="9"/>
      <c r="H1704" s="5"/>
      <c r="I1704" s="5"/>
    </row>
    <row r="1705" spans="3:9" x14ac:dyDescent="0.25">
      <c r="C1705" s="11"/>
      <c r="E1705" s="12"/>
      <c r="F1705" s="12"/>
      <c r="G1705" s="9"/>
      <c r="H1705" s="5"/>
      <c r="I1705" s="5"/>
    </row>
    <row r="1706" spans="3:9" x14ac:dyDescent="0.25">
      <c r="C1706" s="11"/>
      <c r="E1706" s="12"/>
      <c r="F1706" s="12"/>
      <c r="G1706" s="9"/>
      <c r="H1706" s="5"/>
      <c r="I1706" s="5"/>
    </row>
    <row r="1707" spans="3:9" x14ac:dyDescent="0.25">
      <c r="C1707" s="11"/>
      <c r="E1707" s="12"/>
      <c r="F1707" s="12"/>
      <c r="G1707" s="9"/>
      <c r="H1707" s="5"/>
      <c r="I1707" s="5"/>
    </row>
    <row r="1708" spans="3:9" x14ac:dyDescent="0.25">
      <c r="C1708" s="11"/>
      <c r="E1708" s="12"/>
      <c r="F1708" s="12"/>
      <c r="G1708" s="9"/>
      <c r="H1708" s="5"/>
      <c r="I1708" s="5"/>
    </row>
    <row r="1709" spans="3:9" x14ac:dyDescent="0.25">
      <c r="C1709" s="11"/>
      <c r="E1709" s="12"/>
      <c r="F1709" s="12"/>
      <c r="G1709" s="9"/>
      <c r="H1709" s="5"/>
      <c r="I1709" s="5"/>
    </row>
    <row r="1710" spans="3:9" x14ac:dyDescent="0.25">
      <c r="C1710" s="11"/>
      <c r="E1710" s="12"/>
      <c r="F1710" s="12"/>
      <c r="G1710" s="9"/>
      <c r="H1710" s="5"/>
      <c r="I1710" s="5"/>
    </row>
    <row r="1711" spans="3:9" x14ac:dyDescent="0.25">
      <c r="C1711" s="11"/>
      <c r="E1711" s="12"/>
      <c r="F1711" s="12"/>
      <c r="G1711" s="9"/>
      <c r="H1711" s="5"/>
      <c r="I1711" s="5"/>
    </row>
    <row r="1712" spans="3:9" x14ac:dyDescent="0.25">
      <c r="C1712" s="11"/>
      <c r="E1712" s="12"/>
      <c r="F1712" s="12"/>
      <c r="G1712" s="9"/>
      <c r="H1712" s="5"/>
      <c r="I1712" s="5"/>
    </row>
    <row r="1713" spans="3:9" x14ac:dyDescent="0.25">
      <c r="C1713" s="11"/>
      <c r="E1713" s="12"/>
      <c r="F1713" s="12"/>
      <c r="G1713" s="9"/>
      <c r="H1713" s="5"/>
      <c r="I1713" s="5"/>
    </row>
    <row r="1714" spans="3:9" x14ac:dyDescent="0.25">
      <c r="C1714" s="11"/>
      <c r="E1714" s="12"/>
      <c r="F1714" s="12"/>
      <c r="G1714" s="9"/>
      <c r="H1714" s="5"/>
      <c r="I1714" s="5"/>
    </row>
    <row r="1715" spans="3:9" x14ac:dyDescent="0.25">
      <c r="C1715" s="11"/>
      <c r="E1715" s="12"/>
      <c r="F1715" s="12"/>
      <c r="G1715" s="9"/>
      <c r="H1715" s="5"/>
      <c r="I1715" s="5"/>
    </row>
    <row r="1716" spans="3:9" x14ac:dyDescent="0.25">
      <c r="C1716" s="11"/>
      <c r="E1716" s="12"/>
      <c r="F1716" s="12"/>
      <c r="G1716" s="9"/>
      <c r="H1716" s="5"/>
      <c r="I1716" s="5"/>
    </row>
    <row r="1717" spans="3:9" x14ac:dyDescent="0.25">
      <c r="C1717" s="11"/>
      <c r="E1717" s="12"/>
      <c r="F1717" s="12"/>
      <c r="G1717" s="9"/>
      <c r="H1717" s="5"/>
      <c r="I1717" s="5"/>
    </row>
    <row r="1718" spans="3:9" x14ac:dyDescent="0.25">
      <c r="C1718" s="11"/>
      <c r="E1718" s="12"/>
      <c r="F1718" s="12"/>
      <c r="G1718" s="9"/>
      <c r="H1718" s="5"/>
      <c r="I1718" s="5"/>
    </row>
    <row r="1719" spans="3:9" x14ac:dyDescent="0.25">
      <c r="C1719" s="11"/>
      <c r="E1719" s="12"/>
      <c r="F1719" s="12"/>
      <c r="G1719" s="9"/>
      <c r="H1719" s="5"/>
      <c r="I1719" s="5"/>
    </row>
    <row r="1720" spans="3:9" x14ac:dyDescent="0.25">
      <c r="C1720" s="11"/>
      <c r="E1720" s="12"/>
      <c r="F1720" s="12"/>
      <c r="G1720" s="9"/>
      <c r="H1720" s="5"/>
      <c r="I1720" s="5"/>
    </row>
    <row r="1721" spans="3:9" x14ac:dyDescent="0.25">
      <c r="C1721" s="11"/>
      <c r="E1721" s="12"/>
      <c r="F1721" s="12"/>
      <c r="G1721" s="9"/>
      <c r="H1721" s="5"/>
      <c r="I1721" s="5"/>
    </row>
    <row r="1722" spans="3:9" x14ac:dyDescent="0.25">
      <c r="C1722" s="11"/>
      <c r="E1722" s="12"/>
      <c r="F1722" s="12"/>
      <c r="G1722" s="9"/>
      <c r="H1722" s="5"/>
      <c r="I1722" s="5"/>
    </row>
    <row r="1723" spans="3:9" x14ac:dyDescent="0.25">
      <c r="C1723" s="11"/>
      <c r="E1723" s="12"/>
      <c r="F1723" s="12"/>
      <c r="G1723" s="9"/>
      <c r="H1723" s="5"/>
      <c r="I1723" s="5"/>
    </row>
    <row r="1724" spans="3:9" x14ac:dyDescent="0.25">
      <c r="C1724" s="11"/>
      <c r="E1724" s="12"/>
      <c r="F1724" s="12"/>
      <c r="G1724" s="9"/>
      <c r="H1724" s="5"/>
      <c r="I1724" s="5"/>
    </row>
    <row r="1725" spans="3:9" x14ac:dyDescent="0.25">
      <c r="C1725" s="11"/>
      <c r="E1725" s="12"/>
      <c r="F1725" s="12"/>
      <c r="G1725" s="9"/>
      <c r="H1725" s="5"/>
      <c r="I1725" s="5"/>
    </row>
    <row r="1726" spans="3:9" x14ac:dyDescent="0.25">
      <c r="C1726" s="11"/>
      <c r="E1726" s="12"/>
      <c r="F1726" s="12"/>
      <c r="G1726" s="9"/>
      <c r="H1726" s="5"/>
      <c r="I1726" s="5"/>
    </row>
    <row r="1727" spans="3:9" x14ac:dyDescent="0.25">
      <c r="C1727" s="11"/>
      <c r="E1727" s="12"/>
      <c r="F1727" s="12"/>
      <c r="G1727" s="9"/>
      <c r="H1727" s="5"/>
      <c r="I1727" s="5"/>
    </row>
    <row r="1728" spans="3:9" x14ac:dyDescent="0.25">
      <c r="C1728" s="11"/>
      <c r="E1728" s="12"/>
      <c r="F1728" s="12"/>
      <c r="G1728" s="9"/>
      <c r="H1728" s="5"/>
      <c r="I1728" s="5"/>
    </row>
    <row r="1729" spans="3:9" x14ac:dyDescent="0.25">
      <c r="C1729" s="11"/>
      <c r="E1729" s="12"/>
      <c r="F1729" s="12"/>
      <c r="G1729" s="9"/>
      <c r="H1729" s="5"/>
      <c r="I1729" s="5"/>
    </row>
    <row r="1730" spans="3:9" x14ac:dyDescent="0.25">
      <c r="C1730" s="11"/>
      <c r="E1730" s="12"/>
      <c r="F1730" s="12"/>
      <c r="G1730" s="9"/>
      <c r="H1730" s="5"/>
      <c r="I1730" s="5"/>
    </row>
    <row r="1731" spans="3:9" x14ac:dyDescent="0.25">
      <c r="C1731" s="11"/>
      <c r="E1731" s="12"/>
      <c r="F1731" s="12"/>
      <c r="G1731" s="9"/>
      <c r="H1731" s="5"/>
      <c r="I1731" s="5"/>
    </row>
    <row r="1732" spans="3:9" x14ac:dyDescent="0.25">
      <c r="C1732" s="11"/>
      <c r="E1732" s="12"/>
      <c r="F1732" s="12"/>
      <c r="G1732" s="9"/>
      <c r="H1732" s="5"/>
      <c r="I1732" s="5"/>
    </row>
    <row r="1733" spans="3:9" x14ac:dyDescent="0.25">
      <c r="C1733" s="11"/>
      <c r="E1733" s="12"/>
      <c r="F1733" s="12"/>
      <c r="G1733" s="9"/>
      <c r="H1733" s="5"/>
      <c r="I1733" s="5"/>
    </row>
    <row r="1734" spans="3:9" x14ac:dyDescent="0.25">
      <c r="C1734" s="11"/>
      <c r="E1734" s="12"/>
      <c r="F1734" s="12"/>
      <c r="G1734" s="9"/>
      <c r="H1734" s="5"/>
      <c r="I1734" s="5"/>
    </row>
    <row r="1735" spans="3:9" x14ac:dyDescent="0.25">
      <c r="C1735" s="11"/>
      <c r="E1735" s="12"/>
      <c r="F1735" s="12"/>
      <c r="G1735" s="9"/>
      <c r="H1735" s="5"/>
      <c r="I1735" s="5"/>
    </row>
    <row r="1736" spans="3:9" x14ac:dyDescent="0.25">
      <c r="C1736" s="11"/>
      <c r="E1736" s="12"/>
      <c r="F1736" s="12"/>
      <c r="G1736" s="9"/>
      <c r="H1736" s="5"/>
      <c r="I1736" s="5"/>
    </row>
    <row r="1737" spans="3:9" x14ac:dyDescent="0.25">
      <c r="C1737" s="11"/>
      <c r="E1737" s="12"/>
      <c r="F1737" s="12"/>
      <c r="G1737" s="9"/>
      <c r="H1737" s="5"/>
      <c r="I1737" s="5"/>
    </row>
    <row r="1738" spans="3:9" x14ac:dyDescent="0.25">
      <c r="C1738" s="11"/>
      <c r="E1738" s="12"/>
      <c r="F1738" s="12"/>
      <c r="G1738" s="9"/>
      <c r="H1738" s="5"/>
      <c r="I1738" s="5"/>
    </row>
    <row r="1739" spans="3:9" x14ac:dyDescent="0.25">
      <c r="C1739" s="11"/>
      <c r="E1739" s="12"/>
      <c r="F1739" s="12"/>
      <c r="G1739" s="9"/>
      <c r="H1739" s="5"/>
      <c r="I1739" s="5"/>
    </row>
    <row r="1740" spans="3:9" x14ac:dyDescent="0.25">
      <c r="C1740" s="11"/>
      <c r="E1740" s="12"/>
      <c r="F1740" s="12"/>
      <c r="G1740" s="9"/>
      <c r="H1740" s="5"/>
      <c r="I1740" s="5"/>
    </row>
    <row r="1741" spans="3:9" x14ac:dyDescent="0.25">
      <c r="C1741" s="11"/>
      <c r="E1741" s="12"/>
      <c r="F1741" s="12"/>
      <c r="G1741" s="9"/>
      <c r="H1741" s="5"/>
      <c r="I1741" s="5"/>
    </row>
    <row r="1742" spans="3:9" x14ac:dyDescent="0.25">
      <c r="C1742" s="11"/>
      <c r="E1742" s="12"/>
      <c r="F1742" s="12"/>
      <c r="G1742" s="9"/>
      <c r="H1742" s="5"/>
      <c r="I1742" s="5"/>
    </row>
    <row r="1743" spans="3:9" x14ac:dyDescent="0.25">
      <c r="C1743" s="11"/>
      <c r="E1743" s="12"/>
      <c r="F1743" s="12"/>
      <c r="G1743" s="9"/>
      <c r="H1743" s="5"/>
      <c r="I1743" s="5"/>
    </row>
    <row r="1744" spans="3:9" x14ac:dyDescent="0.25">
      <c r="C1744" s="11"/>
      <c r="E1744" s="12"/>
      <c r="F1744" s="12"/>
      <c r="G1744" s="9"/>
      <c r="H1744" s="5"/>
      <c r="I1744" s="5"/>
    </row>
    <row r="1745" spans="3:9" x14ac:dyDescent="0.25">
      <c r="C1745" s="11"/>
      <c r="E1745" s="12"/>
      <c r="F1745" s="12"/>
      <c r="G1745" s="9"/>
      <c r="H1745" s="5"/>
      <c r="I1745" s="5"/>
    </row>
    <row r="1746" spans="3:9" x14ac:dyDescent="0.25">
      <c r="C1746" s="11"/>
      <c r="E1746" s="12"/>
      <c r="F1746" s="12"/>
      <c r="G1746" s="9"/>
      <c r="H1746" s="5"/>
      <c r="I1746" s="5"/>
    </row>
    <row r="1747" spans="3:9" x14ac:dyDescent="0.25">
      <c r="C1747" s="11"/>
      <c r="E1747" s="12"/>
      <c r="F1747" s="12"/>
      <c r="G1747" s="9"/>
      <c r="H1747" s="5"/>
      <c r="I1747" s="5"/>
    </row>
    <row r="1748" spans="3:9" x14ac:dyDescent="0.25">
      <c r="C1748" s="11"/>
      <c r="E1748" s="12"/>
      <c r="F1748" s="12"/>
      <c r="G1748" s="9"/>
      <c r="H1748" s="5"/>
      <c r="I1748" s="5"/>
    </row>
    <row r="1749" spans="3:9" x14ac:dyDescent="0.25">
      <c r="C1749" s="11"/>
      <c r="E1749" s="12"/>
      <c r="F1749" s="12"/>
      <c r="G1749" s="9"/>
      <c r="H1749" s="5"/>
      <c r="I1749" s="5"/>
    </row>
    <row r="1750" spans="3:9" x14ac:dyDescent="0.25">
      <c r="C1750" s="11"/>
      <c r="E1750" s="12"/>
      <c r="F1750" s="12"/>
      <c r="G1750" s="9"/>
      <c r="H1750" s="5"/>
      <c r="I1750" s="5"/>
    </row>
    <row r="1751" spans="3:9" x14ac:dyDescent="0.25">
      <c r="C1751" s="11"/>
      <c r="E1751" s="12"/>
      <c r="F1751" s="12"/>
      <c r="G1751" s="9"/>
      <c r="H1751" s="5"/>
      <c r="I1751" s="5"/>
    </row>
    <row r="1752" spans="3:9" x14ac:dyDescent="0.25">
      <c r="C1752" s="11"/>
      <c r="E1752" s="12"/>
      <c r="F1752" s="12"/>
      <c r="G1752" s="9"/>
      <c r="H1752" s="5"/>
      <c r="I1752" s="5"/>
    </row>
    <row r="1753" spans="3:9" x14ac:dyDescent="0.25">
      <c r="C1753" s="11"/>
      <c r="E1753" s="12"/>
      <c r="F1753" s="12"/>
      <c r="G1753" s="9"/>
      <c r="H1753" s="5"/>
      <c r="I1753" s="5"/>
    </row>
    <row r="1754" spans="3:9" x14ac:dyDescent="0.25">
      <c r="C1754" s="11"/>
      <c r="E1754" s="12"/>
      <c r="F1754" s="12"/>
      <c r="G1754" s="9"/>
      <c r="H1754" s="5"/>
      <c r="I1754" s="5"/>
    </row>
    <row r="1755" spans="3:9" x14ac:dyDescent="0.25">
      <c r="C1755" s="11"/>
      <c r="E1755" s="12"/>
      <c r="F1755" s="12"/>
      <c r="G1755" s="9"/>
      <c r="H1755" s="5"/>
      <c r="I1755" s="5"/>
    </row>
    <row r="1756" spans="3:9" x14ac:dyDescent="0.25">
      <c r="C1756" s="11"/>
      <c r="E1756" s="12"/>
      <c r="F1756" s="12"/>
      <c r="G1756" s="9"/>
      <c r="H1756" s="5"/>
      <c r="I1756" s="5"/>
    </row>
    <row r="1757" spans="3:9" x14ac:dyDescent="0.25">
      <c r="C1757" s="11"/>
      <c r="E1757" s="12"/>
      <c r="F1757" s="12"/>
      <c r="G1757" s="9"/>
      <c r="H1757" s="5"/>
      <c r="I1757" s="5"/>
    </row>
    <row r="1758" spans="3:9" x14ac:dyDescent="0.25">
      <c r="C1758" s="11"/>
      <c r="E1758" s="12"/>
      <c r="F1758" s="12"/>
      <c r="G1758" s="9"/>
      <c r="H1758" s="5"/>
      <c r="I1758" s="5"/>
    </row>
    <row r="1759" spans="3:9" x14ac:dyDescent="0.25">
      <c r="C1759" s="11"/>
      <c r="E1759" s="12"/>
      <c r="F1759" s="12"/>
      <c r="G1759" s="9"/>
      <c r="H1759" s="5"/>
      <c r="I1759" s="5"/>
    </row>
    <row r="1760" spans="3:9" x14ac:dyDescent="0.25">
      <c r="C1760" s="11"/>
      <c r="E1760" s="12"/>
      <c r="F1760" s="12"/>
      <c r="G1760" s="9"/>
      <c r="H1760" s="5"/>
      <c r="I1760" s="5"/>
    </row>
    <row r="1761" spans="3:9" x14ac:dyDescent="0.25">
      <c r="C1761" s="11"/>
      <c r="E1761" s="12"/>
      <c r="F1761" s="12"/>
      <c r="G1761" s="9"/>
      <c r="H1761" s="5"/>
      <c r="I1761" s="5"/>
    </row>
    <row r="1762" spans="3:9" x14ac:dyDescent="0.25">
      <c r="C1762" s="11"/>
      <c r="E1762" s="12"/>
      <c r="F1762" s="12"/>
      <c r="G1762" s="9"/>
      <c r="H1762" s="5"/>
      <c r="I1762" s="5"/>
    </row>
    <row r="1763" spans="3:9" x14ac:dyDescent="0.25">
      <c r="C1763" s="11"/>
      <c r="E1763" s="12"/>
      <c r="F1763" s="12"/>
      <c r="G1763" s="9"/>
      <c r="H1763" s="5"/>
      <c r="I1763" s="5"/>
    </row>
    <row r="1764" spans="3:9" x14ac:dyDescent="0.25">
      <c r="C1764" s="11"/>
      <c r="E1764" s="12"/>
      <c r="F1764" s="12"/>
      <c r="G1764" s="9"/>
      <c r="H1764" s="5"/>
      <c r="I1764" s="5"/>
    </row>
    <row r="1765" spans="3:9" x14ac:dyDescent="0.25">
      <c r="C1765" s="11"/>
      <c r="E1765" s="12"/>
      <c r="F1765" s="12"/>
      <c r="G1765" s="9"/>
      <c r="H1765" s="5"/>
      <c r="I1765" s="5"/>
    </row>
    <row r="1766" spans="3:9" x14ac:dyDescent="0.25">
      <c r="C1766" s="11"/>
      <c r="E1766" s="12"/>
      <c r="F1766" s="12"/>
      <c r="G1766" s="9"/>
      <c r="H1766" s="5"/>
      <c r="I1766" s="5"/>
    </row>
    <row r="1767" spans="3:9" x14ac:dyDescent="0.25">
      <c r="C1767" s="11"/>
      <c r="E1767" s="12"/>
      <c r="F1767" s="12"/>
      <c r="G1767" s="9"/>
      <c r="H1767" s="5"/>
      <c r="I1767" s="5"/>
    </row>
    <row r="1768" spans="3:9" x14ac:dyDescent="0.25">
      <c r="C1768" s="11"/>
      <c r="E1768" s="12"/>
      <c r="F1768" s="12"/>
      <c r="G1768" s="9"/>
      <c r="H1768" s="5"/>
      <c r="I1768" s="5"/>
    </row>
    <row r="1769" spans="3:9" x14ac:dyDescent="0.25">
      <c r="C1769" s="11"/>
      <c r="E1769" s="12"/>
      <c r="F1769" s="12"/>
      <c r="G1769" s="9"/>
      <c r="H1769" s="5"/>
      <c r="I1769" s="5"/>
    </row>
    <row r="1770" spans="3:9" x14ac:dyDescent="0.25">
      <c r="C1770" s="11"/>
      <c r="E1770" s="12"/>
      <c r="F1770" s="12"/>
      <c r="G1770" s="9"/>
      <c r="H1770" s="5"/>
      <c r="I1770" s="5"/>
    </row>
    <row r="1771" spans="3:9" x14ac:dyDescent="0.25">
      <c r="C1771" s="11"/>
      <c r="E1771" s="12"/>
      <c r="F1771" s="12"/>
      <c r="G1771" s="9"/>
      <c r="H1771" s="5"/>
      <c r="I1771" s="5"/>
    </row>
    <row r="1772" spans="3:9" x14ac:dyDescent="0.25">
      <c r="C1772" s="11"/>
      <c r="E1772" s="12"/>
      <c r="F1772" s="12"/>
      <c r="G1772" s="9"/>
      <c r="H1772" s="5"/>
      <c r="I1772" s="5"/>
    </row>
    <row r="1773" spans="3:9" x14ac:dyDescent="0.25">
      <c r="C1773" s="11"/>
      <c r="E1773" s="12"/>
      <c r="F1773" s="12"/>
      <c r="G1773" s="9"/>
      <c r="H1773" s="5"/>
      <c r="I1773" s="5"/>
    </row>
    <row r="1774" spans="3:9" x14ac:dyDescent="0.25">
      <c r="C1774" s="11"/>
      <c r="E1774" s="12"/>
      <c r="F1774" s="12"/>
      <c r="G1774" s="9"/>
      <c r="H1774" s="5"/>
      <c r="I1774" s="5"/>
    </row>
    <row r="1775" spans="3:9" x14ac:dyDescent="0.25">
      <c r="C1775" s="11"/>
      <c r="E1775" s="12"/>
      <c r="F1775" s="12"/>
      <c r="G1775" s="9"/>
      <c r="H1775" s="5"/>
      <c r="I1775" s="5"/>
    </row>
    <row r="1776" spans="3:9" x14ac:dyDescent="0.25">
      <c r="C1776" s="11"/>
      <c r="E1776" s="12"/>
      <c r="F1776" s="12"/>
      <c r="G1776" s="9"/>
      <c r="H1776" s="5"/>
      <c r="I1776" s="5"/>
    </row>
    <row r="1777" spans="3:9" x14ac:dyDescent="0.25">
      <c r="C1777" s="11"/>
      <c r="E1777" s="12"/>
      <c r="F1777" s="12"/>
      <c r="G1777" s="9"/>
      <c r="H1777" s="5"/>
      <c r="I1777" s="5"/>
    </row>
    <row r="1778" spans="3:9" x14ac:dyDescent="0.25">
      <c r="C1778" s="11"/>
      <c r="E1778" s="12"/>
      <c r="F1778" s="12"/>
      <c r="G1778" s="9"/>
      <c r="H1778" s="5"/>
      <c r="I1778" s="5"/>
    </row>
    <row r="1779" spans="3:9" x14ac:dyDescent="0.25">
      <c r="C1779" s="11"/>
      <c r="E1779" s="12"/>
      <c r="F1779" s="12"/>
      <c r="G1779" s="9"/>
      <c r="H1779" s="5"/>
      <c r="I1779" s="5"/>
    </row>
    <row r="1780" spans="3:9" x14ac:dyDescent="0.25">
      <c r="C1780" s="11"/>
      <c r="E1780" s="12"/>
      <c r="F1780" s="12"/>
      <c r="G1780" s="9"/>
      <c r="H1780" s="5"/>
      <c r="I1780" s="5"/>
    </row>
    <row r="1781" spans="3:9" x14ac:dyDescent="0.25">
      <c r="C1781" s="11"/>
      <c r="E1781" s="12"/>
      <c r="F1781" s="12"/>
      <c r="G1781" s="9"/>
      <c r="H1781" s="5"/>
      <c r="I1781" s="5"/>
    </row>
    <row r="1782" spans="3:9" x14ac:dyDescent="0.25">
      <c r="C1782" s="11"/>
      <c r="E1782" s="12"/>
      <c r="F1782" s="12"/>
      <c r="G1782" s="9"/>
      <c r="H1782" s="5"/>
      <c r="I1782" s="5"/>
    </row>
    <row r="1783" spans="3:9" x14ac:dyDescent="0.25">
      <c r="C1783" s="11"/>
      <c r="E1783" s="12"/>
      <c r="F1783" s="12"/>
      <c r="G1783" s="9"/>
      <c r="H1783" s="5"/>
      <c r="I1783" s="5"/>
    </row>
    <row r="1784" spans="3:9" x14ac:dyDescent="0.25">
      <c r="C1784" s="11"/>
      <c r="E1784" s="12"/>
      <c r="F1784" s="12"/>
      <c r="G1784" s="9"/>
      <c r="H1784" s="5"/>
      <c r="I1784" s="5"/>
    </row>
    <row r="1785" spans="3:9" x14ac:dyDescent="0.25">
      <c r="C1785" s="11"/>
      <c r="E1785" s="12"/>
      <c r="F1785" s="12"/>
      <c r="G1785" s="9"/>
      <c r="H1785" s="5"/>
      <c r="I1785" s="5"/>
    </row>
    <row r="1786" spans="3:9" x14ac:dyDescent="0.25">
      <c r="C1786" s="11"/>
      <c r="E1786" s="12"/>
      <c r="F1786" s="12"/>
      <c r="G1786" s="9"/>
      <c r="H1786" s="5"/>
      <c r="I1786" s="5"/>
    </row>
    <row r="1787" spans="3:9" x14ac:dyDescent="0.25">
      <c r="C1787" s="11"/>
      <c r="E1787" s="12"/>
      <c r="F1787" s="12"/>
      <c r="G1787" s="9"/>
      <c r="H1787" s="5"/>
      <c r="I1787" s="5"/>
    </row>
    <row r="1788" spans="3:9" x14ac:dyDescent="0.25">
      <c r="C1788" s="11"/>
      <c r="E1788" s="12"/>
      <c r="F1788" s="12"/>
      <c r="G1788" s="9"/>
      <c r="H1788" s="5"/>
      <c r="I1788" s="5"/>
    </row>
    <row r="1789" spans="3:9" x14ac:dyDescent="0.25">
      <c r="C1789" s="11"/>
      <c r="E1789" s="12"/>
      <c r="F1789" s="12"/>
      <c r="G1789" s="9"/>
      <c r="H1789" s="5"/>
      <c r="I1789" s="5"/>
    </row>
    <row r="1790" spans="3:9" x14ac:dyDescent="0.25">
      <c r="C1790" s="11"/>
      <c r="E1790" s="12"/>
      <c r="F1790" s="12"/>
      <c r="G1790" s="9"/>
      <c r="H1790" s="5"/>
      <c r="I1790" s="5"/>
    </row>
    <row r="1791" spans="3:9" x14ac:dyDescent="0.25">
      <c r="C1791" s="11"/>
      <c r="E1791" s="12"/>
      <c r="F1791" s="12"/>
      <c r="G1791" s="9"/>
      <c r="H1791" s="5"/>
      <c r="I1791" s="5"/>
    </row>
    <row r="1792" spans="3:9" x14ac:dyDescent="0.25">
      <c r="C1792" s="11"/>
      <c r="E1792" s="12"/>
      <c r="F1792" s="12"/>
      <c r="G1792" s="9"/>
      <c r="H1792" s="5"/>
      <c r="I1792" s="5"/>
    </row>
    <row r="1793" spans="3:9" x14ac:dyDescent="0.25">
      <c r="C1793" s="11"/>
      <c r="E1793" s="12"/>
      <c r="F1793" s="12"/>
      <c r="G1793" s="9"/>
      <c r="H1793" s="5"/>
      <c r="I1793" s="5"/>
    </row>
    <row r="1794" spans="3:9" x14ac:dyDescent="0.25">
      <c r="C1794" s="11"/>
      <c r="E1794" s="12"/>
      <c r="F1794" s="12"/>
      <c r="G1794" s="9"/>
      <c r="H1794" s="5"/>
      <c r="I1794" s="5"/>
    </row>
    <row r="1795" spans="3:9" x14ac:dyDescent="0.25">
      <c r="C1795" s="11"/>
      <c r="E1795" s="12"/>
      <c r="F1795" s="12"/>
      <c r="G1795" s="9"/>
      <c r="H1795" s="5"/>
      <c r="I1795" s="5"/>
    </row>
    <row r="1796" spans="3:9" x14ac:dyDescent="0.25">
      <c r="C1796" s="11"/>
      <c r="E1796" s="12"/>
      <c r="F1796" s="12"/>
      <c r="G1796" s="9"/>
      <c r="H1796" s="5"/>
      <c r="I1796" s="5"/>
    </row>
    <row r="1797" spans="3:9" x14ac:dyDescent="0.25">
      <c r="C1797" s="11"/>
      <c r="E1797" s="12"/>
      <c r="F1797" s="12"/>
      <c r="G1797" s="9"/>
      <c r="H1797" s="5"/>
      <c r="I1797" s="5"/>
    </row>
    <row r="1798" spans="3:9" x14ac:dyDescent="0.25">
      <c r="C1798" s="11"/>
      <c r="E1798" s="12"/>
      <c r="F1798" s="12"/>
      <c r="G1798" s="9"/>
      <c r="H1798" s="5"/>
      <c r="I1798" s="5"/>
    </row>
    <row r="1799" spans="3:9" x14ac:dyDescent="0.25">
      <c r="C1799" s="11"/>
      <c r="E1799" s="12"/>
      <c r="F1799" s="12"/>
      <c r="G1799" s="9"/>
      <c r="H1799" s="5"/>
      <c r="I1799" s="5"/>
    </row>
    <row r="1800" spans="3:9" x14ac:dyDescent="0.25">
      <c r="C1800" s="11"/>
      <c r="E1800" s="12"/>
      <c r="F1800" s="12"/>
      <c r="G1800" s="9"/>
      <c r="H1800" s="5"/>
      <c r="I1800" s="5"/>
    </row>
    <row r="1801" spans="3:9" x14ac:dyDescent="0.25">
      <c r="C1801" s="11"/>
      <c r="E1801" s="12"/>
      <c r="F1801" s="12"/>
      <c r="G1801" s="9"/>
      <c r="H1801" s="5"/>
      <c r="I1801" s="5"/>
    </row>
    <row r="1802" spans="3:9" x14ac:dyDescent="0.25">
      <c r="C1802" s="11"/>
      <c r="E1802" s="12"/>
      <c r="F1802" s="12"/>
      <c r="G1802" s="9"/>
      <c r="H1802" s="5"/>
      <c r="I1802" s="5"/>
    </row>
    <row r="1803" spans="3:9" x14ac:dyDescent="0.25">
      <c r="C1803" s="11"/>
      <c r="E1803" s="12"/>
      <c r="F1803" s="12"/>
      <c r="G1803" s="9"/>
      <c r="H1803" s="5"/>
      <c r="I1803" s="5"/>
    </row>
    <row r="1804" spans="3:9" x14ac:dyDescent="0.25">
      <c r="C1804" s="11"/>
      <c r="E1804" s="12"/>
      <c r="F1804" s="12"/>
      <c r="G1804" s="9"/>
      <c r="H1804" s="5"/>
      <c r="I1804" s="5"/>
    </row>
    <row r="1805" spans="3:9" x14ac:dyDescent="0.25">
      <c r="C1805" s="11"/>
      <c r="E1805" s="12"/>
      <c r="F1805" s="12"/>
      <c r="G1805" s="9"/>
      <c r="H1805" s="5"/>
      <c r="I1805" s="5"/>
    </row>
    <row r="1806" spans="3:9" x14ac:dyDescent="0.25">
      <c r="C1806" s="11"/>
      <c r="E1806" s="12"/>
      <c r="F1806" s="12"/>
      <c r="G1806" s="9"/>
      <c r="H1806" s="5"/>
      <c r="I1806" s="5"/>
    </row>
    <row r="1807" spans="3:9" x14ac:dyDescent="0.25">
      <c r="C1807" s="11"/>
      <c r="E1807" s="12"/>
      <c r="F1807" s="12"/>
      <c r="G1807" s="9"/>
      <c r="H1807" s="5"/>
      <c r="I1807" s="5"/>
    </row>
    <row r="1808" spans="3:9" x14ac:dyDescent="0.25">
      <c r="C1808" s="11"/>
      <c r="E1808" s="12"/>
      <c r="F1808" s="12"/>
      <c r="G1808" s="9"/>
      <c r="H1808" s="5"/>
      <c r="I1808" s="5"/>
    </row>
    <row r="1809" spans="3:9" x14ac:dyDescent="0.25">
      <c r="C1809" s="11"/>
      <c r="E1809" s="12"/>
      <c r="F1809" s="12"/>
      <c r="G1809" s="9"/>
      <c r="H1809" s="5"/>
      <c r="I1809" s="5"/>
    </row>
    <row r="1810" spans="3:9" x14ac:dyDescent="0.25">
      <c r="C1810" s="11"/>
      <c r="E1810" s="12"/>
      <c r="F1810" s="12"/>
      <c r="G1810" s="9"/>
      <c r="H1810" s="5"/>
      <c r="I1810" s="5"/>
    </row>
    <row r="1811" spans="3:9" x14ac:dyDescent="0.25">
      <c r="C1811" s="11"/>
      <c r="E1811" s="12"/>
      <c r="F1811" s="12"/>
      <c r="G1811" s="9"/>
      <c r="H1811" s="5"/>
      <c r="I1811" s="5"/>
    </row>
    <row r="1812" spans="3:9" x14ac:dyDescent="0.25">
      <c r="C1812" s="11"/>
      <c r="E1812" s="12"/>
      <c r="F1812" s="12"/>
      <c r="G1812" s="9"/>
      <c r="H1812" s="5"/>
      <c r="I1812" s="5"/>
    </row>
    <row r="1813" spans="3:9" x14ac:dyDescent="0.25">
      <c r="C1813" s="11"/>
      <c r="E1813" s="12"/>
      <c r="F1813" s="12"/>
      <c r="G1813" s="9"/>
      <c r="H1813" s="5"/>
      <c r="I1813" s="5"/>
    </row>
    <row r="1814" spans="3:9" x14ac:dyDescent="0.25">
      <c r="C1814" s="11"/>
      <c r="E1814" s="12"/>
      <c r="F1814" s="12"/>
      <c r="G1814" s="9"/>
      <c r="H1814" s="5"/>
      <c r="I1814" s="5"/>
    </row>
    <row r="1815" spans="3:9" x14ac:dyDescent="0.25">
      <c r="C1815" s="11"/>
      <c r="E1815" s="12"/>
      <c r="F1815" s="12"/>
      <c r="G1815" s="9"/>
      <c r="H1815" s="5"/>
      <c r="I1815" s="5"/>
    </row>
    <row r="1816" spans="3:9" x14ac:dyDescent="0.25">
      <c r="C1816" s="11"/>
      <c r="E1816" s="12"/>
      <c r="F1816" s="12"/>
      <c r="G1816" s="9"/>
      <c r="H1816" s="5"/>
      <c r="I1816" s="5"/>
    </row>
    <row r="1817" spans="3:9" x14ac:dyDescent="0.25">
      <c r="C1817" s="11"/>
      <c r="E1817" s="12"/>
      <c r="F1817" s="12"/>
      <c r="G1817" s="9"/>
      <c r="H1817" s="5"/>
      <c r="I1817" s="5"/>
    </row>
    <row r="1818" spans="3:9" x14ac:dyDescent="0.25">
      <c r="C1818" s="11"/>
      <c r="E1818" s="12"/>
      <c r="F1818" s="12"/>
      <c r="G1818" s="9"/>
      <c r="H1818" s="5"/>
      <c r="I1818" s="5"/>
    </row>
    <row r="1819" spans="3:9" x14ac:dyDescent="0.25">
      <c r="C1819" s="11"/>
      <c r="E1819" s="12"/>
      <c r="F1819" s="12"/>
      <c r="G1819" s="9"/>
      <c r="H1819" s="5"/>
      <c r="I1819" s="5"/>
    </row>
    <row r="1820" spans="3:9" x14ac:dyDescent="0.25">
      <c r="C1820" s="11"/>
      <c r="E1820" s="12"/>
      <c r="F1820" s="12"/>
      <c r="G1820" s="9"/>
      <c r="H1820" s="5"/>
      <c r="I1820" s="5"/>
    </row>
    <row r="1821" spans="3:9" x14ac:dyDescent="0.25">
      <c r="C1821" s="11"/>
      <c r="E1821" s="12"/>
      <c r="F1821" s="12"/>
      <c r="G1821" s="9"/>
      <c r="H1821" s="5"/>
      <c r="I1821" s="5"/>
    </row>
    <row r="1822" spans="3:9" x14ac:dyDescent="0.25">
      <c r="C1822" s="11"/>
      <c r="E1822" s="12"/>
      <c r="F1822" s="12"/>
      <c r="G1822" s="9"/>
      <c r="H1822" s="5"/>
      <c r="I1822" s="5"/>
    </row>
    <row r="1823" spans="3:9" x14ac:dyDescent="0.25">
      <c r="C1823" s="11"/>
      <c r="E1823" s="12"/>
      <c r="F1823" s="12"/>
      <c r="G1823" s="9"/>
      <c r="H1823" s="5"/>
      <c r="I1823" s="5"/>
    </row>
    <row r="1824" spans="3:9" x14ac:dyDescent="0.25">
      <c r="C1824" s="11"/>
      <c r="E1824" s="12"/>
      <c r="F1824" s="12"/>
      <c r="G1824" s="9"/>
      <c r="H1824" s="5"/>
      <c r="I1824" s="5"/>
    </row>
    <row r="1825" spans="3:9" x14ac:dyDescent="0.25">
      <c r="C1825" s="11"/>
      <c r="E1825" s="12"/>
      <c r="F1825" s="12"/>
      <c r="G1825" s="9"/>
      <c r="H1825" s="5"/>
      <c r="I1825" s="5"/>
    </row>
    <row r="1826" spans="3:9" x14ac:dyDescent="0.25">
      <c r="C1826" s="11"/>
      <c r="E1826" s="12"/>
      <c r="F1826" s="12"/>
      <c r="G1826" s="9"/>
      <c r="H1826" s="5"/>
      <c r="I1826" s="5"/>
    </row>
    <row r="1827" spans="3:9" x14ac:dyDescent="0.25">
      <c r="C1827" s="11"/>
      <c r="E1827" s="12"/>
      <c r="F1827" s="12"/>
      <c r="G1827" s="9"/>
      <c r="H1827" s="5"/>
      <c r="I1827" s="5"/>
    </row>
    <row r="1828" spans="3:9" x14ac:dyDescent="0.25">
      <c r="C1828" s="11"/>
      <c r="E1828" s="12"/>
      <c r="F1828" s="12"/>
      <c r="G1828" s="9"/>
      <c r="H1828" s="5"/>
      <c r="I1828" s="5"/>
    </row>
    <row r="1829" spans="3:9" x14ac:dyDescent="0.25">
      <c r="C1829" s="11"/>
      <c r="E1829" s="12"/>
      <c r="F1829" s="12"/>
      <c r="G1829" s="9"/>
      <c r="H1829" s="5"/>
      <c r="I1829" s="5"/>
    </row>
    <row r="1830" spans="3:9" x14ac:dyDescent="0.25">
      <c r="C1830" s="11"/>
      <c r="E1830" s="12"/>
      <c r="F1830" s="12"/>
      <c r="G1830" s="9"/>
      <c r="H1830" s="5"/>
      <c r="I1830" s="5"/>
    </row>
    <row r="1831" spans="3:9" x14ac:dyDescent="0.25">
      <c r="C1831" s="11"/>
      <c r="E1831" s="12"/>
      <c r="F1831" s="12"/>
      <c r="G1831" s="9"/>
      <c r="H1831" s="5"/>
      <c r="I1831" s="5"/>
    </row>
    <row r="1832" spans="3:9" x14ac:dyDescent="0.25">
      <c r="C1832" s="11"/>
      <c r="E1832" s="12"/>
      <c r="F1832" s="12"/>
      <c r="G1832" s="9"/>
      <c r="H1832" s="5"/>
      <c r="I1832" s="5"/>
    </row>
    <row r="1833" spans="3:9" x14ac:dyDescent="0.25">
      <c r="C1833" s="11"/>
      <c r="E1833" s="12"/>
      <c r="F1833" s="12"/>
      <c r="G1833" s="9"/>
      <c r="H1833" s="5"/>
      <c r="I1833" s="5"/>
    </row>
    <row r="1834" spans="3:9" x14ac:dyDescent="0.25">
      <c r="C1834" s="11"/>
      <c r="E1834" s="12"/>
      <c r="F1834" s="12"/>
      <c r="G1834" s="9"/>
      <c r="H1834" s="5"/>
      <c r="I1834" s="5"/>
    </row>
    <row r="1835" spans="3:9" x14ac:dyDescent="0.25">
      <c r="C1835" s="11"/>
      <c r="E1835" s="12"/>
      <c r="F1835" s="12"/>
      <c r="G1835" s="9"/>
      <c r="H1835" s="5"/>
      <c r="I1835" s="5"/>
    </row>
    <row r="1836" spans="3:9" x14ac:dyDescent="0.25">
      <c r="C1836" s="11"/>
      <c r="E1836" s="12"/>
      <c r="F1836" s="12"/>
      <c r="G1836" s="9"/>
      <c r="H1836" s="5"/>
      <c r="I1836" s="5"/>
    </row>
    <row r="1837" spans="3:9" x14ac:dyDescent="0.25">
      <c r="C1837" s="11"/>
      <c r="E1837" s="12"/>
      <c r="F1837" s="12"/>
      <c r="G1837" s="9"/>
      <c r="H1837" s="5"/>
      <c r="I1837" s="5"/>
    </row>
    <row r="1838" spans="3:9" x14ac:dyDescent="0.25">
      <c r="C1838" s="11"/>
      <c r="E1838" s="12"/>
      <c r="F1838" s="12"/>
      <c r="G1838" s="9"/>
      <c r="H1838" s="5"/>
      <c r="I1838" s="5"/>
    </row>
    <row r="1839" spans="3:9" x14ac:dyDescent="0.25">
      <c r="C1839" s="11"/>
      <c r="E1839" s="12"/>
      <c r="F1839" s="12"/>
      <c r="G1839" s="9"/>
      <c r="H1839" s="5"/>
      <c r="I1839" s="5"/>
    </row>
    <row r="1840" spans="3:9" x14ac:dyDescent="0.25">
      <c r="C1840" s="11"/>
      <c r="E1840" s="12"/>
      <c r="F1840" s="12"/>
      <c r="G1840" s="9"/>
      <c r="H1840" s="5"/>
      <c r="I1840" s="5"/>
    </row>
    <row r="1841" spans="3:9" x14ac:dyDescent="0.25">
      <c r="C1841" s="11"/>
      <c r="E1841" s="12"/>
      <c r="F1841" s="12"/>
      <c r="G1841" s="9"/>
      <c r="H1841" s="5"/>
      <c r="I1841" s="5"/>
    </row>
    <row r="1842" spans="3:9" x14ac:dyDescent="0.25">
      <c r="C1842" s="11"/>
      <c r="E1842" s="12"/>
      <c r="F1842" s="12"/>
      <c r="G1842" s="9"/>
      <c r="H1842" s="5"/>
      <c r="I1842" s="5"/>
    </row>
    <row r="1843" spans="3:9" x14ac:dyDescent="0.25">
      <c r="C1843" s="11"/>
      <c r="E1843" s="12"/>
      <c r="F1843" s="12"/>
      <c r="G1843" s="9"/>
      <c r="H1843" s="5"/>
      <c r="I1843" s="5"/>
    </row>
    <row r="1844" spans="3:9" x14ac:dyDescent="0.25">
      <c r="C1844" s="11"/>
      <c r="E1844" s="12"/>
      <c r="F1844" s="12"/>
      <c r="G1844" s="9"/>
      <c r="H1844" s="5"/>
      <c r="I1844" s="5"/>
    </row>
    <row r="1845" spans="3:9" x14ac:dyDescent="0.25">
      <c r="C1845" s="11"/>
      <c r="E1845" s="12"/>
      <c r="F1845" s="12"/>
      <c r="G1845" s="9"/>
      <c r="H1845" s="5"/>
      <c r="I1845" s="5"/>
    </row>
    <row r="1846" spans="3:9" x14ac:dyDescent="0.25">
      <c r="C1846" s="11"/>
      <c r="E1846" s="12"/>
      <c r="F1846" s="12"/>
      <c r="G1846" s="9"/>
      <c r="H1846" s="5"/>
      <c r="I1846" s="5"/>
    </row>
    <row r="1847" spans="3:9" x14ac:dyDescent="0.25">
      <c r="C1847" s="11"/>
      <c r="E1847" s="12"/>
      <c r="F1847" s="12"/>
      <c r="G1847" s="9"/>
      <c r="H1847" s="5"/>
      <c r="I1847" s="5"/>
    </row>
    <row r="1848" spans="3:9" x14ac:dyDescent="0.25">
      <c r="C1848" s="11"/>
      <c r="E1848" s="12"/>
      <c r="F1848" s="12"/>
      <c r="G1848" s="9"/>
      <c r="H1848" s="5"/>
      <c r="I1848" s="5"/>
    </row>
    <row r="1849" spans="3:9" x14ac:dyDescent="0.25">
      <c r="C1849" s="11"/>
      <c r="E1849" s="12"/>
      <c r="F1849" s="12"/>
      <c r="G1849" s="9"/>
      <c r="H1849" s="5"/>
      <c r="I1849" s="5"/>
    </row>
    <row r="1850" spans="3:9" x14ac:dyDescent="0.25">
      <c r="C1850" s="11"/>
      <c r="E1850" s="12"/>
      <c r="F1850" s="12"/>
      <c r="G1850" s="9"/>
      <c r="H1850" s="5"/>
      <c r="I1850" s="5"/>
    </row>
    <row r="1851" spans="3:9" x14ac:dyDescent="0.25">
      <c r="C1851" s="11"/>
      <c r="E1851" s="12"/>
      <c r="F1851" s="12"/>
      <c r="G1851" s="9"/>
      <c r="H1851" s="5"/>
      <c r="I1851" s="5"/>
    </row>
    <row r="1852" spans="3:9" x14ac:dyDescent="0.25">
      <c r="C1852" s="11"/>
      <c r="E1852" s="12"/>
      <c r="F1852" s="12"/>
      <c r="G1852" s="9"/>
      <c r="H1852" s="5"/>
      <c r="I1852" s="5"/>
    </row>
    <row r="1853" spans="3:9" x14ac:dyDescent="0.25">
      <c r="C1853" s="11"/>
      <c r="E1853" s="12"/>
      <c r="F1853" s="12"/>
      <c r="G1853" s="9"/>
      <c r="H1853" s="5"/>
      <c r="I1853" s="5"/>
    </row>
    <row r="1854" spans="3:9" x14ac:dyDescent="0.25">
      <c r="C1854" s="11"/>
      <c r="E1854" s="12"/>
      <c r="F1854" s="12"/>
      <c r="G1854" s="9"/>
      <c r="H1854" s="5"/>
      <c r="I1854" s="5"/>
    </row>
    <row r="1855" spans="3:9" x14ac:dyDescent="0.25">
      <c r="C1855" s="11"/>
      <c r="E1855" s="12"/>
      <c r="F1855" s="12"/>
      <c r="G1855" s="9"/>
      <c r="H1855" s="5"/>
      <c r="I1855" s="5"/>
    </row>
    <row r="1856" spans="3:9" x14ac:dyDescent="0.25">
      <c r="C1856" s="11"/>
      <c r="E1856" s="12"/>
      <c r="F1856" s="12"/>
      <c r="G1856" s="9"/>
      <c r="H1856" s="5"/>
      <c r="I1856" s="5"/>
    </row>
    <row r="1857" spans="3:9" x14ac:dyDescent="0.25">
      <c r="C1857" s="11"/>
      <c r="E1857" s="12"/>
      <c r="F1857" s="12"/>
      <c r="G1857" s="9"/>
      <c r="H1857" s="5"/>
      <c r="I1857" s="5"/>
    </row>
    <row r="1858" spans="3:9" x14ac:dyDescent="0.25">
      <c r="C1858" s="11"/>
      <c r="E1858" s="12"/>
      <c r="F1858" s="12"/>
      <c r="G1858" s="9"/>
      <c r="H1858" s="5"/>
      <c r="I1858" s="5"/>
    </row>
    <row r="1859" spans="3:9" x14ac:dyDescent="0.25">
      <c r="C1859" s="11"/>
      <c r="E1859" s="12"/>
      <c r="F1859" s="12"/>
      <c r="G1859" s="9"/>
      <c r="H1859" s="5"/>
      <c r="I1859" s="5"/>
    </row>
    <row r="1860" spans="3:9" x14ac:dyDescent="0.25">
      <c r="C1860" s="11"/>
      <c r="E1860" s="12"/>
      <c r="F1860" s="12"/>
      <c r="G1860" s="9"/>
      <c r="H1860" s="5"/>
      <c r="I1860" s="5"/>
    </row>
    <row r="1861" spans="3:9" x14ac:dyDescent="0.25">
      <c r="C1861" s="11"/>
      <c r="E1861" s="12"/>
      <c r="F1861" s="12"/>
      <c r="G1861" s="9"/>
      <c r="H1861" s="5"/>
      <c r="I1861" s="5"/>
    </row>
    <row r="1862" spans="3:9" x14ac:dyDescent="0.25">
      <c r="C1862" s="11"/>
      <c r="E1862" s="12"/>
      <c r="F1862" s="12"/>
      <c r="G1862" s="9"/>
      <c r="H1862" s="5"/>
      <c r="I1862" s="5"/>
    </row>
    <row r="1863" spans="3:9" x14ac:dyDescent="0.25">
      <c r="C1863" s="11"/>
      <c r="E1863" s="12"/>
      <c r="F1863" s="12"/>
      <c r="G1863" s="9"/>
      <c r="H1863" s="5"/>
      <c r="I1863" s="5"/>
    </row>
    <row r="1864" spans="3:9" x14ac:dyDescent="0.25">
      <c r="C1864" s="11"/>
      <c r="E1864" s="12"/>
      <c r="F1864" s="12"/>
      <c r="G1864" s="9"/>
      <c r="H1864" s="5"/>
      <c r="I1864" s="5"/>
    </row>
    <row r="1865" spans="3:9" x14ac:dyDescent="0.25">
      <c r="C1865" s="11"/>
      <c r="E1865" s="12"/>
      <c r="F1865" s="12"/>
      <c r="G1865" s="9"/>
      <c r="H1865" s="5"/>
      <c r="I1865" s="5"/>
    </row>
    <row r="1866" spans="3:9" x14ac:dyDescent="0.25">
      <c r="C1866" s="11"/>
      <c r="E1866" s="12"/>
      <c r="F1866" s="12"/>
      <c r="G1866" s="9"/>
      <c r="H1866" s="5"/>
      <c r="I1866" s="5"/>
    </row>
    <row r="1867" spans="3:9" x14ac:dyDescent="0.25">
      <c r="C1867" s="11"/>
      <c r="E1867" s="12"/>
      <c r="F1867" s="12"/>
      <c r="G1867" s="9"/>
      <c r="H1867" s="5"/>
      <c r="I1867" s="5"/>
    </row>
    <row r="1868" spans="3:9" x14ac:dyDescent="0.25">
      <c r="C1868" s="11"/>
      <c r="E1868" s="12"/>
      <c r="F1868" s="12"/>
      <c r="G1868" s="9"/>
      <c r="H1868" s="5"/>
      <c r="I1868" s="5"/>
    </row>
    <row r="1869" spans="3:9" x14ac:dyDescent="0.25">
      <c r="C1869" s="11"/>
      <c r="E1869" s="12"/>
      <c r="F1869" s="12"/>
      <c r="G1869" s="9"/>
      <c r="H1869" s="5"/>
      <c r="I1869" s="5"/>
    </row>
    <row r="1870" spans="3:9" x14ac:dyDescent="0.25">
      <c r="C1870" s="11"/>
      <c r="E1870" s="12"/>
      <c r="F1870" s="12"/>
      <c r="G1870" s="9"/>
      <c r="H1870" s="5"/>
      <c r="I1870" s="5"/>
    </row>
    <row r="1871" spans="3:9" x14ac:dyDescent="0.25">
      <c r="C1871" s="11"/>
      <c r="E1871" s="12"/>
      <c r="F1871" s="12"/>
      <c r="G1871" s="9"/>
      <c r="H1871" s="5"/>
      <c r="I1871" s="5"/>
    </row>
    <row r="1872" spans="3:9" x14ac:dyDescent="0.25">
      <c r="C1872" s="11"/>
      <c r="E1872" s="12"/>
      <c r="F1872" s="12"/>
      <c r="G1872" s="9"/>
      <c r="H1872" s="5"/>
      <c r="I1872" s="5"/>
    </row>
    <row r="1873" spans="3:9" x14ac:dyDescent="0.25">
      <c r="C1873" s="11"/>
      <c r="E1873" s="12"/>
      <c r="F1873" s="12"/>
      <c r="G1873" s="9"/>
      <c r="H1873" s="5"/>
      <c r="I1873" s="5"/>
    </row>
    <row r="1874" spans="3:9" x14ac:dyDescent="0.25">
      <c r="C1874" s="11"/>
      <c r="E1874" s="12"/>
      <c r="F1874" s="12"/>
      <c r="G1874" s="9"/>
      <c r="H1874" s="5"/>
      <c r="I1874" s="5"/>
    </row>
    <row r="1875" spans="3:9" x14ac:dyDescent="0.25">
      <c r="C1875" s="11"/>
      <c r="E1875" s="12"/>
      <c r="F1875" s="12"/>
      <c r="G1875" s="9"/>
      <c r="H1875" s="5"/>
      <c r="I1875" s="5"/>
    </row>
    <row r="1876" spans="3:9" x14ac:dyDescent="0.25">
      <c r="C1876" s="11"/>
      <c r="E1876" s="12"/>
      <c r="F1876" s="12"/>
      <c r="G1876" s="9"/>
      <c r="H1876" s="5"/>
      <c r="I1876" s="5"/>
    </row>
    <row r="1877" spans="3:9" x14ac:dyDescent="0.25">
      <c r="C1877" s="11"/>
      <c r="E1877" s="12"/>
      <c r="F1877" s="12"/>
      <c r="G1877" s="9"/>
      <c r="H1877" s="5"/>
      <c r="I1877" s="5"/>
    </row>
    <row r="1878" spans="3:9" x14ac:dyDescent="0.25">
      <c r="C1878" s="11"/>
      <c r="E1878" s="12"/>
      <c r="F1878" s="12"/>
      <c r="G1878" s="9"/>
      <c r="H1878" s="5"/>
      <c r="I1878" s="5"/>
    </row>
    <row r="1879" spans="3:9" x14ac:dyDescent="0.25">
      <c r="C1879" s="11"/>
      <c r="E1879" s="12"/>
      <c r="F1879" s="12"/>
      <c r="G1879" s="9"/>
      <c r="H1879" s="5"/>
      <c r="I1879" s="5"/>
    </row>
    <row r="1880" spans="3:9" x14ac:dyDescent="0.25">
      <c r="C1880" s="11"/>
      <c r="E1880" s="12"/>
      <c r="F1880" s="12"/>
      <c r="G1880" s="9"/>
      <c r="H1880" s="5"/>
      <c r="I1880" s="5"/>
    </row>
    <row r="1881" spans="3:9" x14ac:dyDescent="0.25">
      <c r="C1881" s="11"/>
      <c r="E1881" s="12"/>
      <c r="F1881" s="12"/>
      <c r="G1881" s="9"/>
      <c r="H1881" s="5"/>
      <c r="I1881" s="5"/>
    </row>
    <row r="1882" spans="3:9" x14ac:dyDescent="0.25">
      <c r="C1882" s="11"/>
      <c r="E1882" s="12"/>
      <c r="F1882" s="12"/>
      <c r="G1882" s="9"/>
      <c r="H1882" s="5"/>
      <c r="I1882" s="5"/>
    </row>
    <row r="1883" spans="3:9" x14ac:dyDescent="0.25">
      <c r="C1883" s="11"/>
      <c r="E1883" s="12"/>
      <c r="F1883" s="12"/>
      <c r="G1883" s="9"/>
      <c r="H1883" s="5"/>
      <c r="I1883" s="5"/>
    </row>
    <row r="1884" spans="3:9" x14ac:dyDescent="0.25">
      <c r="C1884" s="11"/>
      <c r="E1884" s="12"/>
      <c r="F1884" s="12"/>
      <c r="G1884" s="9"/>
      <c r="H1884" s="5"/>
      <c r="I1884" s="5"/>
    </row>
    <row r="1885" spans="3:9" x14ac:dyDescent="0.25">
      <c r="C1885" s="11"/>
      <c r="E1885" s="12"/>
      <c r="F1885" s="12"/>
      <c r="G1885" s="9"/>
      <c r="H1885" s="5"/>
      <c r="I1885" s="5"/>
    </row>
    <row r="1886" spans="3:9" x14ac:dyDescent="0.25">
      <c r="C1886" s="11"/>
      <c r="E1886" s="12"/>
      <c r="F1886" s="12"/>
      <c r="G1886" s="9"/>
      <c r="H1886" s="5"/>
      <c r="I1886" s="5"/>
    </row>
    <row r="1887" spans="3:9" x14ac:dyDescent="0.25">
      <c r="C1887" s="11"/>
      <c r="E1887" s="12"/>
      <c r="F1887" s="12"/>
      <c r="G1887" s="9"/>
      <c r="H1887" s="5"/>
      <c r="I1887" s="5"/>
    </row>
    <row r="1888" spans="3:9" x14ac:dyDescent="0.25">
      <c r="C1888" s="11"/>
      <c r="E1888" s="12"/>
      <c r="F1888" s="12"/>
      <c r="G1888" s="9"/>
      <c r="H1888" s="5"/>
      <c r="I1888" s="5"/>
    </row>
    <row r="1889" spans="3:9" x14ac:dyDescent="0.25">
      <c r="C1889" s="11"/>
      <c r="E1889" s="12"/>
      <c r="F1889" s="12"/>
      <c r="G1889" s="9"/>
      <c r="H1889" s="5"/>
      <c r="I1889" s="5"/>
    </row>
    <row r="1890" spans="3:9" x14ac:dyDescent="0.25">
      <c r="C1890" s="11"/>
      <c r="E1890" s="12"/>
      <c r="F1890" s="12"/>
      <c r="G1890" s="9"/>
      <c r="H1890" s="5"/>
      <c r="I1890" s="5"/>
    </row>
    <row r="1891" spans="3:9" x14ac:dyDescent="0.25">
      <c r="C1891" s="11"/>
      <c r="E1891" s="12"/>
      <c r="F1891" s="12"/>
      <c r="G1891" s="9"/>
      <c r="H1891" s="5"/>
      <c r="I1891" s="5"/>
    </row>
    <row r="1892" spans="3:9" x14ac:dyDescent="0.25">
      <c r="C1892" s="11"/>
      <c r="E1892" s="12"/>
      <c r="F1892" s="12"/>
      <c r="G1892" s="9"/>
      <c r="H1892" s="5"/>
      <c r="I1892" s="5"/>
    </row>
    <row r="1893" spans="3:9" x14ac:dyDescent="0.25">
      <c r="C1893" s="11"/>
      <c r="E1893" s="12"/>
      <c r="F1893" s="12"/>
      <c r="G1893" s="9"/>
      <c r="H1893" s="5"/>
      <c r="I1893" s="5"/>
    </row>
    <row r="1894" spans="3:9" x14ac:dyDescent="0.25">
      <c r="C1894" s="11"/>
      <c r="E1894" s="12"/>
      <c r="F1894" s="12"/>
      <c r="G1894" s="9"/>
      <c r="H1894" s="5"/>
      <c r="I1894" s="5"/>
    </row>
    <row r="1895" spans="3:9" x14ac:dyDescent="0.25">
      <c r="C1895" s="11"/>
      <c r="E1895" s="12"/>
      <c r="F1895" s="12"/>
      <c r="G1895" s="9"/>
      <c r="H1895" s="5"/>
      <c r="I1895" s="5"/>
    </row>
    <row r="1896" spans="3:9" x14ac:dyDescent="0.25">
      <c r="C1896" s="11"/>
      <c r="E1896" s="12"/>
      <c r="F1896" s="12"/>
      <c r="G1896" s="9"/>
      <c r="H1896" s="5"/>
      <c r="I1896" s="5"/>
    </row>
    <row r="1897" spans="3:9" x14ac:dyDescent="0.25">
      <c r="C1897" s="11"/>
      <c r="E1897" s="12"/>
      <c r="F1897" s="12"/>
      <c r="G1897" s="9"/>
      <c r="H1897" s="5"/>
      <c r="I1897" s="5"/>
    </row>
    <row r="1898" spans="3:9" x14ac:dyDescent="0.25">
      <c r="C1898" s="11"/>
      <c r="E1898" s="12"/>
      <c r="F1898" s="12"/>
      <c r="G1898" s="9"/>
      <c r="H1898" s="5"/>
      <c r="I1898" s="5"/>
    </row>
    <row r="1899" spans="3:9" x14ac:dyDescent="0.25">
      <c r="C1899" s="11"/>
      <c r="E1899" s="12"/>
      <c r="F1899" s="12"/>
      <c r="G1899" s="9"/>
      <c r="H1899" s="5"/>
      <c r="I1899" s="5"/>
    </row>
    <row r="1900" spans="3:9" x14ac:dyDescent="0.25">
      <c r="C1900" s="11"/>
      <c r="E1900" s="12"/>
      <c r="F1900" s="12"/>
      <c r="G1900" s="9"/>
      <c r="H1900" s="5"/>
      <c r="I1900" s="5"/>
    </row>
    <row r="1901" spans="3:9" x14ac:dyDescent="0.25">
      <c r="C1901" s="11"/>
      <c r="E1901" s="12"/>
      <c r="F1901" s="12"/>
      <c r="G1901" s="9"/>
      <c r="H1901" s="5"/>
      <c r="I1901" s="5"/>
    </row>
    <row r="1902" spans="3:9" x14ac:dyDescent="0.25">
      <c r="C1902" s="11"/>
      <c r="E1902" s="12"/>
      <c r="F1902" s="12"/>
      <c r="G1902" s="9"/>
      <c r="H1902" s="5"/>
      <c r="I1902" s="5"/>
    </row>
    <row r="1903" spans="3:9" x14ac:dyDescent="0.25">
      <c r="C1903" s="11"/>
      <c r="E1903" s="12"/>
      <c r="F1903" s="12"/>
      <c r="G1903" s="9"/>
      <c r="H1903" s="5"/>
      <c r="I1903" s="5"/>
    </row>
    <row r="1904" spans="3:9" x14ac:dyDescent="0.25">
      <c r="C1904" s="11"/>
      <c r="E1904" s="12"/>
      <c r="F1904" s="12"/>
      <c r="G1904" s="9"/>
      <c r="H1904" s="5"/>
      <c r="I1904" s="5"/>
    </row>
    <row r="1905" spans="3:9" x14ac:dyDescent="0.25">
      <c r="C1905" s="11"/>
      <c r="E1905" s="12"/>
      <c r="F1905" s="12"/>
      <c r="G1905" s="9"/>
      <c r="H1905" s="5"/>
      <c r="I1905" s="5"/>
    </row>
    <row r="1906" spans="3:9" x14ac:dyDescent="0.25">
      <c r="C1906" s="11"/>
      <c r="E1906" s="12"/>
      <c r="F1906" s="12"/>
      <c r="G1906" s="9"/>
      <c r="H1906" s="5"/>
      <c r="I1906" s="5"/>
    </row>
    <row r="1907" spans="3:9" x14ac:dyDescent="0.25">
      <c r="C1907" s="11"/>
      <c r="E1907" s="12"/>
      <c r="F1907" s="12"/>
      <c r="G1907" s="9"/>
      <c r="H1907" s="5"/>
      <c r="I1907" s="5"/>
    </row>
    <row r="1908" spans="3:9" x14ac:dyDescent="0.25">
      <c r="C1908" s="11"/>
      <c r="E1908" s="12"/>
      <c r="F1908" s="12"/>
      <c r="G1908" s="9"/>
      <c r="H1908" s="5"/>
      <c r="I1908" s="5"/>
    </row>
    <row r="1909" spans="3:9" x14ac:dyDescent="0.25">
      <c r="C1909" s="11"/>
      <c r="E1909" s="12"/>
      <c r="F1909" s="12"/>
      <c r="G1909" s="9"/>
      <c r="H1909" s="5"/>
      <c r="I1909" s="5"/>
    </row>
    <row r="1910" spans="3:9" x14ac:dyDescent="0.25">
      <c r="C1910" s="11"/>
      <c r="E1910" s="12"/>
      <c r="F1910" s="12"/>
      <c r="G1910" s="9"/>
      <c r="H1910" s="5"/>
      <c r="I1910" s="5"/>
    </row>
    <row r="1911" spans="3:9" x14ac:dyDescent="0.25">
      <c r="C1911" s="11"/>
      <c r="E1911" s="12"/>
      <c r="F1911" s="12"/>
      <c r="G1911" s="9"/>
      <c r="H1911" s="5"/>
      <c r="I1911" s="5"/>
    </row>
    <row r="1912" spans="3:9" x14ac:dyDescent="0.25">
      <c r="C1912" s="11"/>
      <c r="E1912" s="12"/>
      <c r="F1912" s="12"/>
      <c r="G1912" s="9"/>
      <c r="H1912" s="5"/>
      <c r="I1912" s="5"/>
    </row>
    <row r="1913" spans="3:9" x14ac:dyDescent="0.25">
      <c r="C1913" s="11"/>
      <c r="E1913" s="12"/>
      <c r="F1913" s="12"/>
      <c r="G1913" s="9"/>
      <c r="H1913" s="5"/>
      <c r="I1913" s="5"/>
    </row>
    <row r="1914" spans="3:9" x14ac:dyDescent="0.25">
      <c r="C1914" s="11"/>
      <c r="E1914" s="12"/>
      <c r="F1914" s="12"/>
      <c r="G1914" s="9"/>
      <c r="H1914" s="5"/>
      <c r="I1914" s="5"/>
    </row>
    <row r="1915" spans="3:9" x14ac:dyDescent="0.25">
      <c r="C1915" s="11"/>
      <c r="E1915" s="12"/>
      <c r="F1915" s="12"/>
      <c r="G1915" s="9"/>
      <c r="H1915" s="5"/>
      <c r="I1915" s="5"/>
    </row>
    <row r="1916" spans="3:9" x14ac:dyDescent="0.25">
      <c r="C1916" s="11"/>
      <c r="E1916" s="12"/>
      <c r="F1916" s="12"/>
      <c r="G1916" s="9"/>
      <c r="H1916" s="5"/>
      <c r="I1916" s="5"/>
    </row>
    <row r="1917" spans="3:9" x14ac:dyDescent="0.25">
      <c r="C1917" s="11"/>
      <c r="E1917" s="12"/>
      <c r="F1917" s="12"/>
      <c r="G1917" s="9"/>
      <c r="H1917" s="5"/>
      <c r="I1917" s="5"/>
    </row>
    <row r="1918" spans="3:9" x14ac:dyDescent="0.25">
      <c r="C1918" s="11"/>
      <c r="E1918" s="12"/>
      <c r="F1918" s="12"/>
      <c r="G1918" s="9"/>
      <c r="H1918" s="5"/>
      <c r="I1918" s="5"/>
    </row>
    <row r="1919" spans="3:9" x14ac:dyDescent="0.25">
      <c r="C1919" s="11"/>
      <c r="E1919" s="12"/>
      <c r="F1919" s="12"/>
      <c r="G1919" s="9"/>
      <c r="H1919" s="5"/>
      <c r="I1919" s="5"/>
    </row>
    <row r="1920" spans="3:9" x14ac:dyDescent="0.25">
      <c r="C1920" s="11"/>
      <c r="E1920" s="12"/>
      <c r="F1920" s="12"/>
      <c r="G1920" s="9"/>
      <c r="H1920" s="5"/>
      <c r="I1920" s="5"/>
    </row>
    <row r="1921" spans="3:9" x14ac:dyDescent="0.25">
      <c r="C1921" s="11"/>
      <c r="E1921" s="12"/>
      <c r="F1921" s="12"/>
      <c r="G1921" s="9"/>
      <c r="H1921" s="5"/>
      <c r="I1921" s="5"/>
    </row>
    <row r="1922" spans="3:9" x14ac:dyDescent="0.25">
      <c r="C1922" s="11"/>
      <c r="E1922" s="12"/>
      <c r="F1922" s="12"/>
      <c r="G1922" s="9"/>
      <c r="H1922" s="5"/>
      <c r="I1922" s="5"/>
    </row>
    <row r="1923" spans="3:9" x14ac:dyDescent="0.25">
      <c r="C1923" s="11"/>
      <c r="E1923" s="12"/>
      <c r="F1923" s="12"/>
      <c r="G1923" s="9"/>
      <c r="H1923" s="5"/>
      <c r="I1923" s="5"/>
    </row>
    <row r="1924" spans="3:9" x14ac:dyDescent="0.25">
      <c r="C1924" s="11"/>
      <c r="E1924" s="12"/>
      <c r="F1924" s="12"/>
      <c r="G1924" s="9"/>
      <c r="H1924" s="5"/>
      <c r="I1924" s="5"/>
    </row>
    <row r="1925" spans="3:9" x14ac:dyDescent="0.25">
      <c r="C1925" s="11"/>
      <c r="E1925" s="12"/>
      <c r="F1925" s="12"/>
      <c r="G1925" s="9"/>
      <c r="H1925" s="5"/>
      <c r="I1925" s="5"/>
    </row>
    <row r="1926" spans="3:9" x14ac:dyDescent="0.25">
      <c r="C1926" s="11"/>
      <c r="E1926" s="12"/>
      <c r="F1926" s="12"/>
      <c r="G1926" s="9"/>
      <c r="H1926" s="5"/>
      <c r="I1926" s="5"/>
    </row>
    <row r="1927" spans="3:9" x14ac:dyDescent="0.25">
      <c r="C1927" s="11"/>
      <c r="E1927" s="12"/>
      <c r="F1927" s="12"/>
      <c r="G1927" s="9"/>
      <c r="H1927" s="5"/>
      <c r="I1927" s="5"/>
    </row>
    <row r="1928" spans="3:9" x14ac:dyDescent="0.25">
      <c r="C1928" s="11"/>
      <c r="E1928" s="12"/>
      <c r="F1928" s="12"/>
      <c r="G1928" s="9"/>
      <c r="H1928" s="5"/>
      <c r="I1928" s="5"/>
    </row>
    <row r="1929" spans="3:9" x14ac:dyDescent="0.25">
      <c r="C1929" s="11"/>
      <c r="E1929" s="12"/>
      <c r="F1929" s="12"/>
      <c r="G1929" s="9"/>
      <c r="H1929" s="5"/>
      <c r="I1929" s="5"/>
    </row>
    <row r="1930" spans="3:9" x14ac:dyDescent="0.25">
      <c r="C1930" s="11"/>
      <c r="E1930" s="12"/>
      <c r="F1930" s="12"/>
      <c r="G1930" s="9"/>
      <c r="H1930" s="5"/>
      <c r="I1930" s="5"/>
    </row>
    <row r="1931" spans="3:9" x14ac:dyDescent="0.25">
      <c r="C1931" s="11"/>
      <c r="E1931" s="12"/>
      <c r="F1931" s="12"/>
      <c r="G1931" s="9"/>
      <c r="H1931" s="5"/>
      <c r="I1931" s="5"/>
    </row>
    <row r="1932" spans="3:9" x14ac:dyDescent="0.25">
      <c r="C1932" s="11"/>
      <c r="E1932" s="12"/>
      <c r="F1932" s="12"/>
      <c r="G1932" s="9"/>
      <c r="H1932" s="5"/>
      <c r="I1932" s="5"/>
    </row>
    <row r="1933" spans="3:9" x14ac:dyDescent="0.25">
      <c r="C1933" s="11"/>
      <c r="E1933" s="12"/>
      <c r="F1933" s="12"/>
      <c r="G1933" s="9"/>
      <c r="H1933" s="5"/>
      <c r="I1933" s="5"/>
    </row>
    <row r="1934" spans="3:9" x14ac:dyDescent="0.25">
      <c r="C1934" s="11"/>
      <c r="E1934" s="12"/>
      <c r="F1934" s="12"/>
      <c r="G1934" s="9"/>
      <c r="H1934" s="5"/>
      <c r="I1934" s="5"/>
    </row>
    <row r="1935" spans="3:9" x14ac:dyDescent="0.25">
      <c r="C1935" s="11"/>
      <c r="E1935" s="12"/>
      <c r="F1935" s="12"/>
      <c r="G1935" s="9"/>
      <c r="H1935" s="5"/>
      <c r="I1935" s="5"/>
    </row>
    <row r="1936" spans="3:9" x14ac:dyDescent="0.25">
      <c r="C1936" s="11"/>
      <c r="E1936" s="12"/>
      <c r="F1936" s="12"/>
      <c r="G1936" s="9"/>
      <c r="H1936" s="5"/>
      <c r="I1936" s="5"/>
    </row>
    <row r="1937" spans="3:9" x14ac:dyDescent="0.25">
      <c r="C1937" s="11"/>
      <c r="E1937" s="12"/>
      <c r="F1937" s="12"/>
      <c r="G1937" s="9"/>
      <c r="H1937" s="5"/>
      <c r="I1937" s="5"/>
    </row>
    <row r="1938" spans="3:9" x14ac:dyDescent="0.25">
      <c r="C1938" s="11"/>
      <c r="E1938" s="12"/>
      <c r="F1938" s="12"/>
      <c r="G1938" s="9"/>
      <c r="H1938" s="5"/>
      <c r="I1938" s="5"/>
    </row>
    <row r="1939" spans="3:9" x14ac:dyDescent="0.25">
      <c r="C1939" s="11"/>
      <c r="E1939" s="12"/>
      <c r="F1939" s="12"/>
      <c r="G1939" s="9"/>
      <c r="H1939" s="5"/>
      <c r="I1939" s="5"/>
    </row>
    <row r="1940" spans="3:9" x14ac:dyDescent="0.25">
      <c r="C1940" s="11"/>
      <c r="E1940" s="12"/>
      <c r="F1940" s="12"/>
      <c r="G1940" s="9"/>
      <c r="H1940" s="5"/>
      <c r="I1940" s="5"/>
    </row>
    <row r="1941" spans="3:9" x14ac:dyDescent="0.25">
      <c r="C1941" s="11"/>
      <c r="E1941" s="12"/>
      <c r="F1941" s="12"/>
      <c r="G1941" s="9"/>
      <c r="H1941" s="5"/>
      <c r="I1941" s="5"/>
    </row>
    <row r="1942" spans="3:9" x14ac:dyDescent="0.25">
      <c r="C1942" s="11"/>
      <c r="E1942" s="12"/>
      <c r="F1942" s="12"/>
      <c r="G1942" s="9"/>
      <c r="H1942" s="5"/>
      <c r="I1942" s="5"/>
    </row>
    <row r="1943" spans="3:9" x14ac:dyDescent="0.25">
      <c r="C1943" s="11"/>
      <c r="E1943" s="12"/>
      <c r="F1943" s="12"/>
      <c r="G1943" s="9"/>
      <c r="H1943" s="5"/>
      <c r="I1943" s="5"/>
    </row>
    <row r="1944" spans="3:9" x14ac:dyDescent="0.25">
      <c r="C1944" s="11"/>
      <c r="E1944" s="12"/>
      <c r="F1944" s="12"/>
      <c r="G1944" s="9"/>
      <c r="H1944" s="5"/>
      <c r="I1944" s="5"/>
    </row>
    <row r="1945" spans="3:9" x14ac:dyDescent="0.25">
      <c r="C1945" s="11"/>
      <c r="E1945" s="12"/>
      <c r="F1945" s="12"/>
      <c r="G1945" s="9"/>
      <c r="H1945" s="5"/>
      <c r="I1945" s="5"/>
    </row>
    <row r="1946" spans="3:9" x14ac:dyDescent="0.25">
      <c r="C1946" s="11"/>
      <c r="E1946" s="12"/>
      <c r="F1946" s="12"/>
      <c r="G1946" s="9"/>
      <c r="H1946" s="5"/>
      <c r="I1946" s="5"/>
    </row>
    <row r="1947" spans="3:9" x14ac:dyDescent="0.25">
      <c r="C1947" s="11"/>
      <c r="E1947" s="12"/>
      <c r="F1947" s="12"/>
      <c r="G1947" s="9"/>
      <c r="H1947" s="5"/>
      <c r="I1947" s="5"/>
    </row>
    <row r="1948" spans="3:9" x14ac:dyDescent="0.25">
      <c r="C1948" s="11"/>
      <c r="E1948" s="12"/>
      <c r="F1948" s="12"/>
      <c r="G1948" s="9"/>
      <c r="H1948" s="5"/>
      <c r="I1948" s="5"/>
    </row>
    <row r="1949" spans="3:9" x14ac:dyDescent="0.25">
      <c r="C1949" s="11"/>
      <c r="E1949" s="12"/>
      <c r="F1949" s="12"/>
      <c r="G1949" s="9"/>
      <c r="H1949" s="5"/>
      <c r="I1949" s="5"/>
    </row>
    <row r="1950" spans="3:9" x14ac:dyDescent="0.25">
      <c r="C1950" s="11"/>
      <c r="E1950" s="12"/>
      <c r="F1950" s="12"/>
      <c r="G1950" s="9"/>
      <c r="H1950" s="5"/>
      <c r="I1950" s="5"/>
    </row>
    <row r="1951" spans="3:9" x14ac:dyDescent="0.25">
      <c r="C1951" s="11"/>
      <c r="E1951" s="12"/>
      <c r="F1951" s="12"/>
      <c r="G1951" s="9"/>
      <c r="H1951" s="5"/>
      <c r="I1951" s="5"/>
    </row>
    <row r="1952" spans="3:9" x14ac:dyDescent="0.25">
      <c r="C1952" s="11"/>
      <c r="E1952" s="12"/>
      <c r="F1952" s="12"/>
      <c r="G1952" s="9"/>
      <c r="H1952" s="5"/>
      <c r="I1952" s="5"/>
    </row>
    <row r="1953" spans="3:9" x14ac:dyDescent="0.25">
      <c r="C1953" s="11"/>
      <c r="E1953" s="12"/>
      <c r="F1953" s="12"/>
      <c r="G1953" s="9"/>
      <c r="H1953" s="5"/>
      <c r="I1953" s="5"/>
    </row>
    <row r="1954" spans="3:9" x14ac:dyDescent="0.25">
      <c r="C1954" s="11"/>
      <c r="E1954" s="12"/>
      <c r="F1954" s="12"/>
      <c r="G1954" s="9"/>
      <c r="H1954" s="5"/>
      <c r="I1954" s="5"/>
    </row>
    <row r="1955" spans="3:9" x14ac:dyDescent="0.25">
      <c r="C1955" s="11"/>
      <c r="E1955" s="12"/>
      <c r="F1955" s="12"/>
      <c r="G1955" s="9"/>
      <c r="H1955" s="5"/>
      <c r="I1955" s="5"/>
    </row>
    <row r="1956" spans="3:9" x14ac:dyDescent="0.25">
      <c r="C1956" s="11"/>
      <c r="E1956" s="12"/>
      <c r="F1956" s="12"/>
      <c r="G1956" s="9"/>
      <c r="H1956" s="5"/>
      <c r="I1956" s="5"/>
    </row>
    <row r="1957" spans="3:9" x14ac:dyDescent="0.25">
      <c r="C1957" s="11"/>
      <c r="E1957" s="12"/>
      <c r="F1957" s="12"/>
      <c r="G1957" s="9"/>
      <c r="H1957" s="5"/>
      <c r="I1957" s="5"/>
    </row>
    <row r="1958" spans="3:9" x14ac:dyDescent="0.25">
      <c r="C1958" s="11"/>
      <c r="E1958" s="12"/>
      <c r="F1958" s="12"/>
      <c r="G1958" s="9"/>
      <c r="H1958" s="5"/>
      <c r="I1958" s="5"/>
    </row>
    <row r="1959" spans="3:9" x14ac:dyDescent="0.25">
      <c r="C1959" s="11"/>
      <c r="E1959" s="12"/>
      <c r="F1959" s="12"/>
      <c r="G1959" s="9"/>
      <c r="H1959" s="5"/>
      <c r="I1959" s="5"/>
    </row>
    <row r="1960" spans="3:9" x14ac:dyDescent="0.25">
      <c r="C1960" s="11"/>
      <c r="E1960" s="12"/>
      <c r="F1960" s="12"/>
      <c r="G1960" s="9"/>
      <c r="H1960" s="5"/>
      <c r="I1960" s="5"/>
    </row>
    <row r="1961" spans="3:9" x14ac:dyDescent="0.25">
      <c r="C1961" s="11"/>
      <c r="E1961" s="12"/>
      <c r="F1961" s="12"/>
      <c r="G1961" s="9"/>
      <c r="H1961" s="5"/>
      <c r="I1961" s="5"/>
    </row>
    <row r="1962" spans="3:9" x14ac:dyDescent="0.25">
      <c r="C1962" s="11"/>
      <c r="E1962" s="12"/>
      <c r="F1962" s="12"/>
      <c r="G1962" s="9"/>
      <c r="H1962" s="5"/>
      <c r="I1962" s="5"/>
    </row>
    <row r="1963" spans="3:9" x14ac:dyDescent="0.25">
      <c r="C1963" s="11"/>
      <c r="E1963" s="12"/>
      <c r="F1963" s="12"/>
      <c r="G1963" s="9"/>
      <c r="H1963" s="5"/>
      <c r="I1963" s="5"/>
    </row>
    <row r="1964" spans="3:9" x14ac:dyDescent="0.25">
      <c r="C1964" s="11"/>
      <c r="E1964" s="12"/>
      <c r="F1964" s="12"/>
      <c r="G1964" s="9"/>
      <c r="H1964" s="5"/>
      <c r="I1964" s="5"/>
    </row>
    <row r="1965" spans="3:9" x14ac:dyDescent="0.25">
      <c r="C1965" s="11"/>
      <c r="E1965" s="12"/>
      <c r="F1965" s="12"/>
      <c r="G1965" s="9"/>
      <c r="H1965" s="5"/>
      <c r="I1965" s="5"/>
    </row>
    <row r="1966" spans="3:9" x14ac:dyDescent="0.25">
      <c r="C1966" s="11"/>
      <c r="E1966" s="12"/>
      <c r="F1966" s="12"/>
      <c r="G1966" s="9"/>
      <c r="H1966" s="5"/>
      <c r="I1966" s="5"/>
    </row>
    <row r="1967" spans="3:9" x14ac:dyDescent="0.25">
      <c r="C1967" s="11"/>
      <c r="E1967" s="12"/>
      <c r="F1967" s="12"/>
      <c r="G1967" s="9"/>
      <c r="H1967" s="5"/>
      <c r="I1967" s="5"/>
    </row>
    <row r="1968" spans="3:9" x14ac:dyDescent="0.25">
      <c r="C1968" s="11"/>
      <c r="E1968" s="12"/>
      <c r="F1968" s="12"/>
      <c r="G1968" s="9"/>
      <c r="H1968" s="5"/>
      <c r="I1968" s="5"/>
    </row>
    <row r="1969" spans="3:9" x14ac:dyDescent="0.25">
      <c r="C1969" s="11"/>
      <c r="E1969" s="12"/>
      <c r="F1969" s="12"/>
      <c r="G1969" s="9"/>
      <c r="H1969" s="5"/>
      <c r="I1969" s="5"/>
    </row>
    <row r="1970" spans="3:9" x14ac:dyDescent="0.25">
      <c r="C1970" s="11"/>
      <c r="E1970" s="12"/>
      <c r="F1970" s="12"/>
      <c r="G1970" s="9"/>
      <c r="H1970" s="5"/>
      <c r="I1970" s="5"/>
    </row>
    <row r="1971" spans="3:9" x14ac:dyDescent="0.25">
      <c r="C1971" s="11"/>
      <c r="E1971" s="12"/>
      <c r="F1971" s="12"/>
      <c r="G1971" s="9"/>
      <c r="H1971" s="5"/>
      <c r="I1971" s="5"/>
    </row>
    <row r="1972" spans="3:9" x14ac:dyDescent="0.25">
      <c r="C1972" s="11"/>
      <c r="E1972" s="12"/>
      <c r="F1972" s="12"/>
      <c r="G1972" s="9"/>
      <c r="H1972" s="5"/>
      <c r="I1972" s="5"/>
    </row>
    <row r="1973" spans="3:9" x14ac:dyDescent="0.25">
      <c r="C1973" s="11"/>
      <c r="E1973" s="12"/>
      <c r="F1973" s="12"/>
      <c r="G1973" s="9"/>
      <c r="H1973" s="5"/>
      <c r="I1973" s="5"/>
    </row>
    <row r="1974" spans="3:9" x14ac:dyDescent="0.25">
      <c r="C1974" s="11"/>
      <c r="E1974" s="12"/>
      <c r="F1974" s="12"/>
      <c r="G1974" s="9"/>
      <c r="H1974" s="5"/>
      <c r="I1974" s="5"/>
    </row>
    <row r="1975" spans="3:9" x14ac:dyDescent="0.25">
      <c r="C1975" s="11"/>
      <c r="E1975" s="12"/>
      <c r="F1975" s="12"/>
      <c r="G1975" s="9"/>
      <c r="H1975" s="5"/>
      <c r="I1975" s="5"/>
    </row>
    <row r="1976" spans="3:9" x14ac:dyDescent="0.25">
      <c r="C1976" s="11"/>
      <c r="E1976" s="12"/>
      <c r="F1976" s="12"/>
      <c r="G1976" s="9"/>
      <c r="H1976" s="5"/>
      <c r="I1976" s="5"/>
    </row>
    <row r="1977" spans="3:9" x14ac:dyDescent="0.25">
      <c r="C1977" s="11"/>
      <c r="E1977" s="12"/>
      <c r="F1977" s="12"/>
      <c r="G1977" s="9"/>
      <c r="H1977" s="5"/>
      <c r="I1977" s="5"/>
    </row>
    <row r="1978" spans="3:9" x14ac:dyDescent="0.25">
      <c r="C1978" s="11"/>
      <c r="E1978" s="12"/>
      <c r="F1978" s="12"/>
      <c r="G1978" s="9"/>
      <c r="H1978" s="5"/>
      <c r="I1978" s="5"/>
    </row>
    <row r="1979" spans="3:9" x14ac:dyDescent="0.25">
      <c r="C1979" s="11"/>
      <c r="E1979" s="12"/>
      <c r="F1979" s="12"/>
      <c r="G1979" s="9"/>
      <c r="H1979" s="5"/>
      <c r="I1979" s="5"/>
    </row>
    <row r="1980" spans="3:9" x14ac:dyDescent="0.25">
      <c r="C1980" s="11"/>
      <c r="E1980" s="12"/>
      <c r="F1980" s="12"/>
      <c r="G1980" s="9"/>
      <c r="H1980" s="5"/>
      <c r="I1980" s="5"/>
    </row>
    <row r="1981" spans="3:9" x14ac:dyDescent="0.25">
      <c r="C1981" s="11"/>
      <c r="E1981" s="12"/>
      <c r="F1981" s="12"/>
      <c r="G1981" s="9"/>
      <c r="H1981" s="5"/>
      <c r="I1981" s="5"/>
    </row>
    <row r="1982" spans="3:9" x14ac:dyDescent="0.25">
      <c r="C1982" s="11"/>
      <c r="E1982" s="12"/>
      <c r="F1982" s="12"/>
      <c r="G1982" s="9"/>
      <c r="H1982" s="5"/>
      <c r="I1982" s="5"/>
    </row>
    <row r="1983" spans="3:9" x14ac:dyDescent="0.25">
      <c r="C1983" s="11"/>
      <c r="E1983" s="12"/>
      <c r="F1983" s="12"/>
      <c r="G1983" s="9"/>
      <c r="H1983" s="5"/>
      <c r="I1983" s="5"/>
    </row>
    <row r="1984" spans="3:9" x14ac:dyDescent="0.25">
      <c r="C1984" s="11"/>
      <c r="E1984" s="12"/>
      <c r="F1984" s="12"/>
      <c r="G1984" s="9"/>
      <c r="H1984" s="5"/>
      <c r="I1984" s="5"/>
    </row>
    <row r="1985" spans="3:9" x14ac:dyDescent="0.25">
      <c r="C1985" s="11"/>
      <c r="E1985" s="12"/>
      <c r="F1985" s="12"/>
      <c r="G1985" s="9"/>
      <c r="H1985" s="5"/>
      <c r="I1985" s="5"/>
    </row>
    <row r="1986" spans="3:9" x14ac:dyDescent="0.25">
      <c r="C1986" s="11"/>
      <c r="E1986" s="12"/>
      <c r="F1986" s="12"/>
      <c r="G1986" s="9"/>
      <c r="H1986" s="5"/>
      <c r="I1986" s="5"/>
    </row>
    <row r="1987" spans="3:9" x14ac:dyDescent="0.25">
      <c r="C1987" s="11"/>
      <c r="E1987" s="12"/>
      <c r="F1987" s="12"/>
      <c r="G1987" s="9"/>
      <c r="H1987" s="5"/>
      <c r="I1987" s="5"/>
    </row>
    <row r="1988" spans="3:9" x14ac:dyDescent="0.25">
      <c r="C1988" s="11"/>
      <c r="E1988" s="12"/>
      <c r="F1988" s="12"/>
      <c r="G1988" s="9"/>
      <c r="H1988" s="5"/>
      <c r="I1988" s="5"/>
    </row>
    <row r="1989" spans="3:9" x14ac:dyDescent="0.25">
      <c r="C1989" s="11"/>
      <c r="E1989" s="12"/>
      <c r="F1989" s="12"/>
      <c r="G1989" s="9"/>
      <c r="H1989" s="5"/>
      <c r="I1989" s="5"/>
    </row>
    <row r="1990" spans="3:9" x14ac:dyDescent="0.25">
      <c r="C1990" s="11"/>
      <c r="E1990" s="12"/>
      <c r="F1990" s="12"/>
      <c r="G1990" s="9"/>
      <c r="H1990" s="5"/>
      <c r="I1990" s="5"/>
    </row>
    <row r="1991" spans="3:9" x14ac:dyDescent="0.25">
      <c r="C1991" s="11"/>
      <c r="E1991" s="12"/>
      <c r="F1991" s="12"/>
      <c r="G1991" s="9"/>
      <c r="H1991" s="5"/>
      <c r="I1991" s="5"/>
    </row>
    <row r="1992" spans="3:9" x14ac:dyDescent="0.25">
      <c r="C1992" s="11"/>
      <c r="E1992" s="12"/>
      <c r="F1992" s="12"/>
      <c r="G1992" s="9"/>
      <c r="H1992" s="5"/>
      <c r="I1992" s="5"/>
    </row>
    <row r="1993" spans="3:9" x14ac:dyDescent="0.25">
      <c r="C1993" s="11"/>
      <c r="E1993" s="12"/>
      <c r="F1993" s="12"/>
      <c r="G1993" s="9"/>
      <c r="H1993" s="5"/>
      <c r="I1993" s="5"/>
    </row>
    <row r="1994" spans="3:9" x14ac:dyDescent="0.25">
      <c r="C1994" s="11"/>
      <c r="E1994" s="12"/>
      <c r="F1994" s="12"/>
      <c r="G1994" s="9"/>
      <c r="H1994" s="5"/>
      <c r="I1994" s="5"/>
    </row>
    <row r="1995" spans="3:9" x14ac:dyDescent="0.25">
      <c r="C1995" s="11"/>
      <c r="E1995" s="12"/>
      <c r="F1995" s="12"/>
      <c r="G1995" s="9"/>
      <c r="H1995" s="5"/>
      <c r="I1995" s="5"/>
    </row>
    <row r="1996" spans="3:9" x14ac:dyDescent="0.25">
      <c r="C1996" s="11"/>
      <c r="E1996" s="12"/>
      <c r="F1996" s="12"/>
      <c r="G1996" s="9"/>
      <c r="H1996" s="5"/>
      <c r="I1996" s="5"/>
    </row>
    <row r="1997" spans="3:9" x14ac:dyDescent="0.25">
      <c r="C1997" s="11"/>
      <c r="E1997" s="12"/>
      <c r="F1997" s="12"/>
      <c r="G1997" s="9"/>
      <c r="H1997" s="5"/>
      <c r="I1997" s="5"/>
    </row>
    <row r="1998" spans="3:9" x14ac:dyDescent="0.25">
      <c r="C1998" s="11"/>
      <c r="E1998" s="12"/>
      <c r="F1998" s="12"/>
      <c r="G1998" s="9"/>
      <c r="H1998" s="5"/>
      <c r="I1998" s="5"/>
    </row>
    <row r="1999" spans="3:9" x14ac:dyDescent="0.25">
      <c r="C1999" s="11"/>
      <c r="E1999" s="12"/>
      <c r="F1999" s="12"/>
      <c r="G1999" s="9"/>
      <c r="H1999" s="5"/>
      <c r="I1999" s="5"/>
    </row>
    <row r="2000" spans="3:9" x14ac:dyDescent="0.25">
      <c r="C2000" s="11"/>
      <c r="E2000" s="12"/>
      <c r="F2000" s="12"/>
      <c r="G2000" s="9"/>
      <c r="H2000" s="5"/>
      <c r="I2000" s="5"/>
    </row>
    <row r="2001" spans="3:9" x14ac:dyDescent="0.25">
      <c r="C2001" s="11"/>
      <c r="E2001" s="12"/>
      <c r="F2001" s="12"/>
      <c r="G2001" s="9"/>
      <c r="H2001" s="5"/>
      <c r="I2001" s="5"/>
    </row>
    <row r="2002" spans="3:9" x14ac:dyDescent="0.25">
      <c r="C2002" s="11"/>
      <c r="E2002" s="12"/>
      <c r="F2002" s="12"/>
      <c r="G2002" s="9"/>
      <c r="H2002" s="5"/>
      <c r="I2002" s="5"/>
    </row>
    <row r="2003" spans="3:9" x14ac:dyDescent="0.25">
      <c r="C2003" s="11"/>
      <c r="E2003" s="12"/>
      <c r="F2003" s="12"/>
      <c r="G2003" s="9"/>
      <c r="H2003" s="5"/>
      <c r="I2003" s="5"/>
    </row>
    <row r="2004" spans="3:9" x14ac:dyDescent="0.25">
      <c r="C2004" s="11"/>
      <c r="E2004" s="12"/>
      <c r="F2004" s="12"/>
      <c r="G2004" s="9"/>
      <c r="H2004" s="5"/>
      <c r="I2004" s="5"/>
    </row>
    <row r="2005" spans="3:9" x14ac:dyDescent="0.25">
      <c r="C2005" s="11"/>
      <c r="E2005" s="12"/>
      <c r="F2005" s="12"/>
      <c r="G2005" s="9"/>
      <c r="H2005" s="5"/>
      <c r="I2005" s="5"/>
    </row>
    <row r="2006" spans="3:9" x14ac:dyDescent="0.25">
      <c r="C2006" s="11"/>
      <c r="E2006" s="12"/>
      <c r="F2006" s="12"/>
      <c r="G2006" s="9"/>
      <c r="H2006" s="5"/>
      <c r="I2006" s="5"/>
    </row>
    <row r="2007" spans="3:9" x14ac:dyDescent="0.25">
      <c r="C2007" s="11"/>
      <c r="E2007" s="12"/>
      <c r="F2007" s="12"/>
      <c r="G2007" s="9"/>
      <c r="H2007" s="5"/>
      <c r="I2007" s="5"/>
    </row>
    <row r="2008" spans="3:9" x14ac:dyDescent="0.25">
      <c r="C2008" s="11"/>
      <c r="E2008" s="12"/>
      <c r="F2008" s="12"/>
      <c r="G2008" s="9"/>
      <c r="H2008" s="5"/>
      <c r="I2008" s="5"/>
    </row>
    <row r="2009" spans="3:9" x14ac:dyDescent="0.25">
      <c r="C2009" s="11"/>
      <c r="E2009" s="12"/>
      <c r="F2009" s="12"/>
      <c r="G2009" s="9"/>
      <c r="H2009" s="5"/>
      <c r="I2009" s="5"/>
    </row>
    <row r="2010" spans="3:9" x14ac:dyDescent="0.25">
      <c r="C2010" s="11"/>
      <c r="E2010" s="12"/>
      <c r="F2010" s="12"/>
      <c r="G2010" s="9"/>
      <c r="H2010" s="5"/>
      <c r="I2010" s="5"/>
    </row>
    <row r="2011" spans="3:9" x14ac:dyDescent="0.25">
      <c r="C2011" s="11"/>
      <c r="E2011" s="12"/>
      <c r="F2011" s="12"/>
      <c r="G2011" s="9"/>
      <c r="H2011" s="5"/>
      <c r="I2011" s="5"/>
    </row>
    <row r="2012" spans="3:9" x14ac:dyDescent="0.25">
      <c r="C2012" s="11"/>
      <c r="E2012" s="12"/>
      <c r="F2012" s="12"/>
      <c r="G2012" s="9"/>
      <c r="H2012" s="5"/>
      <c r="I2012" s="5"/>
    </row>
    <row r="2013" spans="3:9" x14ac:dyDescent="0.25">
      <c r="C2013" s="11"/>
      <c r="E2013" s="12"/>
      <c r="F2013" s="12"/>
      <c r="G2013" s="9"/>
      <c r="H2013" s="5"/>
      <c r="I2013" s="5"/>
    </row>
    <row r="2014" spans="3:9" x14ac:dyDescent="0.25">
      <c r="C2014" s="11"/>
      <c r="E2014" s="12"/>
      <c r="F2014" s="12"/>
      <c r="G2014" s="9"/>
      <c r="H2014" s="5"/>
      <c r="I2014" s="5"/>
    </row>
    <row r="2015" spans="3:9" x14ac:dyDescent="0.25">
      <c r="C2015" s="11"/>
      <c r="E2015" s="12"/>
      <c r="F2015" s="12"/>
      <c r="G2015" s="9"/>
      <c r="H2015" s="5"/>
      <c r="I2015" s="5"/>
    </row>
    <row r="2016" spans="3:9" x14ac:dyDescent="0.25">
      <c r="C2016" s="11"/>
      <c r="E2016" s="12"/>
      <c r="F2016" s="12"/>
      <c r="G2016" s="9"/>
      <c r="H2016" s="5"/>
      <c r="I2016" s="5"/>
    </row>
    <row r="2017" spans="3:9" x14ac:dyDescent="0.25">
      <c r="C2017" s="11"/>
      <c r="E2017" s="12"/>
      <c r="F2017" s="12"/>
      <c r="G2017" s="9"/>
      <c r="H2017" s="5"/>
      <c r="I2017" s="5"/>
    </row>
    <row r="2018" spans="3:9" x14ac:dyDescent="0.25">
      <c r="C2018" s="11"/>
      <c r="E2018" s="12"/>
      <c r="F2018" s="12"/>
      <c r="G2018" s="9"/>
      <c r="H2018" s="5"/>
      <c r="I2018" s="5"/>
    </row>
    <row r="2019" spans="3:9" x14ac:dyDescent="0.25">
      <c r="C2019" s="11"/>
      <c r="E2019" s="12"/>
      <c r="F2019" s="12"/>
      <c r="G2019" s="9"/>
      <c r="H2019" s="5"/>
      <c r="I2019" s="5"/>
    </row>
    <row r="2020" spans="3:9" x14ac:dyDescent="0.25">
      <c r="C2020" s="11"/>
      <c r="E2020" s="12"/>
      <c r="F2020" s="12"/>
      <c r="G2020" s="9"/>
      <c r="H2020" s="5"/>
      <c r="I2020" s="5"/>
    </row>
    <row r="2021" spans="3:9" x14ac:dyDescent="0.25">
      <c r="C2021" s="11"/>
      <c r="E2021" s="12"/>
      <c r="F2021" s="12"/>
      <c r="G2021" s="9"/>
      <c r="H2021" s="5"/>
      <c r="I2021" s="5"/>
    </row>
    <row r="2022" spans="3:9" x14ac:dyDescent="0.25">
      <c r="C2022" s="11"/>
      <c r="E2022" s="12"/>
      <c r="F2022" s="12"/>
      <c r="G2022" s="9"/>
      <c r="H2022" s="5"/>
      <c r="I2022" s="5"/>
    </row>
    <row r="2023" spans="3:9" x14ac:dyDescent="0.25">
      <c r="C2023" s="11"/>
      <c r="E2023" s="12"/>
      <c r="F2023" s="12"/>
      <c r="G2023" s="9"/>
      <c r="H2023" s="5"/>
      <c r="I2023" s="5"/>
    </row>
    <row r="2024" spans="3:9" x14ac:dyDescent="0.25">
      <c r="C2024" s="11"/>
      <c r="E2024" s="12"/>
      <c r="F2024" s="12"/>
      <c r="G2024" s="9"/>
      <c r="H2024" s="5"/>
      <c r="I2024" s="5"/>
    </row>
    <row r="2025" spans="3:9" x14ac:dyDescent="0.25">
      <c r="C2025" s="11"/>
      <c r="E2025" s="12"/>
      <c r="F2025" s="12"/>
      <c r="G2025" s="9"/>
      <c r="H2025" s="5"/>
      <c r="I2025" s="5"/>
    </row>
    <row r="2026" spans="3:9" x14ac:dyDescent="0.25">
      <c r="C2026" s="11"/>
      <c r="E2026" s="12"/>
      <c r="F2026" s="12"/>
      <c r="G2026" s="9"/>
      <c r="H2026" s="5"/>
      <c r="I2026" s="5"/>
    </row>
    <row r="2027" spans="3:9" x14ac:dyDescent="0.25">
      <c r="C2027" s="11"/>
      <c r="E2027" s="12"/>
      <c r="F2027" s="12"/>
      <c r="G2027" s="9"/>
      <c r="H2027" s="5"/>
      <c r="I2027" s="5"/>
    </row>
    <row r="2028" spans="3:9" x14ac:dyDescent="0.25">
      <c r="C2028" s="11"/>
      <c r="E2028" s="12"/>
      <c r="F2028" s="12"/>
      <c r="G2028" s="9"/>
      <c r="H2028" s="5"/>
      <c r="I2028" s="5"/>
    </row>
    <row r="2029" spans="3:9" x14ac:dyDescent="0.25">
      <c r="C2029" s="11"/>
      <c r="E2029" s="12"/>
      <c r="F2029" s="12"/>
      <c r="G2029" s="9"/>
      <c r="H2029" s="5"/>
      <c r="I2029" s="5"/>
    </row>
    <row r="2030" spans="3:9" x14ac:dyDescent="0.25">
      <c r="C2030" s="11"/>
      <c r="E2030" s="12"/>
      <c r="F2030" s="12"/>
      <c r="G2030" s="9"/>
      <c r="H2030" s="5"/>
      <c r="I2030" s="5"/>
    </row>
    <row r="2031" spans="3:9" x14ac:dyDescent="0.25">
      <c r="C2031" s="11"/>
      <c r="E2031" s="12"/>
      <c r="F2031" s="12"/>
      <c r="G2031" s="9"/>
      <c r="H2031" s="5"/>
      <c r="I2031" s="5"/>
    </row>
    <row r="2032" spans="3:9" x14ac:dyDescent="0.25">
      <c r="C2032" s="11"/>
      <c r="E2032" s="12"/>
      <c r="F2032" s="12"/>
      <c r="G2032" s="9"/>
      <c r="H2032" s="5"/>
      <c r="I2032" s="5"/>
    </row>
    <row r="2033" spans="3:9" x14ac:dyDescent="0.25">
      <c r="C2033" s="11"/>
      <c r="E2033" s="12"/>
      <c r="F2033" s="12"/>
      <c r="G2033" s="9"/>
      <c r="H2033" s="5"/>
      <c r="I2033" s="5"/>
    </row>
    <row r="2034" spans="3:9" x14ac:dyDescent="0.25">
      <c r="C2034" s="11"/>
      <c r="E2034" s="12"/>
      <c r="F2034" s="12"/>
      <c r="G2034" s="9"/>
      <c r="H2034" s="5"/>
      <c r="I2034" s="5"/>
    </row>
    <row r="2035" spans="3:9" x14ac:dyDescent="0.25">
      <c r="C2035" s="11"/>
      <c r="E2035" s="12"/>
      <c r="F2035" s="12"/>
      <c r="G2035" s="9"/>
      <c r="H2035" s="5"/>
      <c r="I2035" s="5"/>
    </row>
    <row r="2036" spans="3:9" x14ac:dyDescent="0.25">
      <c r="C2036" s="11"/>
      <c r="E2036" s="12"/>
      <c r="F2036" s="12"/>
      <c r="G2036" s="9"/>
      <c r="H2036" s="5"/>
      <c r="I2036" s="5"/>
    </row>
    <row r="2037" spans="3:9" x14ac:dyDescent="0.25">
      <c r="C2037" s="11"/>
      <c r="E2037" s="12"/>
      <c r="F2037" s="12"/>
      <c r="G2037" s="9"/>
      <c r="H2037" s="5"/>
      <c r="I2037" s="5"/>
    </row>
    <row r="2038" spans="3:9" x14ac:dyDescent="0.25">
      <c r="C2038" s="11"/>
      <c r="E2038" s="12"/>
      <c r="F2038" s="12"/>
      <c r="G2038" s="9"/>
      <c r="H2038" s="5"/>
      <c r="I2038" s="5"/>
    </row>
    <row r="2039" spans="3:9" x14ac:dyDescent="0.25">
      <c r="C2039" s="11"/>
      <c r="E2039" s="12"/>
      <c r="F2039" s="12"/>
      <c r="G2039" s="9"/>
      <c r="H2039" s="5"/>
      <c r="I2039" s="5"/>
    </row>
    <row r="2040" spans="3:9" x14ac:dyDescent="0.25">
      <c r="C2040" s="11"/>
      <c r="E2040" s="12"/>
      <c r="F2040" s="12"/>
      <c r="G2040" s="9"/>
      <c r="H2040" s="5"/>
      <c r="I2040" s="5"/>
    </row>
    <row r="2041" spans="3:9" x14ac:dyDescent="0.25">
      <c r="C2041" s="11"/>
      <c r="E2041" s="12"/>
      <c r="F2041" s="12"/>
      <c r="G2041" s="9"/>
      <c r="H2041" s="5"/>
      <c r="I2041" s="5"/>
    </row>
    <row r="2042" spans="3:9" x14ac:dyDescent="0.25">
      <c r="C2042" s="11"/>
      <c r="E2042" s="12"/>
      <c r="F2042" s="12"/>
      <c r="G2042" s="9"/>
      <c r="H2042" s="5"/>
      <c r="I2042" s="5"/>
    </row>
    <row r="2043" spans="3:9" x14ac:dyDescent="0.25">
      <c r="C2043" s="11"/>
      <c r="E2043" s="12"/>
      <c r="F2043" s="12"/>
      <c r="G2043" s="9"/>
      <c r="H2043" s="5"/>
      <c r="I2043" s="5"/>
    </row>
    <row r="2044" spans="3:9" x14ac:dyDescent="0.25">
      <c r="C2044" s="11"/>
      <c r="E2044" s="12"/>
      <c r="F2044" s="12"/>
      <c r="G2044" s="9"/>
      <c r="H2044" s="5"/>
      <c r="I2044" s="5"/>
    </row>
    <row r="2045" spans="3:9" x14ac:dyDescent="0.25">
      <c r="C2045" s="11"/>
      <c r="E2045" s="12"/>
      <c r="F2045" s="12"/>
      <c r="G2045" s="9"/>
      <c r="H2045" s="5"/>
      <c r="I2045" s="5"/>
    </row>
    <row r="2046" spans="3:9" x14ac:dyDescent="0.25">
      <c r="C2046" s="11"/>
      <c r="E2046" s="12"/>
      <c r="F2046" s="12"/>
      <c r="G2046" s="9"/>
      <c r="H2046" s="5"/>
      <c r="I2046" s="5"/>
    </row>
    <row r="2047" spans="3:9" x14ac:dyDescent="0.25">
      <c r="C2047" s="11"/>
      <c r="E2047" s="12"/>
      <c r="F2047" s="12"/>
      <c r="G2047" s="9"/>
      <c r="H2047" s="5"/>
      <c r="I2047" s="5"/>
    </row>
    <row r="2048" spans="3:9" x14ac:dyDescent="0.25">
      <c r="C2048" s="11"/>
      <c r="E2048" s="12"/>
      <c r="F2048" s="12"/>
      <c r="G2048" s="9"/>
      <c r="H2048" s="5"/>
      <c r="I2048" s="5"/>
    </row>
    <row r="2049" spans="3:9" x14ac:dyDescent="0.25">
      <c r="C2049" s="11"/>
      <c r="E2049" s="12"/>
      <c r="F2049" s="12"/>
      <c r="G2049" s="9"/>
      <c r="H2049" s="5"/>
      <c r="I2049" s="5"/>
    </row>
    <row r="2050" spans="3:9" x14ac:dyDescent="0.25">
      <c r="C2050" s="11"/>
      <c r="E2050" s="12"/>
      <c r="F2050" s="12"/>
      <c r="G2050" s="9"/>
      <c r="H2050" s="5"/>
      <c r="I2050" s="5"/>
    </row>
    <row r="2051" spans="3:9" x14ac:dyDescent="0.25">
      <c r="C2051" s="11"/>
      <c r="E2051" s="12"/>
      <c r="F2051" s="12"/>
      <c r="G2051" s="9"/>
      <c r="H2051" s="5"/>
      <c r="I2051" s="5"/>
    </row>
    <row r="2052" spans="3:9" x14ac:dyDescent="0.25">
      <c r="C2052" s="11"/>
      <c r="E2052" s="12"/>
      <c r="F2052" s="12"/>
      <c r="G2052" s="9"/>
      <c r="H2052" s="5"/>
      <c r="I2052" s="5"/>
    </row>
    <row r="2053" spans="3:9" x14ac:dyDescent="0.25">
      <c r="C2053" s="11"/>
      <c r="E2053" s="12"/>
      <c r="F2053" s="12"/>
      <c r="G2053" s="9"/>
      <c r="H2053" s="5"/>
      <c r="I2053" s="5"/>
    </row>
    <row r="2054" spans="3:9" x14ac:dyDescent="0.25">
      <c r="C2054" s="11"/>
      <c r="E2054" s="12"/>
      <c r="F2054" s="12"/>
      <c r="G2054" s="9"/>
      <c r="H2054" s="5"/>
      <c r="I2054" s="5"/>
    </row>
    <row r="2055" spans="3:9" x14ac:dyDescent="0.25">
      <c r="C2055" s="11"/>
      <c r="E2055" s="12"/>
      <c r="F2055" s="12"/>
      <c r="G2055" s="9"/>
      <c r="H2055" s="5"/>
      <c r="I2055" s="5"/>
    </row>
    <row r="2056" spans="3:9" x14ac:dyDescent="0.25">
      <c r="C2056" s="11"/>
      <c r="E2056" s="12"/>
      <c r="F2056" s="12"/>
      <c r="G2056" s="9"/>
      <c r="H2056" s="5"/>
      <c r="I2056" s="5"/>
    </row>
    <row r="2057" spans="3:9" x14ac:dyDescent="0.25">
      <c r="C2057" s="11"/>
      <c r="E2057" s="12"/>
      <c r="F2057" s="12"/>
      <c r="G2057" s="9"/>
      <c r="H2057" s="5"/>
      <c r="I2057" s="5"/>
    </row>
    <row r="2058" spans="3:9" x14ac:dyDescent="0.25">
      <c r="C2058" s="11"/>
      <c r="E2058" s="12"/>
      <c r="F2058" s="12"/>
      <c r="G2058" s="9"/>
      <c r="H2058" s="5"/>
      <c r="I2058" s="5"/>
    </row>
    <row r="2059" spans="3:9" x14ac:dyDescent="0.25">
      <c r="C2059" s="11"/>
      <c r="E2059" s="12"/>
      <c r="F2059" s="12"/>
      <c r="G2059" s="9"/>
      <c r="H2059" s="5"/>
      <c r="I2059" s="5"/>
    </row>
    <row r="2060" spans="3:9" x14ac:dyDescent="0.25">
      <c r="C2060" s="11"/>
      <c r="E2060" s="12"/>
      <c r="F2060" s="12"/>
      <c r="G2060" s="9"/>
      <c r="H2060" s="5"/>
      <c r="I2060" s="5"/>
    </row>
    <row r="2061" spans="3:9" x14ac:dyDescent="0.25">
      <c r="C2061" s="11"/>
      <c r="E2061" s="12"/>
      <c r="F2061" s="12"/>
      <c r="G2061" s="9"/>
      <c r="H2061" s="5"/>
      <c r="I2061" s="5"/>
    </row>
    <row r="2062" spans="3:9" x14ac:dyDescent="0.25">
      <c r="C2062" s="11"/>
      <c r="E2062" s="12"/>
      <c r="F2062" s="12"/>
      <c r="G2062" s="9"/>
      <c r="H2062" s="5"/>
      <c r="I2062" s="5"/>
    </row>
    <row r="2063" spans="3:9" x14ac:dyDescent="0.25">
      <c r="C2063" s="11"/>
      <c r="E2063" s="12"/>
      <c r="F2063" s="12"/>
      <c r="G2063" s="9"/>
      <c r="H2063" s="5"/>
      <c r="I2063" s="5"/>
    </row>
    <row r="2064" spans="3:9" x14ac:dyDescent="0.25">
      <c r="C2064" s="11"/>
      <c r="E2064" s="12"/>
      <c r="F2064" s="12"/>
      <c r="G2064" s="9"/>
      <c r="H2064" s="5"/>
      <c r="I2064" s="5"/>
    </row>
    <row r="2065" spans="3:9" x14ac:dyDescent="0.25">
      <c r="C2065" s="11"/>
      <c r="E2065" s="12"/>
      <c r="F2065" s="12"/>
      <c r="G2065" s="9"/>
      <c r="H2065" s="5"/>
      <c r="I2065" s="5"/>
    </row>
    <row r="2066" spans="3:9" x14ac:dyDescent="0.25">
      <c r="C2066" s="11"/>
      <c r="E2066" s="12"/>
      <c r="F2066" s="12"/>
      <c r="G2066" s="9"/>
      <c r="H2066" s="5"/>
      <c r="I2066" s="5"/>
    </row>
    <row r="2067" spans="3:9" x14ac:dyDescent="0.25">
      <c r="C2067" s="11"/>
      <c r="E2067" s="12"/>
      <c r="F2067" s="12"/>
      <c r="G2067" s="9"/>
      <c r="H2067" s="5"/>
      <c r="I2067" s="5"/>
    </row>
    <row r="2068" spans="3:9" x14ac:dyDescent="0.25">
      <c r="C2068" s="11"/>
      <c r="E2068" s="12"/>
      <c r="F2068" s="12"/>
      <c r="G2068" s="9"/>
      <c r="H2068" s="5"/>
      <c r="I2068" s="5"/>
    </row>
    <row r="2069" spans="3:9" x14ac:dyDescent="0.25">
      <c r="C2069" s="11"/>
      <c r="E2069" s="12"/>
      <c r="F2069" s="12"/>
      <c r="G2069" s="9"/>
      <c r="H2069" s="5"/>
      <c r="I2069" s="5"/>
    </row>
    <row r="2070" spans="3:9" x14ac:dyDescent="0.25">
      <c r="C2070" s="11"/>
      <c r="E2070" s="12"/>
      <c r="F2070" s="12"/>
      <c r="G2070" s="9"/>
      <c r="H2070" s="5"/>
      <c r="I2070" s="5"/>
    </row>
    <row r="2071" spans="3:9" x14ac:dyDescent="0.25">
      <c r="C2071" s="11"/>
      <c r="E2071" s="12"/>
      <c r="F2071" s="12"/>
      <c r="G2071" s="9"/>
      <c r="H2071" s="5"/>
      <c r="I2071" s="5"/>
    </row>
    <row r="2072" spans="3:9" x14ac:dyDescent="0.25">
      <c r="C2072" s="11"/>
      <c r="E2072" s="12"/>
      <c r="F2072" s="12"/>
      <c r="G2072" s="9"/>
      <c r="H2072" s="5"/>
      <c r="I2072" s="5"/>
    </row>
    <row r="2073" spans="3:9" x14ac:dyDescent="0.25">
      <c r="C2073" s="11"/>
      <c r="E2073" s="12"/>
      <c r="F2073" s="12"/>
      <c r="G2073" s="9"/>
      <c r="H2073" s="5"/>
      <c r="I2073" s="5"/>
    </row>
    <row r="2074" spans="3:9" x14ac:dyDescent="0.25">
      <c r="C2074" s="11"/>
      <c r="E2074" s="12"/>
      <c r="F2074" s="12"/>
      <c r="G2074" s="9"/>
      <c r="H2074" s="5"/>
      <c r="I2074" s="5"/>
    </row>
    <row r="2075" spans="3:9" x14ac:dyDescent="0.25">
      <c r="C2075" s="11"/>
      <c r="E2075" s="12"/>
      <c r="F2075" s="12"/>
      <c r="G2075" s="9"/>
      <c r="H2075" s="5"/>
      <c r="I2075" s="5"/>
    </row>
    <row r="2076" spans="3:9" x14ac:dyDescent="0.25">
      <c r="C2076" s="11"/>
      <c r="E2076" s="12"/>
      <c r="F2076" s="12"/>
      <c r="G2076" s="9"/>
      <c r="H2076" s="5"/>
      <c r="I2076" s="5"/>
    </row>
    <row r="2077" spans="3:9" x14ac:dyDescent="0.25">
      <c r="C2077" s="11"/>
      <c r="E2077" s="12"/>
      <c r="F2077" s="12"/>
      <c r="G2077" s="9"/>
      <c r="H2077" s="5"/>
      <c r="I2077" s="5"/>
    </row>
    <row r="2078" spans="3:9" x14ac:dyDescent="0.25">
      <c r="C2078" s="11"/>
      <c r="E2078" s="12"/>
      <c r="F2078" s="12"/>
      <c r="G2078" s="9"/>
      <c r="H2078" s="5"/>
      <c r="I2078" s="5"/>
    </row>
    <row r="2079" spans="3:9" x14ac:dyDescent="0.25">
      <c r="C2079" s="11"/>
      <c r="E2079" s="12"/>
      <c r="F2079" s="12"/>
      <c r="G2079" s="9"/>
      <c r="H2079" s="5"/>
      <c r="I2079" s="5"/>
    </row>
    <row r="2080" spans="3:9" x14ac:dyDescent="0.25">
      <c r="C2080" s="11"/>
      <c r="E2080" s="12"/>
      <c r="F2080" s="12"/>
      <c r="G2080" s="9"/>
      <c r="H2080" s="5"/>
      <c r="I2080" s="5"/>
    </row>
    <row r="2081" spans="3:9" x14ac:dyDescent="0.25">
      <c r="C2081" s="11"/>
      <c r="E2081" s="12"/>
      <c r="F2081" s="12"/>
      <c r="G2081" s="9"/>
      <c r="H2081" s="5"/>
      <c r="I2081" s="5"/>
    </row>
    <row r="2082" spans="3:9" x14ac:dyDescent="0.25">
      <c r="C2082" s="11"/>
      <c r="E2082" s="12"/>
      <c r="F2082" s="12"/>
      <c r="G2082" s="9"/>
      <c r="H2082" s="5"/>
      <c r="I2082" s="5"/>
    </row>
    <row r="2083" spans="3:9" x14ac:dyDescent="0.25">
      <c r="C2083" s="11"/>
      <c r="E2083" s="12"/>
      <c r="F2083" s="12"/>
      <c r="G2083" s="9"/>
      <c r="H2083" s="5"/>
      <c r="I2083" s="5"/>
    </row>
    <row r="2084" spans="3:9" x14ac:dyDescent="0.25">
      <c r="C2084" s="11"/>
      <c r="E2084" s="12"/>
      <c r="F2084" s="12"/>
      <c r="G2084" s="9"/>
      <c r="H2084" s="5"/>
      <c r="I2084" s="5"/>
    </row>
    <row r="2085" spans="3:9" x14ac:dyDescent="0.25">
      <c r="C2085" s="11"/>
      <c r="E2085" s="12"/>
      <c r="F2085" s="12"/>
      <c r="G2085" s="9"/>
      <c r="H2085" s="5"/>
      <c r="I2085" s="5"/>
    </row>
    <row r="2086" spans="3:9" x14ac:dyDescent="0.25">
      <c r="C2086" s="11"/>
      <c r="E2086" s="12"/>
      <c r="F2086" s="12"/>
      <c r="G2086" s="9"/>
      <c r="H2086" s="5"/>
      <c r="I2086" s="5"/>
    </row>
    <row r="2087" spans="3:9" x14ac:dyDescent="0.25">
      <c r="C2087" s="11"/>
      <c r="E2087" s="12"/>
      <c r="F2087" s="12"/>
      <c r="G2087" s="9"/>
      <c r="H2087" s="5"/>
      <c r="I2087" s="5"/>
    </row>
    <row r="2088" spans="3:9" x14ac:dyDescent="0.25">
      <c r="C2088" s="11"/>
      <c r="E2088" s="12"/>
      <c r="F2088" s="12"/>
      <c r="G2088" s="9"/>
      <c r="H2088" s="5"/>
      <c r="I2088" s="5"/>
    </row>
    <row r="2089" spans="3:9" x14ac:dyDescent="0.25">
      <c r="C2089" s="11"/>
      <c r="E2089" s="12"/>
      <c r="F2089" s="12"/>
      <c r="G2089" s="9"/>
      <c r="H2089" s="5"/>
      <c r="I2089" s="5"/>
    </row>
    <row r="2090" spans="3:9" x14ac:dyDescent="0.25">
      <c r="C2090" s="11"/>
      <c r="E2090" s="12"/>
      <c r="F2090" s="12"/>
      <c r="G2090" s="9"/>
      <c r="H2090" s="5"/>
      <c r="I2090" s="5"/>
    </row>
    <row r="2091" spans="3:9" x14ac:dyDescent="0.25">
      <c r="C2091" s="11"/>
      <c r="E2091" s="12"/>
      <c r="F2091" s="12"/>
      <c r="G2091" s="9"/>
      <c r="H2091" s="5"/>
      <c r="I2091" s="5"/>
    </row>
    <row r="2092" spans="3:9" x14ac:dyDescent="0.25">
      <c r="C2092" s="11"/>
      <c r="E2092" s="12"/>
      <c r="F2092" s="12"/>
      <c r="G2092" s="9"/>
      <c r="H2092" s="5"/>
      <c r="I2092" s="5"/>
    </row>
    <row r="2093" spans="3:9" x14ac:dyDescent="0.25">
      <c r="C2093" s="11"/>
      <c r="E2093" s="12"/>
      <c r="F2093" s="12"/>
      <c r="G2093" s="9"/>
      <c r="H2093" s="5"/>
      <c r="I2093" s="5"/>
    </row>
    <row r="2094" spans="3:9" x14ac:dyDescent="0.25">
      <c r="C2094" s="11"/>
      <c r="E2094" s="12"/>
      <c r="F2094" s="12"/>
      <c r="G2094" s="9"/>
      <c r="H2094" s="5"/>
      <c r="I2094" s="5"/>
    </row>
    <row r="2095" spans="3:9" x14ac:dyDescent="0.25">
      <c r="C2095" s="11"/>
      <c r="E2095" s="12"/>
      <c r="F2095" s="12"/>
      <c r="G2095" s="9"/>
      <c r="H2095" s="5"/>
      <c r="I2095" s="5"/>
    </row>
    <row r="2096" spans="3:9" x14ac:dyDescent="0.25">
      <c r="C2096" s="11"/>
      <c r="E2096" s="12"/>
      <c r="F2096" s="12"/>
      <c r="G2096" s="9"/>
      <c r="H2096" s="5"/>
      <c r="I2096" s="5"/>
    </row>
    <row r="2097" spans="3:9" x14ac:dyDescent="0.25">
      <c r="C2097" s="11"/>
      <c r="E2097" s="12"/>
      <c r="F2097" s="12"/>
      <c r="G2097" s="9"/>
      <c r="H2097" s="5"/>
      <c r="I2097" s="5"/>
    </row>
    <row r="2098" spans="3:9" x14ac:dyDescent="0.25">
      <c r="C2098" s="11"/>
      <c r="E2098" s="12"/>
      <c r="F2098" s="12"/>
      <c r="G2098" s="9"/>
      <c r="H2098" s="5"/>
      <c r="I2098" s="5"/>
    </row>
    <row r="2099" spans="3:9" x14ac:dyDescent="0.25">
      <c r="C2099" s="11"/>
      <c r="E2099" s="12"/>
      <c r="F2099" s="12"/>
      <c r="G2099" s="9"/>
      <c r="H2099" s="5"/>
      <c r="I2099" s="5"/>
    </row>
    <row r="2100" spans="3:9" x14ac:dyDescent="0.25">
      <c r="C2100" s="11"/>
      <c r="E2100" s="12"/>
      <c r="F2100" s="12"/>
      <c r="G2100" s="9"/>
      <c r="H2100" s="5"/>
      <c r="I2100" s="5"/>
    </row>
    <row r="2101" spans="3:9" x14ac:dyDescent="0.25">
      <c r="C2101" s="11"/>
      <c r="E2101" s="12"/>
      <c r="F2101" s="12"/>
      <c r="G2101" s="9"/>
      <c r="H2101" s="5"/>
      <c r="I2101" s="5"/>
    </row>
    <row r="2102" spans="3:9" x14ac:dyDescent="0.25">
      <c r="C2102" s="11"/>
      <c r="E2102" s="12"/>
      <c r="F2102" s="12"/>
      <c r="G2102" s="9"/>
      <c r="H2102" s="5"/>
      <c r="I2102" s="5"/>
    </row>
    <row r="2103" spans="3:9" x14ac:dyDescent="0.25">
      <c r="C2103" s="11"/>
      <c r="E2103" s="12"/>
      <c r="F2103" s="12"/>
      <c r="G2103" s="9"/>
      <c r="H2103" s="5"/>
      <c r="I2103" s="5"/>
    </row>
    <row r="2104" spans="3:9" x14ac:dyDescent="0.25">
      <c r="C2104" s="11"/>
      <c r="E2104" s="12"/>
      <c r="F2104" s="12"/>
      <c r="G2104" s="9"/>
      <c r="H2104" s="5"/>
      <c r="I2104" s="5"/>
    </row>
    <row r="2105" spans="3:9" x14ac:dyDescent="0.25">
      <c r="C2105" s="11"/>
      <c r="E2105" s="12"/>
      <c r="F2105" s="12"/>
      <c r="G2105" s="9"/>
      <c r="H2105" s="5"/>
      <c r="I2105" s="5"/>
    </row>
    <row r="2106" spans="3:9" x14ac:dyDescent="0.25">
      <c r="C2106" s="11"/>
      <c r="E2106" s="12"/>
      <c r="F2106" s="12"/>
      <c r="G2106" s="9"/>
      <c r="H2106" s="5"/>
      <c r="I2106" s="5"/>
    </row>
    <row r="2107" spans="3:9" x14ac:dyDescent="0.25">
      <c r="C2107" s="11"/>
      <c r="E2107" s="12"/>
      <c r="F2107" s="12"/>
      <c r="G2107" s="9"/>
      <c r="H2107" s="5"/>
      <c r="I2107" s="5"/>
    </row>
    <row r="2108" spans="3:9" x14ac:dyDescent="0.25">
      <c r="C2108" s="11"/>
      <c r="E2108" s="12"/>
      <c r="F2108" s="12"/>
      <c r="G2108" s="9"/>
      <c r="H2108" s="5"/>
      <c r="I2108" s="5"/>
    </row>
    <row r="2109" spans="3:9" x14ac:dyDescent="0.25">
      <c r="C2109" s="11"/>
      <c r="E2109" s="12"/>
      <c r="F2109" s="12"/>
      <c r="G2109" s="9"/>
      <c r="H2109" s="5"/>
      <c r="I2109" s="5"/>
    </row>
    <row r="2110" spans="3:9" x14ac:dyDescent="0.25">
      <c r="C2110" s="11"/>
      <c r="E2110" s="12"/>
      <c r="F2110" s="12"/>
      <c r="G2110" s="9"/>
      <c r="H2110" s="5"/>
      <c r="I2110" s="5"/>
    </row>
    <row r="2111" spans="3:9" x14ac:dyDescent="0.25">
      <c r="C2111" s="11"/>
      <c r="E2111" s="12"/>
      <c r="F2111" s="12"/>
      <c r="G2111" s="9"/>
      <c r="H2111" s="5"/>
      <c r="I2111" s="5"/>
    </row>
    <row r="2112" spans="3:9" x14ac:dyDescent="0.25">
      <c r="C2112" s="11"/>
      <c r="E2112" s="12"/>
      <c r="F2112" s="12"/>
      <c r="G2112" s="9"/>
      <c r="H2112" s="5"/>
      <c r="I2112" s="5"/>
    </row>
    <row r="2113" spans="3:9" x14ac:dyDescent="0.25">
      <c r="C2113" s="11"/>
      <c r="E2113" s="12"/>
      <c r="F2113" s="12"/>
      <c r="G2113" s="9"/>
      <c r="H2113" s="5"/>
      <c r="I2113" s="5"/>
    </row>
    <row r="2114" spans="3:9" x14ac:dyDescent="0.25">
      <c r="C2114" s="11"/>
      <c r="E2114" s="12"/>
      <c r="F2114" s="12"/>
      <c r="G2114" s="9"/>
      <c r="H2114" s="5"/>
      <c r="I2114" s="5"/>
    </row>
    <row r="2115" spans="3:9" x14ac:dyDescent="0.25">
      <c r="C2115" s="11"/>
      <c r="E2115" s="12"/>
      <c r="F2115" s="12"/>
      <c r="G2115" s="9"/>
      <c r="H2115" s="5"/>
      <c r="I2115" s="5"/>
    </row>
    <row r="2116" spans="3:9" x14ac:dyDescent="0.25">
      <c r="C2116" s="11"/>
      <c r="E2116" s="12"/>
      <c r="F2116" s="12"/>
      <c r="G2116" s="9"/>
      <c r="H2116" s="5"/>
      <c r="I2116" s="5"/>
    </row>
    <row r="2117" spans="3:9" x14ac:dyDescent="0.25">
      <c r="C2117" s="11"/>
      <c r="E2117" s="12"/>
      <c r="F2117" s="12"/>
      <c r="G2117" s="9"/>
      <c r="H2117" s="5"/>
      <c r="I2117" s="5"/>
    </row>
    <row r="2118" spans="3:9" x14ac:dyDescent="0.25">
      <c r="C2118" s="11"/>
      <c r="E2118" s="12"/>
      <c r="F2118" s="12"/>
      <c r="G2118" s="9"/>
      <c r="H2118" s="5"/>
      <c r="I2118" s="5"/>
    </row>
    <row r="2119" spans="3:9" x14ac:dyDescent="0.25">
      <c r="C2119" s="11"/>
      <c r="E2119" s="12"/>
      <c r="F2119" s="12"/>
      <c r="G2119" s="9"/>
      <c r="H2119" s="5"/>
      <c r="I2119" s="5"/>
    </row>
    <row r="2120" spans="3:9" x14ac:dyDescent="0.25">
      <c r="C2120" s="11"/>
      <c r="E2120" s="12"/>
      <c r="F2120" s="12"/>
      <c r="G2120" s="9"/>
      <c r="H2120" s="5"/>
      <c r="I2120" s="5"/>
    </row>
    <row r="2121" spans="3:9" x14ac:dyDescent="0.25">
      <c r="C2121" s="11"/>
      <c r="E2121" s="12"/>
      <c r="F2121" s="12"/>
      <c r="G2121" s="9"/>
      <c r="H2121" s="5"/>
      <c r="I2121" s="5"/>
    </row>
    <row r="2122" spans="3:9" x14ac:dyDescent="0.25">
      <c r="C2122" s="11"/>
      <c r="E2122" s="12"/>
      <c r="F2122" s="12"/>
      <c r="G2122" s="9"/>
      <c r="H2122" s="5"/>
      <c r="I2122" s="5"/>
    </row>
    <row r="2123" spans="3:9" x14ac:dyDescent="0.25">
      <c r="C2123" s="11"/>
      <c r="E2123" s="12"/>
      <c r="F2123" s="12"/>
      <c r="G2123" s="9"/>
      <c r="H2123" s="5"/>
      <c r="I2123" s="5"/>
    </row>
    <row r="2124" spans="3:9" x14ac:dyDescent="0.25">
      <c r="C2124" s="11"/>
      <c r="E2124" s="12"/>
      <c r="F2124" s="12"/>
      <c r="G2124" s="9"/>
      <c r="H2124" s="5"/>
      <c r="I2124" s="5"/>
    </row>
    <row r="2125" spans="3:9" x14ac:dyDescent="0.25">
      <c r="C2125" s="11"/>
      <c r="E2125" s="12"/>
      <c r="F2125" s="12"/>
      <c r="G2125" s="9"/>
      <c r="H2125" s="5"/>
      <c r="I2125" s="5"/>
    </row>
    <row r="2126" spans="3:9" x14ac:dyDescent="0.25">
      <c r="C2126" s="11"/>
      <c r="E2126" s="12"/>
      <c r="F2126" s="12"/>
      <c r="G2126" s="9"/>
      <c r="H2126" s="5"/>
      <c r="I2126" s="5"/>
    </row>
    <row r="2127" spans="3:9" x14ac:dyDescent="0.25">
      <c r="C2127" s="11"/>
      <c r="E2127" s="12"/>
      <c r="F2127" s="12"/>
      <c r="G2127" s="9"/>
      <c r="H2127" s="5"/>
      <c r="I2127" s="5"/>
    </row>
    <row r="2128" spans="3:9" x14ac:dyDescent="0.25">
      <c r="C2128" s="11"/>
      <c r="E2128" s="12"/>
      <c r="F2128" s="12"/>
      <c r="G2128" s="9"/>
      <c r="H2128" s="5"/>
      <c r="I2128" s="5"/>
    </row>
    <row r="2129" spans="3:9" x14ac:dyDescent="0.25">
      <c r="C2129" s="11"/>
      <c r="E2129" s="12"/>
      <c r="F2129" s="12"/>
      <c r="G2129" s="9"/>
      <c r="H2129" s="5"/>
      <c r="I2129" s="5"/>
    </row>
    <row r="2130" spans="3:9" x14ac:dyDescent="0.25">
      <c r="C2130" s="11"/>
      <c r="E2130" s="12"/>
      <c r="F2130" s="12"/>
      <c r="G2130" s="9"/>
      <c r="H2130" s="5"/>
      <c r="I2130" s="5"/>
    </row>
    <row r="2131" spans="3:9" x14ac:dyDescent="0.25">
      <c r="C2131" s="11"/>
      <c r="E2131" s="12"/>
      <c r="F2131" s="12"/>
      <c r="G2131" s="9"/>
      <c r="H2131" s="5"/>
      <c r="I2131" s="5"/>
    </row>
    <row r="2132" spans="3:9" x14ac:dyDescent="0.25">
      <c r="C2132" s="11"/>
      <c r="E2132" s="12"/>
      <c r="F2132" s="12"/>
      <c r="G2132" s="9"/>
      <c r="H2132" s="5"/>
      <c r="I2132" s="5"/>
    </row>
    <row r="2133" spans="3:9" x14ac:dyDescent="0.25">
      <c r="C2133" s="11"/>
      <c r="E2133" s="12"/>
      <c r="F2133" s="12"/>
      <c r="G2133" s="9"/>
      <c r="H2133" s="5"/>
      <c r="I2133" s="5"/>
    </row>
    <row r="2134" spans="3:9" x14ac:dyDescent="0.25">
      <c r="C2134" s="11"/>
      <c r="E2134" s="12"/>
      <c r="F2134" s="12"/>
      <c r="G2134" s="9"/>
      <c r="H2134" s="5"/>
      <c r="I2134" s="5"/>
    </row>
    <row r="2135" spans="3:9" x14ac:dyDescent="0.25">
      <c r="C2135" s="11"/>
      <c r="E2135" s="12"/>
      <c r="F2135" s="12"/>
      <c r="G2135" s="9"/>
      <c r="H2135" s="5"/>
      <c r="I2135" s="5"/>
    </row>
    <row r="2136" spans="3:9" x14ac:dyDescent="0.25">
      <c r="C2136" s="11"/>
      <c r="E2136" s="12"/>
      <c r="F2136" s="12"/>
      <c r="G2136" s="9"/>
      <c r="H2136" s="5"/>
      <c r="I2136" s="5"/>
    </row>
    <row r="2137" spans="3:9" x14ac:dyDescent="0.25">
      <c r="C2137" s="11"/>
      <c r="E2137" s="12"/>
      <c r="F2137" s="12"/>
      <c r="G2137" s="9"/>
      <c r="H2137" s="5"/>
      <c r="I2137" s="5"/>
    </row>
    <row r="2138" spans="3:9" x14ac:dyDescent="0.25">
      <c r="C2138" s="11"/>
      <c r="E2138" s="12"/>
      <c r="F2138" s="12"/>
      <c r="G2138" s="9"/>
      <c r="H2138" s="5"/>
      <c r="I2138" s="5"/>
    </row>
    <row r="2139" spans="3:9" x14ac:dyDescent="0.25">
      <c r="C2139" s="11"/>
      <c r="E2139" s="12"/>
      <c r="F2139" s="12"/>
      <c r="G2139" s="9"/>
      <c r="H2139" s="5"/>
      <c r="I2139" s="5"/>
    </row>
    <row r="2140" spans="3:9" x14ac:dyDescent="0.25">
      <c r="C2140" s="11"/>
      <c r="E2140" s="12"/>
      <c r="F2140" s="12"/>
      <c r="G2140" s="9"/>
      <c r="H2140" s="5"/>
      <c r="I2140" s="5"/>
    </row>
    <row r="2141" spans="3:9" x14ac:dyDescent="0.25">
      <c r="C2141" s="11"/>
      <c r="E2141" s="12"/>
      <c r="F2141" s="12"/>
      <c r="G2141" s="9"/>
      <c r="H2141" s="5"/>
      <c r="I2141" s="5"/>
    </row>
    <row r="2142" spans="3:9" x14ac:dyDescent="0.25">
      <c r="C2142" s="11"/>
      <c r="E2142" s="12"/>
      <c r="F2142" s="12"/>
      <c r="G2142" s="9"/>
      <c r="H2142" s="5"/>
      <c r="I2142" s="5"/>
    </row>
    <row r="2143" spans="3:9" x14ac:dyDescent="0.25">
      <c r="C2143" s="11"/>
      <c r="E2143" s="12"/>
      <c r="F2143" s="12"/>
      <c r="G2143" s="9"/>
      <c r="H2143" s="5"/>
      <c r="I2143" s="5"/>
    </row>
    <row r="2144" spans="3:9" x14ac:dyDescent="0.25">
      <c r="C2144" s="11"/>
      <c r="E2144" s="12"/>
      <c r="F2144" s="12"/>
      <c r="G2144" s="9"/>
      <c r="H2144" s="5"/>
      <c r="I2144" s="5"/>
    </row>
    <row r="2145" spans="3:9" x14ac:dyDescent="0.25">
      <c r="C2145" s="11"/>
      <c r="E2145" s="12"/>
      <c r="F2145" s="12"/>
      <c r="G2145" s="9"/>
      <c r="H2145" s="5"/>
      <c r="I2145" s="5"/>
    </row>
    <row r="2146" spans="3:9" x14ac:dyDescent="0.25">
      <c r="C2146" s="11"/>
      <c r="E2146" s="12"/>
      <c r="F2146" s="12"/>
      <c r="G2146" s="9"/>
      <c r="H2146" s="5"/>
      <c r="I2146" s="5"/>
    </row>
    <row r="2147" spans="3:9" x14ac:dyDescent="0.25">
      <c r="C2147" s="11"/>
      <c r="E2147" s="12"/>
      <c r="F2147" s="12"/>
      <c r="G2147" s="9"/>
      <c r="H2147" s="5"/>
      <c r="I2147" s="5"/>
    </row>
    <row r="2148" spans="3:9" x14ac:dyDescent="0.25">
      <c r="C2148" s="11"/>
      <c r="E2148" s="12"/>
      <c r="F2148" s="12"/>
      <c r="G2148" s="9"/>
      <c r="H2148" s="5"/>
      <c r="I2148" s="5"/>
    </row>
    <row r="2149" spans="3:9" x14ac:dyDescent="0.25">
      <c r="C2149" s="11"/>
      <c r="E2149" s="12"/>
      <c r="F2149" s="12"/>
      <c r="G2149" s="9"/>
      <c r="H2149" s="5"/>
      <c r="I2149" s="5"/>
    </row>
    <row r="2150" spans="3:9" x14ac:dyDescent="0.25">
      <c r="C2150" s="11"/>
      <c r="E2150" s="12"/>
      <c r="F2150" s="12"/>
      <c r="G2150" s="9"/>
      <c r="H2150" s="5"/>
      <c r="I2150" s="5"/>
    </row>
    <row r="2151" spans="3:9" x14ac:dyDescent="0.25">
      <c r="C2151" s="11"/>
      <c r="E2151" s="12"/>
      <c r="F2151" s="12"/>
      <c r="G2151" s="9"/>
      <c r="H2151" s="5"/>
      <c r="I2151" s="5"/>
    </row>
    <row r="2152" spans="3:9" x14ac:dyDescent="0.25">
      <c r="C2152" s="11"/>
      <c r="E2152" s="12"/>
      <c r="F2152" s="12"/>
      <c r="G2152" s="9"/>
      <c r="H2152" s="5"/>
      <c r="I2152" s="5"/>
    </row>
    <row r="2153" spans="3:9" x14ac:dyDescent="0.25">
      <c r="C2153" s="11"/>
      <c r="E2153" s="12"/>
      <c r="F2153" s="12"/>
      <c r="G2153" s="9"/>
      <c r="H2153" s="5"/>
      <c r="I2153" s="5"/>
    </row>
    <row r="2154" spans="3:9" x14ac:dyDescent="0.25">
      <c r="C2154" s="11"/>
      <c r="E2154" s="12"/>
      <c r="F2154" s="12"/>
      <c r="G2154" s="9"/>
      <c r="H2154" s="5"/>
      <c r="I2154" s="5"/>
    </row>
    <row r="2155" spans="3:9" x14ac:dyDescent="0.25">
      <c r="C2155" s="11"/>
      <c r="E2155" s="12"/>
      <c r="F2155" s="12"/>
      <c r="G2155" s="9"/>
      <c r="H2155" s="5"/>
      <c r="I2155" s="5"/>
    </row>
    <row r="2156" spans="3:9" x14ac:dyDescent="0.25">
      <c r="C2156" s="11"/>
      <c r="E2156" s="12"/>
      <c r="F2156" s="12"/>
      <c r="G2156" s="9"/>
      <c r="H2156" s="5"/>
      <c r="I2156" s="5"/>
    </row>
    <row r="2157" spans="3:9" x14ac:dyDescent="0.25">
      <c r="C2157" s="11"/>
      <c r="E2157" s="12"/>
      <c r="F2157" s="12"/>
      <c r="G2157" s="9"/>
      <c r="H2157" s="5"/>
      <c r="I2157" s="5"/>
    </row>
    <row r="2158" spans="3:9" x14ac:dyDescent="0.25">
      <c r="C2158" s="11"/>
      <c r="E2158" s="12"/>
      <c r="F2158" s="12"/>
      <c r="G2158" s="9"/>
      <c r="H2158" s="5"/>
      <c r="I2158" s="5"/>
    </row>
    <row r="2159" spans="3:9" x14ac:dyDescent="0.25">
      <c r="C2159" s="11"/>
      <c r="E2159" s="12"/>
      <c r="F2159" s="12"/>
      <c r="G2159" s="9"/>
      <c r="H2159" s="5"/>
      <c r="I2159" s="5"/>
    </row>
    <row r="2160" spans="3:9" x14ac:dyDescent="0.25">
      <c r="C2160" s="11"/>
      <c r="E2160" s="12"/>
      <c r="F2160" s="12"/>
      <c r="G2160" s="9"/>
      <c r="H2160" s="5"/>
      <c r="I2160" s="5"/>
    </row>
    <row r="2161" spans="3:9" x14ac:dyDescent="0.25">
      <c r="C2161" s="11"/>
      <c r="E2161" s="12"/>
      <c r="F2161" s="12"/>
      <c r="G2161" s="9"/>
      <c r="H2161" s="5"/>
      <c r="I2161" s="5"/>
    </row>
    <row r="2162" spans="3:9" x14ac:dyDescent="0.25">
      <c r="C2162" s="11"/>
      <c r="E2162" s="12"/>
      <c r="F2162" s="12"/>
      <c r="G2162" s="9"/>
      <c r="H2162" s="5"/>
      <c r="I2162" s="5"/>
    </row>
    <row r="2163" spans="3:9" x14ac:dyDescent="0.25">
      <c r="C2163" s="11"/>
      <c r="E2163" s="12"/>
      <c r="F2163" s="12"/>
      <c r="G2163" s="9"/>
      <c r="H2163" s="5"/>
      <c r="I2163" s="5"/>
    </row>
    <row r="2164" spans="3:9" x14ac:dyDescent="0.25">
      <c r="C2164" s="11"/>
      <c r="E2164" s="12"/>
      <c r="F2164" s="12"/>
      <c r="G2164" s="9"/>
      <c r="H2164" s="5"/>
      <c r="I2164" s="5"/>
    </row>
    <row r="2165" spans="3:9" x14ac:dyDescent="0.25">
      <c r="C2165" s="11"/>
      <c r="E2165" s="12"/>
      <c r="F2165" s="12"/>
      <c r="G2165" s="9"/>
      <c r="H2165" s="5"/>
      <c r="I2165" s="5"/>
    </row>
    <row r="2166" spans="3:9" x14ac:dyDescent="0.25">
      <c r="C2166" s="11"/>
      <c r="E2166" s="12"/>
      <c r="F2166" s="12"/>
      <c r="G2166" s="9"/>
      <c r="H2166" s="5"/>
      <c r="I2166" s="5"/>
    </row>
    <row r="2167" spans="3:9" x14ac:dyDescent="0.25">
      <c r="C2167" s="11"/>
      <c r="E2167" s="12"/>
      <c r="F2167" s="12"/>
      <c r="G2167" s="9"/>
      <c r="H2167" s="5"/>
      <c r="I2167" s="5"/>
    </row>
    <row r="2168" spans="3:9" x14ac:dyDescent="0.25">
      <c r="C2168" s="11"/>
      <c r="E2168" s="12"/>
      <c r="F2168" s="12"/>
      <c r="G2168" s="9"/>
      <c r="H2168" s="5"/>
      <c r="I2168" s="5"/>
    </row>
    <row r="2169" spans="3:9" x14ac:dyDescent="0.25">
      <c r="C2169" s="11"/>
      <c r="E2169" s="12"/>
      <c r="F2169" s="12"/>
      <c r="G2169" s="9"/>
      <c r="H2169" s="5"/>
      <c r="I2169" s="5"/>
    </row>
    <row r="2170" spans="3:9" x14ac:dyDescent="0.25">
      <c r="C2170" s="11"/>
      <c r="E2170" s="12"/>
      <c r="F2170" s="12"/>
      <c r="G2170" s="9"/>
      <c r="H2170" s="5"/>
      <c r="I2170" s="5"/>
    </row>
    <row r="2171" spans="3:9" x14ac:dyDescent="0.25">
      <c r="C2171" s="11"/>
      <c r="E2171" s="12"/>
      <c r="F2171" s="12"/>
      <c r="G2171" s="9"/>
      <c r="H2171" s="5"/>
      <c r="I2171" s="5"/>
    </row>
    <row r="2172" spans="3:9" x14ac:dyDescent="0.25">
      <c r="C2172" s="11"/>
      <c r="E2172" s="12"/>
      <c r="F2172" s="12"/>
      <c r="G2172" s="9"/>
      <c r="H2172" s="5"/>
      <c r="I2172" s="5"/>
    </row>
    <row r="2173" spans="3:9" x14ac:dyDescent="0.25">
      <c r="C2173" s="11"/>
      <c r="E2173" s="12"/>
      <c r="F2173" s="12"/>
      <c r="G2173" s="9"/>
      <c r="H2173" s="5"/>
      <c r="I2173" s="5"/>
    </row>
    <row r="2174" spans="3:9" x14ac:dyDescent="0.25">
      <c r="C2174" s="11"/>
      <c r="E2174" s="12"/>
      <c r="F2174" s="12"/>
      <c r="G2174" s="9"/>
      <c r="H2174" s="5"/>
      <c r="I2174" s="5"/>
    </row>
    <row r="2175" spans="3:9" x14ac:dyDescent="0.25">
      <c r="C2175" s="11"/>
      <c r="E2175" s="12"/>
      <c r="F2175" s="12"/>
      <c r="G2175" s="9"/>
      <c r="H2175" s="5"/>
      <c r="I2175" s="5"/>
    </row>
    <row r="2176" spans="3:9" x14ac:dyDescent="0.25">
      <c r="C2176" s="11"/>
      <c r="E2176" s="12"/>
      <c r="F2176" s="12"/>
      <c r="G2176" s="9"/>
      <c r="H2176" s="5"/>
      <c r="I2176" s="5"/>
    </row>
    <row r="2177" spans="3:9" x14ac:dyDescent="0.25">
      <c r="C2177" s="11"/>
      <c r="E2177" s="12"/>
      <c r="F2177" s="12"/>
      <c r="G2177" s="9"/>
      <c r="H2177" s="5"/>
      <c r="I2177" s="5"/>
    </row>
    <row r="2178" spans="3:9" x14ac:dyDescent="0.25">
      <c r="C2178" s="11"/>
      <c r="E2178" s="12"/>
      <c r="F2178" s="12"/>
      <c r="G2178" s="9"/>
      <c r="H2178" s="5"/>
      <c r="I2178" s="5"/>
    </row>
    <row r="2179" spans="3:9" x14ac:dyDescent="0.25">
      <c r="C2179" s="11"/>
      <c r="E2179" s="12"/>
      <c r="F2179" s="12"/>
      <c r="G2179" s="9"/>
      <c r="H2179" s="5"/>
      <c r="I2179" s="5"/>
    </row>
    <row r="2180" spans="3:9" x14ac:dyDescent="0.25">
      <c r="C2180" s="11"/>
      <c r="E2180" s="12"/>
      <c r="F2180" s="12"/>
      <c r="G2180" s="9"/>
      <c r="H2180" s="5"/>
      <c r="I2180" s="5"/>
    </row>
    <row r="2181" spans="3:9" x14ac:dyDescent="0.25">
      <c r="C2181" s="11"/>
      <c r="E2181" s="12"/>
      <c r="F2181" s="12"/>
      <c r="G2181" s="9"/>
      <c r="H2181" s="5"/>
      <c r="I2181" s="5"/>
    </row>
    <row r="2182" spans="3:9" x14ac:dyDescent="0.25">
      <c r="C2182" s="11"/>
      <c r="E2182" s="12"/>
      <c r="F2182" s="12"/>
      <c r="G2182" s="9"/>
      <c r="H2182" s="5"/>
      <c r="I2182" s="5"/>
    </row>
    <row r="2183" spans="3:9" x14ac:dyDescent="0.25">
      <c r="C2183" s="11"/>
      <c r="E2183" s="12"/>
      <c r="F2183" s="12"/>
      <c r="G2183" s="9"/>
      <c r="H2183" s="5"/>
      <c r="I2183" s="5"/>
    </row>
    <row r="2184" spans="3:9" x14ac:dyDescent="0.25">
      <c r="C2184" s="11"/>
      <c r="E2184" s="12"/>
      <c r="F2184" s="12"/>
      <c r="G2184" s="9"/>
      <c r="H2184" s="5"/>
      <c r="I2184" s="5"/>
    </row>
    <row r="2185" spans="3:9" x14ac:dyDescent="0.25">
      <c r="C2185" s="11"/>
      <c r="E2185" s="12"/>
      <c r="F2185" s="12"/>
      <c r="G2185" s="9"/>
      <c r="H2185" s="5"/>
      <c r="I2185" s="5"/>
    </row>
    <row r="2186" spans="3:9" x14ac:dyDescent="0.25">
      <c r="C2186" s="11"/>
      <c r="E2186" s="12"/>
      <c r="F2186" s="12"/>
      <c r="G2186" s="9"/>
      <c r="H2186" s="5"/>
      <c r="I2186" s="5"/>
    </row>
    <row r="2187" spans="3:9" x14ac:dyDescent="0.25">
      <c r="C2187" s="11"/>
      <c r="E2187" s="12"/>
      <c r="F2187" s="12"/>
      <c r="G2187" s="9"/>
      <c r="H2187" s="5"/>
      <c r="I2187" s="5"/>
    </row>
    <row r="2188" spans="3:9" x14ac:dyDescent="0.25">
      <c r="C2188" s="11"/>
      <c r="E2188" s="12"/>
      <c r="F2188" s="12"/>
      <c r="G2188" s="9"/>
      <c r="H2188" s="5"/>
      <c r="I2188" s="5"/>
    </row>
    <row r="2189" spans="3:9" x14ac:dyDescent="0.25">
      <c r="C2189" s="11"/>
      <c r="E2189" s="12"/>
      <c r="F2189" s="12"/>
      <c r="G2189" s="9"/>
      <c r="H2189" s="5"/>
      <c r="I2189" s="5"/>
    </row>
    <row r="2190" spans="3:9" x14ac:dyDescent="0.25">
      <c r="C2190" s="11"/>
      <c r="E2190" s="12"/>
      <c r="F2190" s="12"/>
      <c r="G2190" s="9"/>
      <c r="H2190" s="5"/>
      <c r="I2190" s="5"/>
    </row>
    <row r="2191" spans="3:9" x14ac:dyDescent="0.25">
      <c r="C2191" s="11"/>
      <c r="E2191" s="12"/>
      <c r="F2191" s="12"/>
      <c r="G2191" s="9"/>
      <c r="H2191" s="5"/>
      <c r="I2191" s="5"/>
    </row>
    <row r="2192" spans="3:9" x14ac:dyDescent="0.25">
      <c r="C2192" s="11"/>
      <c r="E2192" s="12"/>
      <c r="F2192" s="12"/>
      <c r="G2192" s="9"/>
      <c r="H2192" s="5"/>
      <c r="I2192" s="5"/>
    </row>
    <row r="2193" spans="3:9" x14ac:dyDescent="0.25">
      <c r="C2193" s="11"/>
      <c r="E2193" s="12"/>
      <c r="F2193" s="12"/>
      <c r="G2193" s="9"/>
      <c r="H2193" s="5"/>
      <c r="I2193" s="5"/>
    </row>
    <row r="2194" spans="3:9" x14ac:dyDescent="0.25">
      <c r="C2194" s="11"/>
      <c r="E2194" s="12"/>
      <c r="F2194" s="12"/>
      <c r="G2194" s="9"/>
      <c r="H2194" s="5"/>
      <c r="I2194" s="5"/>
    </row>
    <row r="2195" spans="3:9" x14ac:dyDescent="0.25">
      <c r="C2195" s="11"/>
      <c r="E2195" s="12"/>
      <c r="F2195" s="12"/>
      <c r="G2195" s="9"/>
      <c r="H2195" s="5"/>
      <c r="I2195" s="5"/>
    </row>
    <row r="2196" spans="3:9" x14ac:dyDescent="0.25">
      <c r="C2196" s="11"/>
      <c r="E2196" s="12"/>
      <c r="F2196" s="12"/>
      <c r="G2196" s="9"/>
      <c r="H2196" s="5"/>
      <c r="I2196" s="5"/>
    </row>
    <row r="2197" spans="3:9" x14ac:dyDescent="0.25">
      <c r="C2197" s="11"/>
      <c r="E2197" s="12"/>
      <c r="F2197" s="12"/>
      <c r="G2197" s="9"/>
      <c r="H2197" s="5"/>
      <c r="I2197" s="5"/>
    </row>
    <row r="2198" spans="3:9" x14ac:dyDescent="0.25">
      <c r="C2198" s="11"/>
      <c r="E2198" s="12"/>
      <c r="F2198" s="12"/>
      <c r="G2198" s="9"/>
      <c r="H2198" s="5"/>
      <c r="I2198" s="5"/>
    </row>
    <row r="2199" spans="3:9" x14ac:dyDescent="0.25">
      <c r="C2199" s="11"/>
      <c r="E2199" s="12"/>
      <c r="F2199" s="12"/>
      <c r="G2199" s="9"/>
      <c r="H2199" s="5"/>
      <c r="I2199" s="5"/>
    </row>
    <row r="2200" spans="3:9" x14ac:dyDescent="0.25">
      <c r="C2200" s="11"/>
      <c r="E2200" s="12"/>
      <c r="F2200" s="12"/>
      <c r="G2200" s="9"/>
      <c r="H2200" s="5"/>
      <c r="I2200" s="5"/>
    </row>
    <row r="2201" spans="3:9" x14ac:dyDescent="0.25">
      <c r="C2201" s="11"/>
      <c r="E2201" s="12"/>
      <c r="F2201" s="12"/>
      <c r="G2201" s="9"/>
      <c r="H2201" s="5"/>
      <c r="I2201" s="5"/>
    </row>
    <row r="2202" spans="3:9" x14ac:dyDescent="0.25">
      <c r="C2202" s="11"/>
      <c r="E2202" s="12"/>
      <c r="F2202" s="12"/>
      <c r="G2202" s="9"/>
      <c r="H2202" s="5"/>
      <c r="I2202" s="5"/>
    </row>
    <row r="2203" spans="3:9" x14ac:dyDescent="0.25">
      <c r="C2203" s="11"/>
      <c r="E2203" s="12"/>
      <c r="F2203" s="12"/>
      <c r="G2203" s="9"/>
      <c r="H2203" s="5"/>
      <c r="I2203" s="5"/>
    </row>
    <row r="2204" spans="3:9" x14ac:dyDescent="0.25">
      <c r="C2204" s="11"/>
      <c r="E2204" s="12"/>
      <c r="F2204" s="12"/>
      <c r="G2204" s="9"/>
      <c r="H2204" s="5"/>
      <c r="I2204" s="5"/>
    </row>
    <row r="2205" spans="3:9" x14ac:dyDescent="0.25">
      <c r="C2205" s="11"/>
      <c r="E2205" s="12"/>
      <c r="F2205" s="12"/>
      <c r="G2205" s="9"/>
      <c r="H2205" s="5"/>
      <c r="I2205" s="5"/>
    </row>
    <row r="2206" spans="3:9" x14ac:dyDescent="0.25">
      <c r="C2206" s="11"/>
      <c r="E2206" s="12"/>
      <c r="F2206" s="12"/>
      <c r="G2206" s="9"/>
      <c r="H2206" s="5"/>
      <c r="I2206" s="5"/>
    </row>
    <row r="2207" spans="3:9" x14ac:dyDescent="0.25">
      <c r="C2207" s="11"/>
      <c r="E2207" s="12"/>
      <c r="F2207" s="12"/>
      <c r="G2207" s="9"/>
      <c r="H2207" s="5"/>
      <c r="I2207" s="5"/>
    </row>
    <row r="2208" spans="3:9" x14ac:dyDescent="0.25">
      <c r="C2208" s="11"/>
      <c r="E2208" s="12"/>
      <c r="F2208" s="12"/>
      <c r="G2208" s="9"/>
      <c r="H2208" s="5"/>
      <c r="I2208" s="5"/>
    </row>
    <row r="2209" spans="3:9" x14ac:dyDescent="0.25">
      <c r="C2209" s="11"/>
      <c r="E2209" s="12"/>
      <c r="F2209" s="12"/>
      <c r="G2209" s="9"/>
      <c r="H2209" s="5"/>
      <c r="I2209" s="5"/>
    </row>
    <row r="2210" spans="3:9" x14ac:dyDescent="0.25">
      <c r="C2210" s="11"/>
      <c r="E2210" s="12"/>
      <c r="F2210" s="12"/>
      <c r="G2210" s="9"/>
      <c r="H2210" s="5"/>
      <c r="I2210" s="5"/>
    </row>
    <row r="2211" spans="3:9" x14ac:dyDescent="0.25">
      <c r="C2211" s="11"/>
      <c r="E2211" s="12"/>
      <c r="F2211" s="12"/>
      <c r="G2211" s="9"/>
      <c r="H2211" s="5"/>
      <c r="I2211" s="5"/>
    </row>
    <row r="2212" spans="3:9" x14ac:dyDescent="0.25">
      <c r="C2212" s="11"/>
      <c r="E2212" s="12"/>
      <c r="F2212" s="12"/>
      <c r="G2212" s="9"/>
      <c r="H2212" s="5"/>
      <c r="I2212" s="5"/>
    </row>
    <row r="2213" spans="3:9" x14ac:dyDescent="0.25">
      <c r="C2213" s="11"/>
      <c r="E2213" s="12"/>
      <c r="F2213" s="12"/>
      <c r="G2213" s="9"/>
      <c r="H2213" s="5"/>
      <c r="I2213" s="5"/>
    </row>
    <row r="2214" spans="3:9" x14ac:dyDescent="0.25">
      <c r="C2214" s="11"/>
      <c r="E2214" s="12"/>
      <c r="F2214" s="12"/>
      <c r="G2214" s="9"/>
      <c r="H2214" s="5"/>
      <c r="I2214" s="5"/>
    </row>
    <row r="2215" spans="3:9" x14ac:dyDescent="0.25">
      <c r="C2215" s="11"/>
      <c r="E2215" s="12"/>
      <c r="F2215" s="12"/>
      <c r="G2215" s="9"/>
      <c r="H2215" s="5"/>
      <c r="I2215" s="5"/>
    </row>
    <row r="2216" spans="3:9" x14ac:dyDescent="0.25">
      <c r="C2216" s="11"/>
      <c r="E2216" s="12"/>
      <c r="F2216" s="12"/>
      <c r="G2216" s="9"/>
      <c r="H2216" s="5"/>
      <c r="I2216" s="5"/>
    </row>
    <row r="2217" spans="3:9" x14ac:dyDescent="0.25">
      <c r="C2217" s="11"/>
      <c r="E2217" s="12"/>
      <c r="F2217" s="12"/>
      <c r="G2217" s="9"/>
      <c r="H2217" s="5"/>
      <c r="I2217" s="5"/>
    </row>
    <row r="2218" spans="3:9" x14ac:dyDescent="0.25">
      <c r="C2218" s="11"/>
      <c r="E2218" s="12"/>
      <c r="F2218" s="12"/>
      <c r="G2218" s="9"/>
      <c r="H2218" s="5"/>
      <c r="I2218" s="5"/>
    </row>
    <row r="2219" spans="3:9" x14ac:dyDescent="0.25">
      <c r="C2219" s="11"/>
      <c r="E2219" s="12"/>
      <c r="F2219" s="12"/>
      <c r="G2219" s="9"/>
      <c r="H2219" s="5"/>
      <c r="I2219" s="5"/>
    </row>
    <row r="2220" spans="3:9" x14ac:dyDescent="0.25">
      <c r="C2220" s="11"/>
      <c r="E2220" s="12"/>
      <c r="F2220" s="12"/>
      <c r="G2220" s="9"/>
      <c r="H2220" s="5"/>
      <c r="I2220" s="5"/>
    </row>
    <row r="2221" spans="3:9" x14ac:dyDescent="0.25">
      <c r="C2221" s="11"/>
      <c r="E2221" s="12"/>
      <c r="F2221" s="12"/>
      <c r="G2221" s="9"/>
      <c r="H2221" s="5"/>
      <c r="I2221" s="5"/>
    </row>
    <row r="2222" spans="3:9" x14ac:dyDescent="0.25">
      <c r="C2222" s="11"/>
      <c r="E2222" s="12"/>
      <c r="F2222" s="12"/>
      <c r="G2222" s="9"/>
      <c r="H2222" s="5"/>
      <c r="I2222" s="5"/>
    </row>
    <row r="2223" spans="3:9" x14ac:dyDescent="0.25">
      <c r="C2223" s="11"/>
      <c r="E2223" s="12"/>
      <c r="F2223" s="12"/>
      <c r="G2223" s="9"/>
      <c r="H2223" s="5"/>
      <c r="I2223" s="5"/>
    </row>
    <row r="2224" spans="3:9" x14ac:dyDescent="0.25">
      <c r="C2224" s="11"/>
      <c r="E2224" s="12"/>
      <c r="F2224" s="12"/>
      <c r="G2224" s="9"/>
      <c r="H2224" s="5"/>
      <c r="I2224" s="5"/>
    </row>
    <row r="2225" spans="3:9" x14ac:dyDescent="0.25">
      <c r="C2225" s="11"/>
      <c r="E2225" s="12"/>
      <c r="F2225" s="12"/>
      <c r="G2225" s="9"/>
      <c r="H2225" s="5"/>
      <c r="I2225" s="5"/>
    </row>
    <row r="2226" spans="3:9" x14ac:dyDescent="0.25">
      <c r="C2226" s="11"/>
      <c r="E2226" s="12"/>
      <c r="F2226" s="12"/>
      <c r="G2226" s="9"/>
      <c r="H2226" s="5"/>
      <c r="I2226" s="5"/>
    </row>
    <row r="2227" spans="3:9" x14ac:dyDescent="0.25">
      <c r="C2227" s="11"/>
      <c r="E2227" s="12"/>
      <c r="F2227" s="12"/>
      <c r="G2227" s="9"/>
      <c r="H2227" s="5"/>
      <c r="I2227" s="5"/>
    </row>
    <row r="2228" spans="3:9" x14ac:dyDescent="0.25">
      <c r="C2228" s="11"/>
      <c r="E2228" s="12"/>
      <c r="F2228" s="12"/>
      <c r="G2228" s="9"/>
      <c r="H2228" s="5"/>
      <c r="I2228" s="5"/>
    </row>
    <row r="2229" spans="3:9" x14ac:dyDescent="0.25">
      <c r="C2229" s="11"/>
      <c r="E2229" s="12"/>
      <c r="F2229" s="12"/>
      <c r="G2229" s="9"/>
      <c r="H2229" s="5"/>
      <c r="I2229" s="5"/>
    </row>
    <row r="2230" spans="3:9" x14ac:dyDescent="0.25">
      <c r="C2230" s="11"/>
      <c r="E2230" s="12"/>
      <c r="F2230" s="12"/>
      <c r="G2230" s="9"/>
      <c r="H2230" s="5"/>
      <c r="I2230" s="5"/>
    </row>
    <row r="2231" spans="3:9" x14ac:dyDescent="0.25">
      <c r="C2231" s="11"/>
      <c r="E2231" s="12"/>
      <c r="F2231" s="12"/>
      <c r="G2231" s="9"/>
      <c r="H2231" s="5"/>
      <c r="I2231" s="5"/>
    </row>
    <row r="2232" spans="3:9" x14ac:dyDescent="0.25">
      <c r="C2232" s="11"/>
      <c r="E2232" s="12"/>
      <c r="F2232" s="12"/>
      <c r="G2232" s="9"/>
      <c r="H2232" s="5"/>
      <c r="I2232" s="5"/>
    </row>
    <row r="2233" spans="3:9" x14ac:dyDescent="0.25">
      <c r="C2233" s="11"/>
      <c r="E2233" s="12"/>
      <c r="F2233" s="12"/>
      <c r="G2233" s="9"/>
      <c r="H2233" s="5"/>
      <c r="I2233" s="5"/>
    </row>
    <row r="2234" spans="3:9" x14ac:dyDescent="0.25">
      <c r="C2234" s="11"/>
      <c r="E2234" s="12"/>
      <c r="F2234" s="12"/>
      <c r="G2234" s="9"/>
      <c r="H2234" s="5"/>
      <c r="I2234" s="5"/>
    </row>
    <row r="2235" spans="3:9" x14ac:dyDescent="0.25">
      <c r="C2235" s="11"/>
      <c r="E2235" s="12"/>
      <c r="F2235" s="12"/>
      <c r="G2235" s="9"/>
      <c r="H2235" s="5"/>
      <c r="I2235" s="5"/>
    </row>
    <row r="2236" spans="3:9" x14ac:dyDescent="0.25">
      <c r="C2236" s="11"/>
      <c r="E2236" s="12"/>
      <c r="F2236" s="12"/>
      <c r="G2236" s="9"/>
      <c r="H2236" s="5"/>
      <c r="I2236" s="5"/>
    </row>
    <row r="2237" spans="3:9" x14ac:dyDescent="0.25">
      <c r="C2237" s="11"/>
      <c r="E2237" s="12"/>
      <c r="F2237" s="12"/>
      <c r="G2237" s="9"/>
      <c r="H2237" s="5"/>
      <c r="I2237" s="5"/>
    </row>
    <row r="2238" spans="3:9" x14ac:dyDescent="0.25">
      <c r="C2238" s="11"/>
      <c r="E2238" s="12"/>
      <c r="F2238" s="12"/>
      <c r="G2238" s="9"/>
      <c r="H2238" s="5"/>
      <c r="I2238" s="5"/>
    </row>
    <row r="2239" spans="3:9" x14ac:dyDescent="0.25">
      <c r="C2239" s="11"/>
      <c r="E2239" s="12"/>
      <c r="F2239" s="12"/>
      <c r="G2239" s="9"/>
      <c r="H2239" s="5"/>
      <c r="I2239" s="5"/>
    </row>
    <row r="2240" spans="3:9" x14ac:dyDescent="0.25">
      <c r="C2240" s="11"/>
      <c r="E2240" s="12"/>
      <c r="F2240" s="12"/>
      <c r="G2240" s="9"/>
      <c r="H2240" s="5"/>
      <c r="I2240" s="5"/>
    </row>
    <row r="2241" spans="3:9" x14ac:dyDescent="0.25">
      <c r="C2241" s="11"/>
      <c r="E2241" s="12"/>
      <c r="F2241" s="12"/>
      <c r="G2241" s="9"/>
      <c r="H2241" s="5"/>
      <c r="I2241" s="5"/>
    </row>
    <row r="2242" spans="3:9" x14ac:dyDescent="0.25">
      <c r="C2242" s="11"/>
      <c r="E2242" s="12"/>
      <c r="F2242" s="12"/>
      <c r="G2242" s="9"/>
      <c r="H2242" s="5"/>
      <c r="I2242" s="5"/>
    </row>
    <row r="2243" spans="3:9" x14ac:dyDescent="0.25">
      <c r="C2243" s="11"/>
      <c r="E2243" s="12"/>
      <c r="F2243" s="12"/>
      <c r="G2243" s="9"/>
      <c r="H2243" s="5"/>
      <c r="I2243" s="5"/>
    </row>
    <row r="2244" spans="3:9" x14ac:dyDescent="0.25">
      <c r="C2244" s="11"/>
      <c r="E2244" s="12"/>
      <c r="F2244" s="12"/>
      <c r="G2244" s="9"/>
      <c r="H2244" s="5"/>
      <c r="I2244" s="5"/>
    </row>
    <row r="2245" spans="3:9" x14ac:dyDescent="0.25">
      <c r="C2245" s="11"/>
      <c r="E2245" s="12"/>
      <c r="F2245" s="12"/>
      <c r="G2245" s="9"/>
      <c r="H2245" s="5"/>
      <c r="I2245" s="5"/>
    </row>
    <row r="2246" spans="3:9" x14ac:dyDescent="0.25">
      <c r="C2246" s="11"/>
      <c r="E2246" s="12"/>
      <c r="F2246" s="12"/>
      <c r="G2246" s="9"/>
      <c r="H2246" s="5"/>
      <c r="I2246" s="5"/>
    </row>
    <row r="2247" spans="3:9" x14ac:dyDescent="0.25">
      <c r="C2247" s="11"/>
      <c r="E2247" s="12"/>
      <c r="F2247" s="12"/>
      <c r="G2247" s="9"/>
      <c r="H2247" s="5"/>
      <c r="I2247" s="5"/>
    </row>
    <row r="2248" spans="3:9" x14ac:dyDescent="0.25">
      <c r="C2248" s="11"/>
      <c r="E2248" s="12"/>
      <c r="F2248" s="12"/>
      <c r="G2248" s="9"/>
      <c r="H2248" s="5"/>
      <c r="I2248" s="5"/>
    </row>
    <row r="2249" spans="3:9" x14ac:dyDescent="0.25">
      <c r="C2249" s="11"/>
      <c r="E2249" s="12"/>
      <c r="F2249" s="12"/>
      <c r="G2249" s="9"/>
      <c r="H2249" s="5"/>
      <c r="I2249" s="5"/>
    </row>
    <row r="2250" spans="3:9" x14ac:dyDescent="0.25">
      <c r="C2250" s="11"/>
      <c r="E2250" s="12"/>
      <c r="F2250" s="12"/>
      <c r="G2250" s="9"/>
      <c r="H2250" s="5"/>
      <c r="I2250" s="5"/>
    </row>
    <row r="2251" spans="3:9" x14ac:dyDescent="0.25">
      <c r="C2251" s="11"/>
      <c r="E2251" s="12"/>
      <c r="F2251" s="12"/>
      <c r="G2251" s="9"/>
      <c r="H2251" s="5"/>
      <c r="I2251" s="5"/>
    </row>
    <row r="2252" spans="3:9" x14ac:dyDescent="0.25">
      <c r="C2252" s="11"/>
      <c r="E2252" s="12"/>
      <c r="F2252" s="12"/>
      <c r="G2252" s="9"/>
      <c r="H2252" s="5"/>
      <c r="I2252" s="5"/>
    </row>
    <row r="2253" spans="3:9" x14ac:dyDescent="0.25">
      <c r="C2253" s="11"/>
      <c r="E2253" s="12"/>
      <c r="F2253" s="12"/>
      <c r="G2253" s="9"/>
      <c r="H2253" s="5"/>
      <c r="I2253" s="5"/>
    </row>
    <row r="2254" spans="3:9" x14ac:dyDescent="0.25">
      <c r="C2254" s="11"/>
      <c r="E2254" s="12"/>
      <c r="F2254" s="12"/>
      <c r="G2254" s="9"/>
      <c r="H2254" s="5"/>
      <c r="I2254" s="5"/>
    </row>
    <row r="2255" spans="3:9" x14ac:dyDescent="0.25">
      <c r="C2255" s="11"/>
      <c r="E2255" s="12"/>
      <c r="F2255" s="12"/>
      <c r="G2255" s="9"/>
      <c r="H2255" s="5"/>
      <c r="I2255" s="5"/>
    </row>
    <row r="2256" spans="3:9" x14ac:dyDescent="0.25">
      <c r="C2256" s="11"/>
      <c r="E2256" s="12"/>
      <c r="F2256" s="12"/>
      <c r="G2256" s="9"/>
      <c r="H2256" s="5"/>
      <c r="I2256" s="5"/>
    </row>
    <row r="2257" spans="3:9" x14ac:dyDescent="0.25">
      <c r="C2257" s="11"/>
      <c r="E2257" s="12"/>
      <c r="F2257" s="12"/>
      <c r="G2257" s="9"/>
      <c r="H2257" s="5"/>
      <c r="I2257" s="5"/>
    </row>
    <row r="2258" spans="3:9" x14ac:dyDescent="0.25">
      <c r="C2258" s="11"/>
      <c r="E2258" s="12"/>
      <c r="F2258" s="12"/>
      <c r="G2258" s="9"/>
      <c r="H2258" s="5"/>
      <c r="I2258" s="5"/>
    </row>
    <row r="2259" spans="3:9" x14ac:dyDescent="0.25">
      <c r="C2259" s="11"/>
      <c r="E2259" s="12"/>
      <c r="F2259" s="12"/>
      <c r="G2259" s="9"/>
      <c r="H2259" s="5"/>
      <c r="I2259" s="5"/>
    </row>
    <row r="2260" spans="3:9" x14ac:dyDescent="0.25">
      <c r="C2260" s="11"/>
      <c r="E2260" s="12"/>
      <c r="F2260" s="12"/>
      <c r="G2260" s="9"/>
      <c r="H2260" s="5"/>
      <c r="I2260" s="5"/>
    </row>
    <row r="2261" spans="3:9" x14ac:dyDescent="0.25">
      <c r="C2261" s="11"/>
      <c r="E2261" s="12"/>
      <c r="F2261" s="12"/>
      <c r="G2261" s="9"/>
      <c r="H2261" s="5"/>
      <c r="I2261" s="5"/>
    </row>
    <row r="2262" spans="3:9" x14ac:dyDescent="0.25">
      <c r="C2262" s="11"/>
      <c r="E2262" s="12"/>
      <c r="F2262" s="12"/>
      <c r="G2262" s="9"/>
      <c r="H2262" s="5"/>
      <c r="I2262" s="5"/>
    </row>
    <row r="2263" spans="3:9" x14ac:dyDescent="0.25">
      <c r="C2263" s="11"/>
      <c r="E2263" s="12"/>
      <c r="F2263" s="12"/>
      <c r="G2263" s="9"/>
      <c r="H2263" s="5"/>
      <c r="I2263" s="5"/>
    </row>
    <row r="2264" spans="3:9" x14ac:dyDescent="0.25">
      <c r="C2264" s="11"/>
      <c r="E2264" s="12"/>
      <c r="F2264" s="12"/>
      <c r="G2264" s="9"/>
      <c r="H2264" s="5"/>
      <c r="I2264" s="5"/>
    </row>
    <row r="2265" spans="3:9" x14ac:dyDescent="0.25">
      <c r="C2265" s="11"/>
      <c r="E2265" s="12"/>
      <c r="F2265" s="12"/>
      <c r="G2265" s="9"/>
      <c r="H2265" s="5"/>
      <c r="I2265" s="5"/>
    </row>
    <row r="2266" spans="3:9" x14ac:dyDescent="0.25">
      <c r="C2266" s="11"/>
      <c r="E2266" s="12"/>
      <c r="F2266" s="12"/>
      <c r="G2266" s="9"/>
      <c r="H2266" s="5"/>
      <c r="I2266" s="5"/>
    </row>
    <row r="2267" spans="3:9" x14ac:dyDescent="0.25">
      <c r="C2267" s="11"/>
      <c r="E2267" s="12"/>
      <c r="F2267" s="12"/>
      <c r="G2267" s="9"/>
      <c r="H2267" s="5"/>
      <c r="I2267" s="5"/>
    </row>
    <row r="2268" spans="3:9" x14ac:dyDescent="0.25">
      <c r="C2268" s="11"/>
      <c r="E2268" s="12"/>
      <c r="F2268" s="12"/>
      <c r="G2268" s="9"/>
      <c r="H2268" s="5"/>
      <c r="I2268" s="5"/>
    </row>
    <row r="2269" spans="3:9" x14ac:dyDescent="0.25">
      <c r="C2269" s="11"/>
      <c r="E2269" s="12"/>
      <c r="F2269" s="12"/>
      <c r="G2269" s="9"/>
      <c r="H2269" s="5"/>
      <c r="I2269" s="5"/>
    </row>
    <row r="2270" spans="3:9" x14ac:dyDescent="0.25">
      <c r="C2270" s="11"/>
      <c r="E2270" s="12"/>
      <c r="F2270" s="12"/>
      <c r="G2270" s="9"/>
      <c r="H2270" s="5"/>
      <c r="I2270" s="5"/>
    </row>
    <row r="2271" spans="3:9" x14ac:dyDescent="0.25">
      <c r="C2271" s="11"/>
      <c r="E2271" s="12"/>
      <c r="F2271" s="12"/>
      <c r="G2271" s="9"/>
      <c r="H2271" s="5"/>
      <c r="I2271" s="5"/>
    </row>
    <row r="2272" spans="3:9" x14ac:dyDescent="0.25">
      <c r="C2272" s="11"/>
      <c r="E2272" s="12"/>
      <c r="F2272" s="12"/>
      <c r="G2272" s="9"/>
      <c r="H2272" s="5"/>
      <c r="I2272" s="5"/>
    </row>
    <row r="2273" spans="3:9" x14ac:dyDescent="0.25">
      <c r="C2273" s="11"/>
      <c r="E2273" s="12"/>
      <c r="F2273" s="12"/>
      <c r="G2273" s="9"/>
      <c r="H2273" s="5"/>
      <c r="I2273" s="5"/>
    </row>
    <row r="2274" spans="3:9" x14ac:dyDescent="0.25">
      <c r="C2274" s="11"/>
      <c r="E2274" s="12"/>
      <c r="F2274" s="12"/>
      <c r="G2274" s="9"/>
      <c r="H2274" s="5"/>
      <c r="I2274" s="5"/>
    </row>
    <row r="2275" spans="3:9" x14ac:dyDescent="0.25">
      <c r="C2275" s="11"/>
      <c r="E2275" s="12"/>
      <c r="F2275" s="12"/>
      <c r="G2275" s="9"/>
      <c r="H2275" s="5"/>
      <c r="I2275" s="5"/>
    </row>
    <row r="2276" spans="3:9" x14ac:dyDescent="0.25">
      <c r="C2276" s="11"/>
      <c r="E2276" s="12"/>
      <c r="F2276" s="12"/>
      <c r="G2276" s="9"/>
      <c r="H2276" s="5"/>
      <c r="I2276" s="5"/>
    </row>
    <row r="2277" spans="3:9" x14ac:dyDescent="0.25">
      <c r="C2277" s="11"/>
      <c r="E2277" s="12"/>
      <c r="F2277" s="12"/>
      <c r="G2277" s="9"/>
      <c r="H2277" s="5"/>
      <c r="I2277" s="5"/>
    </row>
    <row r="2278" spans="3:9" x14ac:dyDescent="0.25">
      <c r="C2278" s="11"/>
      <c r="E2278" s="12"/>
      <c r="F2278" s="12"/>
      <c r="G2278" s="9"/>
      <c r="H2278" s="5"/>
      <c r="I2278" s="5"/>
    </row>
    <row r="2279" spans="3:9" x14ac:dyDescent="0.25">
      <c r="C2279" s="11"/>
      <c r="E2279" s="12"/>
      <c r="F2279" s="12"/>
      <c r="G2279" s="9"/>
      <c r="H2279" s="5"/>
      <c r="I2279" s="5"/>
    </row>
    <row r="2280" spans="3:9" x14ac:dyDescent="0.25">
      <c r="C2280" s="11"/>
      <c r="E2280" s="12"/>
      <c r="F2280" s="12"/>
      <c r="G2280" s="9"/>
      <c r="H2280" s="5"/>
      <c r="I2280" s="5"/>
    </row>
    <row r="2281" spans="3:9" x14ac:dyDescent="0.25">
      <c r="C2281" s="11"/>
      <c r="E2281" s="12"/>
      <c r="F2281" s="12"/>
      <c r="G2281" s="9"/>
      <c r="H2281" s="5"/>
      <c r="I2281" s="5"/>
    </row>
    <row r="2282" spans="3:9" x14ac:dyDescent="0.25">
      <c r="C2282" s="11"/>
      <c r="E2282" s="12"/>
      <c r="F2282" s="12"/>
      <c r="G2282" s="9"/>
      <c r="H2282" s="5"/>
      <c r="I2282" s="5"/>
    </row>
    <row r="2283" spans="3:9" x14ac:dyDescent="0.25">
      <c r="C2283" s="11"/>
      <c r="E2283" s="12"/>
      <c r="F2283" s="12"/>
      <c r="G2283" s="9"/>
      <c r="H2283" s="5"/>
      <c r="I2283" s="5"/>
    </row>
    <row r="2284" spans="3:9" x14ac:dyDescent="0.25">
      <c r="C2284" s="11"/>
      <c r="E2284" s="12"/>
      <c r="F2284" s="12"/>
      <c r="G2284" s="9"/>
      <c r="H2284" s="5"/>
      <c r="I2284" s="5"/>
    </row>
    <row r="2285" spans="3:9" x14ac:dyDescent="0.25">
      <c r="C2285" s="11"/>
      <c r="E2285" s="12"/>
      <c r="F2285" s="12"/>
      <c r="G2285" s="9"/>
      <c r="H2285" s="5"/>
      <c r="I2285" s="5"/>
    </row>
    <row r="2286" spans="3:9" x14ac:dyDescent="0.25">
      <c r="C2286" s="11"/>
      <c r="E2286" s="12"/>
      <c r="F2286" s="12"/>
      <c r="G2286" s="9"/>
      <c r="H2286" s="5"/>
      <c r="I2286" s="5"/>
    </row>
    <row r="2287" spans="3:9" x14ac:dyDescent="0.25">
      <c r="C2287" s="11"/>
      <c r="E2287" s="12"/>
      <c r="F2287" s="12"/>
      <c r="G2287" s="9"/>
      <c r="H2287" s="5"/>
      <c r="I2287" s="5"/>
    </row>
    <row r="2288" spans="3:9" x14ac:dyDescent="0.25">
      <c r="C2288" s="11"/>
      <c r="E2288" s="12"/>
      <c r="F2288" s="12"/>
      <c r="G2288" s="9"/>
      <c r="H2288" s="5"/>
      <c r="I2288" s="5"/>
    </row>
    <row r="2289" spans="3:9" x14ac:dyDescent="0.25">
      <c r="C2289" s="11"/>
      <c r="E2289" s="12"/>
      <c r="F2289" s="12"/>
      <c r="G2289" s="9"/>
      <c r="H2289" s="5"/>
      <c r="I2289" s="5"/>
    </row>
    <row r="2290" spans="3:9" x14ac:dyDescent="0.25">
      <c r="C2290" s="11"/>
      <c r="E2290" s="12"/>
      <c r="F2290" s="12"/>
      <c r="G2290" s="9"/>
      <c r="H2290" s="5"/>
      <c r="I2290" s="5"/>
    </row>
    <row r="2291" spans="3:9" x14ac:dyDescent="0.25">
      <c r="C2291" s="11"/>
      <c r="E2291" s="12"/>
      <c r="F2291" s="12"/>
      <c r="G2291" s="9"/>
      <c r="H2291" s="5"/>
      <c r="I2291" s="5"/>
    </row>
    <row r="2292" spans="3:9" x14ac:dyDescent="0.25">
      <c r="C2292" s="11"/>
      <c r="E2292" s="12"/>
      <c r="F2292" s="12"/>
      <c r="G2292" s="9"/>
      <c r="H2292" s="5"/>
      <c r="I2292" s="5"/>
    </row>
    <row r="2293" spans="3:9" x14ac:dyDescent="0.25">
      <c r="C2293" s="11"/>
      <c r="E2293" s="12"/>
      <c r="F2293" s="12"/>
      <c r="G2293" s="9"/>
      <c r="H2293" s="5"/>
      <c r="I2293" s="5"/>
    </row>
    <row r="2294" spans="3:9" x14ac:dyDescent="0.25">
      <c r="C2294" s="11"/>
      <c r="E2294" s="12"/>
      <c r="F2294" s="12"/>
      <c r="G2294" s="9"/>
      <c r="H2294" s="5"/>
      <c r="I2294" s="5"/>
    </row>
    <row r="2295" spans="3:9" x14ac:dyDescent="0.25">
      <c r="C2295" s="11"/>
      <c r="E2295" s="12"/>
      <c r="F2295" s="12"/>
      <c r="G2295" s="9"/>
      <c r="H2295" s="5"/>
      <c r="I2295" s="5"/>
    </row>
    <row r="2296" spans="3:9" x14ac:dyDescent="0.25">
      <c r="C2296" s="11"/>
      <c r="E2296" s="12"/>
      <c r="F2296" s="12"/>
      <c r="G2296" s="9"/>
      <c r="H2296" s="5"/>
      <c r="I2296" s="5"/>
    </row>
    <row r="2297" spans="3:9" x14ac:dyDescent="0.25">
      <c r="C2297" s="11"/>
      <c r="E2297" s="12"/>
      <c r="F2297" s="12"/>
      <c r="G2297" s="9"/>
      <c r="H2297" s="5"/>
      <c r="I2297" s="5"/>
    </row>
    <row r="2298" spans="3:9" x14ac:dyDescent="0.25">
      <c r="C2298" s="11"/>
      <c r="E2298" s="12"/>
      <c r="F2298" s="12"/>
      <c r="G2298" s="9"/>
      <c r="H2298" s="5"/>
      <c r="I2298" s="5"/>
    </row>
    <row r="2299" spans="3:9" x14ac:dyDescent="0.25">
      <c r="C2299" s="11"/>
      <c r="E2299" s="12"/>
      <c r="F2299" s="12"/>
      <c r="G2299" s="9"/>
      <c r="H2299" s="5"/>
      <c r="I2299" s="5"/>
    </row>
    <row r="2300" spans="3:9" x14ac:dyDescent="0.25">
      <c r="C2300" s="11"/>
      <c r="E2300" s="12"/>
      <c r="F2300" s="12"/>
      <c r="G2300" s="9"/>
      <c r="H2300" s="5"/>
      <c r="I2300" s="5"/>
    </row>
    <row r="2301" spans="3:9" x14ac:dyDescent="0.25">
      <c r="C2301" s="11"/>
      <c r="E2301" s="12"/>
      <c r="F2301" s="12"/>
      <c r="G2301" s="9"/>
      <c r="H2301" s="5"/>
      <c r="I2301" s="5"/>
    </row>
    <row r="2302" spans="3:9" x14ac:dyDescent="0.25">
      <c r="C2302" s="11"/>
      <c r="E2302" s="12"/>
      <c r="F2302" s="12"/>
      <c r="G2302" s="9"/>
      <c r="H2302" s="5"/>
      <c r="I2302" s="5"/>
    </row>
    <row r="2303" spans="3:9" x14ac:dyDescent="0.25">
      <c r="C2303" s="11"/>
      <c r="E2303" s="12"/>
      <c r="F2303" s="12"/>
      <c r="G2303" s="9"/>
      <c r="H2303" s="5"/>
      <c r="I2303" s="5"/>
    </row>
    <row r="2304" spans="3:9" x14ac:dyDescent="0.25">
      <c r="C2304" s="11"/>
      <c r="E2304" s="12"/>
      <c r="F2304" s="12"/>
      <c r="G2304" s="9"/>
      <c r="H2304" s="5"/>
      <c r="I2304" s="5"/>
    </row>
    <row r="2305" spans="3:9" x14ac:dyDescent="0.25">
      <c r="C2305" s="11"/>
      <c r="E2305" s="12"/>
      <c r="F2305" s="12"/>
      <c r="G2305" s="9"/>
      <c r="H2305" s="5"/>
      <c r="I2305" s="5"/>
    </row>
    <row r="2306" spans="3:9" x14ac:dyDescent="0.25">
      <c r="C2306" s="11"/>
      <c r="E2306" s="12"/>
      <c r="F2306" s="12"/>
      <c r="G2306" s="9"/>
      <c r="H2306" s="5"/>
      <c r="I2306" s="5"/>
    </row>
    <row r="2307" spans="3:9" x14ac:dyDescent="0.25">
      <c r="C2307" s="11"/>
      <c r="E2307" s="12"/>
      <c r="F2307" s="12"/>
      <c r="G2307" s="9"/>
      <c r="H2307" s="5"/>
      <c r="I2307" s="5"/>
    </row>
    <row r="2308" spans="3:9" x14ac:dyDescent="0.25">
      <c r="C2308" s="11"/>
      <c r="E2308" s="12"/>
      <c r="F2308" s="12"/>
      <c r="G2308" s="9"/>
      <c r="H2308" s="5"/>
      <c r="I2308" s="5"/>
    </row>
    <row r="2309" spans="3:9" x14ac:dyDescent="0.25">
      <c r="C2309" s="11"/>
      <c r="E2309" s="12"/>
      <c r="F2309" s="12"/>
      <c r="G2309" s="9"/>
      <c r="H2309" s="5"/>
      <c r="I2309" s="5"/>
    </row>
    <row r="2310" spans="3:9" x14ac:dyDescent="0.25">
      <c r="C2310" s="11"/>
      <c r="E2310" s="12"/>
      <c r="F2310" s="12"/>
      <c r="G2310" s="9"/>
      <c r="H2310" s="5"/>
      <c r="I2310" s="5"/>
    </row>
    <row r="2311" spans="3:9" x14ac:dyDescent="0.25">
      <c r="C2311" s="11"/>
      <c r="E2311" s="12"/>
      <c r="F2311" s="12"/>
      <c r="G2311" s="9"/>
      <c r="H2311" s="5"/>
      <c r="I2311" s="5"/>
    </row>
    <row r="2312" spans="3:9" x14ac:dyDescent="0.25">
      <c r="C2312" s="11"/>
      <c r="E2312" s="12"/>
      <c r="F2312" s="12"/>
      <c r="G2312" s="9"/>
      <c r="H2312" s="5"/>
      <c r="I2312" s="5"/>
    </row>
    <row r="2313" spans="3:9" x14ac:dyDescent="0.25">
      <c r="C2313" s="11"/>
      <c r="E2313" s="12"/>
      <c r="F2313" s="12"/>
      <c r="G2313" s="9"/>
      <c r="H2313" s="5"/>
      <c r="I2313" s="5"/>
    </row>
    <row r="2314" spans="3:9" x14ac:dyDescent="0.25">
      <c r="C2314" s="11"/>
      <c r="E2314" s="12"/>
      <c r="F2314" s="12"/>
      <c r="G2314" s="9"/>
      <c r="H2314" s="5"/>
      <c r="I2314" s="5"/>
    </row>
    <row r="2315" spans="3:9" x14ac:dyDescent="0.25">
      <c r="C2315" s="11"/>
      <c r="E2315" s="12"/>
      <c r="F2315" s="12"/>
      <c r="G2315" s="9"/>
      <c r="H2315" s="5"/>
      <c r="I2315" s="5"/>
    </row>
    <row r="2316" spans="3:9" x14ac:dyDescent="0.25">
      <c r="C2316" s="11"/>
      <c r="E2316" s="12"/>
      <c r="F2316" s="12"/>
      <c r="G2316" s="9"/>
      <c r="H2316" s="5"/>
      <c r="I2316" s="5"/>
    </row>
    <row r="2317" spans="3:9" x14ac:dyDescent="0.25">
      <c r="C2317" s="11"/>
      <c r="E2317" s="12"/>
      <c r="F2317" s="12"/>
      <c r="G2317" s="9"/>
      <c r="H2317" s="5"/>
      <c r="I2317" s="5"/>
    </row>
    <row r="2318" spans="3:9" x14ac:dyDescent="0.25">
      <c r="C2318" s="11"/>
      <c r="E2318" s="12"/>
      <c r="F2318" s="12"/>
      <c r="G2318" s="9"/>
      <c r="H2318" s="5"/>
      <c r="I2318" s="5"/>
    </row>
    <row r="2319" spans="3:9" x14ac:dyDescent="0.25">
      <c r="C2319" s="11"/>
      <c r="E2319" s="12"/>
      <c r="F2319" s="12"/>
      <c r="G2319" s="9"/>
      <c r="H2319" s="5"/>
      <c r="I2319" s="5"/>
    </row>
    <row r="2320" spans="3:9" x14ac:dyDescent="0.25">
      <c r="C2320" s="11"/>
      <c r="E2320" s="12"/>
      <c r="F2320" s="12"/>
      <c r="G2320" s="9"/>
      <c r="H2320" s="5"/>
      <c r="I2320" s="5"/>
    </row>
    <row r="2321" spans="3:9" x14ac:dyDescent="0.25">
      <c r="C2321" s="11"/>
      <c r="E2321" s="12"/>
      <c r="F2321" s="12"/>
      <c r="G2321" s="9"/>
      <c r="H2321" s="5"/>
      <c r="I2321" s="5"/>
    </row>
    <row r="2322" spans="3:9" x14ac:dyDescent="0.25">
      <c r="C2322" s="11"/>
      <c r="E2322" s="12"/>
      <c r="F2322" s="12"/>
      <c r="G2322" s="9"/>
      <c r="H2322" s="5"/>
      <c r="I2322" s="5"/>
    </row>
    <row r="2323" spans="3:9" x14ac:dyDescent="0.25">
      <c r="C2323" s="11"/>
      <c r="E2323" s="12"/>
      <c r="F2323" s="12"/>
      <c r="G2323" s="9"/>
      <c r="H2323" s="5"/>
      <c r="I2323" s="5"/>
    </row>
    <row r="2324" spans="3:9" x14ac:dyDescent="0.25">
      <c r="C2324" s="11"/>
      <c r="E2324" s="12"/>
      <c r="F2324" s="12"/>
      <c r="G2324" s="9"/>
      <c r="H2324" s="5"/>
      <c r="I2324" s="5"/>
    </row>
    <row r="2325" spans="3:9" x14ac:dyDescent="0.25">
      <c r="C2325" s="11"/>
      <c r="E2325" s="12"/>
      <c r="F2325" s="12"/>
      <c r="G2325" s="9"/>
      <c r="H2325" s="5"/>
      <c r="I2325" s="5"/>
    </row>
    <row r="2326" spans="3:9" x14ac:dyDescent="0.25">
      <c r="C2326" s="11"/>
      <c r="E2326" s="12"/>
      <c r="F2326" s="12"/>
      <c r="G2326" s="9"/>
      <c r="H2326" s="5"/>
      <c r="I2326" s="5"/>
    </row>
    <row r="2327" spans="3:9" x14ac:dyDescent="0.25">
      <c r="C2327" s="11"/>
      <c r="E2327" s="12"/>
      <c r="F2327" s="12"/>
      <c r="G2327" s="9"/>
      <c r="H2327" s="5"/>
      <c r="I2327" s="5"/>
    </row>
    <row r="2328" spans="3:9" x14ac:dyDescent="0.25">
      <c r="C2328" s="11"/>
      <c r="E2328" s="12"/>
      <c r="F2328" s="12"/>
      <c r="G2328" s="9"/>
      <c r="H2328" s="5"/>
      <c r="I2328" s="5"/>
    </row>
    <row r="2329" spans="3:9" x14ac:dyDescent="0.25">
      <c r="C2329" s="11"/>
      <c r="E2329" s="12"/>
      <c r="F2329" s="12"/>
      <c r="G2329" s="9"/>
      <c r="H2329" s="5"/>
      <c r="I2329" s="5"/>
    </row>
    <row r="2330" spans="3:9" x14ac:dyDescent="0.25">
      <c r="C2330" s="11"/>
      <c r="E2330" s="12"/>
      <c r="F2330" s="12"/>
      <c r="G2330" s="9"/>
      <c r="H2330" s="5"/>
      <c r="I2330" s="5"/>
    </row>
    <row r="2331" spans="3:9" x14ac:dyDescent="0.25">
      <c r="C2331" s="11"/>
      <c r="E2331" s="12"/>
      <c r="F2331" s="12"/>
      <c r="G2331" s="9"/>
      <c r="H2331" s="5"/>
      <c r="I2331" s="5"/>
    </row>
    <row r="2332" spans="3:9" x14ac:dyDescent="0.25">
      <c r="C2332" s="11"/>
      <c r="E2332" s="12"/>
      <c r="F2332" s="12"/>
      <c r="G2332" s="9"/>
      <c r="H2332" s="5"/>
      <c r="I2332" s="5"/>
    </row>
    <row r="2333" spans="3:9" x14ac:dyDescent="0.25">
      <c r="C2333" s="11"/>
      <c r="E2333" s="12"/>
      <c r="F2333" s="12"/>
      <c r="G2333" s="9"/>
      <c r="H2333" s="5"/>
      <c r="I2333" s="5"/>
    </row>
    <row r="2334" spans="3:9" x14ac:dyDescent="0.25">
      <c r="C2334" s="11"/>
      <c r="E2334" s="12"/>
      <c r="F2334" s="12"/>
      <c r="G2334" s="9"/>
      <c r="H2334" s="5"/>
      <c r="I2334" s="5"/>
    </row>
    <row r="2335" spans="3:9" x14ac:dyDescent="0.25">
      <c r="C2335" s="11"/>
      <c r="E2335" s="12"/>
      <c r="F2335" s="12"/>
      <c r="G2335" s="9"/>
      <c r="H2335" s="5"/>
      <c r="I2335" s="5"/>
    </row>
    <row r="2336" spans="3:9" x14ac:dyDescent="0.25">
      <c r="C2336" s="11"/>
      <c r="E2336" s="12"/>
      <c r="F2336" s="12"/>
      <c r="G2336" s="9"/>
      <c r="H2336" s="5"/>
      <c r="I2336" s="5"/>
    </row>
    <row r="2337" spans="3:9" x14ac:dyDescent="0.25">
      <c r="C2337" s="11"/>
      <c r="E2337" s="12"/>
      <c r="F2337" s="12"/>
      <c r="G2337" s="9"/>
      <c r="H2337" s="5"/>
      <c r="I2337" s="5"/>
    </row>
    <row r="2338" spans="3:9" x14ac:dyDescent="0.25">
      <c r="C2338" s="11"/>
      <c r="E2338" s="12"/>
      <c r="F2338" s="12"/>
      <c r="G2338" s="9"/>
      <c r="H2338" s="5"/>
      <c r="I2338" s="5"/>
    </row>
    <row r="2339" spans="3:9" x14ac:dyDescent="0.25">
      <c r="C2339" s="11"/>
      <c r="E2339" s="12"/>
      <c r="F2339" s="12"/>
      <c r="G2339" s="9"/>
      <c r="H2339" s="5"/>
      <c r="I2339" s="5"/>
    </row>
    <row r="2340" spans="3:9" x14ac:dyDescent="0.25">
      <c r="C2340" s="11"/>
      <c r="E2340" s="12"/>
      <c r="F2340" s="12"/>
      <c r="G2340" s="9"/>
      <c r="H2340" s="5"/>
      <c r="I2340" s="5"/>
    </row>
    <row r="2341" spans="3:9" x14ac:dyDescent="0.25">
      <c r="C2341" s="11"/>
      <c r="E2341" s="12"/>
      <c r="F2341" s="12"/>
      <c r="G2341" s="9"/>
      <c r="H2341" s="5"/>
      <c r="I2341" s="5"/>
    </row>
    <row r="2342" spans="3:9" x14ac:dyDescent="0.25">
      <c r="C2342" s="11"/>
      <c r="E2342" s="12"/>
      <c r="F2342" s="12"/>
      <c r="G2342" s="9"/>
      <c r="H2342" s="5"/>
      <c r="I2342" s="5"/>
    </row>
    <row r="2343" spans="3:9" x14ac:dyDescent="0.25">
      <c r="C2343" s="11"/>
      <c r="E2343" s="12"/>
      <c r="F2343" s="12"/>
      <c r="G2343" s="9"/>
      <c r="H2343" s="5"/>
      <c r="I2343" s="5"/>
    </row>
    <row r="2344" spans="3:9" x14ac:dyDescent="0.25">
      <c r="C2344" s="11"/>
      <c r="E2344" s="12"/>
      <c r="F2344" s="12"/>
      <c r="G2344" s="9"/>
      <c r="H2344" s="5"/>
      <c r="I2344" s="5"/>
    </row>
    <row r="2345" spans="3:9" x14ac:dyDescent="0.25">
      <c r="C2345" s="11"/>
      <c r="E2345" s="12"/>
      <c r="F2345" s="12"/>
      <c r="G2345" s="9"/>
      <c r="H2345" s="5"/>
      <c r="I2345" s="5"/>
    </row>
    <row r="2346" spans="3:9" x14ac:dyDescent="0.25">
      <c r="C2346" s="11"/>
      <c r="E2346" s="12"/>
      <c r="F2346" s="12"/>
      <c r="G2346" s="9"/>
      <c r="H2346" s="5"/>
      <c r="I2346" s="5"/>
    </row>
    <row r="2347" spans="3:9" x14ac:dyDescent="0.25">
      <c r="C2347" s="11"/>
      <c r="E2347" s="12"/>
      <c r="F2347" s="12"/>
      <c r="G2347" s="9"/>
      <c r="H2347" s="5"/>
      <c r="I2347" s="5"/>
    </row>
    <row r="2348" spans="3:9" x14ac:dyDescent="0.25">
      <c r="C2348" s="11"/>
      <c r="E2348" s="12"/>
      <c r="F2348" s="12"/>
      <c r="G2348" s="9"/>
      <c r="H2348" s="5"/>
      <c r="I2348" s="5"/>
    </row>
    <row r="2349" spans="3:9" x14ac:dyDescent="0.25">
      <c r="C2349" s="11"/>
      <c r="E2349" s="12"/>
      <c r="F2349" s="12"/>
      <c r="G2349" s="9"/>
      <c r="H2349" s="5"/>
      <c r="I2349" s="5"/>
    </row>
    <row r="2350" spans="3:9" x14ac:dyDescent="0.25">
      <c r="C2350" s="11"/>
      <c r="E2350" s="12"/>
      <c r="F2350" s="12"/>
      <c r="G2350" s="9"/>
      <c r="H2350" s="5"/>
      <c r="I2350" s="5"/>
    </row>
    <row r="2351" spans="3:9" x14ac:dyDescent="0.25">
      <c r="C2351" s="11"/>
      <c r="E2351" s="12"/>
      <c r="F2351" s="12"/>
      <c r="G2351" s="9"/>
      <c r="H2351" s="5"/>
      <c r="I2351" s="5"/>
    </row>
    <row r="2352" spans="3:9" x14ac:dyDescent="0.25">
      <c r="C2352" s="11"/>
      <c r="E2352" s="12"/>
      <c r="F2352" s="12"/>
      <c r="G2352" s="9"/>
      <c r="H2352" s="5"/>
      <c r="I2352" s="5"/>
    </row>
    <row r="2353" spans="3:9" x14ac:dyDescent="0.25">
      <c r="C2353" s="11"/>
      <c r="E2353" s="12"/>
      <c r="F2353" s="12"/>
      <c r="G2353" s="9"/>
      <c r="H2353" s="5"/>
      <c r="I2353" s="5"/>
    </row>
    <row r="2354" spans="3:9" x14ac:dyDescent="0.25">
      <c r="C2354" s="11"/>
      <c r="E2354" s="12"/>
      <c r="F2354" s="12"/>
      <c r="G2354" s="9"/>
      <c r="H2354" s="5"/>
      <c r="I2354" s="5"/>
    </row>
    <row r="2355" spans="3:9" x14ac:dyDescent="0.25">
      <c r="C2355" s="11"/>
      <c r="E2355" s="12"/>
      <c r="F2355" s="12"/>
      <c r="G2355" s="9"/>
      <c r="H2355" s="5"/>
      <c r="I2355" s="5"/>
    </row>
    <row r="2356" spans="3:9" x14ac:dyDescent="0.25">
      <c r="C2356" s="11"/>
      <c r="E2356" s="12"/>
      <c r="F2356" s="12"/>
      <c r="G2356" s="9"/>
      <c r="H2356" s="5"/>
      <c r="I2356" s="5"/>
    </row>
    <row r="2357" spans="3:9" x14ac:dyDescent="0.25">
      <c r="C2357" s="11"/>
      <c r="E2357" s="12"/>
      <c r="F2357" s="12"/>
      <c r="G2357" s="9"/>
      <c r="H2357" s="5"/>
      <c r="I2357" s="5"/>
    </row>
    <row r="2358" spans="3:9" x14ac:dyDescent="0.25">
      <c r="C2358" s="11"/>
      <c r="E2358" s="12"/>
      <c r="F2358" s="12"/>
      <c r="G2358" s="9"/>
      <c r="H2358" s="5"/>
      <c r="I2358" s="5"/>
    </row>
    <row r="2359" spans="3:9" x14ac:dyDescent="0.25">
      <c r="C2359" s="11"/>
      <c r="E2359" s="12"/>
      <c r="F2359" s="12"/>
      <c r="G2359" s="9"/>
      <c r="H2359" s="5"/>
      <c r="I2359" s="5"/>
    </row>
    <row r="2360" spans="3:9" x14ac:dyDescent="0.25">
      <c r="C2360" s="11"/>
      <c r="E2360" s="12"/>
      <c r="F2360" s="12"/>
      <c r="G2360" s="9"/>
      <c r="H2360" s="5"/>
      <c r="I2360" s="5"/>
    </row>
    <row r="2361" spans="3:9" x14ac:dyDescent="0.25">
      <c r="C2361" s="11"/>
      <c r="E2361" s="12"/>
      <c r="F2361" s="12"/>
      <c r="G2361" s="9"/>
      <c r="H2361" s="5"/>
      <c r="I2361" s="5"/>
    </row>
    <row r="2362" spans="3:9" x14ac:dyDescent="0.25">
      <c r="C2362" s="11"/>
      <c r="E2362" s="12"/>
      <c r="F2362" s="12"/>
      <c r="G2362" s="9"/>
      <c r="H2362" s="5"/>
      <c r="I2362" s="5"/>
    </row>
    <row r="2363" spans="3:9" x14ac:dyDescent="0.25">
      <c r="C2363" s="11"/>
      <c r="E2363" s="12"/>
      <c r="F2363" s="12"/>
      <c r="G2363" s="9"/>
      <c r="H2363" s="5"/>
      <c r="I2363" s="5"/>
    </row>
    <row r="2364" spans="3:9" x14ac:dyDescent="0.25">
      <c r="C2364" s="11"/>
      <c r="E2364" s="12"/>
      <c r="F2364" s="12"/>
      <c r="G2364" s="9"/>
      <c r="H2364" s="5"/>
      <c r="I2364" s="5"/>
    </row>
    <row r="2365" spans="3:9" x14ac:dyDescent="0.25">
      <c r="C2365" s="11"/>
      <c r="E2365" s="12"/>
      <c r="F2365" s="12"/>
      <c r="G2365" s="9"/>
      <c r="H2365" s="5"/>
      <c r="I2365" s="5"/>
    </row>
    <row r="2366" spans="3:9" x14ac:dyDescent="0.25">
      <c r="C2366" s="11"/>
      <c r="E2366" s="12"/>
      <c r="F2366" s="12"/>
      <c r="G2366" s="9"/>
      <c r="H2366" s="5"/>
      <c r="I2366" s="5"/>
    </row>
    <row r="2367" spans="3:9" x14ac:dyDescent="0.25">
      <c r="C2367" s="11"/>
      <c r="E2367" s="12"/>
      <c r="F2367" s="12"/>
      <c r="G2367" s="9"/>
      <c r="H2367" s="5"/>
      <c r="I2367" s="5"/>
    </row>
    <row r="2368" spans="3:9" x14ac:dyDescent="0.25">
      <c r="C2368" s="11"/>
      <c r="E2368" s="12"/>
      <c r="F2368" s="12"/>
      <c r="G2368" s="9"/>
      <c r="H2368" s="5"/>
      <c r="I2368" s="5"/>
    </row>
    <row r="2369" spans="3:9" x14ac:dyDescent="0.25">
      <c r="C2369" s="11"/>
      <c r="E2369" s="12"/>
      <c r="F2369" s="12"/>
      <c r="G2369" s="9"/>
      <c r="H2369" s="5"/>
      <c r="I2369" s="5"/>
    </row>
    <row r="2370" spans="3:9" x14ac:dyDescent="0.25">
      <c r="C2370" s="11"/>
      <c r="E2370" s="12"/>
      <c r="F2370" s="12"/>
      <c r="G2370" s="9"/>
      <c r="H2370" s="5"/>
      <c r="I2370" s="5"/>
    </row>
    <row r="2371" spans="3:9" x14ac:dyDescent="0.25">
      <c r="C2371" s="11"/>
      <c r="E2371" s="12"/>
      <c r="F2371" s="12"/>
      <c r="G2371" s="9"/>
      <c r="H2371" s="5"/>
      <c r="I2371" s="5"/>
    </row>
    <row r="2372" spans="3:9" x14ac:dyDescent="0.25">
      <c r="C2372" s="11"/>
      <c r="E2372" s="12"/>
      <c r="F2372" s="12"/>
      <c r="G2372" s="9"/>
      <c r="H2372" s="5"/>
      <c r="I2372" s="5"/>
    </row>
    <row r="2373" spans="3:9" x14ac:dyDescent="0.25">
      <c r="C2373" s="11"/>
      <c r="E2373" s="12"/>
      <c r="F2373" s="12"/>
      <c r="G2373" s="9"/>
      <c r="H2373" s="5"/>
      <c r="I2373" s="5"/>
    </row>
    <row r="2374" spans="3:9" x14ac:dyDescent="0.25">
      <c r="C2374" s="11"/>
      <c r="E2374" s="12"/>
      <c r="F2374" s="12"/>
      <c r="G2374" s="9"/>
      <c r="H2374" s="5"/>
      <c r="I2374" s="5"/>
    </row>
    <row r="2375" spans="3:9" x14ac:dyDescent="0.25">
      <c r="C2375" s="11"/>
      <c r="E2375" s="12"/>
      <c r="F2375" s="12"/>
      <c r="G2375" s="9"/>
      <c r="H2375" s="5"/>
      <c r="I2375" s="5"/>
    </row>
    <row r="2376" spans="3:9" x14ac:dyDescent="0.25">
      <c r="C2376" s="11"/>
      <c r="E2376" s="12"/>
      <c r="F2376" s="12"/>
      <c r="G2376" s="9"/>
      <c r="H2376" s="5"/>
      <c r="I2376" s="5"/>
    </row>
    <row r="2377" spans="3:9" x14ac:dyDescent="0.25">
      <c r="C2377" s="11"/>
      <c r="E2377" s="12"/>
      <c r="F2377" s="12"/>
      <c r="G2377" s="9"/>
      <c r="H2377" s="5"/>
      <c r="I2377" s="5"/>
    </row>
    <row r="2378" spans="3:9" x14ac:dyDescent="0.25">
      <c r="C2378" s="11"/>
      <c r="E2378" s="12"/>
      <c r="F2378" s="12"/>
      <c r="G2378" s="9"/>
      <c r="H2378" s="5"/>
      <c r="I2378" s="5"/>
    </row>
    <row r="2379" spans="3:9" x14ac:dyDescent="0.25">
      <c r="C2379" s="11"/>
      <c r="E2379" s="12"/>
      <c r="F2379" s="12"/>
      <c r="G2379" s="9"/>
      <c r="H2379" s="5"/>
      <c r="I2379" s="5"/>
    </row>
    <row r="2380" spans="3:9" x14ac:dyDescent="0.25">
      <c r="C2380" s="11"/>
      <c r="E2380" s="12"/>
      <c r="F2380" s="12"/>
      <c r="G2380" s="9"/>
      <c r="H2380" s="5"/>
      <c r="I2380" s="5"/>
    </row>
    <row r="2381" spans="3:9" x14ac:dyDescent="0.25">
      <c r="C2381" s="11"/>
      <c r="E2381" s="12"/>
      <c r="F2381" s="12"/>
      <c r="G2381" s="9"/>
      <c r="H2381" s="5"/>
      <c r="I2381" s="5"/>
    </row>
    <row r="2382" spans="3:9" x14ac:dyDescent="0.25">
      <c r="C2382" s="11"/>
      <c r="E2382" s="12"/>
      <c r="F2382" s="12"/>
      <c r="G2382" s="9"/>
      <c r="H2382" s="5"/>
      <c r="I2382" s="5"/>
    </row>
    <row r="2383" spans="3:9" x14ac:dyDescent="0.25">
      <c r="C2383" s="11"/>
      <c r="E2383" s="12"/>
      <c r="F2383" s="12"/>
      <c r="G2383" s="9"/>
      <c r="H2383" s="5"/>
      <c r="I2383" s="5"/>
    </row>
    <row r="2384" spans="3:9" x14ac:dyDescent="0.25">
      <c r="C2384" s="11"/>
      <c r="E2384" s="12"/>
      <c r="F2384" s="12"/>
      <c r="G2384" s="9"/>
      <c r="H2384" s="5"/>
      <c r="I2384" s="5"/>
    </row>
    <row r="2385" spans="3:9" x14ac:dyDescent="0.25">
      <c r="C2385" s="11"/>
      <c r="E2385" s="12"/>
      <c r="F2385" s="12"/>
      <c r="G2385" s="9"/>
      <c r="H2385" s="5"/>
      <c r="I2385" s="5"/>
    </row>
    <row r="2386" spans="3:9" x14ac:dyDescent="0.25">
      <c r="C2386" s="11"/>
      <c r="E2386" s="12"/>
      <c r="F2386" s="12"/>
      <c r="G2386" s="9"/>
      <c r="H2386" s="5"/>
      <c r="I2386" s="5"/>
    </row>
    <row r="2387" spans="3:9" x14ac:dyDescent="0.25">
      <c r="C2387" s="11"/>
      <c r="E2387" s="12"/>
      <c r="F2387" s="12"/>
      <c r="G2387" s="9"/>
      <c r="H2387" s="5"/>
      <c r="I2387" s="5"/>
    </row>
    <row r="2388" spans="3:9" x14ac:dyDescent="0.25">
      <c r="C2388" s="11"/>
      <c r="E2388" s="12"/>
      <c r="F2388" s="12"/>
      <c r="G2388" s="9"/>
      <c r="H2388" s="5"/>
      <c r="I2388" s="5"/>
    </row>
    <row r="2389" spans="3:9" x14ac:dyDescent="0.25">
      <c r="C2389" s="11"/>
      <c r="E2389" s="12"/>
      <c r="F2389" s="12"/>
      <c r="G2389" s="9"/>
      <c r="H2389" s="5"/>
      <c r="I2389" s="5"/>
    </row>
    <row r="2390" spans="3:9" x14ac:dyDescent="0.25">
      <c r="C2390" s="11"/>
      <c r="E2390" s="12"/>
      <c r="F2390" s="12"/>
      <c r="G2390" s="9"/>
      <c r="H2390" s="5"/>
      <c r="I2390" s="5"/>
    </row>
    <row r="2391" spans="3:9" x14ac:dyDescent="0.25">
      <c r="C2391" s="11"/>
      <c r="E2391" s="12"/>
      <c r="F2391" s="12"/>
      <c r="G2391" s="9"/>
      <c r="H2391" s="5"/>
      <c r="I2391" s="5"/>
    </row>
    <row r="2392" spans="3:9" x14ac:dyDescent="0.25">
      <c r="C2392" s="11"/>
      <c r="E2392" s="12"/>
      <c r="F2392" s="12"/>
      <c r="G2392" s="9"/>
      <c r="H2392" s="5"/>
      <c r="I2392" s="5"/>
    </row>
    <row r="2393" spans="3:9" x14ac:dyDescent="0.25">
      <c r="C2393" s="11"/>
      <c r="E2393" s="12"/>
      <c r="F2393" s="12"/>
      <c r="G2393" s="9"/>
      <c r="H2393" s="5"/>
      <c r="I2393" s="5"/>
    </row>
    <row r="2394" spans="3:9" x14ac:dyDescent="0.25">
      <c r="C2394" s="11"/>
      <c r="E2394" s="12"/>
      <c r="F2394" s="12"/>
      <c r="G2394" s="9"/>
      <c r="H2394" s="5"/>
      <c r="I2394" s="5"/>
    </row>
    <row r="2395" spans="3:9" x14ac:dyDescent="0.25">
      <c r="C2395" s="11"/>
      <c r="E2395" s="12"/>
      <c r="F2395" s="12"/>
      <c r="G2395" s="9"/>
      <c r="H2395" s="5"/>
      <c r="I2395" s="5"/>
    </row>
    <row r="2396" spans="3:9" x14ac:dyDescent="0.25">
      <c r="C2396" s="11"/>
      <c r="E2396" s="12"/>
      <c r="F2396" s="12"/>
      <c r="G2396" s="9"/>
      <c r="H2396" s="5"/>
      <c r="I2396" s="5"/>
    </row>
    <row r="2397" spans="3:9" x14ac:dyDescent="0.25">
      <c r="C2397" s="11"/>
      <c r="E2397" s="12"/>
      <c r="F2397" s="12"/>
      <c r="G2397" s="9"/>
      <c r="H2397" s="5"/>
      <c r="I2397" s="5"/>
    </row>
    <row r="2398" spans="3:9" x14ac:dyDescent="0.25">
      <c r="C2398" s="11"/>
      <c r="E2398" s="12"/>
      <c r="F2398" s="12"/>
      <c r="G2398" s="9"/>
      <c r="H2398" s="5"/>
      <c r="I2398" s="5"/>
    </row>
    <row r="2399" spans="3:9" x14ac:dyDescent="0.25">
      <c r="C2399" s="11"/>
      <c r="E2399" s="12"/>
      <c r="F2399" s="12"/>
      <c r="G2399" s="9"/>
      <c r="H2399" s="5"/>
      <c r="I2399" s="5"/>
    </row>
    <row r="2400" spans="3:9" x14ac:dyDescent="0.25">
      <c r="C2400" s="11"/>
      <c r="E2400" s="12"/>
      <c r="F2400" s="12"/>
      <c r="G2400" s="9"/>
      <c r="H2400" s="5"/>
      <c r="I2400" s="5"/>
    </row>
    <row r="2401" spans="3:9" x14ac:dyDescent="0.25">
      <c r="C2401" s="11"/>
      <c r="E2401" s="12"/>
      <c r="F2401" s="12"/>
      <c r="G2401" s="9"/>
      <c r="H2401" s="5"/>
      <c r="I2401" s="5"/>
    </row>
    <row r="2402" spans="3:9" x14ac:dyDescent="0.25">
      <c r="C2402" s="11"/>
      <c r="E2402" s="12"/>
      <c r="F2402" s="12"/>
      <c r="G2402" s="9"/>
      <c r="H2402" s="5"/>
      <c r="I2402" s="5"/>
    </row>
    <row r="2403" spans="3:9" x14ac:dyDescent="0.25">
      <c r="C2403" s="11"/>
      <c r="E2403" s="12"/>
      <c r="F2403" s="12"/>
      <c r="G2403" s="9"/>
      <c r="H2403" s="5"/>
      <c r="I2403" s="5"/>
    </row>
    <row r="2404" spans="3:9" x14ac:dyDescent="0.25">
      <c r="C2404" s="11"/>
      <c r="E2404" s="12"/>
      <c r="F2404" s="12"/>
      <c r="G2404" s="9"/>
      <c r="H2404" s="5"/>
      <c r="I2404" s="5"/>
    </row>
    <row r="2405" spans="3:9" x14ac:dyDescent="0.25">
      <c r="C2405" s="11"/>
      <c r="E2405" s="12"/>
      <c r="F2405" s="12"/>
      <c r="G2405" s="9"/>
      <c r="H2405" s="5"/>
      <c r="I2405" s="5"/>
    </row>
    <row r="2406" spans="3:9" x14ac:dyDescent="0.25">
      <c r="C2406" s="11"/>
      <c r="E2406" s="12"/>
      <c r="F2406" s="12"/>
      <c r="G2406" s="9"/>
      <c r="H2406" s="5"/>
      <c r="I2406" s="5"/>
    </row>
    <row r="2407" spans="3:9" x14ac:dyDescent="0.25">
      <c r="C2407" s="11"/>
      <c r="E2407" s="12"/>
      <c r="F2407" s="12"/>
      <c r="G2407" s="9"/>
      <c r="H2407" s="5"/>
      <c r="I2407" s="5"/>
    </row>
    <row r="2408" spans="3:9" x14ac:dyDescent="0.25">
      <c r="C2408" s="11"/>
      <c r="E2408" s="12"/>
      <c r="F2408" s="12"/>
      <c r="G2408" s="9"/>
      <c r="H2408" s="5"/>
      <c r="I2408" s="5"/>
    </row>
    <row r="2409" spans="3:9" x14ac:dyDescent="0.25">
      <c r="C2409" s="11"/>
      <c r="E2409" s="12"/>
      <c r="F2409" s="12"/>
      <c r="G2409" s="9"/>
      <c r="H2409" s="5"/>
      <c r="I2409" s="5"/>
    </row>
    <row r="2410" spans="3:9" x14ac:dyDescent="0.25">
      <c r="C2410" s="11"/>
      <c r="E2410" s="12"/>
      <c r="F2410" s="12"/>
      <c r="G2410" s="9"/>
      <c r="H2410" s="5"/>
      <c r="I2410" s="5"/>
    </row>
    <row r="2411" spans="3:9" x14ac:dyDescent="0.25">
      <c r="C2411" s="11"/>
      <c r="E2411" s="12"/>
      <c r="F2411" s="12"/>
      <c r="G2411" s="9"/>
      <c r="H2411" s="5"/>
      <c r="I2411" s="5"/>
    </row>
    <row r="2412" spans="3:9" x14ac:dyDescent="0.25">
      <c r="C2412" s="11"/>
      <c r="E2412" s="12"/>
      <c r="F2412" s="12"/>
      <c r="G2412" s="9"/>
      <c r="H2412" s="5"/>
      <c r="I2412" s="5"/>
    </row>
    <row r="2413" spans="3:9" x14ac:dyDescent="0.25">
      <c r="C2413" s="11"/>
      <c r="E2413" s="12"/>
      <c r="F2413" s="12"/>
      <c r="G2413" s="9"/>
      <c r="H2413" s="5"/>
      <c r="I2413" s="5"/>
    </row>
    <row r="2414" spans="3:9" x14ac:dyDescent="0.25">
      <c r="C2414" s="11"/>
      <c r="E2414" s="12"/>
      <c r="F2414" s="12"/>
      <c r="G2414" s="9"/>
      <c r="H2414" s="5"/>
      <c r="I2414" s="5"/>
    </row>
    <row r="2415" spans="3:9" x14ac:dyDescent="0.25">
      <c r="C2415" s="11"/>
      <c r="E2415" s="12"/>
      <c r="F2415" s="12"/>
      <c r="G2415" s="9"/>
      <c r="H2415" s="5"/>
      <c r="I2415" s="5"/>
    </row>
    <row r="2416" spans="3:9" x14ac:dyDescent="0.25">
      <c r="C2416" s="11"/>
      <c r="E2416" s="12"/>
      <c r="F2416" s="12"/>
      <c r="G2416" s="9"/>
      <c r="H2416" s="5"/>
      <c r="I2416" s="5"/>
    </row>
    <row r="2417" spans="3:9" x14ac:dyDescent="0.25">
      <c r="C2417" s="11"/>
      <c r="E2417" s="12"/>
      <c r="F2417" s="12"/>
      <c r="G2417" s="9"/>
      <c r="H2417" s="5"/>
      <c r="I2417" s="5"/>
    </row>
    <row r="2418" spans="3:9" x14ac:dyDescent="0.25">
      <c r="C2418" s="11"/>
      <c r="E2418" s="12"/>
      <c r="F2418" s="12"/>
      <c r="G2418" s="9"/>
      <c r="H2418" s="5"/>
      <c r="I2418" s="5"/>
    </row>
    <row r="2419" spans="3:9" x14ac:dyDescent="0.25">
      <c r="C2419" s="11"/>
      <c r="E2419" s="12"/>
      <c r="F2419" s="12"/>
      <c r="G2419" s="9"/>
      <c r="H2419" s="5"/>
      <c r="I2419" s="5"/>
    </row>
    <row r="2420" spans="3:9" x14ac:dyDescent="0.25">
      <c r="C2420" s="11"/>
      <c r="E2420" s="12"/>
      <c r="F2420" s="12"/>
      <c r="G2420" s="9"/>
      <c r="H2420" s="5"/>
      <c r="I2420" s="5"/>
    </row>
    <row r="2421" spans="3:9" x14ac:dyDescent="0.25">
      <c r="C2421" s="11"/>
      <c r="E2421" s="12"/>
      <c r="F2421" s="12"/>
      <c r="G2421" s="9"/>
      <c r="H2421" s="5"/>
      <c r="I2421" s="5"/>
    </row>
    <row r="2422" spans="3:9" x14ac:dyDescent="0.25">
      <c r="C2422" s="11"/>
      <c r="E2422" s="12"/>
      <c r="F2422" s="12"/>
      <c r="G2422" s="9"/>
      <c r="H2422" s="5"/>
      <c r="I2422" s="5"/>
    </row>
    <row r="2423" spans="3:9" x14ac:dyDescent="0.25">
      <c r="C2423" s="11"/>
      <c r="E2423" s="12"/>
      <c r="F2423" s="12"/>
      <c r="G2423" s="9"/>
      <c r="H2423" s="5"/>
      <c r="I2423" s="5"/>
    </row>
    <row r="2424" spans="3:9" x14ac:dyDescent="0.25">
      <c r="C2424" s="11"/>
      <c r="E2424" s="12"/>
      <c r="F2424" s="12"/>
      <c r="G2424" s="9"/>
      <c r="H2424" s="5"/>
      <c r="I2424" s="5"/>
    </row>
    <row r="2425" spans="3:9" x14ac:dyDescent="0.25">
      <c r="C2425" s="11"/>
      <c r="E2425" s="12"/>
      <c r="F2425" s="12"/>
      <c r="G2425" s="9"/>
      <c r="H2425" s="5"/>
      <c r="I2425" s="5"/>
    </row>
    <row r="2426" spans="3:9" x14ac:dyDescent="0.25">
      <c r="C2426" s="11"/>
      <c r="E2426" s="12"/>
      <c r="F2426" s="12"/>
      <c r="G2426" s="9"/>
      <c r="H2426" s="5"/>
      <c r="I2426" s="5"/>
    </row>
    <row r="2427" spans="3:9" x14ac:dyDescent="0.25">
      <c r="C2427" s="11"/>
      <c r="E2427" s="12"/>
      <c r="F2427" s="12"/>
      <c r="G2427" s="9"/>
      <c r="H2427" s="5"/>
      <c r="I2427" s="5"/>
    </row>
    <row r="2428" spans="3:9" x14ac:dyDescent="0.25">
      <c r="C2428" s="11"/>
      <c r="E2428" s="12"/>
      <c r="F2428" s="12"/>
      <c r="G2428" s="9"/>
      <c r="H2428" s="5"/>
      <c r="I2428" s="5"/>
    </row>
    <row r="2429" spans="3:9" x14ac:dyDescent="0.25">
      <c r="C2429" s="11"/>
      <c r="E2429" s="12"/>
      <c r="F2429" s="12"/>
      <c r="G2429" s="9"/>
      <c r="H2429" s="5"/>
      <c r="I2429" s="5"/>
    </row>
    <row r="2430" spans="3:9" x14ac:dyDescent="0.25">
      <c r="C2430" s="11"/>
      <c r="E2430" s="12"/>
      <c r="F2430" s="12"/>
      <c r="G2430" s="9"/>
      <c r="H2430" s="5"/>
      <c r="I2430" s="5"/>
    </row>
    <row r="2431" spans="3:9" x14ac:dyDescent="0.25">
      <c r="C2431" s="11"/>
      <c r="E2431" s="12"/>
      <c r="F2431" s="12"/>
      <c r="G2431" s="9"/>
      <c r="H2431" s="5"/>
      <c r="I2431" s="5"/>
    </row>
    <row r="2432" spans="3:9" x14ac:dyDescent="0.25">
      <c r="C2432" s="11"/>
      <c r="E2432" s="12"/>
      <c r="F2432" s="12"/>
      <c r="G2432" s="9"/>
      <c r="H2432" s="5"/>
      <c r="I2432" s="5"/>
    </row>
    <row r="2433" spans="3:9" x14ac:dyDescent="0.25">
      <c r="C2433" s="11"/>
      <c r="E2433" s="12"/>
      <c r="F2433" s="12"/>
      <c r="G2433" s="9"/>
      <c r="H2433" s="5"/>
      <c r="I2433" s="5"/>
    </row>
    <row r="2434" spans="3:9" x14ac:dyDescent="0.25">
      <c r="C2434" s="11"/>
      <c r="E2434" s="12"/>
      <c r="F2434" s="12"/>
      <c r="G2434" s="9"/>
      <c r="H2434" s="5"/>
      <c r="I2434" s="5"/>
    </row>
    <row r="2435" spans="3:9" x14ac:dyDescent="0.25">
      <c r="C2435" s="11"/>
      <c r="E2435" s="12"/>
      <c r="F2435" s="12"/>
      <c r="G2435" s="9"/>
      <c r="H2435" s="5"/>
      <c r="I2435" s="5"/>
    </row>
    <row r="2436" spans="3:9" x14ac:dyDescent="0.25">
      <c r="C2436" s="11"/>
      <c r="E2436" s="12"/>
      <c r="F2436" s="12"/>
      <c r="G2436" s="9"/>
      <c r="H2436" s="5"/>
      <c r="I2436" s="5"/>
    </row>
    <row r="2437" spans="3:9" x14ac:dyDescent="0.25">
      <c r="C2437" s="11"/>
      <c r="E2437" s="12"/>
      <c r="F2437" s="12"/>
      <c r="G2437" s="9"/>
      <c r="H2437" s="5"/>
      <c r="I2437" s="5"/>
    </row>
    <row r="2438" spans="3:9" x14ac:dyDescent="0.25">
      <c r="C2438" s="11"/>
      <c r="E2438" s="12"/>
      <c r="F2438" s="12"/>
      <c r="G2438" s="9"/>
      <c r="H2438" s="5"/>
      <c r="I2438" s="5"/>
    </row>
    <row r="2439" spans="3:9" x14ac:dyDescent="0.25">
      <c r="C2439" s="11"/>
      <c r="E2439" s="12"/>
      <c r="F2439" s="12"/>
      <c r="G2439" s="9"/>
      <c r="H2439" s="5"/>
      <c r="I2439" s="5"/>
    </row>
    <row r="2440" spans="3:9" x14ac:dyDescent="0.25">
      <c r="C2440" s="11"/>
      <c r="E2440" s="12"/>
      <c r="F2440" s="12"/>
      <c r="G2440" s="9"/>
      <c r="H2440" s="5"/>
      <c r="I2440" s="5"/>
    </row>
    <row r="2441" spans="3:9" x14ac:dyDescent="0.25">
      <c r="C2441" s="11"/>
      <c r="E2441" s="12"/>
      <c r="F2441" s="12"/>
      <c r="G2441" s="9"/>
      <c r="H2441" s="5"/>
      <c r="I2441" s="5"/>
    </row>
    <row r="2442" spans="3:9" x14ac:dyDescent="0.25">
      <c r="C2442" s="11"/>
      <c r="E2442" s="12"/>
      <c r="F2442" s="12"/>
      <c r="G2442" s="9"/>
      <c r="H2442" s="5"/>
      <c r="I2442" s="5"/>
    </row>
    <row r="2443" spans="3:9" x14ac:dyDescent="0.25">
      <c r="C2443" s="11"/>
      <c r="E2443" s="12"/>
      <c r="F2443" s="12"/>
      <c r="G2443" s="9"/>
      <c r="H2443" s="5"/>
      <c r="I2443" s="5"/>
    </row>
    <row r="2444" spans="3:9" x14ac:dyDescent="0.25">
      <c r="C2444" s="11"/>
      <c r="E2444" s="12"/>
      <c r="F2444" s="12"/>
      <c r="G2444" s="9"/>
      <c r="H2444" s="5"/>
      <c r="I2444" s="5"/>
    </row>
    <row r="2445" spans="3:9" x14ac:dyDescent="0.25">
      <c r="C2445" s="11"/>
      <c r="E2445" s="12"/>
      <c r="F2445" s="12"/>
      <c r="G2445" s="9"/>
      <c r="H2445" s="5"/>
      <c r="I2445" s="5"/>
    </row>
    <row r="2446" spans="3:9" x14ac:dyDescent="0.25">
      <c r="C2446" s="11"/>
      <c r="E2446" s="12"/>
      <c r="F2446" s="12"/>
      <c r="G2446" s="9"/>
      <c r="H2446" s="5"/>
      <c r="I2446" s="5"/>
    </row>
    <row r="2447" spans="3:9" x14ac:dyDescent="0.25">
      <c r="C2447" s="11"/>
      <c r="E2447" s="12"/>
      <c r="F2447" s="12"/>
      <c r="G2447" s="9"/>
      <c r="H2447" s="5"/>
      <c r="I2447" s="5"/>
    </row>
    <row r="2448" spans="3:9" x14ac:dyDescent="0.25">
      <c r="C2448" s="11"/>
      <c r="E2448" s="12"/>
      <c r="F2448" s="12"/>
      <c r="G2448" s="9"/>
      <c r="H2448" s="5"/>
      <c r="I2448" s="5"/>
    </row>
    <row r="2449" spans="3:9" x14ac:dyDescent="0.25">
      <c r="C2449" s="11"/>
      <c r="E2449" s="12"/>
      <c r="F2449" s="12"/>
      <c r="G2449" s="9"/>
      <c r="H2449" s="5"/>
      <c r="I2449" s="5"/>
    </row>
    <row r="2450" spans="3:9" x14ac:dyDescent="0.25">
      <c r="C2450" s="11"/>
      <c r="E2450" s="12"/>
      <c r="F2450" s="12"/>
      <c r="G2450" s="9"/>
      <c r="H2450" s="5"/>
      <c r="I2450" s="5"/>
    </row>
    <row r="2451" spans="3:9" x14ac:dyDescent="0.25">
      <c r="C2451" s="11"/>
      <c r="E2451" s="12"/>
      <c r="F2451" s="12"/>
      <c r="G2451" s="9"/>
      <c r="H2451" s="5"/>
      <c r="I2451" s="5"/>
    </row>
    <row r="2452" spans="3:9" x14ac:dyDescent="0.25">
      <c r="C2452" s="11"/>
      <c r="E2452" s="12"/>
      <c r="F2452" s="12"/>
      <c r="G2452" s="9"/>
      <c r="H2452" s="5"/>
      <c r="I2452" s="5"/>
    </row>
    <row r="2453" spans="3:9" x14ac:dyDescent="0.25">
      <c r="C2453" s="11"/>
      <c r="E2453" s="12"/>
      <c r="F2453" s="12"/>
      <c r="G2453" s="9"/>
      <c r="H2453" s="5"/>
      <c r="I2453" s="5"/>
    </row>
    <row r="2454" spans="3:9" x14ac:dyDescent="0.25">
      <c r="C2454" s="11"/>
      <c r="E2454" s="12"/>
      <c r="F2454" s="12"/>
      <c r="G2454" s="9"/>
      <c r="H2454" s="5"/>
      <c r="I2454" s="5"/>
    </row>
    <row r="2455" spans="3:9" x14ac:dyDescent="0.25">
      <c r="C2455" s="11"/>
      <c r="E2455" s="12"/>
      <c r="F2455" s="12"/>
      <c r="G2455" s="9"/>
      <c r="H2455" s="5"/>
      <c r="I2455" s="5"/>
    </row>
    <row r="2456" spans="3:9" x14ac:dyDescent="0.25">
      <c r="C2456" s="11"/>
      <c r="E2456" s="12"/>
      <c r="F2456" s="12"/>
      <c r="G2456" s="9"/>
      <c r="H2456" s="5"/>
      <c r="I2456" s="5"/>
    </row>
    <row r="2457" spans="3:9" x14ac:dyDescent="0.25">
      <c r="C2457" s="11"/>
      <c r="E2457" s="12"/>
      <c r="F2457" s="12"/>
      <c r="G2457" s="9"/>
      <c r="H2457" s="5"/>
      <c r="I2457" s="5"/>
    </row>
    <row r="2458" spans="3:9" x14ac:dyDescent="0.25">
      <c r="C2458" s="11"/>
      <c r="E2458" s="12"/>
      <c r="F2458" s="12"/>
      <c r="G2458" s="9"/>
      <c r="H2458" s="5"/>
      <c r="I2458" s="5"/>
    </row>
    <row r="2459" spans="3:9" x14ac:dyDescent="0.25">
      <c r="C2459" s="11"/>
      <c r="E2459" s="12"/>
      <c r="F2459" s="12"/>
      <c r="G2459" s="9"/>
      <c r="H2459" s="5"/>
      <c r="I2459" s="5"/>
    </row>
    <row r="2460" spans="3:9" x14ac:dyDescent="0.25">
      <c r="C2460" s="11"/>
      <c r="E2460" s="12"/>
      <c r="F2460" s="12"/>
      <c r="G2460" s="9"/>
      <c r="H2460" s="5"/>
      <c r="I2460" s="5"/>
    </row>
    <row r="2461" spans="3:9" x14ac:dyDescent="0.25">
      <c r="C2461" s="11"/>
      <c r="E2461" s="12"/>
      <c r="F2461" s="12"/>
      <c r="G2461" s="9"/>
      <c r="H2461" s="5"/>
      <c r="I2461" s="5"/>
    </row>
    <row r="2462" spans="3:9" x14ac:dyDescent="0.25">
      <c r="C2462" s="11"/>
      <c r="E2462" s="12"/>
      <c r="F2462" s="12"/>
      <c r="G2462" s="9"/>
      <c r="H2462" s="5"/>
      <c r="I2462" s="5"/>
    </row>
    <row r="2463" spans="3:9" x14ac:dyDescent="0.25">
      <c r="C2463" s="11"/>
      <c r="E2463" s="12"/>
      <c r="F2463" s="12"/>
      <c r="G2463" s="9"/>
      <c r="H2463" s="5"/>
      <c r="I2463" s="5"/>
    </row>
    <row r="2464" spans="3:9" x14ac:dyDescent="0.25">
      <c r="C2464" s="11"/>
      <c r="E2464" s="12"/>
      <c r="F2464" s="12"/>
      <c r="G2464" s="9"/>
      <c r="H2464" s="5"/>
      <c r="I2464" s="5"/>
    </row>
    <row r="2465" spans="3:9" x14ac:dyDescent="0.25">
      <c r="C2465" s="11"/>
      <c r="E2465" s="12"/>
      <c r="F2465" s="12"/>
      <c r="G2465" s="9"/>
      <c r="H2465" s="5"/>
      <c r="I2465" s="5"/>
    </row>
    <row r="2466" spans="3:9" x14ac:dyDescent="0.25">
      <c r="C2466" s="11"/>
      <c r="E2466" s="12"/>
      <c r="F2466" s="12"/>
      <c r="G2466" s="9"/>
      <c r="H2466" s="5"/>
      <c r="I2466" s="5"/>
    </row>
    <row r="2467" spans="3:9" x14ac:dyDescent="0.25">
      <c r="C2467" s="11"/>
      <c r="E2467" s="12"/>
      <c r="F2467" s="12"/>
      <c r="G2467" s="9"/>
      <c r="H2467" s="5"/>
      <c r="I2467" s="5"/>
    </row>
    <row r="2468" spans="3:9" x14ac:dyDescent="0.25">
      <c r="C2468" s="11"/>
      <c r="E2468" s="12"/>
      <c r="F2468" s="12"/>
      <c r="G2468" s="9"/>
      <c r="H2468" s="5"/>
      <c r="I2468" s="5"/>
    </row>
    <row r="2469" spans="3:9" x14ac:dyDescent="0.25">
      <c r="C2469" s="11"/>
      <c r="E2469" s="12"/>
      <c r="F2469" s="12"/>
      <c r="G2469" s="9"/>
      <c r="H2469" s="5"/>
      <c r="I2469" s="5"/>
    </row>
    <row r="2470" spans="3:9" x14ac:dyDescent="0.25">
      <c r="C2470" s="11"/>
      <c r="E2470" s="12"/>
      <c r="F2470" s="12"/>
      <c r="G2470" s="9"/>
      <c r="H2470" s="5"/>
      <c r="I2470" s="5"/>
    </row>
    <row r="2471" spans="3:9" x14ac:dyDescent="0.25">
      <c r="C2471" s="11"/>
      <c r="E2471" s="12"/>
      <c r="F2471" s="12"/>
      <c r="G2471" s="9"/>
      <c r="H2471" s="5"/>
      <c r="I2471" s="5"/>
    </row>
    <row r="2472" spans="3:9" x14ac:dyDescent="0.25">
      <c r="C2472" s="11"/>
      <c r="E2472" s="12"/>
      <c r="F2472" s="12"/>
      <c r="G2472" s="9"/>
      <c r="H2472" s="5"/>
      <c r="I2472" s="5"/>
    </row>
    <row r="2473" spans="3:9" x14ac:dyDescent="0.25">
      <c r="C2473" s="11"/>
      <c r="E2473" s="12"/>
      <c r="F2473" s="12"/>
      <c r="G2473" s="9"/>
      <c r="H2473" s="5"/>
      <c r="I2473" s="5"/>
    </row>
    <row r="2474" spans="3:9" x14ac:dyDescent="0.25">
      <c r="C2474" s="11"/>
      <c r="E2474" s="12"/>
      <c r="F2474" s="12"/>
      <c r="G2474" s="9"/>
      <c r="H2474" s="5"/>
      <c r="I2474" s="5"/>
    </row>
    <row r="2475" spans="3:9" x14ac:dyDescent="0.25">
      <c r="C2475" s="11"/>
      <c r="E2475" s="12"/>
      <c r="F2475" s="12"/>
      <c r="G2475" s="9"/>
      <c r="H2475" s="5"/>
      <c r="I2475" s="5"/>
    </row>
    <row r="2476" spans="3:9" x14ac:dyDescent="0.25">
      <c r="C2476" s="11"/>
      <c r="E2476" s="12"/>
      <c r="F2476" s="12"/>
      <c r="G2476" s="9"/>
      <c r="H2476" s="5"/>
      <c r="I2476" s="5"/>
    </row>
    <row r="2477" spans="3:9" x14ac:dyDescent="0.25">
      <c r="C2477" s="11"/>
      <c r="E2477" s="12"/>
      <c r="F2477" s="12"/>
      <c r="G2477" s="9"/>
      <c r="H2477" s="5"/>
      <c r="I2477" s="5"/>
    </row>
    <row r="2478" spans="3:9" x14ac:dyDescent="0.25">
      <c r="C2478" s="11"/>
      <c r="E2478" s="12"/>
      <c r="F2478" s="12"/>
      <c r="G2478" s="9"/>
      <c r="H2478" s="5"/>
      <c r="I2478" s="5"/>
    </row>
    <row r="2479" spans="3:9" x14ac:dyDescent="0.25">
      <c r="C2479" s="11"/>
      <c r="E2479" s="12"/>
      <c r="F2479" s="12"/>
      <c r="G2479" s="9"/>
      <c r="H2479" s="5"/>
      <c r="I2479" s="5"/>
    </row>
    <row r="2480" spans="3:9" x14ac:dyDescent="0.25">
      <c r="C2480" s="11"/>
      <c r="E2480" s="12"/>
      <c r="F2480" s="12"/>
      <c r="G2480" s="9"/>
      <c r="H2480" s="5"/>
      <c r="I2480" s="5"/>
    </row>
    <row r="2481" spans="3:9" x14ac:dyDescent="0.25">
      <c r="C2481" s="11"/>
      <c r="E2481" s="12"/>
      <c r="F2481" s="12"/>
      <c r="G2481" s="9"/>
      <c r="H2481" s="5"/>
      <c r="I2481" s="5"/>
    </row>
    <row r="2482" spans="3:9" x14ac:dyDescent="0.25">
      <c r="C2482" s="11"/>
      <c r="E2482" s="12"/>
      <c r="F2482" s="12"/>
      <c r="G2482" s="9"/>
      <c r="H2482" s="5"/>
      <c r="I2482" s="5"/>
    </row>
    <row r="2483" spans="3:9" x14ac:dyDescent="0.25">
      <c r="C2483" s="11"/>
      <c r="E2483" s="12"/>
      <c r="F2483" s="12"/>
      <c r="G2483" s="9"/>
      <c r="H2483" s="5"/>
      <c r="I2483" s="5"/>
    </row>
    <row r="2484" spans="3:9" x14ac:dyDescent="0.25">
      <c r="C2484" s="11"/>
      <c r="E2484" s="12"/>
      <c r="F2484" s="12"/>
      <c r="G2484" s="9"/>
      <c r="H2484" s="5"/>
      <c r="I2484" s="5"/>
    </row>
    <row r="2485" spans="3:9" x14ac:dyDescent="0.25">
      <c r="C2485" s="11"/>
      <c r="E2485" s="12"/>
      <c r="F2485" s="12"/>
      <c r="G2485" s="9"/>
      <c r="H2485" s="5"/>
      <c r="I2485" s="5"/>
    </row>
    <row r="2486" spans="3:9" x14ac:dyDescent="0.25">
      <c r="C2486" s="11"/>
      <c r="E2486" s="12"/>
      <c r="F2486" s="12"/>
      <c r="G2486" s="9"/>
      <c r="H2486" s="5"/>
      <c r="I2486" s="5"/>
    </row>
    <row r="2487" spans="3:9" x14ac:dyDescent="0.25">
      <c r="C2487" s="11"/>
      <c r="E2487" s="12"/>
      <c r="F2487" s="12"/>
      <c r="G2487" s="9"/>
      <c r="H2487" s="5"/>
      <c r="I2487" s="5"/>
    </row>
    <row r="2488" spans="3:9" x14ac:dyDescent="0.25">
      <c r="C2488" s="11"/>
      <c r="E2488" s="12"/>
      <c r="F2488" s="12"/>
      <c r="G2488" s="9"/>
      <c r="H2488" s="5"/>
      <c r="I2488" s="5"/>
    </row>
    <row r="2489" spans="3:9" x14ac:dyDescent="0.25">
      <c r="C2489" s="11"/>
      <c r="E2489" s="12"/>
      <c r="F2489" s="12"/>
      <c r="G2489" s="9"/>
      <c r="H2489" s="5"/>
      <c r="I2489" s="5"/>
    </row>
    <row r="2490" spans="3:9" x14ac:dyDescent="0.25">
      <c r="C2490" s="11"/>
      <c r="E2490" s="12"/>
      <c r="F2490" s="12"/>
      <c r="G2490" s="9"/>
      <c r="H2490" s="5"/>
      <c r="I2490" s="5"/>
    </row>
    <row r="2491" spans="3:9" x14ac:dyDescent="0.25">
      <c r="C2491" s="11"/>
      <c r="E2491" s="12"/>
      <c r="F2491" s="12"/>
      <c r="G2491" s="9"/>
      <c r="H2491" s="5"/>
      <c r="I2491" s="5"/>
    </row>
    <row r="2492" spans="3:9" x14ac:dyDescent="0.25">
      <c r="C2492" s="11"/>
      <c r="E2492" s="12"/>
      <c r="F2492" s="12"/>
      <c r="G2492" s="9"/>
      <c r="H2492" s="5"/>
      <c r="I2492" s="5"/>
    </row>
    <row r="2493" spans="3:9" x14ac:dyDescent="0.25">
      <c r="C2493" s="11"/>
      <c r="E2493" s="12"/>
      <c r="F2493" s="12"/>
      <c r="G2493" s="9"/>
      <c r="H2493" s="5"/>
      <c r="I2493" s="5"/>
    </row>
    <row r="2494" spans="3:9" x14ac:dyDescent="0.25">
      <c r="C2494" s="11"/>
      <c r="E2494" s="12"/>
      <c r="F2494" s="12"/>
      <c r="G2494" s="9"/>
      <c r="H2494" s="5"/>
      <c r="I2494" s="5"/>
    </row>
    <row r="2495" spans="3:9" x14ac:dyDescent="0.25">
      <c r="C2495" s="11"/>
      <c r="E2495" s="12"/>
      <c r="F2495" s="12"/>
      <c r="G2495" s="9"/>
      <c r="H2495" s="5"/>
      <c r="I2495" s="5"/>
    </row>
    <row r="2496" spans="3:9" x14ac:dyDescent="0.25">
      <c r="C2496" s="11"/>
      <c r="E2496" s="12"/>
      <c r="F2496" s="12"/>
      <c r="G2496" s="9"/>
      <c r="H2496" s="5"/>
      <c r="I2496" s="5"/>
    </row>
    <row r="2497" spans="3:9" x14ac:dyDescent="0.25">
      <c r="C2497" s="11"/>
      <c r="E2497" s="12"/>
      <c r="F2497" s="12"/>
      <c r="G2497" s="9"/>
      <c r="H2497" s="5"/>
      <c r="I2497" s="5"/>
    </row>
    <row r="2498" spans="3:9" x14ac:dyDescent="0.25">
      <c r="C2498" s="11"/>
      <c r="E2498" s="12"/>
      <c r="F2498" s="12"/>
      <c r="G2498" s="9"/>
      <c r="H2498" s="5"/>
      <c r="I2498" s="5"/>
    </row>
    <row r="2499" spans="3:9" x14ac:dyDescent="0.25">
      <c r="C2499" s="11"/>
      <c r="E2499" s="12"/>
      <c r="F2499" s="12"/>
      <c r="G2499" s="9"/>
      <c r="H2499" s="5"/>
      <c r="I2499" s="5"/>
    </row>
    <row r="2500" spans="3:9" x14ac:dyDescent="0.25">
      <c r="C2500" s="11"/>
      <c r="E2500" s="12"/>
      <c r="F2500" s="12"/>
      <c r="G2500" s="9"/>
      <c r="H2500" s="5"/>
      <c r="I2500" s="5"/>
    </row>
    <row r="2501" spans="3:9" x14ac:dyDescent="0.25">
      <c r="C2501" s="11"/>
      <c r="E2501" s="12"/>
      <c r="F2501" s="12"/>
      <c r="G2501" s="9"/>
      <c r="H2501" s="5"/>
      <c r="I2501" s="5"/>
    </row>
    <row r="2502" spans="3:9" x14ac:dyDescent="0.25">
      <c r="C2502" s="11"/>
      <c r="E2502" s="12"/>
      <c r="F2502" s="12"/>
      <c r="G2502" s="9"/>
      <c r="H2502" s="5"/>
      <c r="I2502" s="5"/>
    </row>
    <row r="2503" spans="3:9" x14ac:dyDescent="0.25">
      <c r="C2503" s="11"/>
      <c r="E2503" s="12"/>
      <c r="F2503" s="12"/>
      <c r="G2503" s="9"/>
      <c r="H2503" s="5"/>
      <c r="I2503" s="5"/>
    </row>
    <row r="2504" spans="3:9" x14ac:dyDescent="0.25">
      <c r="C2504" s="11"/>
      <c r="E2504" s="12"/>
      <c r="F2504" s="12"/>
      <c r="G2504" s="9"/>
      <c r="H2504" s="5"/>
      <c r="I2504" s="5"/>
    </row>
    <row r="2505" spans="3:9" x14ac:dyDescent="0.25">
      <c r="C2505" s="11"/>
      <c r="E2505" s="12"/>
      <c r="F2505" s="12"/>
      <c r="G2505" s="9"/>
      <c r="H2505" s="5"/>
      <c r="I2505" s="5"/>
    </row>
    <row r="2506" spans="3:9" x14ac:dyDescent="0.25">
      <c r="C2506" s="11"/>
      <c r="E2506" s="12"/>
      <c r="F2506" s="12"/>
      <c r="G2506" s="9"/>
      <c r="H2506" s="5"/>
      <c r="I2506" s="5"/>
    </row>
    <row r="2507" spans="3:9" x14ac:dyDescent="0.25">
      <c r="C2507" s="11"/>
      <c r="E2507" s="12"/>
      <c r="F2507" s="12"/>
      <c r="G2507" s="9"/>
      <c r="H2507" s="5"/>
      <c r="I2507" s="5"/>
    </row>
    <row r="2508" spans="3:9" x14ac:dyDescent="0.25">
      <c r="C2508" s="11"/>
      <c r="E2508" s="12"/>
      <c r="F2508" s="12"/>
      <c r="G2508" s="9"/>
      <c r="H2508" s="5"/>
      <c r="I2508" s="5"/>
    </row>
    <row r="2509" spans="3:9" x14ac:dyDescent="0.25">
      <c r="C2509" s="11"/>
      <c r="E2509" s="12"/>
      <c r="F2509" s="12"/>
      <c r="G2509" s="9"/>
      <c r="H2509" s="5"/>
      <c r="I2509" s="5"/>
    </row>
    <row r="2510" spans="3:9" x14ac:dyDescent="0.25">
      <c r="C2510" s="11"/>
      <c r="E2510" s="12"/>
      <c r="F2510" s="12"/>
      <c r="G2510" s="9"/>
      <c r="H2510" s="5"/>
      <c r="I2510" s="5"/>
    </row>
    <row r="2511" spans="3:9" x14ac:dyDescent="0.25">
      <c r="C2511" s="11"/>
      <c r="E2511" s="12"/>
      <c r="F2511" s="12"/>
      <c r="G2511" s="9"/>
      <c r="H2511" s="5"/>
      <c r="I2511" s="5"/>
    </row>
    <row r="2512" spans="3:9" x14ac:dyDescent="0.25">
      <c r="C2512" s="11"/>
      <c r="E2512" s="12"/>
      <c r="F2512" s="12"/>
      <c r="G2512" s="9"/>
      <c r="H2512" s="5"/>
      <c r="I2512" s="5"/>
    </row>
    <row r="2513" spans="3:9" x14ac:dyDescent="0.25">
      <c r="C2513" s="11"/>
      <c r="E2513" s="12"/>
      <c r="F2513" s="12"/>
      <c r="G2513" s="9"/>
      <c r="H2513" s="5"/>
      <c r="I2513" s="5"/>
    </row>
    <row r="2514" spans="3:9" x14ac:dyDescent="0.25">
      <c r="C2514" s="11"/>
      <c r="E2514" s="12"/>
      <c r="F2514" s="12"/>
      <c r="G2514" s="9"/>
      <c r="H2514" s="5"/>
      <c r="I2514" s="5"/>
    </row>
    <row r="2515" spans="3:9" x14ac:dyDescent="0.25">
      <c r="C2515" s="11"/>
      <c r="E2515" s="12"/>
      <c r="F2515" s="12"/>
      <c r="G2515" s="9"/>
      <c r="H2515" s="5"/>
      <c r="I2515" s="5"/>
    </row>
    <row r="2516" spans="3:9" x14ac:dyDescent="0.25">
      <c r="C2516" s="11"/>
      <c r="E2516" s="12"/>
      <c r="F2516" s="12"/>
      <c r="G2516" s="9"/>
      <c r="H2516" s="5"/>
      <c r="I2516" s="5"/>
    </row>
    <row r="2517" spans="3:9" x14ac:dyDescent="0.25">
      <c r="C2517" s="11"/>
      <c r="E2517" s="12"/>
      <c r="F2517" s="12"/>
      <c r="G2517" s="9"/>
      <c r="H2517" s="5"/>
      <c r="I2517" s="5"/>
    </row>
    <row r="2518" spans="3:9" x14ac:dyDescent="0.25">
      <c r="C2518" s="11"/>
      <c r="E2518" s="12"/>
      <c r="F2518" s="12"/>
      <c r="G2518" s="9"/>
      <c r="H2518" s="5"/>
      <c r="I2518" s="5"/>
    </row>
    <row r="2519" spans="3:9" x14ac:dyDescent="0.25">
      <c r="C2519" s="11"/>
      <c r="E2519" s="12"/>
      <c r="F2519" s="12"/>
      <c r="G2519" s="9"/>
      <c r="H2519" s="5"/>
      <c r="I2519" s="5"/>
    </row>
    <row r="2520" spans="3:9" x14ac:dyDescent="0.25">
      <c r="C2520" s="11"/>
      <c r="E2520" s="12"/>
      <c r="F2520" s="12"/>
      <c r="G2520" s="9"/>
      <c r="H2520" s="5"/>
      <c r="I2520" s="5"/>
    </row>
    <row r="2521" spans="3:9" x14ac:dyDescent="0.25">
      <c r="C2521" s="11"/>
      <c r="E2521" s="12"/>
      <c r="F2521" s="12"/>
      <c r="G2521" s="9"/>
      <c r="H2521" s="5"/>
      <c r="I2521" s="5"/>
    </row>
    <row r="2522" spans="3:9" x14ac:dyDescent="0.25">
      <c r="C2522" s="11"/>
      <c r="E2522" s="12"/>
      <c r="F2522" s="12"/>
      <c r="G2522" s="9"/>
      <c r="H2522" s="5"/>
      <c r="I2522" s="5"/>
    </row>
    <row r="2523" spans="3:9" x14ac:dyDescent="0.25">
      <c r="C2523" s="11"/>
      <c r="E2523" s="12"/>
      <c r="F2523" s="12"/>
      <c r="G2523" s="9"/>
      <c r="H2523" s="5"/>
      <c r="I2523" s="5"/>
    </row>
    <row r="2524" spans="3:9" x14ac:dyDescent="0.25">
      <c r="C2524" s="11"/>
      <c r="E2524" s="12"/>
      <c r="F2524" s="12"/>
      <c r="G2524" s="9"/>
      <c r="H2524" s="5"/>
      <c r="I2524" s="5"/>
    </row>
    <row r="2525" spans="3:9" x14ac:dyDescent="0.25">
      <c r="C2525" s="11"/>
      <c r="E2525" s="12"/>
      <c r="F2525" s="12"/>
      <c r="G2525" s="9"/>
      <c r="H2525" s="5"/>
      <c r="I2525" s="5"/>
    </row>
    <row r="2526" spans="3:9" x14ac:dyDescent="0.25">
      <c r="C2526" s="11"/>
      <c r="E2526" s="12"/>
      <c r="F2526" s="12"/>
      <c r="G2526" s="9"/>
      <c r="H2526" s="5"/>
      <c r="I2526" s="5"/>
    </row>
    <row r="2527" spans="3:9" x14ac:dyDescent="0.25">
      <c r="C2527" s="11"/>
      <c r="E2527" s="12"/>
      <c r="F2527" s="12"/>
      <c r="G2527" s="9"/>
      <c r="H2527" s="5"/>
      <c r="I2527" s="5"/>
    </row>
    <row r="2528" spans="3:9" x14ac:dyDescent="0.25">
      <c r="C2528" s="11"/>
      <c r="E2528" s="12"/>
      <c r="F2528" s="12"/>
      <c r="G2528" s="9"/>
      <c r="H2528" s="5"/>
      <c r="I2528" s="5"/>
    </row>
    <row r="2529" spans="3:9" x14ac:dyDescent="0.25">
      <c r="C2529" s="11"/>
      <c r="E2529" s="12"/>
      <c r="F2529" s="12"/>
      <c r="G2529" s="9"/>
      <c r="H2529" s="5"/>
      <c r="I2529" s="5"/>
    </row>
    <row r="2530" spans="3:9" x14ac:dyDescent="0.25">
      <c r="C2530" s="11"/>
      <c r="E2530" s="12"/>
      <c r="F2530" s="12"/>
      <c r="G2530" s="9"/>
      <c r="H2530" s="5"/>
      <c r="I2530" s="5"/>
    </row>
    <row r="2531" spans="3:9" x14ac:dyDescent="0.25">
      <c r="C2531" s="11"/>
      <c r="E2531" s="12"/>
      <c r="F2531" s="12"/>
      <c r="G2531" s="9"/>
      <c r="H2531" s="5"/>
      <c r="I2531" s="5"/>
    </row>
    <row r="2532" spans="3:9" x14ac:dyDescent="0.25">
      <c r="C2532" s="11"/>
      <c r="E2532" s="12"/>
      <c r="F2532" s="12"/>
      <c r="G2532" s="9"/>
      <c r="H2532" s="5"/>
      <c r="I2532" s="5"/>
    </row>
    <row r="2533" spans="3:9" x14ac:dyDescent="0.25">
      <c r="C2533" s="11"/>
      <c r="E2533" s="12"/>
      <c r="F2533" s="12"/>
      <c r="G2533" s="9"/>
      <c r="H2533" s="5"/>
      <c r="I2533" s="5"/>
    </row>
    <row r="2534" spans="3:9" x14ac:dyDescent="0.25">
      <c r="C2534" s="11"/>
      <c r="E2534" s="12"/>
      <c r="F2534" s="12"/>
      <c r="G2534" s="9"/>
      <c r="H2534" s="5"/>
      <c r="I2534" s="5"/>
    </row>
    <row r="2535" spans="3:9" x14ac:dyDescent="0.25">
      <c r="C2535" s="11"/>
      <c r="E2535" s="12"/>
      <c r="F2535" s="12"/>
      <c r="G2535" s="9"/>
      <c r="H2535" s="5"/>
      <c r="I2535" s="5"/>
    </row>
    <row r="2536" spans="3:9" x14ac:dyDescent="0.25">
      <c r="C2536" s="11"/>
      <c r="E2536" s="12"/>
      <c r="F2536" s="12"/>
      <c r="G2536" s="9"/>
      <c r="H2536" s="5"/>
      <c r="I2536" s="5"/>
    </row>
    <row r="2537" spans="3:9" x14ac:dyDescent="0.25">
      <c r="C2537" s="11"/>
      <c r="E2537" s="12"/>
      <c r="F2537" s="12"/>
      <c r="G2537" s="9"/>
      <c r="H2537" s="5"/>
      <c r="I2537" s="5"/>
    </row>
    <row r="2538" spans="3:9" x14ac:dyDescent="0.25">
      <c r="C2538" s="11"/>
      <c r="E2538" s="12"/>
      <c r="F2538" s="12"/>
      <c r="G2538" s="9"/>
      <c r="H2538" s="5"/>
      <c r="I2538" s="5"/>
    </row>
    <row r="2539" spans="3:9" x14ac:dyDescent="0.25">
      <c r="C2539" s="11"/>
      <c r="E2539" s="12"/>
      <c r="F2539" s="12"/>
      <c r="G2539" s="9"/>
      <c r="H2539" s="5"/>
      <c r="I2539" s="5"/>
    </row>
    <row r="2540" spans="3:9" x14ac:dyDescent="0.25">
      <c r="C2540" s="11"/>
      <c r="E2540" s="12"/>
      <c r="F2540" s="12"/>
      <c r="G2540" s="9"/>
      <c r="H2540" s="5"/>
      <c r="I2540" s="5"/>
    </row>
    <row r="2541" spans="3:9" x14ac:dyDescent="0.25">
      <c r="C2541" s="11"/>
      <c r="E2541" s="12"/>
      <c r="F2541" s="12"/>
      <c r="G2541" s="9"/>
      <c r="H2541" s="5"/>
      <c r="I2541" s="5"/>
    </row>
    <row r="2542" spans="3:9" x14ac:dyDescent="0.25">
      <c r="C2542" s="11"/>
      <c r="E2542" s="12"/>
      <c r="F2542" s="12"/>
      <c r="G2542" s="9"/>
      <c r="H2542" s="5"/>
      <c r="I2542" s="5"/>
    </row>
    <row r="2543" spans="3:9" x14ac:dyDescent="0.25">
      <c r="C2543" s="11"/>
      <c r="E2543" s="12"/>
      <c r="F2543" s="12"/>
      <c r="G2543" s="9"/>
      <c r="H2543" s="5"/>
      <c r="I2543" s="5"/>
    </row>
    <row r="2544" spans="3:9" x14ac:dyDescent="0.25">
      <c r="C2544" s="11"/>
      <c r="E2544" s="12"/>
      <c r="F2544" s="12"/>
      <c r="G2544" s="9"/>
      <c r="H2544" s="5"/>
      <c r="I2544" s="5"/>
    </row>
    <row r="2545" spans="3:9" x14ac:dyDescent="0.25">
      <c r="C2545" s="11"/>
      <c r="E2545" s="12"/>
      <c r="F2545" s="12"/>
      <c r="G2545" s="9"/>
      <c r="H2545" s="5"/>
      <c r="I2545" s="5"/>
    </row>
    <row r="2546" spans="3:9" x14ac:dyDescent="0.25">
      <c r="C2546" s="11"/>
      <c r="E2546" s="12"/>
      <c r="F2546" s="12"/>
      <c r="G2546" s="9"/>
      <c r="H2546" s="5"/>
      <c r="I2546" s="5"/>
    </row>
    <row r="2547" spans="3:9" x14ac:dyDescent="0.25">
      <c r="C2547" s="11"/>
      <c r="E2547" s="12"/>
      <c r="F2547" s="12"/>
      <c r="G2547" s="9"/>
      <c r="H2547" s="5"/>
      <c r="I2547" s="5"/>
    </row>
    <row r="2548" spans="3:9" x14ac:dyDescent="0.25">
      <c r="C2548" s="11"/>
      <c r="E2548" s="12"/>
      <c r="F2548" s="12"/>
      <c r="G2548" s="9"/>
      <c r="H2548" s="5"/>
      <c r="I2548" s="5"/>
    </row>
    <row r="2549" spans="3:9" x14ac:dyDescent="0.25">
      <c r="C2549" s="11"/>
      <c r="E2549" s="12"/>
      <c r="F2549" s="12"/>
      <c r="G2549" s="9"/>
      <c r="H2549" s="5"/>
      <c r="I2549" s="5"/>
    </row>
    <row r="2550" spans="3:9" x14ac:dyDescent="0.25">
      <c r="C2550" s="11"/>
      <c r="E2550" s="12"/>
      <c r="F2550" s="12"/>
      <c r="G2550" s="9"/>
      <c r="H2550" s="5"/>
      <c r="I2550" s="5"/>
    </row>
    <row r="2551" spans="3:9" x14ac:dyDescent="0.25">
      <c r="C2551" s="11"/>
      <c r="E2551" s="12"/>
      <c r="F2551" s="12"/>
      <c r="G2551" s="9"/>
      <c r="H2551" s="5"/>
      <c r="I2551" s="5"/>
    </row>
    <row r="2552" spans="3:9" x14ac:dyDescent="0.25">
      <c r="C2552" s="11"/>
      <c r="E2552" s="12"/>
      <c r="F2552" s="12"/>
      <c r="G2552" s="9"/>
      <c r="H2552" s="5"/>
      <c r="I2552" s="5"/>
    </row>
    <row r="2553" spans="3:9" x14ac:dyDescent="0.25">
      <c r="C2553" s="11"/>
      <c r="E2553" s="12"/>
      <c r="F2553" s="12"/>
      <c r="G2553" s="9"/>
      <c r="H2553" s="5"/>
      <c r="I2553" s="5"/>
    </row>
    <row r="2554" spans="3:9" x14ac:dyDescent="0.25">
      <c r="C2554" s="11"/>
      <c r="E2554" s="12"/>
      <c r="F2554" s="12"/>
      <c r="G2554" s="9"/>
      <c r="H2554" s="5"/>
      <c r="I2554" s="5"/>
    </row>
    <row r="2555" spans="3:9" x14ac:dyDescent="0.25">
      <c r="C2555" s="11"/>
      <c r="E2555" s="12"/>
      <c r="F2555" s="12"/>
      <c r="G2555" s="9"/>
      <c r="H2555" s="5"/>
      <c r="I2555" s="5"/>
    </row>
    <row r="2556" spans="3:9" x14ac:dyDescent="0.25">
      <c r="C2556" s="11"/>
      <c r="E2556" s="12"/>
      <c r="F2556" s="12"/>
      <c r="G2556" s="9"/>
      <c r="H2556" s="5"/>
      <c r="I2556" s="5"/>
    </row>
    <row r="2557" spans="3:9" x14ac:dyDescent="0.25">
      <c r="C2557" s="11"/>
      <c r="E2557" s="12"/>
      <c r="F2557" s="12"/>
      <c r="G2557" s="9"/>
      <c r="H2557" s="5"/>
      <c r="I2557" s="5"/>
    </row>
    <row r="2558" spans="3:9" x14ac:dyDescent="0.25">
      <c r="C2558" s="11"/>
      <c r="E2558" s="12"/>
      <c r="F2558" s="12"/>
      <c r="G2558" s="9"/>
      <c r="H2558" s="5"/>
      <c r="I2558" s="5"/>
    </row>
    <row r="2559" spans="3:9" x14ac:dyDescent="0.25">
      <c r="C2559" s="11"/>
      <c r="E2559" s="12"/>
      <c r="F2559" s="12"/>
      <c r="G2559" s="9"/>
      <c r="H2559" s="5"/>
      <c r="I2559" s="5"/>
    </row>
    <row r="2560" spans="3:9" x14ac:dyDescent="0.25">
      <c r="C2560" s="11"/>
      <c r="E2560" s="12"/>
      <c r="F2560" s="12"/>
      <c r="G2560" s="9"/>
      <c r="H2560" s="5"/>
      <c r="I2560" s="5"/>
    </row>
    <row r="2561" spans="3:9" x14ac:dyDescent="0.25">
      <c r="C2561" s="11"/>
      <c r="E2561" s="12"/>
      <c r="F2561" s="12"/>
      <c r="G2561" s="9"/>
      <c r="H2561" s="5"/>
      <c r="I2561" s="5"/>
    </row>
    <row r="2562" spans="3:9" x14ac:dyDescent="0.25">
      <c r="C2562" s="11"/>
      <c r="E2562" s="12"/>
      <c r="F2562" s="12"/>
      <c r="G2562" s="9"/>
      <c r="H2562" s="5"/>
      <c r="I2562" s="5"/>
    </row>
    <row r="2563" spans="3:9" x14ac:dyDescent="0.25">
      <c r="C2563" s="11"/>
      <c r="E2563" s="12"/>
      <c r="F2563" s="12"/>
      <c r="G2563" s="9"/>
      <c r="H2563" s="5"/>
      <c r="I2563" s="5"/>
    </row>
    <row r="2564" spans="3:9" x14ac:dyDescent="0.25">
      <c r="C2564" s="11"/>
      <c r="E2564" s="12"/>
      <c r="F2564" s="12"/>
      <c r="G2564" s="9"/>
      <c r="H2564" s="5"/>
      <c r="I2564" s="5"/>
    </row>
    <row r="2565" spans="3:9" x14ac:dyDescent="0.25">
      <c r="C2565" s="11"/>
      <c r="E2565" s="12"/>
      <c r="F2565" s="12"/>
      <c r="G2565" s="9"/>
      <c r="H2565" s="5"/>
      <c r="I2565" s="5"/>
    </row>
    <row r="2566" spans="3:9" x14ac:dyDescent="0.25">
      <c r="C2566" s="11"/>
      <c r="E2566" s="12"/>
      <c r="F2566" s="12"/>
      <c r="G2566" s="9"/>
      <c r="H2566" s="5"/>
      <c r="I2566" s="5"/>
    </row>
    <row r="2567" spans="3:9" x14ac:dyDescent="0.25">
      <c r="C2567" s="11"/>
      <c r="E2567" s="12"/>
      <c r="F2567" s="12"/>
      <c r="G2567" s="9"/>
      <c r="H2567" s="5"/>
      <c r="I2567" s="5"/>
    </row>
    <row r="2568" spans="3:9" x14ac:dyDescent="0.25">
      <c r="C2568" s="11"/>
      <c r="E2568" s="12"/>
      <c r="F2568" s="12"/>
      <c r="G2568" s="9"/>
      <c r="H2568" s="5"/>
      <c r="I2568" s="5"/>
    </row>
    <row r="2569" spans="3:9" x14ac:dyDescent="0.25">
      <c r="C2569" s="11"/>
      <c r="E2569" s="12"/>
      <c r="F2569" s="12"/>
      <c r="G2569" s="9"/>
      <c r="H2569" s="5"/>
      <c r="I2569" s="5"/>
    </row>
    <row r="2570" spans="3:9" x14ac:dyDescent="0.25">
      <c r="C2570" s="11"/>
      <c r="E2570" s="12"/>
      <c r="F2570" s="12"/>
      <c r="G2570" s="9"/>
      <c r="H2570" s="5"/>
      <c r="I2570" s="5"/>
    </row>
    <row r="2571" spans="3:9" x14ac:dyDescent="0.25">
      <c r="C2571" s="11"/>
      <c r="E2571" s="12"/>
      <c r="F2571" s="12"/>
      <c r="G2571" s="9"/>
      <c r="H2571" s="5"/>
      <c r="I2571" s="5"/>
    </row>
    <row r="2572" spans="3:9" x14ac:dyDescent="0.25">
      <c r="C2572" s="11"/>
      <c r="E2572" s="12"/>
      <c r="F2572" s="12"/>
      <c r="G2572" s="9"/>
      <c r="H2572" s="5"/>
      <c r="I2572" s="5"/>
    </row>
    <row r="2573" spans="3:9" x14ac:dyDescent="0.25">
      <c r="C2573" s="11"/>
      <c r="E2573" s="12"/>
      <c r="F2573" s="12"/>
      <c r="G2573" s="9"/>
      <c r="H2573" s="5"/>
      <c r="I2573" s="5"/>
    </row>
    <row r="2574" spans="3:9" x14ac:dyDescent="0.25">
      <c r="C2574" s="11"/>
      <c r="E2574" s="12"/>
      <c r="F2574" s="12"/>
      <c r="G2574" s="9"/>
      <c r="H2574" s="5"/>
      <c r="I2574" s="5"/>
    </row>
    <row r="2575" spans="3:9" x14ac:dyDescent="0.25">
      <c r="C2575" s="11"/>
      <c r="E2575" s="12"/>
      <c r="F2575" s="12"/>
      <c r="G2575" s="9"/>
      <c r="H2575" s="5"/>
      <c r="I2575" s="5"/>
    </row>
    <row r="2576" spans="3:9" x14ac:dyDescent="0.25">
      <c r="C2576" s="11"/>
      <c r="E2576" s="12"/>
      <c r="F2576" s="12"/>
      <c r="G2576" s="9"/>
      <c r="H2576" s="5"/>
      <c r="I2576" s="5"/>
    </row>
    <row r="2577" spans="3:9" x14ac:dyDescent="0.25">
      <c r="C2577" s="11"/>
      <c r="E2577" s="12"/>
      <c r="F2577" s="12"/>
      <c r="G2577" s="9"/>
      <c r="H2577" s="5"/>
      <c r="I2577" s="5"/>
    </row>
    <row r="2578" spans="3:9" x14ac:dyDescent="0.25">
      <c r="C2578" s="11"/>
      <c r="E2578" s="12"/>
      <c r="F2578" s="12"/>
      <c r="G2578" s="9"/>
      <c r="H2578" s="5"/>
      <c r="I2578" s="5"/>
    </row>
    <row r="2579" spans="3:9" x14ac:dyDescent="0.25">
      <c r="C2579" s="11"/>
      <c r="E2579" s="12"/>
      <c r="F2579" s="12"/>
      <c r="G2579" s="9"/>
      <c r="H2579" s="5"/>
      <c r="I2579" s="5"/>
    </row>
    <row r="2580" spans="3:9" x14ac:dyDescent="0.25">
      <c r="C2580" s="11"/>
      <c r="E2580" s="12"/>
      <c r="F2580" s="12"/>
      <c r="G2580" s="9"/>
      <c r="H2580" s="5"/>
      <c r="I2580" s="5"/>
    </row>
    <row r="2581" spans="3:9" x14ac:dyDescent="0.25">
      <c r="C2581" s="11"/>
      <c r="E2581" s="12"/>
      <c r="F2581" s="12"/>
      <c r="G2581" s="9"/>
      <c r="H2581" s="5"/>
      <c r="I2581" s="5"/>
    </row>
    <row r="2582" spans="3:9" x14ac:dyDescent="0.25">
      <c r="C2582" s="11"/>
      <c r="E2582" s="12"/>
      <c r="F2582" s="12"/>
      <c r="G2582" s="9"/>
      <c r="H2582" s="5"/>
      <c r="I2582" s="5"/>
    </row>
    <row r="2583" spans="3:9" x14ac:dyDescent="0.25">
      <c r="C2583" s="11"/>
      <c r="E2583" s="12"/>
      <c r="F2583" s="12"/>
      <c r="G2583" s="9"/>
      <c r="H2583" s="5"/>
      <c r="I2583" s="5"/>
    </row>
    <row r="2584" spans="3:9" x14ac:dyDescent="0.25">
      <c r="C2584" s="11"/>
      <c r="E2584" s="12"/>
      <c r="F2584" s="12"/>
      <c r="G2584" s="9"/>
      <c r="H2584" s="5"/>
      <c r="I2584" s="5"/>
    </row>
    <row r="2585" spans="3:9" x14ac:dyDescent="0.25">
      <c r="C2585" s="11"/>
      <c r="E2585" s="12"/>
      <c r="F2585" s="12"/>
      <c r="G2585" s="9"/>
      <c r="H2585" s="5"/>
      <c r="I2585" s="5"/>
    </row>
    <row r="2586" spans="3:9" x14ac:dyDescent="0.25">
      <c r="C2586" s="11"/>
      <c r="E2586" s="12"/>
      <c r="F2586" s="12"/>
      <c r="G2586" s="9"/>
      <c r="H2586" s="5"/>
      <c r="I2586" s="5"/>
    </row>
    <row r="2587" spans="3:9" x14ac:dyDescent="0.25">
      <c r="C2587" s="11"/>
      <c r="E2587" s="12"/>
      <c r="F2587" s="12"/>
      <c r="G2587" s="9"/>
      <c r="H2587" s="5"/>
      <c r="I2587" s="5"/>
    </row>
    <row r="2588" spans="3:9" x14ac:dyDescent="0.25">
      <c r="C2588" s="11"/>
      <c r="E2588" s="12"/>
      <c r="F2588" s="12"/>
      <c r="G2588" s="9"/>
      <c r="H2588" s="5"/>
      <c r="I2588" s="5"/>
    </row>
    <row r="2589" spans="3:9" x14ac:dyDescent="0.25">
      <c r="C2589" s="11"/>
      <c r="E2589" s="12"/>
      <c r="F2589" s="12"/>
      <c r="G2589" s="9"/>
      <c r="H2589" s="5"/>
      <c r="I2589" s="5"/>
    </row>
    <row r="2590" spans="3:9" x14ac:dyDescent="0.25">
      <c r="C2590" s="11"/>
      <c r="E2590" s="12"/>
      <c r="F2590" s="12"/>
      <c r="G2590" s="9"/>
      <c r="H2590" s="5"/>
      <c r="I2590" s="5"/>
    </row>
    <row r="2591" spans="3:9" x14ac:dyDescent="0.25">
      <c r="C2591" s="11"/>
      <c r="E2591" s="12"/>
      <c r="F2591" s="12"/>
      <c r="G2591" s="9"/>
      <c r="H2591" s="5"/>
      <c r="I2591" s="5"/>
    </row>
    <row r="2592" spans="3:9" x14ac:dyDescent="0.25">
      <c r="C2592" s="11"/>
      <c r="E2592" s="12"/>
      <c r="F2592" s="12"/>
      <c r="G2592" s="9"/>
      <c r="H2592" s="5"/>
      <c r="I2592" s="5"/>
    </row>
    <row r="2593" spans="3:9" x14ac:dyDescent="0.25">
      <c r="C2593" s="11"/>
      <c r="E2593" s="12"/>
      <c r="F2593" s="12"/>
      <c r="G2593" s="9"/>
      <c r="H2593" s="5"/>
      <c r="I2593" s="5"/>
    </row>
    <row r="2594" spans="3:9" x14ac:dyDescent="0.25">
      <c r="C2594" s="11"/>
      <c r="E2594" s="12"/>
      <c r="F2594" s="12"/>
      <c r="G2594" s="9"/>
      <c r="H2594" s="5"/>
      <c r="I2594" s="5"/>
    </row>
    <row r="2595" spans="3:9" x14ac:dyDescent="0.25">
      <c r="C2595" s="11"/>
      <c r="E2595" s="12"/>
      <c r="F2595" s="12"/>
      <c r="G2595" s="9"/>
      <c r="H2595" s="5"/>
      <c r="I2595" s="5"/>
    </row>
    <row r="2596" spans="3:9" x14ac:dyDescent="0.25">
      <c r="C2596" s="11"/>
      <c r="E2596" s="12"/>
      <c r="F2596" s="12"/>
      <c r="G2596" s="9"/>
      <c r="H2596" s="5"/>
      <c r="I2596" s="5"/>
    </row>
    <row r="2597" spans="3:9" x14ac:dyDescent="0.25">
      <c r="C2597" s="11"/>
      <c r="E2597" s="12"/>
      <c r="F2597" s="12"/>
      <c r="G2597" s="9"/>
      <c r="H2597" s="5"/>
      <c r="I2597" s="5"/>
    </row>
    <row r="2598" spans="3:9" x14ac:dyDescent="0.25">
      <c r="C2598" s="11"/>
      <c r="E2598" s="12"/>
      <c r="F2598" s="12"/>
      <c r="G2598" s="9"/>
      <c r="H2598" s="5"/>
      <c r="I2598" s="5"/>
    </row>
    <row r="2599" spans="3:9" x14ac:dyDescent="0.25">
      <c r="C2599" s="11"/>
      <c r="E2599" s="12"/>
      <c r="F2599" s="12"/>
      <c r="G2599" s="9"/>
      <c r="H2599" s="5"/>
      <c r="I2599" s="5"/>
    </row>
    <row r="2600" spans="3:9" x14ac:dyDescent="0.25">
      <c r="C2600" s="11"/>
      <c r="E2600" s="12"/>
      <c r="F2600" s="12"/>
      <c r="G2600" s="9"/>
      <c r="H2600" s="5"/>
      <c r="I2600" s="5"/>
    </row>
    <row r="2601" spans="3:9" x14ac:dyDescent="0.25">
      <c r="C2601" s="11"/>
      <c r="E2601" s="12"/>
      <c r="F2601" s="12"/>
      <c r="G2601" s="9"/>
      <c r="H2601" s="5"/>
      <c r="I2601" s="5"/>
    </row>
    <row r="2602" spans="3:9" x14ac:dyDescent="0.25">
      <c r="C2602" s="11"/>
      <c r="E2602" s="12"/>
      <c r="F2602" s="12"/>
      <c r="G2602" s="9"/>
      <c r="H2602" s="5"/>
      <c r="I2602" s="5"/>
    </row>
    <row r="2603" spans="3:9" x14ac:dyDescent="0.25">
      <c r="C2603" s="11"/>
      <c r="E2603" s="12"/>
      <c r="F2603" s="12"/>
      <c r="G2603" s="9"/>
      <c r="H2603" s="5"/>
      <c r="I2603" s="5"/>
    </row>
    <row r="2604" spans="3:9" x14ac:dyDescent="0.25">
      <c r="C2604" s="11"/>
      <c r="E2604" s="12"/>
      <c r="F2604" s="12"/>
      <c r="G2604" s="9"/>
      <c r="H2604" s="5"/>
      <c r="I2604" s="5"/>
    </row>
    <row r="2605" spans="3:9" x14ac:dyDescent="0.25">
      <c r="C2605" s="11"/>
      <c r="E2605" s="12"/>
      <c r="F2605" s="12"/>
      <c r="G2605" s="9"/>
      <c r="H2605" s="5"/>
      <c r="I2605" s="5"/>
    </row>
    <row r="2606" spans="3:9" x14ac:dyDescent="0.25">
      <c r="C2606" s="11"/>
      <c r="E2606" s="12"/>
      <c r="F2606" s="12"/>
      <c r="G2606" s="9"/>
      <c r="H2606" s="5"/>
      <c r="I2606" s="5"/>
    </row>
    <row r="2607" spans="3:9" x14ac:dyDescent="0.25">
      <c r="C2607" s="11"/>
      <c r="E2607" s="12"/>
      <c r="F2607" s="12"/>
      <c r="G2607" s="9"/>
      <c r="H2607" s="5"/>
      <c r="I2607" s="5"/>
    </row>
    <row r="2608" spans="3:9" x14ac:dyDescent="0.25">
      <c r="C2608" s="11"/>
      <c r="E2608" s="12"/>
      <c r="F2608" s="12"/>
      <c r="G2608" s="9"/>
      <c r="H2608" s="5"/>
      <c r="I2608" s="5"/>
    </row>
    <row r="2609" spans="3:9" x14ac:dyDescent="0.25">
      <c r="C2609" s="11"/>
      <c r="E2609" s="12"/>
      <c r="F2609" s="12"/>
      <c r="G2609" s="9"/>
      <c r="H2609" s="5"/>
      <c r="I2609" s="5"/>
    </row>
    <row r="2610" spans="3:9" x14ac:dyDescent="0.25">
      <c r="C2610" s="11"/>
      <c r="E2610" s="12"/>
      <c r="F2610" s="12"/>
      <c r="G2610" s="9"/>
      <c r="H2610" s="5"/>
      <c r="I2610" s="5"/>
    </row>
    <row r="2611" spans="3:9" x14ac:dyDescent="0.25">
      <c r="C2611" s="11"/>
      <c r="E2611" s="12"/>
      <c r="F2611" s="12"/>
      <c r="G2611" s="9"/>
      <c r="H2611" s="5"/>
      <c r="I2611" s="5"/>
    </row>
    <row r="2612" spans="3:9" x14ac:dyDescent="0.25">
      <c r="C2612" s="11"/>
      <c r="E2612" s="12"/>
      <c r="F2612" s="12"/>
      <c r="G2612" s="9"/>
      <c r="H2612" s="5"/>
      <c r="I2612" s="5"/>
    </row>
    <row r="2613" spans="3:9" x14ac:dyDescent="0.25">
      <c r="C2613" s="11"/>
      <c r="E2613" s="12"/>
      <c r="F2613" s="12"/>
      <c r="G2613" s="9"/>
      <c r="H2613" s="5"/>
      <c r="I2613" s="5"/>
    </row>
    <row r="2614" spans="3:9" x14ac:dyDescent="0.25">
      <c r="C2614" s="11"/>
      <c r="E2614" s="12"/>
      <c r="F2614" s="12"/>
      <c r="G2614" s="9"/>
      <c r="H2614" s="5"/>
      <c r="I2614" s="5"/>
    </row>
    <row r="2615" spans="3:9" x14ac:dyDescent="0.25">
      <c r="C2615" s="11"/>
      <c r="E2615" s="12"/>
      <c r="F2615" s="12"/>
      <c r="G2615" s="9"/>
      <c r="H2615" s="5"/>
      <c r="I2615" s="5"/>
    </row>
    <row r="2616" spans="3:9" x14ac:dyDescent="0.25">
      <c r="C2616" s="11"/>
      <c r="E2616" s="12"/>
      <c r="F2616" s="12"/>
      <c r="G2616" s="9"/>
      <c r="H2616" s="5"/>
      <c r="I2616" s="5"/>
    </row>
    <row r="2617" spans="3:9" x14ac:dyDescent="0.25">
      <c r="C2617" s="11"/>
      <c r="E2617" s="12"/>
      <c r="F2617" s="12"/>
      <c r="G2617" s="9"/>
      <c r="H2617" s="5"/>
      <c r="I2617" s="5"/>
    </row>
    <row r="2618" spans="3:9" x14ac:dyDescent="0.25">
      <c r="C2618" s="11"/>
      <c r="E2618" s="12"/>
      <c r="F2618" s="12"/>
      <c r="G2618" s="9"/>
      <c r="H2618" s="5"/>
      <c r="I2618" s="5"/>
    </row>
    <row r="2619" spans="3:9" x14ac:dyDescent="0.25">
      <c r="C2619" s="11"/>
      <c r="E2619" s="12"/>
      <c r="F2619" s="12"/>
      <c r="G2619" s="9"/>
      <c r="H2619" s="5"/>
      <c r="I2619" s="5"/>
    </row>
    <row r="2620" spans="3:9" x14ac:dyDescent="0.25">
      <c r="C2620" s="11"/>
      <c r="E2620" s="12"/>
      <c r="F2620" s="12"/>
      <c r="G2620" s="9"/>
      <c r="H2620" s="5"/>
      <c r="I2620" s="5"/>
    </row>
    <row r="2621" spans="3:9" x14ac:dyDescent="0.25">
      <c r="C2621" s="11"/>
      <c r="E2621" s="12"/>
      <c r="F2621" s="12"/>
      <c r="G2621" s="9"/>
      <c r="H2621" s="5"/>
      <c r="I2621" s="5"/>
    </row>
    <row r="2622" spans="3:9" x14ac:dyDescent="0.25">
      <c r="C2622" s="11"/>
      <c r="E2622" s="12"/>
      <c r="F2622" s="12"/>
      <c r="G2622" s="9"/>
      <c r="H2622" s="5"/>
      <c r="I2622" s="5"/>
    </row>
    <row r="2623" spans="3:9" x14ac:dyDescent="0.25">
      <c r="C2623" s="11"/>
      <c r="E2623" s="12"/>
      <c r="F2623" s="12"/>
      <c r="G2623" s="9"/>
      <c r="H2623" s="5"/>
      <c r="I2623" s="5"/>
    </row>
    <row r="2624" spans="3:9" x14ac:dyDescent="0.25">
      <c r="C2624" s="11"/>
      <c r="E2624" s="12"/>
      <c r="F2624" s="12"/>
      <c r="G2624" s="9"/>
      <c r="H2624" s="5"/>
      <c r="I2624" s="5"/>
    </row>
    <row r="2625" spans="3:9" x14ac:dyDescent="0.25">
      <c r="C2625" s="11"/>
      <c r="E2625" s="12"/>
      <c r="F2625" s="12"/>
      <c r="G2625" s="9"/>
      <c r="H2625" s="5"/>
      <c r="I2625" s="5"/>
    </row>
    <row r="2626" spans="3:9" x14ac:dyDescent="0.25">
      <c r="C2626" s="11"/>
      <c r="E2626" s="12"/>
      <c r="F2626" s="12"/>
      <c r="G2626" s="9"/>
      <c r="H2626" s="5"/>
      <c r="I2626" s="5"/>
    </row>
    <row r="2627" spans="3:9" x14ac:dyDescent="0.25">
      <c r="C2627" s="11"/>
      <c r="E2627" s="12"/>
      <c r="F2627" s="12"/>
      <c r="G2627" s="9"/>
      <c r="H2627" s="5"/>
      <c r="I2627" s="5"/>
    </row>
    <row r="2628" spans="3:9" x14ac:dyDescent="0.25">
      <c r="C2628" s="11"/>
      <c r="E2628" s="12"/>
      <c r="F2628" s="12"/>
      <c r="G2628" s="9"/>
      <c r="H2628" s="5"/>
      <c r="I2628" s="5"/>
    </row>
    <row r="2629" spans="3:9" x14ac:dyDescent="0.25">
      <c r="C2629" s="11"/>
      <c r="E2629" s="12"/>
      <c r="F2629" s="12"/>
      <c r="G2629" s="9"/>
      <c r="H2629" s="5"/>
      <c r="I2629" s="5"/>
    </row>
    <row r="2630" spans="3:9" x14ac:dyDescent="0.25">
      <c r="C2630" s="11"/>
      <c r="E2630" s="12"/>
      <c r="F2630" s="12"/>
      <c r="G2630" s="9"/>
      <c r="H2630" s="5"/>
      <c r="I2630" s="5"/>
    </row>
    <row r="2631" spans="3:9" x14ac:dyDescent="0.25">
      <c r="C2631" s="11"/>
      <c r="E2631" s="12"/>
      <c r="F2631" s="12"/>
      <c r="G2631" s="9"/>
      <c r="H2631" s="5"/>
      <c r="I2631" s="5"/>
    </row>
    <row r="2632" spans="3:9" x14ac:dyDescent="0.25">
      <c r="C2632" s="11"/>
      <c r="E2632" s="12"/>
      <c r="F2632" s="12"/>
      <c r="G2632" s="9"/>
      <c r="H2632" s="5"/>
      <c r="I2632" s="5"/>
    </row>
    <row r="2633" spans="3:9" x14ac:dyDescent="0.25">
      <c r="C2633" s="11"/>
      <c r="E2633" s="12"/>
      <c r="F2633" s="12"/>
      <c r="G2633" s="9"/>
      <c r="H2633" s="5"/>
      <c r="I2633" s="5"/>
    </row>
    <row r="2634" spans="3:9" x14ac:dyDescent="0.25">
      <c r="C2634" s="11"/>
      <c r="E2634" s="12"/>
      <c r="F2634" s="12"/>
      <c r="G2634" s="9"/>
      <c r="H2634" s="5"/>
      <c r="I2634" s="5"/>
    </row>
    <row r="2635" spans="3:9" x14ac:dyDescent="0.25">
      <c r="C2635" s="11"/>
      <c r="E2635" s="12"/>
      <c r="F2635" s="12"/>
      <c r="G2635" s="9"/>
      <c r="H2635" s="5"/>
      <c r="I2635" s="5"/>
    </row>
    <row r="2636" spans="3:9" x14ac:dyDescent="0.25">
      <c r="C2636" s="11"/>
      <c r="E2636" s="12"/>
      <c r="F2636" s="12"/>
      <c r="G2636" s="9"/>
      <c r="H2636" s="5"/>
      <c r="I2636" s="5"/>
    </row>
    <row r="2637" spans="3:9" x14ac:dyDescent="0.25">
      <c r="C2637" s="11"/>
      <c r="E2637" s="12"/>
      <c r="F2637" s="12"/>
      <c r="G2637" s="9"/>
      <c r="H2637" s="5"/>
      <c r="I2637" s="5"/>
    </row>
    <row r="2638" spans="3:9" x14ac:dyDescent="0.25">
      <c r="C2638" s="11"/>
      <c r="E2638" s="12"/>
      <c r="F2638" s="12"/>
      <c r="G2638" s="9"/>
      <c r="H2638" s="5"/>
      <c r="I2638" s="5"/>
    </row>
    <row r="2639" spans="3:9" x14ac:dyDescent="0.25">
      <c r="C2639" s="11"/>
      <c r="E2639" s="12"/>
      <c r="F2639" s="12"/>
      <c r="G2639" s="9"/>
      <c r="H2639" s="5"/>
      <c r="I2639" s="5"/>
    </row>
    <row r="2640" spans="3:9" x14ac:dyDescent="0.25">
      <c r="C2640" s="11"/>
      <c r="E2640" s="12"/>
      <c r="F2640" s="12"/>
      <c r="G2640" s="9"/>
      <c r="H2640" s="5"/>
      <c r="I2640" s="5"/>
    </row>
    <row r="2641" spans="3:9" x14ac:dyDescent="0.25">
      <c r="C2641" s="11"/>
      <c r="E2641" s="12"/>
      <c r="F2641" s="12"/>
      <c r="G2641" s="9"/>
      <c r="H2641" s="5"/>
      <c r="I2641" s="5"/>
    </row>
    <row r="2642" spans="3:9" x14ac:dyDescent="0.25">
      <c r="C2642" s="11"/>
      <c r="E2642" s="12"/>
      <c r="F2642" s="12"/>
      <c r="G2642" s="9"/>
      <c r="H2642" s="5"/>
      <c r="I2642" s="5"/>
    </row>
    <row r="2643" spans="3:9" x14ac:dyDescent="0.25">
      <c r="C2643" s="11"/>
      <c r="E2643" s="12"/>
      <c r="F2643" s="12"/>
      <c r="G2643" s="9"/>
      <c r="H2643" s="5"/>
      <c r="I2643" s="5"/>
    </row>
    <row r="2644" spans="3:9" x14ac:dyDescent="0.25">
      <c r="C2644" s="11"/>
      <c r="E2644" s="12"/>
      <c r="F2644" s="12"/>
      <c r="G2644" s="9"/>
      <c r="H2644" s="5"/>
      <c r="I2644" s="5"/>
    </row>
    <row r="2645" spans="3:9" x14ac:dyDescent="0.25">
      <c r="C2645" s="11"/>
      <c r="E2645" s="12"/>
      <c r="F2645" s="12"/>
      <c r="G2645" s="9"/>
      <c r="H2645" s="5"/>
      <c r="I2645" s="5"/>
    </row>
    <row r="2646" spans="3:9" x14ac:dyDescent="0.25">
      <c r="C2646" s="11"/>
      <c r="E2646" s="12"/>
      <c r="F2646" s="12"/>
      <c r="G2646" s="9"/>
      <c r="H2646" s="5"/>
      <c r="I2646" s="5"/>
    </row>
    <row r="2647" spans="3:9" x14ac:dyDescent="0.25">
      <c r="C2647" s="11"/>
      <c r="E2647" s="12"/>
      <c r="F2647" s="12"/>
      <c r="G2647" s="9"/>
      <c r="H2647" s="5"/>
      <c r="I2647" s="5"/>
    </row>
    <row r="2648" spans="3:9" x14ac:dyDescent="0.25">
      <c r="C2648" s="11"/>
      <c r="E2648" s="12"/>
      <c r="F2648" s="12"/>
      <c r="G2648" s="9"/>
      <c r="H2648" s="5"/>
      <c r="I2648" s="5"/>
    </row>
    <row r="2649" spans="3:9" x14ac:dyDescent="0.25">
      <c r="C2649" s="11"/>
      <c r="E2649" s="12"/>
      <c r="F2649" s="12"/>
      <c r="G2649" s="9"/>
      <c r="H2649" s="5"/>
      <c r="I2649" s="5"/>
    </row>
    <row r="2650" spans="3:9" x14ac:dyDescent="0.25">
      <c r="C2650" s="11"/>
      <c r="E2650" s="12"/>
      <c r="F2650" s="12"/>
      <c r="G2650" s="9"/>
      <c r="H2650" s="5"/>
      <c r="I2650" s="5"/>
    </row>
    <row r="2651" spans="3:9" x14ac:dyDescent="0.25">
      <c r="C2651" s="11"/>
      <c r="E2651" s="12"/>
      <c r="F2651" s="12"/>
      <c r="G2651" s="9"/>
      <c r="H2651" s="5"/>
      <c r="I2651" s="5"/>
    </row>
    <row r="2652" spans="3:9" x14ac:dyDescent="0.25">
      <c r="C2652" s="11"/>
      <c r="E2652" s="12"/>
      <c r="F2652" s="12"/>
      <c r="G2652" s="9"/>
      <c r="H2652" s="5"/>
      <c r="I2652" s="5"/>
    </row>
    <row r="2653" spans="3:9" x14ac:dyDescent="0.25">
      <c r="C2653" s="11"/>
      <c r="E2653" s="12"/>
      <c r="F2653" s="12"/>
      <c r="G2653" s="9"/>
      <c r="H2653" s="5"/>
      <c r="I2653" s="5"/>
    </row>
    <row r="2654" spans="3:9" x14ac:dyDescent="0.25">
      <c r="C2654" s="11"/>
      <c r="E2654" s="12"/>
      <c r="F2654" s="12"/>
      <c r="G2654" s="9"/>
      <c r="H2654" s="5"/>
      <c r="I2654" s="5"/>
    </row>
    <row r="2655" spans="3:9" x14ac:dyDescent="0.25">
      <c r="C2655" s="11"/>
      <c r="E2655" s="12"/>
      <c r="F2655" s="12"/>
      <c r="G2655" s="9"/>
      <c r="H2655" s="5"/>
      <c r="I2655" s="5"/>
    </row>
    <row r="2656" spans="3:9" x14ac:dyDescent="0.25">
      <c r="C2656" s="11"/>
      <c r="E2656" s="12"/>
      <c r="F2656" s="12"/>
      <c r="G2656" s="9"/>
      <c r="H2656" s="5"/>
      <c r="I2656" s="5"/>
    </row>
    <row r="2657" spans="3:9" x14ac:dyDescent="0.25">
      <c r="C2657" s="11"/>
      <c r="E2657" s="12"/>
      <c r="F2657" s="12"/>
      <c r="G2657" s="9"/>
      <c r="H2657" s="5"/>
      <c r="I2657" s="5"/>
    </row>
    <row r="2658" spans="3:9" x14ac:dyDescent="0.25">
      <c r="C2658" s="11"/>
      <c r="E2658" s="12"/>
      <c r="F2658" s="12"/>
      <c r="G2658" s="9"/>
      <c r="H2658" s="5"/>
      <c r="I2658" s="5"/>
    </row>
    <row r="2659" spans="3:9" x14ac:dyDescent="0.25">
      <c r="C2659" s="11"/>
      <c r="E2659" s="12"/>
      <c r="F2659" s="12"/>
      <c r="G2659" s="9"/>
      <c r="H2659" s="5"/>
      <c r="I2659" s="5"/>
    </row>
    <row r="2660" spans="3:9" x14ac:dyDescent="0.25">
      <c r="C2660" s="11"/>
      <c r="E2660" s="12"/>
      <c r="F2660" s="12"/>
      <c r="G2660" s="9"/>
      <c r="H2660" s="5"/>
      <c r="I2660" s="5"/>
    </row>
    <row r="2661" spans="3:9" x14ac:dyDescent="0.25">
      <c r="C2661" s="11"/>
      <c r="E2661" s="12"/>
      <c r="F2661" s="12"/>
      <c r="G2661" s="9"/>
      <c r="H2661" s="5"/>
      <c r="I2661" s="5"/>
    </row>
    <row r="2662" spans="3:9" x14ac:dyDescent="0.25">
      <c r="C2662" s="11"/>
      <c r="E2662" s="12"/>
      <c r="F2662" s="12"/>
      <c r="G2662" s="9"/>
      <c r="H2662" s="5"/>
      <c r="I2662" s="5"/>
    </row>
    <row r="2663" spans="3:9" x14ac:dyDescent="0.25">
      <c r="C2663" s="11"/>
      <c r="E2663" s="12"/>
      <c r="F2663" s="12"/>
      <c r="G2663" s="9"/>
      <c r="H2663" s="5"/>
      <c r="I2663" s="5"/>
    </row>
    <row r="2664" spans="3:9" x14ac:dyDescent="0.25">
      <c r="C2664" s="11"/>
      <c r="E2664" s="12"/>
      <c r="F2664" s="12"/>
      <c r="G2664" s="9"/>
      <c r="H2664" s="5"/>
      <c r="I2664" s="5"/>
    </row>
    <row r="2665" spans="3:9" x14ac:dyDescent="0.25">
      <c r="C2665" s="11"/>
      <c r="E2665" s="12"/>
      <c r="F2665" s="12"/>
      <c r="G2665" s="9"/>
      <c r="H2665" s="5"/>
      <c r="I2665" s="5"/>
    </row>
    <row r="2666" spans="3:9" x14ac:dyDescent="0.25">
      <c r="C2666" s="11"/>
      <c r="E2666" s="12"/>
      <c r="F2666" s="12"/>
      <c r="G2666" s="9"/>
      <c r="H2666" s="5"/>
      <c r="I2666" s="5"/>
    </row>
    <row r="2667" spans="3:9" x14ac:dyDescent="0.25">
      <c r="C2667" s="11"/>
      <c r="E2667" s="12"/>
      <c r="F2667" s="12"/>
      <c r="G2667" s="9"/>
      <c r="H2667" s="5"/>
      <c r="I2667" s="5"/>
    </row>
    <row r="2668" spans="3:9" x14ac:dyDescent="0.25">
      <c r="C2668" s="11"/>
      <c r="E2668" s="12"/>
      <c r="F2668" s="12"/>
      <c r="G2668" s="9"/>
      <c r="H2668" s="5"/>
      <c r="I2668" s="5"/>
    </row>
    <row r="2669" spans="3:9" x14ac:dyDescent="0.25">
      <c r="C2669" s="11"/>
      <c r="E2669" s="12"/>
      <c r="F2669" s="12"/>
      <c r="G2669" s="9"/>
      <c r="H2669" s="5"/>
      <c r="I2669" s="5"/>
    </row>
    <row r="2670" spans="3:9" x14ac:dyDescent="0.25">
      <c r="C2670" s="11"/>
      <c r="E2670" s="12"/>
      <c r="F2670" s="12"/>
      <c r="G2670" s="9"/>
      <c r="H2670" s="5"/>
      <c r="I2670" s="5"/>
    </row>
    <row r="2671" spans="3:9" x14ac:dyDescent="0.25">
      <c r="C2671" s="11"/>
      <c r="E2671" s="12"/>
      <c r="F2671" s="12"/>
      <c r="G2671" s="9"/>
      <c r="H2671" s="5"/>
      <c r="I2671" s="5"/>
    </row>
    <row r="2672" spans="3:9" x14ac:dyDescent="0.25">
      <c r="C2672" s="11"/>
      <c r="E2672" s="12"/>
      <c r="F2672" s="12"/>
      <c r="G2672" s="9"/>
      <c r="H2672" s="5"/>
      <c r="I2672" s="5"/>
    </row>
    <row r="2673" spans="3:9" x14ac:dyDescent="0.25">
      <c r="C2673" s="11"/>
      <c r="E2673" s="12"/>
      <c r="F2673" s="12"/>
      <c r="G2673" s="9"/>
      <c r="H2673" s="5"/>
      <c r="I2673" s="5"/>
    </row>
    <row r="2674" spans="3:9" x14ac:dyDescent="0.25">
      <c r="C2674" s="11"/>
      <c r="E2674" s="12"/>
      <c r="F2674" s="12"/>
      <c r="G2674" s="9"/>
      <c r="H2674" s="5"/>
      <c r="I2674" s="5"/>
    </row>
    <row r="2675" spans="3:9" x14ac:dyDescent="0.25">
      <c r="C2675" s="11"/>
      <c r="E2675" s="12"/>
      <c r="F2675" s="12"/>
      <c r="G2675" s="9"/>
      <c r="H2675" s="5"/>
      <c r="I2675" s="5"/>
    </row>
    <row r="2676" spans="3:9" x14ac:dyDescent="0.25">
      <c r="C2676" s="11"/>
      <c r="E2676" s="12"/>
      <c r="F2676" s="12"/>
      <c r="G2676" s="9"/>
      <c r="H2676" s="5"/>
      <c r="I2676" s="5"/>
    </row>
    <row r="2677" spans="3:9" x14ac:dyDescent="0.25">
      <c r="C2677" s="11"/>
      <c r="E2677" s="12"/>
      <c r="F2677" s="12"/>
      <c r="G2677" s="9"/>
      <c r="H2677" s="5"/>
      <c r="I2677" s="5"/>
    </row>
    <row r="2678" spans="3:9" x14ac:dyDescent="0.25">
      <c r="C2678" s="11"/>
      <c r="E2678" s="12"/>
      <c r="F2678" s="12"/>
      <c r="G2678" s="9"/>
      <c r="H2678" s="5"/>
      <c r="I2678" s="5"/>
    </row>
    <row r="2679" spans="3:9" x14ac:dyDescent="0.25">
      <c r="C2679" s="11"/>
      <c r="E2679" s="12"/>
      <c r="F2679" s="12"/>
      <c r="G2679" s="9"/>
      <c r="H2679" s="5"/>
      <c r="I2679" s="5"/>
    </row>
    <row r="2680" spans="3:9" x14ac:dyDescent="0.25">
      <c r="C2680" s="11"/>
      <c r="E2680" s="12"/>
      <c r="F2680" s="12"/>
      <c r="G2680" s="9"/>
      <c r="H2680" s="5"/>
      <c r="I2680" s="5"/>
    </row>
    <row r="2681" spans="3:9" x14ac:dyDescent="0.25">
      <c r="C2681" s="11"/>
      <c r="E2681" s="12"/>
      <c r="F2681" s="12"/>
      <c r="G2681" s="9"/>
      <c r="H2681" s="5"/>
      <c r="I2681" s="5"/>
    </row>
    <row r="2682" spans="3:9" x14ac:dyDescent="0.25">
      <c r="C2682" s="11"/>
      <c r="E2682" s="12"/>
      <c r="F2682" s="12"/>
      <c r="G2682" s="9"/>
      <c r="H2682" s="5"/>
      <c r="I2682" s="5"/>
    </row>
    <row r="2683" spans="3:9" x14ac:dyDescent="0.25">
      <c r="C2683" s="11"/>
      <c r="E2683" s="12"/>
      <c r="F2683" s="12"/>
      <c r="G2683" s="9"/>
      <c r="H2683" s="5"/>
      <c r="I2683" s="5"/>
    </row>
    <row r="2684" spans="3:9" x14ac:dyDescent="0.25">
      <c r="C2684" s="11"/>
      <c r="E2684" s="12"/>
      <c r="F2684" s="12"/>
      <c r="G2684" s="9"/>
      <c r="H2684" s="5"/>
      <c r="I2684" s="5"/>
    </row>
    <row r="2685" spans="3:9" x14ac:dyDescent="0.25">
      <c r="C2685" s="11"/>
      <c r="E2685" s="12"/>
      <c r="F2685" s="12"/>
      <c r="G2685" s="9"/>
      <c r="H2685" s="5"/>
      <c r="I2685" s="5"/>
    </row>
    <row r="2686" spans="3:9" x14ac:dyDescent="0.25">
      <c r="C2686" s="11"/>
      <c r="E2686" s="12"/>
      <c r="F2686" s="12"/>
      <c r="G2686" s="9"/>
      <c r="H2686" s="5"/>
      <c r="I2686" s="5"/>
    </row>
    <row r="2687" spans="3:9" x14ac:dyDescent="0.25">
      <c r="C2687" s="11"/>
      <c r="E2687" s="12"/>
      <c r="F2687" s="12"/>
      <c r="G2687" s="9"/>
      <c r="H2687" s="5"/>
      <c r="I2687" s="5"/>
    </row>
    <row r="2688" spans="3:9" x14ac:dyDescent="0.25">
      <c r="C2688" s="11"/>
      <c r="E2688" s="12"/>
      <c r="F2688" s="12"/>
      <c r="G2688" s="9"/>
      <c r="H2688" s="5"/>
      <c r="I2688" s="5"/>
    </row>
    <row r="2689" spans="3:9" x14ac:dyDescent="0.25">
      <c r="C2689" s="11"/>
      <c r="E2689" s="12"/>
      <c r="F2689" s="12"/>
      <c r="G2689" s="9"/>
      <c r="H2689" s="5"/>
      <c r="I2689" s="5"/>
    </row>
    <row r="2690" spans="3:9" x14ac:dyDescent="0.25">
      <c r="C2690" s="11"/>
      <c r="E2690" s="12"/>
      <c r="F2690" s="12"/>
      <c r="G2690" s="9"/>
      <c r="H2690" s="5"/>
      <c r="I2690" s="5"/>
    </row>
    <row r="2691" spans="3:9" x14ac:dyDescent="0.25">
      <c r="C2691" s="11"/>
      <c r="E2691" s="12"/>
      <c r="F2691" s="12"/>
      <c r="G2691" s="9"/>
      <c r="H2691" s="5"/>
      <c r="I2691" s="5"/>
    </row>
    <row r="2692" spans="3:9" x14ac:dyDescent="0.25">
      <c r="C2692" s="11"/>
      <c r="E2692" s="12"/>
      <c r="F2692" s="12"/>
      <c r="G2692" s="9"/>
      <c r="H2692" s="5"/>
      <c r="I2692" s="5"/>
    </row>
    <row r="2693" spans="3:9" x14ac:dyDescent="0.25">
      <c r="C2693" s="11"/>
      <c r="E2693" s="12"/>
      <c r="F2693" s="12"/>
      <c r="G2693" s="9"/>
      <c r="H2693" s="5"/>
      <c r="I2693" s="5"/>
    </row>
    <row r="2694" spans="3:9" x14ac:dyDescent="0.25">
      <c r="C2694" s="11"/>
      <c r="E2694" s="12"/>
      <c r="F2694" s="12"/>
      <c r="G2694" s="9"/>
      <c r="H2694" s="5"/>
      <c r="I2694" s="5"/>
    </row>
    <row r="2695" spans="3:9" x14ac:dyDescent="0.25">
      <c r="C2695" s="11"/>
      <c r="E2695" s="12"/>
      <c r="F2695" s="12"/>
      <c r="G2695" s="9"/>
      <c r="H2695" s="5"/>
      <c r="I2695" s="5"/>
    </row>
    <row r="2696" spans="3:9" x14ac:dyDescent="0.25">
      <c r="C2696" s="11"/>
      <c r="E2696" s="12"/>
      <c r="F2696" s="12"/>
      <c r="G2696" s="9"/>
      <c r="H2696" s="5"/>
      <c r="I2696" s="5"/>
    </row>
    <row r="2697" spans="3:9" x14ac:dyDescent="0.25">
      <c r="C2697" s="11"/>
      <c r="E2697" s="12"/>
      <c r="F2697" s="12"/>
      <c r="G2697" s="9"/>
      <c r="H2697" s="5"/>
      <c r="I2697" s="5"/>
    </row>
    <row r="2698" spans="3:9" x14ac:dyDescent="0.25">
      <c r="C2698" s="11"/>
      <c r="E2698" s="12"/>
      <c r="F2698" s="12"/>
      <c r="G2698" s="9"/>
      <c r="H2698" s="5"/>
      <c r="I2698" s="5"/>
    </row>
    <row r="2699" spans="3:9" x14ac:dyDescent="0.25">
      <c r="C2699" s="11"/>
      <c r="E2699" s="12"/>
      <c r="F2699" s="12"/>
      <c r="G2699" s="9"/>
      <c r="H2699" s="5"/>
      <c r="I2699" s="5"/>
    </row>
    <row r="2700" spans="3:9" x14ac:dyDescent="0.25">
      <c r="C2700" s="11"/>
      <c r="E2700" s="12"/>
      <c r="F2700" s="12"/>
      <c r="G2700" s="9"/>
      <c r="H2700" s="5"/>
      <c r="I2700" s="5"/>
    </row>
    <row r="2701" spans="3:9" x14ac:dyDescent="0.25">
      <c r="C2701" s="11"/>
      <c r="E2701" s="12"/>
      <c r="F2701" s="12"/>
      <c r="G2701" s="9"/>
      <c r="H2701" s="5"/>
      <c r="I2701" s="5"/>
    </row>
    <row r="2702" spans="3:9" x14ac:dyDescent="0.25">
      <c r="C2702" s="11"/>
      <c r="E2702" s="12"/>
      <c r="F2702" s="12"/>
      <c r="G2702" s="9"/>
      <c r="H2702" s="5"/>
      <c r="I2702" s="5"/>
    </row>
    <row r="2703" spans="3:9" x14ac:dyDescent="0.25">
      <c r="C2703" s="11"/>
      <c r="E2703" s="12"/>
      <c r="F2703" s="12"/>
      <c r="G2703" s="9"/>
      <c r="H2703" s="5"/>
      <c r="I2703" s="5"/>
    </row>
    <row r="2704" spans="3:9" x14ac:dyDescent="0.25">
      <c r="C2704" s="11"/>
      <c r="E2704" s="12"/>
      <c r="F2704" s="12"/>
      <c r="G2704" s="9"/>
      <c r="H2704" s="5"/>
      <c r="I2704" s="5"/>
    </row>
    <row r="2705" spans="3:9" x14ac:dyDescent="0.25">
      <c r="C2705" s="11"/>
      <c r="E2705" s="12"/>
      <c r="F2705" s="12"/>
      <c r="G2705" s="9"/>
      <c r="H2705" s="5"/>
      <c r="I2705" s="5"/>
    </row>
    <row r="2706" spans="3:9" x14ac:dyDescent="0.25">
      <c r="C2706" s="11"/>
      <c r="E2706" s="12"/>
      <c r="F2706" s="12"/>
      <c r="G2706" s="9"/>
      <c r="H2706" s="5"/>
      <c r="I2706" s="5"/>
    </row>
    <row r="2707" spans="3:9" x14ac:dyDescent="0.25">
      <c r="C2707" s="11"/>
      <c r="E2707" s="12"/>
      <c r="F2707" s="12"/>
      <c r="G2707" s="9"/>
      <c r="H2707" s="5"/>
      <c r="I2707" s="5"/>
    </row>
    <row r="2708" spans="3:9" x14ac:dyDescent="0.25">
      <c r="C2708" s="11"/>
      <c r="E2708" s="12"/>
      <c r="F2708" s="12"/>
      <c r="G2708" s="9"/>
      <c r="H2708" s="5"/>
      <c r="I2708" s="5"/>
    </row>
    <row r="2709" spans="3:9" x14ac:dyDescent="0.25">
      <c r="C2709" s="11"/>
      <c r="E2709" s="12"/>
      <c r="F2709" s="12"/>
      <c r="G2709" s="9"/>
      <c r="H2709" s="5"/>
      <c r="I2709" s="5"/>
    </row>
    <row r="2710" spans="3:9" x14ac:dyDescent="0.25">
      <c r="C2710" s="11"/>
      <c r="E2710" s="12"/>
      <c r="F2710" s="12"/>
      <c r="G2710" s="9"/>
      <c r="H2710" s="5"/>
      <c r="I2710" s="5"/>
    </row>
    <row r="2711" spans="3:9" x14ac:dyDescent="0.25">
      <c r="C2711" s="11"/>
      <c r="E2711" s="12"/>
      <c r="F2711" s="12"/>
      <c r="G2711" s="9"/>
      <c r="H2711" s="5"/>
      <c r="I2711" s="5"/>
    </row>
    <row r="2712" spans="3:9" x14ac:dyDescent="0.25">
      <c r="C2712" s="11"/>
      <c r="E2712" s="12"/>
      <c r="F2712" s="12"/>
      <c r="G2712" s="9"/>
      <c r="H2712" s="5"/>
      <c r="I2712" s="5"/>
    </row>
    <row r="2713" spans="3:9" x14ac:dyDescent="0.25">
      <c r="C2713" s="11"/>
      <c r="E2713" s="12"/>
      <c r="F2713" s="12"/>
      <c r="G2713" s="9"/>
      <c r="H2713" s="5"/>
      <c r="I2713" s="5"/>
    </row>
    <row r="2714" spans="3:9" x14ac:dyDescent="0.25">
      <c r="C2714" s="11"/>
      <c r="E2714" s="12"/>
      <c r="F2714" s="12"/>
      <c r="G2714" s="9"/>
      <c r="H2714" s="5"/>
      <c r="I2714" s="5"/>
    </row>
    <row r="2715" spans="3:9" x14ac:dyDescent="0.25">
      <c r="C2715" s="11"/>
      <c r="E2715" s="12"/>
      <c r="F2715" s="12"/>
      <c r="G2715" s="9"/>
      <c r="H2715" s="5"/>
      <c r="I2715" s="5"/>
    </row>
    <row r="2716" spans="3:9" x14ac:dyDescent="0.25">
      <c r="C2716" s="11"/>
      <c r="E2716" s="12"/>
      <c r="F2716" s="12"/>
      <c r="G2716" s="9"/>
      <c r="H2716" s="5"/>
      <c r="I2716" s="5"/>
    </row>
    <row r="2717" spans="3:9" x14ac:dyDescent="0.25">
      <c r="C2717" s="11"/>
      <c r="E2717" s="12"/>
      <c r="F2717" s="12"/>
      <c r="G2717" s="9"/>
      <c r="H2717" s="5"/>
      <c r="I2717" s="5"/>
    </row>
    <row r="2718" spans="3:9" x14ac:dyDescent="0.25">
      <c r="C2718" s="11"/>
      <c r="E2718" s="12"/>
      <c r="F2718" s="12"/>
      <c r="G2718" s="9"/>
      <c r="H2718" s="5"/>
      <c r="I2718" s="5"/>
    </row>
    <row r="2719" spans="3:9" x14ac:dyDescent="0.25">
      <c r="C2719" s="11"/>
      <c r="E2719" s="12"/>
      <c r="F2719" s="12"/>
      <c r="G2719" s="9"/>
      <c r="H2719" s="5"/>
      <c r="I2719" s="5"/>
    </row>
    <row r="2720" spans="3:9" x14ac:dyDescent="0.25">
      <c r="C2720" s="11"/>
      <c r="E2720" s="12"/>
      <c r="F2720" s="12"/>
      <c r="G2720" s="9"/>
      <c r="H2720" s="5"/>
      <c r="I2720" s="5"/>
    </row>
    <row r="2721" spans="3:9" x14ac:dyDescent="0.25">
      <c r="C2721" s="11"/>
      <c r="E2721" s="12"/>
      <c r="F2721" s="12"/>
      <c r="G2721" s="9"/>
      <c r="H2721" s="5"/>
      <c r="I2721" s="5"/>
    </row>
    <row r="2722" spans="3:9" x14ac:dyDescent="0.25">
      <c r="C2722" s="11"/>
      <c r="E2722" s="12"/>
      <c r="F2722" s="12"/>
      <c r="G2722" s="9"/>
      <c r="H2722" s="5"/>
      <c r="I2722" s="5"/>
    </row>
    <row r="2723" spans="3:9" x14ac:dyDescent="0.25">
      <c r="C2723" s="11"/>
      <c r="E2723" s="12"/>
      <c r="F2723" s="12"/>
      <c r="G2723" s="9"/>
      <c r="H2723" s="5"/>
      <c r="I2723" s="5"/>
    </row>
    <row r="2724" spans="3:9" x14ac:dyDescent="0.25">
      <c r="C2724" s="11"/>
      <c r="E2724" s="12"/>
      <c r="F2724" s="12"/>
      <c r="G2724" s="9"/>
      <c r="H2724" s="5"/>
      <c r="I2724" s="5"/>
    </row>
    <row r="2725" spans="3:9" x14ac:dyDescent="0.25">
      <c r="C2725" s="11"/>
      <c r="E2725" s="12"/>
      <c r="F2725" s="12"/>
      <c r="G2725" s="9"/>
      <c r="H2725" s="5"/>
      <c r="I2725" s="5"/>
    </row>
    <row r="2726" spans="3:9" x14ac:dyDescent="0.25">
      <c r="C2726" s="11"/>
      <c r="E2726" s="12"/>
      <c r="F2726" s="12"/>
      <c r="G2726" s="9"/>
      <c r="H2726" s="5"/>
      <c r="I2726" s="5"/>
    </row>
    <row r="2727" spans="3:9" x14ac:dyDescent="0.25">
      <c r="C2727" s="11"/>
      <c r="E2727" s="12"/>
      <c r="F2727" s="12"/>
      <c r="G2727" s="9"/>
      <c r="H2727" s="5"/>
      <c r="I2727" s="5"/>
    </row>
    <row r="2728" spans="3:9" x14ac:dyDescent="0.25">
      <c r="C2728" s="11"/>
      <c r="E2728" s="12"/>
      <c r="F2728" s="12"/>
      <c r="G2728" s="9"/>
      <c r="H2728" s="5"/>
      <c r="I2728" s="5"/>
    </row>
    <row r="2729" spans="3:9" x14ac:dyDescent="0.25">
      <c r="C2729" s="11"/>
      <c r="E2729" s="12"/>
      <c r="F2729" s="12"/>
      <c r="G2729" s="9"/>
      <c r="H2729" s="5"/>
      <c r="I2729" s="5"/>
    </row>
    <row r="2730" spans="3:9" x14ac:dyDescent="0.25">
      <c r="C2730" s="11"/>
      <c r="E2730" s="12"/>
      <c r="F2730" s="12"/>
      <c r="G2730" s="9"/>
      <c r="H2730" s="5"/>
      <c r="I2730" s="5"/>
    </row>
    <row r="2731" spans="3:9" x14ac:dyDescent="0.25">
      <c r="C2731" s="11"/>
      <c r="E2731" s="12"/>
      <c r="F2731" s="12"/>
      <c r="G2731" s="9"/>
      <c r="H2731" s="5"/>
      <c r="I2731" s="5"/>
    </row>
    <row r="2732" spans="3:9" x14ac:dyDescent="0.25">
      <c r="C2732" s="11"/>
      <c r="E2732" s="12"/>
      <c r="F2732" s="12"/>
      <c r="G2732" s="9"/>
      <c r="H2732" s="5"/>
      <c r="I2732" s="5"/>
    </row>
    <row r="2733" spans="3:9" x14ac:dyDescent="0.25">
      <c r="C2733" s="11"/>
      <c r="E2733" s="12"/>
      <c r="F2733" s="12"/>
      <c r="G2733" s="9"/>
      <c r="H2733" s="5"/>
      <c r="I2733" s="5"/>
    </row>
    <row r="2734" spans="3:9" x14ac:dyDescent="0.25">
      <c r="C2734" s="11"/>
      <c r="E2734" s="12"/>
      <c r="F2734" s="12"/>
      <c r="G2734" s="9"/>
      <c r="H2734" s="5"/>
      <c r="I2734" s="5"/>
    </row>
    <row r="2735" spans="3:9" x14ac:dyDescent="0.25">
      <c r="C2735" s="11"/>
      <c r="E2735" s="12"/>
      <c r="F2735" s="12"/>
      <c r="G2735" s="9"/>
      <c r="H2735" s="5"/>
      <c r="I2735" s="5"/>
    </row>
    <row r="2736" spans="3:9" x14ac:dyDescent="0.25">
      <c r="C2736" s="11"/>
      <c r="E2736" s="12"/>
      <c r="F2736" s="12"/>
      <c r="G2736" s="9"/>
      <c r="H2736" s="5"/>
      <c r="I2736" s="5"/>
    </row>
    <row r="2737" spans="3:9" x14ac:dyDescent="0.25">
      <c r="C2737" s="11"/>
      <c r="E2737" s="12"/>
      <c r="F2737" s="12"/>
      <c r="G2737" s="9"/>
      <c r="H2737" s="5"/>
      <c r="I2737" s="5"/>
    </row>
    <row r="2738" spans="3:9" x14ac:dyDescent="0.25">
      <c r="C2738" s="11"/>
      <c r="E2738" s="12"/>
      <c r="F2738" s="12"/>
      <c r="G2738" s="9"/>
      <c r="H2738" s="5"/>
      <c r="I2738" s="5"/>
    </row>
    <row r="2739" spans="3:9" x14ac:dyDescent="0.25">
      <c r="C2739" s="11"/>
      <c r="E2739" s="12"/>
      <c r="F2739" s="12"/>
      <c r="G2739" s="9"/>
      <c r="H2739" s="5"/>
      <c r="I2739" s="5"/>
    </row>
    <row r="2740" spans="3:9" x14ac:dyDescent="0.25">
      <c r="C2740" s="11"/>
      <c r="E2740" s="12"/>
      <c r="F2740" s="12"/>
      <c r="G2740" s="9"/>
      <c r="H2740" s="5"/>
      <c r="I2740" s="5"/>
    </row>
    <row r="2741" spans="3:9" x14ac:dyDescent="0.25">
      <c r="C2741" s="11"/>
      <c r="E2741" s="12"/>
      <c r="F2741" s="12"/>
      <c r="G2741" s="9"/>
      <c r="H2741" s="5"/>
      <c r="I2741" s="5"/>
    </row>
    <row r="2742" spans="3:9" x14ac:dyDescent="0.25">
      <c r="C2742" s="11"/>
      <c r="E2742" s="12"/>
      <c r="F2742" s="12"/>
      <c r="G2742" s="9"/>
      <c r="H2742" s="5"/>
      <c r="I2742" s="5"/>
    </row>
    <row r="2743" spans="3:9" x14ac:dyDescent="0.25">
      <c r="C2743" s="11"/>
      <c r="E2743" s="12"/>
      <c r="F2743" s="12"/>
      <c r="G2743" s="9"/>
      <c r="H2743" s="5"/>
      <c r="I2743" s="5"/>
    </row>
    <row r="2744" spans="3:9" x14ac:dyDescent="0.25">
      <c r="C2744" s="11"/>
      <c r="E2744" s="12"/>
      <c r="F2744" s="12"/>
      <c r="G2744" s="9"/>
      <c r="H2744" s="5"/>
      <c r="I2744" s="5"/>
    </row>
    <row r="2745" spans="3:9" x14ac:dyDescent="0.25">
      <c r="C2745" s="11"/>
      <c r="E2745" s="12"/>
      <c r="F2745" s="12"/>
      <c r="G2745" s="9"/>
      <c r="H2745" s="5"/>
      <c r="I2745" s="5"/>
    </row>
    <row r="2746" spans="3:9" x14ac:dyDescent="0.25">
      <c r="C2746" s="11"/>
      <c r="E2746" s="12"/>
      <c r="F2746" s="12"/>
      <c r="G2746" s="9"/>
      <c r="H2746" s="5"/>
      <c r="I2746" s="5"/>
    </row>
    <row r="2747" spans="3:9" x14ac:dyDescent="0.25">
      <c r="C2747" s="11"/>
      <c r="E2747" s="12"/>
      <c r="F2747" s="12"/>
      <c r="G2747" s="9"/>
      <c r="H2747" s="5"/>
      <c r="I2747" s="5"/>
    </row>
    <row r="2748" spans="3:9" x14ac:dyDescent="0.25">
      <c r="C2748" s="11"/>
      <c r="E2748" s="12"/>
      <c r="F2748" s="12"/>
      <c r="G2748" s="9"/>
      <c r="H2748" s="5"/>
      <c r="I2748" s="5"/>
    </row>
    <row r="2749" spans="3:9" x14ac:dyDescent="0.25">
      <c r="C2749" s="11"/>
      <c r="E2749" s="12"/>
      <c r="F2749" s="12"/>
      <c r="G2749" s="9"/>
      <c r="H2749" s="5"/>
      <c r="I2749" s="5"/>
    </row>
    <row r="2750" spans="3:9" x14ac:dyDescent="0.25">
      <c r="C2750" s="11"/>
      <c r="E2750" s="12"/>
      <c r="F2750" s="12"/>
      <c r="G2750" s="9"/>
      <c r="H2750" s="5"/>
      <c r="I2750" s="5"/>
    </row>
    <row r="2751" spans="3:9" x14ac:dyDescent="0.25">
      <c r="C2751" s="11"/>
      <c r="E2751" s="12"/>
      <c r="F2751" s="12"/>
      <c r="G2751" s="9"/>
      <c r="H2751" s="5"/>
      <c r="I2751" s="5"/>
    </row>
    <row r="2752" spans="3:9" x14ac:dyDescent="0.25">
      <c r="C2752" s="11"/>
      <c r="E2752" s="12"/>
      <c r="F2752" s="12"/>
      <c r="G2752" s="9"/>
      <c r="H2752" s="5"/>
      <c r="I2752" s="5"/>
    </row>
    <row r="2753" spans="3:9" x14ac:dyDescent="0.25">
      <c r="C2753" s="11"/>
      <c r="E2753" s="12"/>
      <c r="F2753" s="12"/>
      <c r="G2753" s="9"/>
      <c r="H2753" s="5"/>
      <c r="I2753" s="5"/>
    </row>
    <row r="2754" spans="3:9" x14ac:dyDescent="0.25">
      <c r="C2754" s="11"/>
      <c r="E2754" s="12"/>
      <c r="F2754" s="12"/>
      <c r="G2754" s="9"/>
      <c r="H2754" s="5"/>
      <c r="I2754" s="5"/>
    </row>
    <row r="2755" spans="3:9" x14ac:dyDescent="0.25">
      <c r="C2755" s="11"/>
      <c r="E2755" s="12"/>
      <c r="F2755" s="12"/>
      <c r="G2755" s="9"/>
      <c r="H2755" s="5"/>
      <c r="I2755" s="5"/>
    </row>
    <row r="2756" spans="3:9" x14ac:dyDescent="0.25">
      <c r="C2756" s="11"/>
      <c r="E2756" s="12"/>
      <c r="F2756" s="12"/>
      <c r="G2756" s="9"/>
      <c r="H2756" s="5"/>
      <c r="I2756" s="5"/>
    </row>
    <row r="2757" spans="3:9" x14ac:dyDescent="0.25">
      <c r="C2757" s="11"/>
      <c r="E2757" s="12"/>
      <c r="F2757" s="12"/>
      <c r="G2757" s="9"/>
      <c r="H2757" s="5"/>
      <c r="I2757" s="5"/>
    </row>
    <row r="2758" spans="3:9" x14ac:dyDescent="0.25">
      <c r="C2758" s="11"/>
      <c r="E2758" s="12"/>
      <c r="F2758" s="12"/>
      <c r="G2758" s="9"/>
      <c r="H2758" s="5"/>
      <c r="I2758" s="5"/>
    </row>
    <row r="2759" spans="3:9" x14ac:dyDescent="0.25">
      <c r="C2759" s="11"/>
      <c r="E2759" s="12"/>
      <c r="F2759" s="12"/>
      <c r="G2759" s="9"/>
      <c r="H2759" s="5"/>
      <c r="I2759" s="5"/>
    </row>
    <row r="2760" spans="3:9" x14ac:dyDescent="0.25">
      <c r="C2760" s="11"/>
      <c r="E2760" s="12"/>
      <c r="F2760" s="12"/>
      <c r="G2760" s="9"/>
      <c r="H2760" s="5"/>
      <c r="I2760" s="5"/>
    </row>
    <row r="2761" spans="3:9" x14ac:dyDescent="0.25">
      <c r="C2761" s="11"/>
      <c r="E2761" s="12"/>
      <c r="F2761" s="12"/>
      <c r="G2761" s="9"/>
      <c r="H2761" s="5"/>
      <c r="I2761" s="5"/>
    </row>
    <row r="2762" spans="3:9" x14ac:dyDescent="0.25">
      <c r="C2762" s="11"/>
      <c r="E2762" s="12"/>
      <c r="F2762" s="12"/>
      <c r="G2762" s="9"/>
      <c r="H2762" s="5"/>
      <c r="I2762" s="5"/>
    </row>
    <row r="2763" spans="3:9" x14ac:dyDescent="0.25">
      <c r="C2763" s="11"/>
      <c r="E2763" s="12"/>
      <c r="F2763" s="12"/>
      <c r="G2763" s="9"/>
      <c r="H2763" s="5"/>
      <c r="I2763" s="5"/>
    </row>
    <row r="2764" spans="3:9" x14ac:dyDescent="0.25">
      <c r="C2764" s="11"/>
      <c r="E2764" s="12"/>
      <c r="F2764" s="12"/>
      <c r="G2764" s="9"/>
      <c r="H2764" s="5"/>
      <c r="I2764" s="5"/>
    </row>
    <row r="2765" spans="3:9" x14ac:dyDescent="0.25">
      <c r="C2765" s="11"/>
      <c r="E2765" s="12"/>
      <c r="F2765" s="12"/>
      <c r="G2765" s="9"/>
      <c r="H2765" s="5"/>
      <c r="I2765" s="5"/>
    </row>
    <row r="2766" spans="3:9" x14ac:dyDescent="0.25">
      <c r="C2766" s="11"/>
      <c r="E2766" s="12"/>
      <c r="F2766" s="12"/>
      <c r="G2766" s="9"/>
      <c r="H2766" s="5"/>
      <c r="I2766" s="5"/>
    </row>
    <row r="2767" spans="3:9" x14ac:dyDescent="0.25">
      <c r="C2767" s="11"/>
      <c r="E2767" s="12"/>
      <c r="F2767" s="12"/>
      <c r="G2767" s="9"/>
      <c r="H2767" s="5"/>
      <c r="I2767" s="5"/>
    </row>
    <row r="2768" spans="3:9" x14ac:dyDescent="0.25">
      <c r="C2768" s="11"/>
      <c r="E2768" s="12"/>
      <c r="F2768" s="12"/>
      <c r="G2768" s="9"/>
      <c r="H2768" s="5"/>
      <c r="I2768" s="5"/>
    </row>
    <row r="2769" spans="3:9" x14ac:dyDescent="0.25">
      <c r="C2769" s="11"/>
      <c r="E2769" s="12"/>
      <c r="F2769" s="12"/>
      <c r="G2769" s="9"/>
      <c r="H2769" s="5"/>
      <c r="I2769" s="5"/>
    </row>
    <row r="2770" spans="3:9" x14ac:dyDescent="0.25">
      <c r="C2770" s="11"/>
      <c r="E2770" s="12"/>
      <c r="F2770" s="12"/>
      <c r="G2770" s="9"/>
      <c r="H2770" s="5"/>
      <c r="I2770" s="5"/>
    </row>
    <row r="2771" spans="3:9" x14ac:dyDescent="0.25">
      <c r="C2771" s="11"/>
      <c r="E2771" s="12"/>
      <c r="F2771" s="12"/>
      <c r="G2771" s="9"/>
      <c r="H2771" s="5"/>
      <c r="I2771" s="5"/>
    </row>
    <row r="2772" spans="3:9" x14ac:dyDescent="0.25">
      <c r="C2772" s="11"/>
      <c r="E2772" s="12"/>
      <c r="F2772" s="12"/>
      <c r="G2772" s="9"/>
      <c r="H2772" s="5"/>
      <c r="I2772" s="5"/>
    </row>
    <row r="2773" spans="3:9" x14ac:dyDescent="0.25">
      <c r="C2773" s="11"/>
      <c r="E2773" s="12"/>
      <c r="F2773" s="12"/>
      <c r="G2773" s="9"/>
      <c r="H2773" s="5"/>
      <c r="I2773" s="5"/>
    </row>
    <row r="2774" spans="3:9" x14ac:dyDescent="0.25">
      <c r="C2774" s="11"/>
      <c r="E2774" s="12"/>
      <c r="F2774" s="12"/>
      <c r="G2774" s="9"/>
      <c r="H2774" s="5"/>
      <c r="I2774" s="5"/>
    </row>
    <row r="2775" spans="3:9" x14ac:dyDescent="0.25">
      <c r="C2775" s="11"/>
      <c r="E2775" s="12"/>
      <c r="F2775" s="12"/>
      <c r="G2775" s="9"/>
      <c r="H2775" s="5"/>
      <c r="I2775" s="5"/>
    </row>
    <row r="2776" spans="3:9" x14ac:dyDescent="0.25">
      <c r="C2776" s="11"/>
      <c r="E2776" s="12"/>
      <c r="F2776" s="12"/>
      <c r="G2776" s="9"/>
      <c r="H2776" s="5"/>
      <c r="I2776" s="5"/>
    </row>
    <row r="2777" spans="3:9" x14ac:dyDescent="0.25">
      <c r="C2777" s="11"/>
      <c r="E2777" s="12"/>
      <c r="F2777" s="12"/>
      <c r="G2777" s="9"/>
      <c r="H2777" s="5"/>
      <c r="I2777" s="5"/>
    </row>
    <row r="2778" spans="3:9" x14ac:dyDescent="0.25">
      <c r="C2778" s="11"/>
      <c r="E2778" s="12"/>
      <c r="F2778" s="12"/>
      <c r="G2778" s="9"/>
      <c r="H2778" s="5"/>
      <c r="I2778" s="5"/>
    </row>
    <row r="2779" spans="3:9" x14ac:dyDescent="0.25">
      <c r="C2779" s="11"/>
      <c r="E2779" s="12"/>
      <c r="F2779" s="12"/>
      <c r="G2779" s="9"/>
      <c r="H2779" s="5"/>
      <c r="I2779" s="5"/>
    </row>
    <row r="2780" spans="3:9" x14ac:dyDescent="0.25">
      <c r="C2780" s="11"/>
      <c r="E2780" s="12"/>
      <c r="F2780" s="12"/>
      <c r="G2780" s="9"/>
      <c r="H2780" s="5"/>
      <c r="I2780" s="5"/>
    </row>
    <row r="2781" spans="3:9" x14ac:dyDescent="0.25">
      <c r="C2781" s="11"/>
      <c r="E2781" s="12"/>
      <c r="F2781" s="12"/>
      <c r="G2781" s="9"/>
      <c r="H2781" s="5"/>
      <c r="I2781" s="5"/>
    </row>
    <row r="2782" spans="3:9" x14ac:dyDescent="0.25">
      <c r="C2782" s="11"/>
      <c r="E2782" s="12"/>
      <c r="F2782" s="12"/>
      <c r="G2782" s="9"/>
      <c r="H2782" s="5"/>
      <c r="I2782" s="5"/>
    </row>
    <row r="2783" spans="3:9" x14ac:dyDescent="0.25">
      <c r="C2783" s="11"/>
      <c r="E2783" s="12"/>
      <c r="F2783" s="12"/>
      <c r="G2783" s="9"/>
      <c r="H2783" s="5"/>
      <c r="I2783" s="5"/>
    </row>
    <row r="2784" spans="3:9" x14ac:dyDescent="0.25">
      <c r="C2784" s="11"/>
      <c r="E2784" s="12"/>
      <c r="F2784" s="12"/>
      <c r="G2784" s="9"/>
      <c r="H2784" s="5"/>
      <c r="I2784" s="5"/>
    </row>
    <row r="2785" spans="3:9" x14ac:dyDescent="0.25">
      <c r="C2785" s="11"/>
      <c r="E2785" s="12"/>
      <c r="F2785" s="12"/>
      <c r="G2785" s="9"/>
      <c r="H2785" s="5"/>
      <c r="I2785" s="5"/>
    </row>
    <row r="2786" spans="3:9" x14ac:dyDescent="0.25">
      <c r="C2786" s="11"/>
      <c r="E2786" s="12"/>
      <c r="F2786" s="12"/>
      <c r="G2786" s="9"/>
      <c r="H2786" s="5"/>
      <c r="I2786" s="5"/>
    </row>
    <row r="2787" spans="3:9" x14ac:dyDescent="0.25">
      <c r="C2787" s="11"/>
      <c r="E2787" s="12"/>
      <c r="F2787" s="12"/>
      <c r="G2787" s="9"/>
      <c r="H2787" s="5"/>
      <c r="I2787" s="5"/>
    </row>
    <row r="2788" spans="3:9" x14ac:dyDescent="0.25">
      <c r="C2788" s="11"/>
      <c r="E2788" s="12"/>
      <c r="F2788" s="12"/>
      <c r="G2788" s="9"/>
      <c r="H2788" s="5"/>
      <c r="I2788" s="5"/>
    </row>
    <row r="2789" spans="3:9" x14ac:dyDescent="0.25">
      <c r="C2789" s="11"/>
      <c r="E2789" s="12"/>
      <c r="F2789" s="12"/>
      <c r="G2789" s="9"/>
      <c r="H2789" s="5"/>
      <c r="I2789" s="5"/>
    </row>
    <row r="2790" spans="3:9" x14ac:dyDescent="0.25">
      <c r="C2790" s="11"/>
      <c r="E2790" s="12"/>
      <c r="F2790" s="12"/>
      <c r="G2790" s="9"/>
      <c r="H2790" s="5"/>
      <c r="I2790" s="5"/>
    </row>
    <row r="2791" spans="3:9" x14ac:dyDescent="0.25">
      <c r="C2791" s="11"/>
      <c r="E2791" s="12"/>
      <c r="F2791" s="12"/>
      <c r="G2791" s="9"/>
      <c r="H2791" s="5"/>
      <c r="I2791" s="5"/>
    </row>
    <row r="2792" spans="3:9" x14ac:dyDescent="0.25">
      <c r="C2792" s="11"/>
      <c r="E2792" s="12"/>
      <c r="F2792" s="12"/>
      <c r="G2792" s="9"/>
      <c r="H2792" s="5"/>
      <c r="I2792" s="5"/>
    </row>
    <row r="2793" spans="3:9" x14ac:dyDescent="0.25">
      <c r="C2793" s="11"/>
      <c r="E2793" s="12"/>
      <c r="F2793" s="12"/>
      <c r="G2793" s="9"/>
      <c r="H2793" s="5"/>
      <c r="I2793" s="5"/>
    </row>
    <row r="2794" spans="3:9" x14ac:dyDescent="0.25">
      <c r="C2794" s="11"/>
      <c r="E2794" s="12"/>
      <c r="F2794" s="12"/>
      <c r="G2794" s="9"/>
      <c r="H2794" s="5"/>
      <c r="I2794" s="5"/>
    </row>
    <row r="2795" spans="3:9" x14ac:dyDescent="0.25">
      <c r="C2795" s="11"/>
      <c r="E2795" s="12"/>
      <c r="F2795" s="12"/>
      <c r="G2795" s="9"/>
      <c r="H2795" s="5"/>
      <c r="I2795" s="5"/>
    </row>
    <row r="2796" spans="3:9" x14ac:dyDescent="0.25">
      <c r="C2796" s="11"/>
      <c r="E2796" s="12"/>
      <c r="F2796" s="12"/>
      <c r="G2796" s="9"/>
      <c r="H2796" s="5"/>
      <c r="I2796" s="5"/>
    </row>
    <row r="2797" spans="3:9" x14ac:dyDescent="0.25">
      <c r="C2797" s="11"/>
      <c r="E2797" s="12"/>
      <c r="F2797" s="12"/>
      <c r="G2797" s="9"/>
      <c r="H2797" s="5"/>
      <c r="I2797" s="5"/>
    </row>
    <row r="2798" spans="3:9" x14ac:dyDescent="0.25">
      <c r="C2798" s="11"/>
      <c r="E2798" s="12"/>
      <c r="F2798" s="12"/>
      <c r="G2798" s="9"/>
      <c r="H2798" s="5"/>
      <c r="I2798" s="5"/>
    </row>
    <row r="2799" spans="3:9" x14ac:dyDescent="0.25">
      <c r="C2799" s="11"/>
      <c r="E2799" s="12"/>
      <c r="F2799" s="12"/>
      <c r="G2799" s="9"/>
      <c r="H2799" s="5"/>
      <c r="I2799" s="5"/>
    </row>
    <row r="2800" spans="3:9" x14ac:dyDescent="0.25">
      <c r="C2800" s="11"/>
      <c r="E2800" s="12"/>
      <c r="F2800" s="12"/>
      <c r="G2800" s="9"/>
      <c r="H2800" s="5"/>
      <c r="I2800" s="5"/>
    </row>
    <row r="2801" spans="3:9" x14ac:dyDescent="0.25">
      <c r="C2801" s="11"/>
      <c r="E2801" s="12"/>
      <c r="F2801" s="12"/>
      <c r="G2801" s="9"/>
      <c r="H2801" s="5"/>
      <c r="I2801" s="5"/>
    </row>
    <row r="2802" spans="3:9" x14ac:dyDescent="0.25">
      <c r="C2802" s="11"/>
      <c r="E2802" s="12"/>
      <c r="F2802" s="12"/>
      <c r="G2802" s="9"/>
      <c r="H2802" s="5"/>
      <c r="I2802" s="5"/>
    </row>
    <row r="2803" spans="3:9" x14ac:dyDescent="0.25">
      <c r="C2803" s="11"/>
      <c r="E2803" s="12"/>
      <c r="F2803" s="12"/>
      <c r="G2803" s="9"/>
      <c r="H2803" s="5"/>
      <c r="I2803" s="5"/>
    </row>
    <row r="2804" spans="3:9" x14ac:dyDescent="0.25">
      <c r="C2804" s="11"/>
      <c r="E2804" s="12"/>
      <c r="F2804" s="12"/>
      <c r="G2804" s="9"/>
      <c r="H2804" s="5"/>
      <c r="I2804" s="5"/>
    </row>
    <row r="2805" spans="3:9" x14ac:dyDescent="0.25">
      <c r="C2805" s="11"/>
      <c r="E2805" s="12"/>
      <c r="F2805" s="12"/>
      <c r="G2805" s="9"/>
      <c r="H2805" s="5"/>
      <c r="I2805" s="5"/>
    </row>
    <row r="2806" spans="3:9" x14ac:dyDescent="0.25">
      <c r="C2806" s="11"/>
      <c r="E2806" s="12"/>
      <c r="F2806" s="12"/>
      <c r="G2806" s="9"/>
      <c r="H2806" s="5"/>
      <c r="I2806" s="5"/>
    </row>
    <row r="2807" spans="3:9" x14ac:dyDescent="0.25">
      <c r="C2807" s="11"/>
      <c r="E2807" s="12"/>
      <c r="F2807" s="12"/>
      <c r="G2807" s="9"/>
      <c r="H2807" s="5"/>
      <c r="I2807" s="5"/>
    </row>
    <row r="2808" spans="3:9" x14ac:dyDescent="0.25">
      <c r="C2808" s="11"/>
      <c r="E2808" s="12"/>
      <c r="F2808" s="12"/>
      <c r="G2808" s="9"/>
      <c r="H2808" s="5"/>
      <c r="I2808" s="5"/>
    </row>
    <row r="2809" spans="3:9" x14ac:dyDescent="0.25">
      <c r="C2809" s="11"/>
      <c r="E2809" s="12"/>
      <c r="F2809" s="12"/>
      <c r="G2809" s="9"/>
      <c r="H2809" s="5"/>
      <c r="I2809" s="5"/>
    </row>
    <row r="2810" spans="3:9" x14ac:dyDescent="0.25">
      <c r="C2810" s="11"/>
      <c r="E2810" s="12"/>
      <c r="F2810" s="12"/>
      <c r="G2810" s="9"/>
      <c r="H2810" s="5"/>
      <c r="I2810" s="5"/>
    </row>
    <row r="2811" spans="3:9" x14ac:dyDescent="0.25">
      <c r="C2811" s="11"/>
      <c r="E2811" s="12"/>
      <c r="F2811" s="12"/>
      <c r="G2811" s="9"/>
      <c r="H2811" s="5"/>
      <c r="I2811" s="5"/>
    </row>
    <row r="2812" spans="3:9" x14ac:dyDescent="0.25">
      <c r="C2812" s="11"/>
      <c r="E2812" s="12"/>
      <c r="F2812" s="12"/>
      <c r="G2812" s="9"/>
      <c r="H2812" s="5"/>
      <c r="I2812" s="5"/>
    </row>
    <row r="2813" spans="3:9" x14ac:dyDescent="0.25">
      <c r="C2813" s="11"/>
      <c r="E2813" s="12"/>
      <c r="F2813" s="12"/>
      <c r="G2813" s="9"/>
      <c r="H2813" s="5"/>
      <c r="I2813" s="5"/>
    </row>
    <row r="2814" spans="3:9" x14ac:dyDescent="0.25">
      <c r="C2814" s="11"/>
      <c r="E2814" s="12"/>
      <c r="F2814" s="12"/>
      <c r="G2814" s="9"/>
      <c r="H2814" s="5"/>
      <c r="I2814" s="5"/>
    </row>
    <row r="2815" spans="3:9" x14ac:dyDescent="0.25">
      <c r="C2815" s="11"/>
      <c r="E2815" s="12"/>
      <c r="F2815" s="12"/>
      <c r="G2815" s="9"/>
      <c r="H2815" s="5"/>
      <c r="I2815" s="5"/>
    </row>
    <row r="2816" spans="3:9" x14ac:dyDescent="0.25">
      <c r="C2816" s="11"/>
      <c r="E2816" s="12"/>
      <c r="F2816" s="12"/>
      <c r="G2816" s="9"/>
      <c r="H2816" s="5"/>
      <c r="I2816" s="5"/>
    </row>
    <row r="2817" spans="3:9" x14ac:dyDescent="0.25">
      <c r="C2817" s="11"/>
      <c r="E2817" s="12"/>
      <c r="F2817" s="12"/>
      <c r="G2817" s="9"/>
      <c r="H2817" s="5"/>
      <c r="I2817" s="5"/>
    </row>
    <row r="2818" spans="3:9" x14ac:dyDescent="0.25">
      <c r="C2818" s="11"/>
      <c r="E2818" s="12"/>
      <c r="F2818" s="12"/>
      <c r="G2818" s="9"/>
      <c r="H2818" s="5"/>
      <c r="I2818" s="5"/>
    </row>
    <row r="2819" spans="3:9" x14ac:dyDescent="0.25">
      <c r="C2819" s="11"/>
      <c r="E2819" s="12"/>
      <c r="F2819" s="12"/>
      <c r="G2819" s="9"/>
      <c r="H2819" s="5"/>
      <c r="I2819" s="5"/>
    </row>
    <row r="2820" spans="3:9" x14ac:dyDescent="0.25">
      <c r="C2820" s="11"/>
      <c r="E2820" s="12"/>
      <c r="F2820" s="12"/>
      <c r="G2820" s="9"/>
      <c r="H2820" s="5"/>
      <c r="I2820" s="5"/>
    </row>
    <row r="2821" spans="3:9" x14ac:dyDescent="0.25">
      <c r="C2821" s="11"/>
      <c r="E2821" s="12"/>
      <c r="F2821" s="12"/>
      <c r="G2821" s="9"/>
      <c r="H2821" s="5"/>
      <c r="I2821" s="5"/>
    </row>
    <row r="2822" spans="3:9" x14ac:dyDescent="0.25">
      <c r="C2822" s="11"/>
      <c r="E2822" s="12"/>
      <c r="F2822" s="12"/>
      <c r="G2822" s="9"/>
      <c r="H2822" s="5"/>
      <c r="I2822" s="5"/>
    </row>
    <row r="2823" spans="3:9" x14ac:dyDescent="0.25">
      <c r="C2823" s="11"/>
      <c r="E2823" s="12"/>
      <c r="F2823" s="12"/>
      <c r="G2823" s="9"/>
      <c r="H2823" s="5"/>
      <c r="I2823" s="5"/>
    </row>
    <row r="2824" spans="3:9" x14ac:dyDescent="0.25">
      <c r="C2824" s="11"/>
      <c r="E2824" s="12"/>
      <c r="F2824" s="12"/>
      <c r="G2824" s="9"/>
      <c r="H2824" s="5"/>
      <c r="I2824" s="5"/>
    </row>
    <row r="2825" spans="3:9" x14ac:dyDescent="0.25">
      <c r="C2825" s="11"/>
      <c r="E2825" s="12"/>
      <c r="F2825" s="12"/>
      <c r="G2825" s="9"/>
      <c r="H2825" s="5"/>
      <c r="I2825" s="5"/>
    </row>
    <row r="2826" spans="3:9" x14ac:dyDescent="0.25">
      <c r="C2826" s="11"/>
      <c r="E2826" s="12"/>
      <c r="F2826" s="12"/>
      <c r="G2826" s="9"/>
      <c r="H2826" s="5"/>
      <c r="I2826" s="5"/>
    </row>
    <row r="2827" spans="3:9" x14ac:dyDescent="0.25">
      <c r="C2827" s="11"/>
      <c r="E2827" s="12"/>
      <c r="F2827" s="12"/>
      <c r="G2827" s="9"/>
      <c r="H2827" s="5"/>
      <c r="I2827" s="5"/>
    </row>
    <row r="2828" spans="3:9" x14ac:dyDescent="0.25">
      <c r="C2828" s="11"/>
      <c r="E2828" s="12"/>
      <c r="F2828" s="12"/>
      <c r="G2828" s="9"/>
      <c r="H2828" s="5"/>
      <c r="I2828" s="5"/>
    </row>
    <row r="2829" spans="3:9" x14ac:dyDescent="0.25">
      <c r="C2829" s="11"/>
      <c r="E2829" s="12"/>
      <c r="F2829" s="12"/>
      <c r="G2829" s="9"/>
      <c r="H2829" s="5"/>
      <c r="I2829" s="5"/>
    </row>
    <row r="2830" spans="3:9" x14ac:dyDescent="0.25">
      <c r="C2830" s="11"/>
      <c r="E2830" s="12"/>
      <c r="F2830" s="12"/>
      <c r="G2830" s="9"/>
      <c r="H2830" s="5"/>
      <c r="I2830" s="5"/>
    </row>
    <row r="2831" spans="3:9" x14ac:dyDescent="0.25">
      <c r="C2831" s="11"/>
      <c r="E2831" s="12"/>
      <c r="F2831" s="12"/>
      <c r="G2831" s="9"/>
      <c r="H2831" s="5"/>
      <c r="I2831" s="5"/>
    </row>
    <row r="2832" spans="3:9" x14ac:dyDescent="0.25">
      <c r="C2832" s="11"/>
      <c r="E2832" s="12"/>
      <c r="F2832" s="12"/>
      <c r="G2832" s="9"/>
      <c r="H2832" s="5"/>
      <c r="I2832" s="5"/>
    </row>
    <row r="2833" spans="3:9" x14ac:dyDescent="0.25">
      <c r="C2833" s="11"/>
      <c r="E2833" s="12"/>
      <c r="F2833" s="12"/>
      <c r="G2833" s="9"/>
      <c r="H2833" s="5"/>
      <c r="I2833" s="5"/>
    </row>
    <row r="2834" spans="3:9" x14ac:dyDescent="0.25">
      <c r="C2834" s="11"/>
      <c r="E2834" s="12"/>
      <c r="F2834" s="12"/>
      <c r="G2834" s="9"/>
      <c r="H2834" s="5"/>
      <c r="I2834" s="5"/>
    </row>
    <row r="2835" spans="3:9" x14ac:dyDescent="0.25">
      <c r="C2835" s="11"/>
      <c r="E2835" s="12"/>
      <c r="F2835" s="12"/>
      <c r="G2835" s="9"/>
      <c r="H2835" s="5"/>
      <c r="I2835" s="5"/>
    </row>
    <row r="2836" spans="3:9" x14ac:dyDescent="0.25">
      <c r="C2836" s="11"/>
      <c r="E2836" s="12"/>
      <c r="F2836" s="12"/>
      <c r="G2836" s="9"/>
      <c r="H2836" s="5"/>
      <c r="I2836" s="5"/>
    </row>
    <row r="2837" spans="3:9" x14ac:dyDescent="0.25">
      <c r="C2837" s="11"/>
      <c r="E2837" s="12"/>
      <c r="F2837" s="12"/>
      <c r="G2837" s="9"/>
      <c r="H2837" s="5"/>
      <c r="I2837" s="5"/>
    </row>
    <row r="2838" spans="3:9" x14ac:dyDescent="0.25">
      <c r="C2838" s="11"/>
      <c r="E2838" s="12"/>
      <c r="F2838" s="12"/>
      <c r="G2838" s="9"/>
      <c r="H2838" s="5"/>
      <c r="I2838" s="5"/>
    </row>
    <row r="2839" spans="3:9" x14ac:dyDescent="0.25">
      <c r="C2839" s="11"/>
      <c r="E2839" s="12"/>
      <c r="F2839" s="12"/>
      <c r="G2839" s="9"/>
      <c r="H2839" s="5"/>
      <c r="I2839" s="5"/>
    </row>
    <row r="2840" spans="3:9" x14ac:dyDescent="0.25">
      <c r="C2840" s="11"/>
      <c r="E2840" s="12"/>
      <c r="F2840" s="12"/>
      <c r="G2840" s="9"/>
      <c r="H2840" s="5"/>
      <c r="I2840" s="5"/>
    </row>
    <row r="2841" spans="3:9" x14ac:dyDescent="0.25">
      <c r="C2841" s="11"/>
      <c r="E2841" s="12"/>
      <c r="F2841" s="12"/>
      <c r="G2841" s="9"/>
      <c r="H2841" s="5"/>
      <c r="I2841" s="5"/>
    </row>
    <row r="2842" spans="3:9" x14ac:dyDescent="0.25">
      <c r="C2842" s="11"/>
      <c r="E2842" s="12"/>
      <c r="F2842" s="12"/>
      <c r="G2842" s="9"/>
      <c r="H2842" s="5"/>
      <c r="I2842" s="5"/>
    </row>
    <row r="2843" spans="3:9" x14ac:dyDescent="0.25">
      <c r="C2843" s="11"/>
      <c r="E2843" s="12"/>
      <c r="F2843" s="12"/>
      <c r="G2843" s="9"/>
      <c r="H2843" s="5"/>
      <c r="I2843" s="5"/>
    </row>
    <row r="2844" spans="3:9" x14ac:dyDescent="0.25">
      <c r="C2844" s="11"/>
      <c r="E2844" s="12"/>
      <c r="F2844" s="12"/>
      <c r="G2844" s="9"/>
      <c r="H2844" s="5"/>
      <c r="I2844" s="5"/>
    </row>
    <row r="2845" spans="3:9" x14ac:dyDescent="0.25">
      <c r="C2845" s="11"/>
      <c r="E2845" s="12"/>
      <c r="F2845" s="12"/>
      <c r="G2845" s="9"/>
      <c r="H2845" s="5"/>
      <c r="I2845" s="5"/>
    </row>
    <row r="2846" spans="3:9" x14ac:dyDescent="0.25">
      <c r="C2846" s="11"/>
      <c r="E2846" s="12"/>
      <c r="F2846" s="12"/>
      <c r="G2846" s="9"/>
      <c r="H2846" s="5"/>
      <c r="I2846" s="5"/>
    </row>
    <row r="2847" spans="3:9" x14ac:dyDescent="0.25">
      <c r="C2847" s="11"/>
      <c r="E2847" s="12"/>
      <c r="F2847" s="12"/>
      <c r="G2847" s="9"/>
      <c r="H2847" s="5"/>
      <c r="I2847" s="5"/>
    </row>
    <row r="2848" spans="3:9" x14ac:dyDescent="0.25">
      <c r="C2848" s="11"/>
      <c r="E2848" s="12"/>
      <c r="F2848" s="12"/>
      <c r="G2848" s="9"/>
      <c r="H2848" s="5"/>
      <c r="I2848" s="5"/>
    </row>
    <row r="2849" spans="3:9" x14ac:dyDescent="0.25">
      <c r="C2849" s="11"/>
      <c r="E2849" s="12"/>
      <c r="F2849" s="12"/>
      <c r="G2849" s="9"/>
      <c r="H2849" s="5"/>
      <c r="I2849" s="5"/>
    </row>
    <row r="2850" spans="3:9" x14ac:dyDescent="0.25">
      <c r="C2850" s="11"/>
      <c r="E2850" s="12"/>
      <c r="F2850" s="12"/>
      <c r="G2850" s="9"/>
      <c r="H2850" s="5"/>
      <c r="I2850" s="5"/>
    </row>
    <row r="2851" spans="3:9" x14ac:dyDescent="0.25">
      <c r="C2851" s="11"/>
      <c r="E2851" s="12"/>
      <c r="F2851" s="12"/>
      <c r="G2851" s="9"/>
      <c r="H2851" s="5"/>
      <c r="I2851" s="5"/>
    </row>
    <row r="2852" spans="3:9" x14ac:dyDescent="0.25">
      <c r="C2852" s="11"/>
      <c r="E2852" s="12"/>
      <c r="F2852" s="12"/>
      <c r="G2852" s="9"/>
      <c r="H2852" s="5"/>
      <c r="I2852" s="5"/>
    </row>
    <row r="2853" spans="3:9" x14ac:dyDescent="0.25">
      <c r="C2853" s="11"/>
      <c r="E2853" s="12"/>
      <c r="F2853" s="12"/>
      <c r="G2853" s="9"/>
      <c r="H2853" s="5"/>
      <c r="I2853" s="5"/>
    </row>
    <row r="2854" spans="3:9" x14ac:dyDescent="0.25">
      <c r="C2854" s="11"/>
      <c r="E2854" s="12"/>
      <c r="F2854" s="12"/>
      <c r="G2854" s="9"/>
      <c r="H2854" s="5"/>
      <c r="I2854" s="5"/>
    </row>
    <row r="2855" spans="3:9" x14ac:dyDescent="0.25">
      <c r="C2855" s="11"/>
      <c r="E2855" s="12"/>
      <c r="F2855" s="12"/>
      <c r="G2855" s="9"/>
      <c r="H2855" s="5"/>
      <c r="I2855" s="5"/>
    </row>
    <row r="2856" spans="3:9" x14ac:dyDescent="0.25">
      <c r="C2856" s="11"/>
      <c r="E2856" s="12"/>
      <c r="F2856" s="12"/>
      <c r="G2856" s="9"/>
      <c r="H2856" s="5"/>
      <c r="I2856" s="5"/>
    </row>
    <row r="2857" spans="3:9" x14ac:dyDescent="0.25">
      <c r="C2857" s="11"/>
      <c r="E2857" s="12"/>
      <c r="F2857" s="12"/>
      <c r="G2857" s="9"/>
      <c r="H2857" s="5"/>
      <c r="I2857" s="5"/>
    </row>
    <row r="2858" spans="3:9" x14ac:dyDescent="0.25">
      <c r="C2858" s="11"/>
      <c r="E2858" s="12"/>
      <c r="F2858" s="12"/>
      <c r="G2858" s="9"/>
      <c r="H2858" s="5"/>
      <c r="I2858" s="5"/>
    </row>
    <row r="2859" spans="3:9" x14ac:dyDescent="0.25">
      <c r="C2859" s="11"/>
      <c r="E2859" s="12"/>
      <c r="F2859" s="12"/>
      <c r="G2859" s="9"/>
      <c r="H2859" s="5"/>
      <c r="I2859" s="5"/>
    </row>
    <row r="2860" spans="3:9" x14ac:dyDescent="0.25">
      <c r="C2860" s="11"/>
      <c r="E2860" s="12"/>
      <c r="F2860" s="12"/>
      <c r="G2860" s="9"/>
      <c r="H2860" s="5"/>
      <c r="I2860" s="5"/>
    </row>
    <row r="2861" spans="3:9" x14ac:dyDescent="0.25">
      <c r="C2861" s="11"/>
      <c r="E2861" s="12"/>
      <c r="F2861" s="12"/>
      <c r="G2861" s="9"/>
      <c r="H2861" s="5"/>
      <c r="I2861" s="5"/>
    </row>
    <row r="2862" spans="3:9" x14ac:dyDescent="0.25">
      <c r="C2862" s="11"/>
      <c r="E2862" s="12"/>
      <c r="F2862" s="12"/>
      <c r="G2862" s="9"/>
      <c r="H2862" s="5"/>
      <c r="I2862" s="5"/>
    </row>
    <row r="2863" spans="3:9" x14ac:dyDescent="0.25">
      <c r="C2863" s="11"/>
      <c r="E2863" s="12"/>
      <c r="F2863" s="12"/>
      <c r="G2863" s="9"/>
      <c r="H2863" s="5"/>
      <c r="I2863" s="5"/>
    </row>
    <row r="2864" spans="3:9" x14ac:dyDescent="0.25">
      <c r="C2864" s="11"/>
      <c r="E2864" s="12"/>
      <c r="F2864" s="12"/>
      <c r="G2864" s="9"/>
      <c r="H2864" s="5"/>
      <c r="I2864" s="5"/>
    </row>
    <row r="2865" spans="3:9" x14ac:dyDescent="0.25">
      <c r="C2865" s="11"/>
      <c r="E2865" s="12"/>
      <c r="F2865" s="12"/>
      <c r="G2865" s="9"/>
      <c r="H2865" s="5"/>
      <c r="I2865" s="5"/>
    </row>
    <row r="2866" spans="3:9" x14ac:dyDescent="0.25">
      <c r="C2866" s="11"/>
      <c r="E2866" s="12"/>
      <c r="F2866" s="12"/>
      <c r="G2866" s="9"/>
      <c r="H2866" s="5"/>
      <c r="I2866" s="5"/>
    </row>
    <row r="2867" spans="3:9" x14ac:dyDescent="0.25">
      <c r="C2867" s="11"/>
      <c r="E2867" s="12"/>
      <c r="F2867" s="12"/>
      <c r="G2867" s="9"/>
      <c r="H2867" s="5"/>
      <c r="I2867" s="5"/>
    </row>
    <row r="2868" spans="3:9" x14ac:dyDescent="0.25">
      <c r="C2868" s="11"/>
      <c r="E2868" s="12"/>
      <c r="F2868" s="12"/>
      <c r="G2868" s="9"/>
      <c r="H2868" s="5"/>
      <c r="I2868" s="5"/>
    </row>
    <row r="2869" spans="3:9" x14ac:dyDescent="0.25">
      <c r="C2869" s="11"/>
      <c r="E2869" s="12"/>
      <c r="F2869" s="12"/>
      <c r="G2869" s="9"/>
      <c r="H2869" s="5"/>
      <c r="I2869" s="5"/>
    </row>
    <row r="2870" spans="3:9" x14ac:dyDescent="0.25">
      <c r="C2870" s="11"/>
      <c r="E2870" s="12"/>
      <c r="F2870" s="12"/>
      <c r="G2870" s="9"/>
      <c r="H2870" s="5"/>
      <c r="I2870" s="5"/>
    </row>
    <row r="2871" spans="3:9" x14ac:dyDescent="0.25">
      <c r="C2871" s="11"/>
      <c r="E2871" s="12"/>
      <c r="F2871" s="12"/>
      <c r="G2871" s="9"/>
      <c r="H2871" s="5"/>
      <c r="I2871" s="5"/>
    </row>
    <row r="2872" spans="3:9" x14ac:dyDescent="0.25">
      <c r="C2872" s="11"/>
      <c r="E2872" s="12"/>
      <c r="F2872" s="12"/>
      <c r="G2872" s="9"/>
      <c r="H2872" s="5"/>
      <c r="I2872" s="5"/>
    </row>
    <row r="2873" spans="3:9" x14ac:dyDescent="0.25">
      <c r="C2873" s="11"/>
      <c r="E2873" s="12"/>
      <c r="F2873" s="12"/>
      <c r="G2873" s="9"/>
      <c r="H2873" s="5"/>
      <c r="I2873" s="5"/>
    </row>
    <row r="2874" spans="3:9" x14ac:dyDescent="0.25">
      <c r="C2874" s="11"/>
      <c r="E2874" s="12"/>
      <c r="F2874" s="12"/>
      <c r="G2874" s="9"/>
      <c r="H2874" s="5"/>
      <c r="I2874" s="5"/>
    </row>
    <row r="2875" spans="3:9" x14ac:dyDescent="0.25">
      <c r="C2875" s="11"/>
      <c r="E2875" s="12"/>
      <c r="F2875" s="12"/>
      <c r="G2875" s="9"/>
      <c r="H2875" s="5"/>
      <c r="I2875" s="5"/>
    </row>
    <row r="2876" spans="3:9" x14ac:dyDescent="0.25">
      <c r="C2876" s="11"/>
      <c r="E2876" s="12"/>
      <c r="F2876" s="12"/>
      <c r="G2876" s="9"/>
      <c r="H2876" s="5"/>
      <c r="I2876" s="5"/>
    </row>
    <row r="2877" spans="3:9" x14ac:dyDescent="0.25">
      <c r="C2877" s="11"/>
      <c r="E2877" s="12"/>
      <c r="F2877" s="12"/>
      <c r="G2877" s="9"/>
      <c r="H2877" s="5"/>
      <c r="I2877" s="5"/>
    </row>
    <row r="2878" spans="3:9" x14ac:dyDescent="0.25">
      <c r="C2878" s="11"/>
      <c r="E2878" s="12"/>
      <c r="F2878" s="12"/>
      <c r="G2878" s="9"/>
      <c r="H2878" s="5"/>
      <c r="I2878" s="5"/>
    </row>
    <row r="2879" spans="3:9" x14ac:dyDescent="0.25">
      <c r="C2879" s="11"/>
      <c r="E2879" s="12"/>
      <c r="F2879" s="12"/>
      <c r="G2879" s="9"/>
      <c r="H2879" s="5"/>
      <c r="I2879" s="5"/>
    </row>
    <row r="2880" spans="3:9" x14ac:dyDescent="0.25">
      <c r="C2880" s="11"/>
      <c r="E2880" s="12"/>
      <c r="F2880" s="12"/>
      <c r="G2880" s="9"/>
      <c r="H2880" s="5"/>
      <c r="I2880" s="5"/>
    </row>
    <row r="2881" spans="3:9" x14ac:dyDescent="0.25">
      <c r="C2881" s="11"/>
      <c r="E2881" s="12"/>
      <c r="F2881" s="12"/>
      <c r="G2881" s="9"/>
      <c r="H2881" s="5"/>
      <c r="I2881" s="5"/>
    </row>
    <row r="2882" spans="3:9" x14ac:dyDescent="0.25">
      <c r="C2882" s="11"/>
      <c r="E2882" s="12"/>
      <c r="F2882" s="12"/>
      <c r="G2882" s="9"/>
      <c r="H2882" s="5"/>
      <c r="I2882" s="5"/>
    </row>
    <row r="2883" spans="3:9" x14ac:dyDescent="0.25">
      <c r="C2883" s="11"/>
      <c r="E2883" s="12"/>
      <c r="F2883" s="12"/>
      <c r="G2883" s="9"/>
      <c r="H2883" s="5"/>
      <c r="I2883" s="5"/>
    </row>
    <row r="2884" spans="3:9" x14ac:dyDescent="0.25">
      <c r="C2884" s="11"/>
      <c r="E2884" s="12"/>
      <c r="F2884" s="12"/>
      <c r="G2884" s="9"/>
      <c r="H2884" s="5"/>
      <c r="I2884" s="5"/>
    </row>
    <row r="2885" spans="3:9" x14ac:dyDescent="0.25">
      <c r="C2885" s="11"/>
      <c r="E2885" s="12"/>
      <c r="F2885" s="12"/>
      <c r="G2885" s="9"/>
      <c r="H2885" s="5"/>
      <c r="I2885" s="5"/>
    </row>
    <row r="2886" spans="3:9" x14ac:dyDescent="0.25">
      <c r="C2886" s="11"/>
      <c r="E2886" s="12"/>
      <c r="F2886" s="12"/>
      <c r="G2886" s="9"/>
      <c r="H2886" s="5"/>
      <c r="I2886" s="5"/>
    </row>
    <row r="2887" spans="3:9" x14ac:dyDescent="0.25">
      <c r="C2887" s="11"/>
      <c r="E2887" s="12"/>
      <c r="F2887" s="12"/>
      <c r="G2887" s="9"/>
      <c r="H2887" s="5"/>
      <c r="I2887" s="5"/>
    </row>
    <row r="2888" spans="3:9" x14ac:dyDescent="0.25">
      <c r="C2888" s="11"/>
      <c r="E2888" s="12"/>
      <c r="F2888" s="12"/>
      <c r="G2888" s="9"/>
      <c r="H2888" s="5"/>
      <c r="I2888" s="5"/>
    </row>
    <row r="2889" spans="3:9" x14ac:dyDescent="0.25">
      <c r="C2889" s="11"/>
      <c r="E2889" s="12"/>
      <c r="F2889" s="12"/>
      <c r="G2889" s="9"/>
      <c r="H2889" s="5"/>
      <c r="I2889" s="5"/>
    </row>
    <row r="2890" spans="3:9" x14ac:dyDescent="0.25">
      <c r="C2890" s="11"/>
      <c r="E2890" s="12"/>
      <c r="F2890" s="12"/>
      <c r="G2890" s="9"/>
      <c r="H2890" s="5"/>
      <c r="I2890" s="5"/>
    </row>
    <row r="2891" spans="3:9" x14ac:dyDescent="0.25">
      <c r="C2891" s="11"/>
      <c r="E2891" s="12"/>
      <c r="F2891" s="12"/>
      <c r="G2891" s="9"/>
      <c r="H2891" s="5"/>
      <c r="I2891" s="5"/>
    </row>
    <row r="2892" spans="3:9" x14ac:dyDescent="0.25">
      <c r="C2892" s="11"/>
      <c r="E2892" s="12"/>
      <c r="F2892" s="12"/>
      <c r="G2892" s="9"/>
      <c r="H2892" s="5"/>
      <c r="I2892" s="5"/>
    </row>
    <row r="2893" spans="3:9" x14ac:dyDescent="0.25">
      <c r="C2893" s="11"/>
      <c r="E2893" s="12"/>
      <c r="F2893" s="12"/>
      <c r="G2893" s="9"/>
      <c r="H2893" s="5"/>
      <c r="I2893" s="5"/>
    </row>
    <row r="2894" spans="3:9" x14ac:dyDescent="0.25">
      <c r="C2894" s="11"/>
      <c r="E2894" s="12"/>
      <c r="F2894" s="12"/>
      <c r="G2894" s="9"/>
      <c r="H2894" s="5"/>
      <c r="I2894" s="5"/>
    </row>
    <row r="2895" spans="3:9" x14ac:dyDescent="0.25">
      <c r="C2895" s="11"/>
      <c r="E2895" s="12"/>
      <c r="F2895" s="12"/>
      <c r="G2895" s="9"/>
      <c r="H2895" s="5"/>
      <c r="I2895" s="5"/>
    </row>
    <row r="2896" spans="3:9" x14ac:dyDescent="0.25">
      <c r="C2896" s="11"/>
      <c r="E2896" s="12"/>
      <c r="F2896" s="12"/>
      <c r="G2896" s="9"/>
      <c r="H2896" s="5"/>
      <c r="I2896" s="5"/>
    </row>
    <row r="2897" spans="3:9" x14ac:dyDescent="0.25">
      <c r="C2897" s="11"/>
      <c r="E2897" s="12"/>
      <c r="F2897" s="12"/>
      <c r="G2897" s="9"/>
      <c r="H2897" s="5"/>
      <c r="I2897" s="5"/>
    </row>
    <row r="2898" spans="3:9" x14ac:dyDescent="0.25">
      <c r="C2898" s="11"/>
      <c r="E2898" s="12"/>
      <c r="F2898" s="12"/>
      <c r="G2898" s="9"/>
      <c r="H2898" s="5"/>
      <c r="I2898" s="5"/>
    </row>
    <row r="2899" spans="3:9" x14ac:dyDescent="0.25">
      <c r="C2899" s="11"/>
      <c r="E2899" s="12"/>
      <c r="F2899" s="12"/>
      <c r="G2899" s="9"/>
      <c r="H2899" s="5"/>
      <c r="I2899" s="5"/>
    </row>
    <row r="2900" spans="3:9" x14ac:dyDescent="0.25">
      <c r="C2900" s="11"/>
      <c r="E2900" s="12"/>
      <c r="F2900" s="12"/>
      <c r="G2900" s="9"/>
      <c r="H2900" s="5"/>
      <c r="I2900" s="5"/>
    </row>
    <row r="2901" spans="3:9" x14ac:dyDescent="0.25">
      <c r="C2901" s="11"/>
      <c r="E2901" s="12"/>
      <c r="F2901" s="12"/>
      <c r="G2901" s="9"/>
      <c r="H2901" s="5"/>
      <c r="I2901" s="5"/>
    </row>
    <row r="2902" spans="3:9" x14ac:dyDescent="0.25">
      <c r="C2902" s="11"/>
      <c r="E2902" s="12"/>
      <c r="F2902" s="12"/>
      <c r="G2902" s="9"/>
      <c r="H2902" s="5"/>
      <c r="I2902" s="5"/>
    </row>
    <row r="2903" spans="3:9" x14ac:dyDescent="0.25">
      <c r="C2903" s="11"/>
      <c r="E2903" s="12"/>
      <c r="F2903" s="12"/>
      <c r="G2903" s="9"/>
      <c r="H2903" s="5"/>
      <c r="I2903" s="5"/>
    </row>
    <row r="2904" spans="3:9" x14ac:dyDescent="0.25">
      <c r="C2904" s="11"/>
      <c r="E2904" s="12"/>
      <c r="F2904" s="12"/>
      <c r="G2904" s="9"/>
      <c r="H2904" s="5"/>
      <c r="I2904" s="5"/>
    </row>
    <row r="2905" spans="3:9" x14ac:dyDescent="0.25">
      <c r="C2905" s="11"/>
      <c r="E2905" s="12"/>
      <c r="F2905" s="12"/>
      <c r="G2905" s="9"/>
      <c r="H2905" s="5"/>
      <c r="I2905" s="5"/>
    </row>
    <row r="2906" spans="3:9" x14ac:dyDescent="0.25">
      <c r="C2906" s="11"/>
      <c r="E2906" s="12"/>
      <c r="F2906" s="12"/>
      <c r="G2906" s="9"/>
      <c r="H2906" s="5"/>
      <c r="I2906" s="5"/>
    </row>
    <row r="2907" spans="3:9" x14ac:dyDescent="0.25">
      <c r="C2907" s="11"/>
      <c r="E2907" s="12"/>
      <c r="F2907" s="12"/>
      <c r="G2907" s="9"/>
      <c r="H2907" s="5"/>
      <c r="I2907" s="5"/>
    </row>
    <row r="2908" spans="3:9" x14ac:dyDescent="0.25">
      <c r="C2908" s="11"/>
      <c r="E2908" s="12"/>
      <c r="F2908" s="12"/>
      <c r="G2908" s="9"/>
      <c r="H2908" s="5"/>
      <c r="I2908" s="5"/>
    </row>
    <row r="2909" spans="3:9" x14ac:dyDescent="0.25">
      <c r="C2909" s="11"/>
      <c r="E2909" s="12"/>
      <c r="F2909" s="12"/>
      <c r="G2909" s="9"/>
      <c r="H2909" s="5"/>
      <c r="I2909" s="5"/>
    </row>
    <row r="2910" spans="3:9" x14ac:dyDescent="0.25">
      <c r="C2910" s="11"/>
      <c r="E2910" s="12"/>
      <c r="F2910" s="12"/>
      <c r="G2910" s="9"/>
      <c r="H2910" s="5"/>
      <c r="I2910" s="5"/>
    </row>
    <row r="2911" spans="3:9" x14ac:dyDescent="0.25">
      <c r="C2911" s="11"/>
      <c r="E2911" s="12"/>
      <c r="F2911" s="12"/>
      <c r="G2911" s="9"/>
      <c r="H2911" s="5"/>
      <c r="I2911" s="5"/>
    </row>
    <row r="2912" spans="3:9" x14ac:dyDescent="0.25">
      <c r="C2912" s="11"/>
      <c r="E2912" s="12"/>
      <c r="F2912" s="12"/>
      <c r="G2912" s="9"/>
      <c r="H2912" s="5"/>
      <c r="I2912" s="5"/>
    </row>
    <row r="2913" spans="3:9" x14ac:dyDescent="0.25">
      <c r="C2913" s="11"/>
      <c r="E2913" s="12"/>
      <c r="F2913" s="12"/>
      <c r="G2913" s="9"/>
      <c r="H2913" s="5"/>
      <c r="I2913" s="5"/>
    </row>
    <row r="2914" spans="3:9" x14ac:dyDescent="0.25">
      <c r="C2914" s="11"/>
      <c r="E2914" s="12"/>
      <c r="F2914" s="12"/>
      <c r="G2914" s="9"/>
      <c r="H2914" s="5"/>
      <c r="I2914" s="5"/>
    </row>
    <row r="2915" spans="3:9" x14ac:dyDescent="0.25">
      <c r="C2915" s="11"/>
      <c r="E2915" s="12"/>
      <c r="F2915" s="12"/>
      <c r="G2915" s="9"/>
      <c r="H2915" s="5"/>
      <c r="I2915" s="5"/>
    </row>
    <row r="2916" spans="3:9" x14ac:dyDescent="0.25">
      <c r="C2916" s="11"/>
      <c r="E2916" s="12"/>
      <c r="F2916" s="12"/>
      <c r="G2916" s="9"/>
      <c r="H2916" s="5"/>
      <c r="I2916" s="5"/>
    </row>
    <row r="2917" spans="3:9" x14ac:dyDescent="0.25">
      <c r="C2917" s="11"/>
      <c r="E2917" s="12"/>
      <c r="F2917" s="12"/>
      <c r="G2917" s="9"/>
      <c r="H2917" s="5"/>
      <c r="I2917" s="5"/>
    </row>
    <row r="2918" spans="3:9" x14ac:dyDescent="0.25">
      <c r="C2918" s="11"/>
      <c r="E2918" s="12"/>
      <c r="F2918" s="12"/>
      <c r="G2918" s="9"/>
      <c r="H2918" s="5"/>
      <c r="I2918" s="5"/>
    </row>
    <row r="2919" spans="3:9" x14ac:dyDescent="0.25">
      <c r="C2919" s="11"/>
      <c r="E2919" s="12"/>
      <c r="F2919" s="12"/>
      <c r="G2919" s="9"/>
      <c r="H2919" s="5"/>
      <c r="I2919" s="5"/>
    </row>
    <row r="2920" spans="3:9" x14ac:dyDescent="0.25">
      <c r="C2920" s="11"/>
      <c r="E2920" s="12"/>
      <c r="F2920" s="12"/>
      <c r="G2920" s="9"/>
      <c r="H2920" s="5"/>
      <c r="I2920" s="5"/>
    </row>
    <row r="2921" spans="3:9" x14ac:dyDescent="0.25">
      <c r="C2921" s="11"/>
      <c r="E2921" s="12"/>
      <c r="F2921" s="12"/>
      <c r="G2921" s="9"/>
      <c r="H2921" s="5"/>
      <c r="I2921" s="5"/>
    </row>
    <row r="2922" spans="3:9" x14ac:dyDescent="0.25">
      <c r="C2922" s="11"/>
      <c r="E2922" s="12"/>
      <c r="F2922" s="12"/>
      <c r="G2922" s="9"/>
      <c r="H2922" s="5"/>
      <c r="I2922" s="5"/>
    </row>
    <row r="2923" spans="3:9" x14ac:dyDescent="0.25">
      <c r="C2923" s="11"/>
      <c r="E2923" s="12"/>
      <c r="F2923" s="12"/>
      <c r="G2923" s="9"/>
      <c r="H2923" s="5"/>
      <c r="I2923" s="5"/>
    </row>
    <row r="2924" spans="3:9" x14ac:dyDescent="0.25">
      <c r="C2924" s="11"/>
      <c r="E2924" s="12"/>
      <c r="F2924" s="12"/>
      <c r="G2924" s="9"/>
      <c r="H2924" s="5"/>
      <c r="I2924" s="5"/>
    </row>
    <row r="2925" spans="3:9" x14ac:dyDescent="0.25">
      <c r="C2925" s="11"/>
      <c r="E2925" s="12"/>
      <c r="F2925" s="12"/>
      <c r="G2925" s="9"/>
      <c r="H2925" s="5"/>
      <c r="I2925" s="5"/>
    </row>
    <row r="2926" spans="3:9" x14ac:dyDescent="0.25">
      <c r="C2926" s="11"/>
      <c r="E2926" s="12"/>
      <c r="F2926" s="12"/>
      <c r="G2926" s="9"/>
      <c r="H2926" s="5"/>
      <c r="I2926" s="5"/>
    </row>
    <row r="2927" spans="3:9" x14ac:dyDescent="0.25">
      <c r="C2927" s="11"/>
      <c r="E2927" s="12"/>
      <c r="F2927" s="12"/>
      <c r="G2927" s="9"/>
      <c r="H2927" s="5"/>
      <c r="I2927" s="5"/>
    </row>
    <row r="2928" spans="3:9" x14ac:dyDescent="0.25">
      <c r="C2928" s="11"/>
      <c r="E2928" s="12"/>
      <c r="F2928" s="12"/>
      <c r="G2928" s="9"/>
      <c r="H2928" s="5"/>
      <c r="I2928" s="5"/>
    </row>
    <row r="2929" spans="3:9" x14ac:dyDescent="0.25">
      <c r="C2929" s="11"/>
      <c r="E2929" s="12"/>
      <c r="F2929" s="12"/>
      <c r="G2929" s="9"/>
      <c r="H2929" s="5"/>
      <c r="I2929" s="5"/>
    </row>
    <row r="2930" spans="3:9" x14ac:dyDescent="0.25">
      <c r="C2930" s="11"/>
      <c r="E2930" s="12"/>
      <c r="F2930" s="12"/>
      <c r="G2930" s="9"/>
      <c r="H2930" s="5"/>
      <c r="I2930" s="5"/>
    </row>
    <row r="2931" spans="3:9" x14ac:dyDescent="0.25">
      <c r="C2931" s="11"/>
      <c r="E2931" s="12"/>
      <c r="F2931" s="12"/>
      <c r="G2931" s="9"/>
      <c r="H2931" s="5"/>
      <c r="I2931" s="5"/>
    </row>
    <row r="2932" spans="3:9" x14ac:dyDescent="0.25">
      <c r="C2932" s="11"/>
      <c r="E2932" s="12"/>
      <c r="F2932" s="12"/>
      <c r="G2932" s="9"/>
      <c r="H2932" s="5"/>
      <c r="I2932" s="5"/>
    </row>
    <row r="2933" spans="3:9" x14ac:dyDescent="0.25">
      <c r="C2933" s="11"/>
      <c r="E2933" s="12"/>
      <c r="F2933" s="12"/>
      <c r="G2933" s="9"/>
      <c r="H2933" s="5"/>
      <c r="I2933" s="5"/>
    </row>
    <row r="2934" spans="3:9" x14ac:dyDescent="0.25">
      <c r="C2934" s="11"/>
      <c r="E2934" s="12"/>
      <c r="F2934" s="12"/>
      <c r="G2934" s="9"/>
      <c r="H2934" s="5"/>
      <c r="I2934" s="5"/>
    </row>
    <row r="2935" spans="3:9" x14ac:dyDescent="0.25">
      <c r="C2935" s="11"/>
      <c r="E2935" s="12"/>
      <c r="F2935" s="12"/>
      <c r="G2935" s="9"/>
      <c r="H2935" s="5"/>
      <c r="I2935" s="5"/>
    </row>
    <row r="2936" spans="3:9" x14ac:dyDescent="0.25">
      <c r="C2936" s="11"/>
      <c r="E2936" s="12"/>
      <c r="F2936" s="12"/>
      <c r="G2936" s="9"/>
      <c r="H2936" s="5"/>
      <c r="I2936" s="5"/>
    </row>
    <row r="2937" spans="3:9" x14ac:dyDescent="0.25">
      <c r="C2937" s="11"/>
      <c r="E2937" s="12"/>
      <c r="F2937" s="12"/>
      <c r="G2937" s="9"/>
      <c r="H2937" s="5"/>
      <c r="I2937" s="5"/>
    </row>
    <row r="2938" spans="3:9" x14ac:dyDescent="0.25">
      <c r="C2938" s="11"/>
      <c r="E2938" s="12"/>
      <c r="F2938" s="12"/>
      <c r="G2938" s="9"/>
      <c r="H2938" s="5"/>
      <c r="I2938" s="5"/>
    </row>
    <row r="2939" spans="3:9" x14ac:dyDescent="0.25">
      <c r="C2939" s="11"/>
      <c r="E2939" s="12"/>
      <c r="F2939" s="12"/>
      <c r="G2939" s="9"/>
      <c r="H2939" s="5"/>
      <c r="I2939" s="5"/>
    </row>
    <row r="2940" spans="3:9" x14ac:dyDescent="0.25">
      <c r="C2940" s="11"/>
      <c r="E2940" s="12"/>
      <c r="F2940" s="12"/>
      <c r="G2940" s="9"/>
      <c r="H2940" s="5"/>
      <c r="I2940" s="5"/>
    </row>
    <row r="2941" spans="3:9" x14ac:dyDescent="0.25">
      <c r="C2941" s="11"/>
      <c r="E2941" s="12"/>
      <c r="F2941" s="12"/>
      <c r="G2941" s="9"/>
      <c r="H2941" s="5"/>
      <c r="I2941" s="5"/>
    </row>
    <row r="2942" spans="3:9" x14ac:dyDescent="0.25">
      <c r="C2942" s="11"/>
      <c r="E2942" s="12"/>
      <c r="F2942" s="12"/>
      <c r="G2942" s="9"/>
      <c r="H2942" s="5"/>
      <c r="I2942" s="5"/>
    </row>
    <row r="2943" spans="3:9" x14ac:dyDescent="0.25">
      <c r="C2943" s="11"/>
      <c r="E2943" s="12"/>
      <c r="F2943" s="12"/>
      <c r="G2943" s="9"/>
      <c r="H2943" s="5"/>
      <c r="I2943" s="5"/>
    </row>
    <row r="2944" spans="3:9" x14ac:dyDescent="0.25">
      <c r="C2944" s="11"/>
      <c r="E2944" s="12"/>
      <c r="F2944" s="12"/>
      <c r="G2944" s="9"/>
      <c r="H2944" s="5"/>
      <c r="I2944" s="5"/>
    </row>
    <row r="2945" spans="3:9" x14ac:dyDescent="0.25">
      <c r="C2945" s="11"/>
      <c r="E2945" s="12"/>
      <c r="F2945" s="12"/>
      <c r="G2945" s="9"/>
      <c r="H2945" s="5"/>
      <c r="I2945" s="5"/>
    </row>
    <row r="2946" spans="3:9" x14ac:dyDescent="0.25">
      <c r="C2946" s="11"/>
      <c r="E2946" s="12"/>
      <c r="F2946" s="12"/>
      <c r="G2946" s="9"/>
      <c r="H2946" s="5"/>
      <c r="I2946" s="5"/>
    </row>
    <row r="2947" spans="3:9" x14ac:dyDescent="0.25">
      <c r="C2947" s="11"/>
      <c r="E2947" s="12"/>
      <c r="F2947" s="12"/>
      <c r="G2947" s="9"/>
      <c r="H2947" s="5"/>
      <c r="I2947" s="5"/>
    </row>
    <row r="2948" spans="3:9" x14ac:dyDescent="0.25">
      <c r="C2948" s="11"/>
      <c r="E2948" s="12"/>
      <c r="F2948" s="12"/>
      <c r="G2948" s="9"/>
      <c r="H2948" s="5"/>
      <c r="I2948" s="5"/>
    </row>
    <row r="2949" spans="3:9" x14ac:dyDescent="0.25">
      <c r="C2949" s="11"/>
      <c r="E2949" s="12"/>
      <c r="F2949" s="12"/>
      <c r="G2949" s="9"/>
      <c r="H2949" s="5"/>
      <c r="I2949" s="5"/>
    </row>
    <row r="2950" spans="3:9" x14ac:dyDescent="0.25">
      <c r="C2950" s="11"/>
      <c r="E2950" s="12"/>
      <c r="F2950" s="12"/>
      <c r="G2950" s="9"/>
      <c r="H2950" s="5"/>
      <c r="I2950" s="5"/>
    </row>
    <row r="2951" spans="3:9" x14ac:dyDescent="0.25">
      <c r="C2951" s="11"/>
      <c r="E2951" s="12"/>
      <c r="F2951" s="12"/>
      <c r="G2951" s="9"/>
      <c r="H2951" s="5"/>
      <c r="I2951" s="5"/>
    </row>
    <row r="2952" spans="3:9" x14ac:dyDescent="0.25">
      <c r="C2952" s="11"/>
      <c r="E2952" s="12"/>
      <c r="F2952" s="12"/>
      <c r="G2952" s="9"/>
      <c r="H2952" s="5"/>
      <c r="I2952" s="5"/>
    </row>
    <row r="2953" spans="3:9" x14ac:dyDescent="0.25">
      <c r="C2953" s="11"/>
      <c r="E2953" s="12"/>
      <c r="F2953" s="12"/>
      <c r="G2953" s="9"/>
      <c r="H2953" s="5"/>
      <c r="I2953" s="5"/>
    </row>
    <row r="2954" spans="3:9" x14ac:dyDescent="0.25">
      <c r="C2954" s="11"/>
      <c r="E2954" s="12"/>
      <c r="F2954" s="12"/>
      <c r="G2954" s="9"/>
      <c r="H2954" s="5"/>
      <c r="I2954" s="5"/>
    </row>
    <row r="2955" spans="3:9" x14ac:dyDescent="0.25">
      <c r="C2955" s="11"/>
      <c r="E2955" s="12"/>
      <c r="F2955" s="12"/>
      <c r="G2955" s="9"/>
      <c r="H2955" s="5"/>
      <c r="I2955" s="5"/>
    </row>
    <row r="2956" spans="3:9" x14ac:dyDescent="0.25">
      <c r="C2956" s="11"/>
      <c r="E2956" s="12"/>
      <c r="F2956" s="12"/>
      <c r="G2956" s="9"/>
      <c r="H2956" s="5"/>
      <c r="I2956" s="5"/>
    </row>
    <row r="2957" spans="3:9" x14ac:dyDescent="0.25">
      <c r="C2957" s="11"/>
      <c r="E2957" s="12"/>
      <c r="F2957" s="12"/>
      <c r="G2957" s="9"/>
      <c r="H2957" s="5"/>
      <c r="I2957" s="5"/>
    </row>
    <row r="2958" spans="3:9" x14ac:dyDescent="0.25">
      <c r="C2958" s="11"/>
      <c r="E2958" s="12"/>
      <c r="F2958" s="12"/>
      <c r="G2958" s="9"/>
      <c r="H2958" s="5"/>
      <c r="I2958" s="5"/>
    </row>
    <row r="2959" spans="3:9" x14ac:dyDescent="0.25">
      <c r="C2959" s="11"/>
      <c r="E2959" s="12"/>
      <c r="F2959" s="12"/>
      <c r="G2959" s="9"/>
      <c r="H2959" s="5"/>
      <c r="I2959" s="5"/>
    </row>
    <row r="2960" spans="3:9" x14ac:dyDescent="0.25">
      <c r="C2960" s="11"/>
      <c r="E2960" s="12"/>
      <c r="F2960" s="12"/>
      <c r="G2960" s="9"/>
      <c r="H2960" s="5"/>
      <c r="I2960" s="5"/>
    </row>
    <row r="2961" spans="3:9" x14ac:dyDescent="0.25">
      <c r="C2961" s="11"/>
      <c r="E2961" s="12"/>
      <c r="F2961" s="12"/>
      <c r="G2961" s="9"/>
      <c r="H2961" s="5"/>
      <c r="I2961" s="5"/>
    </row>
    <row r="2962" spans="3:9" x14ac:dyDescent="0.25">
      <c r="C2962" s="11"/>
      <c r="E2962" s="12"/>
      <c r="F2962" s="12"/>
      <c r="G2962" s="9"/>
      <c r="H2962" s="5"/>
      <c r="I2962" s="5"/>
    </row>
    <row r="2963" spans="3:9" x14ac:dyDescent="0.25">
      <c r="C2963" s="11"/>
      <c r="E2963" s="12"/>
      <c r="F2963" s="12"/>
      <c r="G2963" s="9"/>
      <c r="H2963" s="5"/>
      <c r="I2963" s="5"/>
    </row>
    <row r="2964" spans="3:9" x14ac:dyDescent="0.25">
      <c r="C2964" s="11"/>
      <c r="E2964" s="12"/>
      <c r="F2964" s="12"/>
      <c r="G2964" s="9"/>
      <c r="H2964" s="5"/>
      <c r="I2964" s="5"/>
    </row>
    <row r="2965" spans="3:9" x14ac:dyDescent="0.25">
      <c r="C2965" s="11"/>
      <c r="E2965" s="12"/>
      <c r="F2965" s="12"/>
      <c r="G2965" s="9"/>
      <c r="H2965" s="5"/>
      <c r="I2965" s="5"/>
    </row>
    <row r="2966" spans="3:9" x14ac:dyDescent="0.25">
      <c r="C2966" s="11"/>
      <c r="E2966" s="12"/>
      <c r="F2966" s="12"/>
      <c r="G2966" s="9"/>
      <c r="H2966" s="5"/>
      <c r="I2966" s="5"/>
    </row>
    <row r="2967" spans="3:9" x14ac:dyDescent="0.25">
      <c r="C2967" s="11"/>
      <c r="E2967" s="12"/>
      <c r="F2967" s="12"/>
      <c r="G2967" s="9"/>
      <c r="H2967" s="5"/>
      <c r="I2967" s="5"/>
    </row>
    <row r="2968" spans="3:9" x14ac:dyDescent="0.25">
      <c r="C2968" s="11"/>
      <c r="E2968" s="12"/>
      <c r="F2968" s="12"/>
      <c r="G2968" s="9"/>
      <c r="H2968" s="5"/>
      <c r="I2968" s="5"/>
    </row>
    <row r="2969" spans="3:9" x14ac:dyDescent="0.25">
      <c r="C2969" s="11"/>
      <c r="E2969" s="12"/>
      <c r="F2969" s="12"/>
      <c r="G2969" s="9"/>
      <c r="H2969" s="5"/>
      <c r="I2969" s="5"/>
    </row>
    <row r="2970" spans="3:9" x14ac:dyDescent="0.25">
      <c r="C2970" s="11"/>
      <c r="E2970" s="12"/>
      <c r="F2970" s="12"/>
      <c r="G2970" s="9"/>
      <c r="H2970" s="5"/>
      <c r="I2970" s="5"/>
    </row>
    <row r="2971" spans="3:9" x14ac:dyDescent="0.25">
      <c r="C2971" s="11"/>
      <c r="E2971" s="12"/>
      <c r="F2971" s="12"/>
      <c r="G2971" s="9"/>
      <c r="H2971" s="5"/>
      <c r="I2971" s="5"/>
    </row>
    <row r="2972" spans="3:9" x14ac:dyDescent="0.25">
      <c r="C2972" s="11"/>
      <c r="E2972" s="12"/>
      <c r="F2972" s="12"/>
      <c r="G2972" s="9"/>
      <c r="H2972" s="5"/>
      <c r="I2972" s="5"/>
    </row>
    <row r="2973" spans="3:9" x14ac:dyDescent="0.25">
      <c r="C2973" s="11"/>
      <c r="E2973" s="12"/>
      <c r="F2973" s="12"/>
      <c r="G2973" s="9"/>
      <c r="H2973" s="5"/>
      <c r="I2973" s="5"/>
    </row>
    <row r="2974" spans="3:9" x14ac:dyDescent="0.25">
      <c r="C2974" s="11"/>
      <c r="E2974" s="12"/>
      <c r="F2974" s="12"/>
      <c r="G2974" s="9"/>
      <c r="H2974" s="5"/>
      <c r="I2974" s="5"/>
    </row>
    <row r="2975" spans="3:9" x14ac:dyDescent="0.25">
      <c r="C2975" s="11"/>
      <c r="E2975" s="12"/>
      <c r="F2975" s="12"/>
      <c r="G2975" s="9"/>
      <c r="H2975" s="5"/>
      <c r="I2975" s="5"/>
    </row>
    <row r="2976" spans="3:9" x14ac:dyDescent="0.25">
      <c r="C2976" s="11"/>
      <c r="E2976" s="12"/>
      <c r="F2976" s="12"/>
      <c r="G2976" s="9"/>
      <c r="H2976" s="5"/>
      <c r="I2976" s="5"/>
    </row>
    <row r="2977" spans="3:9" x14ac:dyDescent="0.25">
      <c r="C2977" s="11"/>
      <c r="E2977" s="12"/>
      <c r="F2977" s="12"/>
      <c r="G2977" s="9"/>
      <c r="H2977" s="5"/>
      <c r="I2977" s="5"/>
    </row>
    <row r="2978" spans="3:9" x14ac:dyDescent="0.25">
      <c r="C2978" s="11"/>
      <c r="E2978" s="12"/>
      <c r="F2978" s="12"/>
      <c r="G2978" s="9"/>
      <c r="H2978" s="5"/>
      <c r="I2978" s="5"/>
    </row>
    <row r="2979" spans="3:9" x14ac:dyDescent="0.25">
      <c r="C2979" s="11"/>
      <c r="E2979" s="12"/>
      <c r="F2979" s="12"/>
      <c r="G2979" s="9"/>
      <c r="H2979" s="5"/>
      <c r="I2979" s="5"/>
    </row>
    <row r="2980" spans="3:9" x14ac:dyDescent="0.25">
      <c r="C2980" s="11"/>
      <c r="E2980" s="12"/>
      <c r="F2980" s="12"/>
      <c r="G2980" s="9"/>
      <c r="H2980" s="5"/>
      <c r="I2980" s="5"/>
    </row>
    <row r="2981" spans="3:9" x14ac:dyDescent="0.25">
      <c r="C2981" s="11"/>
      <c r="E2981" s="12"/>
      <c r="F2981" s="12"/>
      <c r="G2981" s="9"/>
      <c r="H2981" s="5"/>
      <c r="I2981" s="5"/>
    </row>
    <row r="2982" spans="3:9" x14ac:dyDescent="0.25">
      <c r="C2982" s="11"/>
      <c r="E2982" s="12"/>
      <c r="F2982" s="12"/>
      <c r="G2982" s="9"/>
      <c r="H2982" s="5"/>
      <c r="I2982" s="5"/>
    </row>
    <row r="2983" spans="3:9" x14ac:dyDescent="0.25">
      <c r="C2983" s="11"/>
      <c r="E2983" s="12"/>
      <c r="F2983" s="12"/>
      <c r="G2983" s="9"/>
      <c r="H2983" s="5"/>
      <c r="I2983" s="5"/>
    </row>
    <row r="2984" spans="3:9" x14ac:dyDescent="0.25">
      <c r="C2984" s="11"/>
      <c r="E2984" s="12"/>
      <c r="F2984" s="12"/>
      <c r="G2984" s="9"/>
      <c r="H2984" s="5"/>
      <c r="I2984" s="5"/>
    </row>
    <row r="2985" spans="3:9" x14ac:dyDescent="0.25">
      <c r="C2985" s="11"/>
      <c r="E2985" s="12"/>
      <c r="F2985" s="12"/>
      <c r="G2985" s="9"/>
      <c r="H2985" s="5"/>
      <c r="I2985" s="5"/>
    </row>
    <row r="2986" spans="3:9" x14ac:dyDescent="0.25">
      <c r="C2986" s="11"/>
      <c r="E2986" s="12"/>
      <c r="F2986" s="12"/>
      <c r="G2986" s="9"/>
      <c r="H2986" s="5"/>
      <c r="I2986" s="5"/>
    </row>
    <row r="2987" spans="3:9" x14ac:dyDescent="0.25">
      <c r="C2987" s="11"/>
      <c r="E2987" s="12"/>
      <c r="F2987" s="12"/>
      <c r="G2987" s="9"/>
      <c r="H2987" s="5"/>
      <c r="I2987" s="5"/>
    </row>
    <row r="2988" spans="3:9" x14ac:dyDescent="0.25">
      <c r="C2988" s="11"/>
      <c r="E2988" s="12"/>
      <c r="F2988" s="12"/>
      <c r="G2988" s="9"/>
      <c r="H2988" s="5"/>
      <c r="I2988" s="5"/>
    </row>
    <row r="2989" spans="3:9" x14ac:dyDescent="0.25">
      <c r="C2989" s="11"/>
      <c r="E2989" s="12"/>
      <c r="F2989" s="12"/>
      <c r="G2989" s="9"/>
      <c r="H2989" s="5"/>
      <c r="I2989" s="5"/>
    </row>
    <row r="2990" spans="3:9" x14ac:dyDescent="0.25">
      <c r="C2990" s="11"/>
      <c r="E2990" s="12"/>
      <c r="F2990" s="12"/>
      <c r="G2990" s="9"/>
      <c r="H2990" s="5"/>
      <c r="I2990" s="5"/>
    </row>
    <row r="2991" spans="3:9" x14ac:dyDescent="0.25">
      <c r="C2991" s="11"/>
      <c r="E2991" s="12"/>
      <c r="F2991" s="12"/>
      <c r="G2991" s="9"/>
      <c r="H2991" s="5"/>
      <c r="I2991" s="5"/>
    </row>
    <row r="2992" spans="3:9" x14ac:dyDescent="0.25">
      <c r="C2992" s="11"/>
      <c r="E2992" s="12"/>
      <c r="F2992" s="12"/>
      <c r="G2992" s="9"/>
      <c r="H2992" s="5"/>
      <c r="I2992" s="5"/>
    </row>
    <row r="2993" spans="3:9" x14ac:dyDescent="0.25">
      <c r="C2993" s="11"/>
      <c r="E2993" s="12"/>
      <c r="F2993" s="12"/>
      <c r="G2993" s="9"/>
      <c r="H2993" s="5"/>
      <c r="I2993" s="5"/>
    </row>
    <row r="2994" spans="3:9" x14ac:dyDescent="0.25">
      <c r="C2994" s="11"/>
      <c r="E2994" s="12"/>
      <c r="F2994" s="12"/>
      <c r="G2994" s="9"/>
      <c r="H2994" s="5"/>
      <c r="I2994" s="5"/>
    </row>
    <row r="2995" spans="3:9" x14ac:dyDescent="0.25">
      <c r="C2995" s="11"/>
      <c r="E2995" s="12"/>
      <c r="F2995" s="12"/>
      <c r="G2995" s="9"/>
      <c r="H2995" s="5"/>
      <c r="I2995" s="5"/>
    </row>
    <row r="2996" spans="3:9" x14ac:dyDescent="0.25">
      <c r="C2996" s="11"/>
      <c r="E2996" s="12"/>
      <c r="F2996" s="12"/>
      <c r="G2996" s="9"/>
      <c r="H2996" s="5"/>
      <c r="I2996" s="5"/>
    </row>
    <row r="2997" spans="3:9" x14ac:dyDescent="0.25">
      <c r="C2997" s="11"/>
      <c r="E2997" s="12"/>
      <c r="F2997" s="12"/>
      <c r="G2997" s="9"/>
      <c r="H2997" s="5"/>
      <c r="I2997" s="5"/>
    </row>
    <row r="2998" spans="3:9" x14ac:dyDescent="0.25">
      <c r="C2998" s="11"/>
      <c r="E2998" s="12"/>
      <c r="F2998" s="12"/>
      <c r="G2998" s="9"/>
      <c r="H2998" s="5"/>
      <c r="I2998" s="5"/>
    </row>
    <row r="2999" spans="3:9" x14ac:dyDescent="0.25">
      <c r="C2999" s="11"/>
      <c r="E2999" s="12"/>
      <c r="F2999" s="12"/>
      <c r="G2999" s="9"/>
      <c r="H2999" s="5"/>
      <c r="I2999" s="5"/>
    </row>
    <row r="3000" spans="3:9" x14ac:dyDescent="0.25">
      <c r="C3000" s="11"/>
      <c r="E3000" s="12"/>
      <c r="F3000" s="12"/>
      <c r="G3000" s="9"/>
      <c r="H3000" s="5"/>
      <c r="I3000" s="5"/>
    </row>
  </sheetData>
  <mergeCells count="3">
    <mergeCell ref="I6:J6"/>
    <mergeCell ref="C5:D5"/>
    <mergeCell ref="B2:C2"/>
  </mergeCells>
  <conditionalFormatting sqref="I9:I30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{C17330DC-2F86-408E-B511-80C2B4937EC7}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7330DC-2F86-408E-B511-80C2B4937E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I9:I3000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AE780"/>
  <sheetViews>
    <sheetView topLeftCell="D1" zoomScale="70" zoomScaleNormal="70" workbookViewId="0">
      <selection activeCell="H47" sqref="H47"/>
    </sheetView>
  </sheetViews>
  <sheetFormatPr baseColWidth="10" defaultRowHeight="15" x14ac:dyDescent="0.25"/>
  <cols>
    <col min="2" max="10" width="14.5703125" customWidth="1"/>
    <col min="12" max="14" width="13.85546875" customWidth="1"/>
    <col min="15" max="15" width="17.5703125" customWidth="1"/>
    <col min="16" max="20" width="13.85546875" customWidth="1"/>
    <col min="21" max="21" width="16.7109375" customWidth="1"/>
    <col min="22" max="22" width="3.7109375" customWidth="1"/>
    <col min="24" max="24" width="15.140625" customWidth="1"/>
    <col min="25" max="25" width="12.7109375" bestFit="1" customWidth="1"/>
    <col min="31" max="31" width="13" customWidth="1"/>
  </cols>
  <sheetData>
    <row r="3" spans="1:31" ht="18" x14ac:dyDescent="0.35">
      <c r="O3" s="1" t="s">
        <v>0</v>
      </c>
      <c r="Y3" s="1" t="s">
        <v>1</v>
      </c>
    </row>
    <row r="4" spans="1:31" x14ac:dyDescent="0.25">
      <c r="M4" s="15">
        <v>0.1</v>
      </c>
      <c r="N4" s="15"/>
    </row>
    <row r="5" spans="1:31" s="1" customFormat="1" x14ac:dyDescent="0.25">
      <c r="M5" s="8">
        <f>M4*3600</f>
        <v>360</v>
      </c>
      <c r="O5" s="1" t="s">
        <v>2</v>
      </c>
      <c r="P5" s="3">
        <v>5.9721900000000004E+24</v>
      </c>
      <c r="Q5" s="1" t="s">
        <v>12</v>
      </c>
      <c r="R5" s="14">
        <v>6.6738400000000001E-11</v>
      </c>
      <c r="S5" s="14"/>
    </row>
    <row r="6" spans="1:31" s="1" customFormat="1" x14ac:dyDescent="0.25"/>
    <row r="7" spans="1:31" s="4" customFormat="1" ht="18" x14ac:dyDescent="0.35">
      <c r="A7" s="4" t="s">
        <v>19</v>
      </c>
      <c r="B7" s="4" t="s">
        <v>3</v>
      </c>
      <c r="C7" s="4" t="s">
        <v>8</v>
      </c>
      <c r="L7" s="4" t="s">
        <v>19</v>
      </c>
      <c r="M7" s="4" t="s">
        <v>9</v>
      </c>
      <c r="N7" s="4" t="s">
        <v>10</v>
      </c>
      <c r="O7" s="4" t="s">
        <v>3</v>
      </c>
      <c r="P7" s="4" t="s">
        <v>4</v>
      </c>
      <c r="Q7" s="4" t="s">
        <v>5</v>
      </c>
      <c r="R7" s="4" t="s">
        <v>6</v>
      </c>
      <c r="S7" s="4" t="s">
        <v>7</v>
      </c>
      <c r="T7" s="4" t="s">
        <v>13</v>
      </c>
      <c r="U7" s="4" t="s">
        <v>15</v>
      </c>
      <c r="W7" s="4" t="s">
        <v>9</v>
      </c>
      <c r="X7" s="4" t="s">
        <v>11</v>
      </c>
      <c r="Y7" s="4" t="s">
        <v>8</v>
      </c>
      <c r="Z7" s="4" t="s">
        <v>4</v>
      </c>
      <c r="AA7" s="4" t="s">
        <v>5</v>
      </c>
      <c r="AB7" s="4" t="s">
        <v>6</v>
      </c>
      <c r="AC7" s="4" t="s">
        <v>7</v>
      </c>
      <c r="AD7" s="4" t="s">
        <v>14</v>
      </c>
      <c r="AE7" s="4" t="s">
        <v>18</v>
      </c>
    </row>
    <row r="8" spans="1:31" x14ac:dyDescent="0.25">
      <c r="A8" s="1">
        <f>L8</f>
        <v>0</v>
      </c>
      <c r="B8" s="7">
        <f>O8</f>
        <v>110000000</v>
      </c>
      <c r="C8" s="7">
        <f>Y8</f>
        <v>100000000</v>
      </c>
      <c r="D8" s="7"/>
      <c r="E8" s="7"/>
      <c r="F8" s="7"/>
      <c r="G8" s="7"/>
      <c r="H8" s="7"/>
      <c r="I8" s="7"/>
      <c r="J8" s="7"/>
      <c r="L8" s="1">
        <f>M8/(24*3600)</f>
        <v>0</v>
      </c>
      <c r="M8">
        <v>0</v>
      </c>
      <c r="N8" s="9">
        <f>Hoja1!G9</f>
        <v>-1600</v>
      </c>
      <c r="O8" s="7">
        <f>Hoja1!E9</f>
        <v>110000000</v>
      </c>
      <c r="P8" s="2">
        <f t="shared" ref="P8:P71" si="0">dvdt_x($O8,$Y8)</f>
        <v>-1.3345731340588984E-2</v>
      </c>
      <c r="Q8" s="2">
        <f t="shared" ref="Q8:Q71" si="1">dvdt_x($O8+h/4*($N8+($N8+h/2*P8)),$Y8+h/4*($X8+($X8+h/2*Z8)))</f>
        <v>-1.3398056172101607E-2</v>
      </c>
      <c r="R8" s="2">
        <f t="shared" ref="R8:R71" si="2">dvdt_x($O8+h/4*($N8+($N8+h/2*Q8)),$Y8+h/4*($X8+($X8+h/2*AA8)))</f>
        <v>-1.3398056414361297E-2</v>
      </c>
      <c r="S8" s="2">
        <f t="shared" ref="S8:S71" si="3">dvdt_x($O8+h/2*($N8+($N8+h*R8)),$Y8+h/2*($X8+($X8+h*AB8)))</f>
        <v>-1.3450782744640887E-2</v>
      </c>
      <c r="T8" s="9">
        <f t="shared" ref="T8:T71" si="4">N8+h/6*(P8+2*Q8+2*R8+S8)</f>
        <v>-1604.8233243554894</v>
      </c>
      <c r="U8" s="7">
        <f t="shared" ref="U8:U71" si="5">O8+h/2*(N8+T8)</f>
        <v>109423131.80161601</v>
      </c>
      <c r="V8" s="2"/>
      <c r="W8">
        <v>0</v>
      </c>
      <c r="X8" s="9">
        <f>Hoja1!H9</f>
        <v>-910</v>
      </c>
      <c r="Y8" s="2">
        <f>Hoja1!F9</f>
        <v>100000000</v>
      </c>
      <c r="Z8" s="2">
        <f t="shared" ref="Z8:Z71" si="6">dvdt_y($O8,$Y8)</f>
        <v>-1.2132483036899067E-2</v>
      </c>
      <c r="AA8" s="2">
        <f t="shared" ref="AA8:AA71" si="7">dvdt_y($O8+h/4*($N8+($N8+h/2*P8)),$Y8+h/4*($X8+($X8+h/2*Z8)))</f>
        <v>-1.219202109338177E-2</v>
      </c>
      <c r="AB8" s="2">
        <f t="shared" ref="AB8:AB71" si="8">dvdt_y($O8+h/4*($N8+($N8+h/2*Q8)),$Y8+h/4*($X8+($X8+h/2*AA8)))</f>
        <v>-1.2192021290245846E-2</v>
      </c>
      <c r="AC8" s="2">
        <f t="shared" ref="AC8:AC71" si="9">dvdt_y($O8+h/2*($N8+($N8+h*R8)),$Y8+h/2*($X8+($X8+h*AB8)))</f>
        <v>-1.2252081888115329E-2</v>
      </c>
      <c r="AD8" s="2">
        <f t="shared" ref="AD8:AD71" si="10">X8+h/6*(Z8+2*AA8+2*AB8+AC8)</f>
        <v>-914.38915898153618</v>
      </c>
      <c r="AE8" s="10">
        <f t="shared" ref="AE8:AE71" si="11">Y8+h/2*(X8+AD8)</f>
        <v>99671609.951383322</v>
      </c>
    </row>
    <row r="9" spans="1:31" x14ac:dyDescent="0.25">
      <c r="A9" s="1">
        <f t="shared" ref="A9:A72" si="12">L9</f>
        <v>4.1666666666666666E-3</v>
      </c>
      <c r="B9" s="7">
        <f t="shared" ref="B9:B72" si="13">O9</f>
        <v>109423131.80161601</v>
      </c>
      <c r="C9" s="7">
        <f t="shared" ref="C9:C72" si="14">Y9</f>
        <v>99671609.951383322</v>
      </c>
      <c r="D9" s="7"/>
      <c r="E9" s="7"/>
      <c r="F9" s="7"/>
      <c r="G9" s="7"/>
      <c r="H9" s="7"/>
      <c r="I9" s="7"/>
      <c r="J9" s="7"/>
      <c r="L9" s="1">
        <f>M9/(24*3600)</f>
        <v>4.1666666666666666E-3</v>
      </c>
      <c r="M9">
        <f t="shared" ref="M9:M72" si="15">M8+h</f>
        <v>360</v>
      </c>
      <c r="N9" s="9">
        <f>T8</f>
        <v>-1604.8233243554894</v>
      </c>
      <c r="O9" s="7">
        <f>U8</f>
        <v>109423131.80161601</v>
      </c>
      <c r="P9" s="2">
        <f t="shared" si="0"/>
        <v>-1.3450782746016085E-2</v>
      </c>
      <c r="Q9" s="2">
        <f t="shared" si="1"/>
        <v>-1.3503914557077867E-2</v>
      </c>
      <c r="R9" s="2">
        <f t="shared" si="2"/>
        <v>-1.3503914806448244E-2</v>
      </c>
      <c r="S9" s="2">
        <f t="shared" si="3"/>
        <v>-1.3557457129161335E-2</v>
      </c>
      <c r="T9" s="9">
        <f t="shared" si="4"/>
        <v>-1609.6847582716232</v>
      </c>
      <c r="U9" s="7">
        <f t="shared" si="5"/>
        <v>108844520.34674314</v>
      </c>
      <c r="W9">
        <f t="shared" ref="W9:W72" si="16">W8+h</f>
        <v>360</v>
      </c>
      <c r="X9" s="9">
        <f>AD8</f>
        <v>-914.38915898153618</v>
      </c>
      <c r="Y9" s="2">
        <f>AE8</f>
        <v>99671609.951383322</v>
      </c>
      <c r="Z9" s="2">
        <f t="shared" si="6"/>
        <v>-1.225208188915968E-2</v>
      </c>
      <c r="AA9" s="2">
        <f t="shared" si="7"/>
        <v>-1.2312671134506762E-2</v>
      </c>
      <c r="AB9" s="2">
        <f t="shared" si="8"/>
        <v>-1.2312671337535016E-2</v>
      </c>
      <c r="AC9" s="2">
        <f t="shared" si="9"/>
        <v>-1.2373796242028284E-2</v>
      </c>
      <c r="AD9" s="2">
        <f t="shared" si="10"/>
        <v>-918.82175276605244</v>
      </c>
      <c r="AE9" s="10">
        <f t="shared" si="11"/>
        <v>99341631.987268761</v>
      </c>
    </row>
    <row r="10" spans="1:31" x14ac:dyDescent="0.25">
      <c r="A10" s="1">
        <f t="shared" si="12"/>
        <v>8.3333333333333332E-3</v>
      </c>
      <c r="B10" s="7">
        <f t="shared" si="13"/>
        <v>108844520.34674314</v>
      </c>
      <c r="C10" s="7">
        <f t="shared" si="14"/>
        <v>99341631.987268761</v>
      </c>
      <c r="D10" s="7"/>
      <c r="E10" s="7"/>
      <c r="F10" s="7"/>
      <c r="G10" s="7"/>
      <c r="H10" s="7"/>
      <c r="I10" s="7"/>
      <c r="J10" s="7"/>
      <c r="L10" s="1">
        <f t="shared" ref="L10:L73" si="17">M10/(24*3600)</f>
        <v>8.3333333333333332E-3</v>
      </c>
      <c r="M10">
        <f t="shared" si="15"/>
        <v>720</v>
      </c>
      <c r="N10" s="9">
        <f t="shared" ref="N10:O25" si="18">T9</f>
        <v>-1609.6847582716232</v>
      </c>
      <c r="O10" s="7">
        <f t="shared" si="18"/>
        <v>108844520.34674314</v>
      </c>
      <c r="P10" s="2">
        <f t="shared" si="0"/>
        <v>-1.3557457130587426E-2</v>
      </c>
      <c r="Q10" s="2">
        <f t="shared" si="1"/>
        <v>-1.361141406464169E-2</v>
      </c>
      <c r="R10" s="2">
        <f t="shared" si="2"/>
        <v>-1.3611414321386878E-2</v>
      </c>
      <c r="S10" s="2">
        <f t="shared" si="3"/>
        <v>-1.3665791046702448E-2</v>
      </c>
      <c r="T10" s="9">
        <f t="shared" si="4"/>
        <v>-1614.5848925685841</v>
      </c>
      <c r="U10" s="7">
        <f t="shared" si="5"/>
        <v>108264151.8095919</v>
      </c>
      <c r="W10">
        <f t="shared" si="16"/>
        <v>720</v>
      </c>
      <c r="X10" s="9">
        <f t="shared" ref="X10:Y25" si="19">AD9</f>
        <v>-918.82175276605244</v>
      </c>
      <c r="Y10" s="2">
        <f t="shared" si="19"/>
        <v>99341631.987268761</v>
      </c>
      <c r="Z10" s="2">
        <f t="shared" si="6"/>
        <v>-1.2373796243113208E-2</v>
      </c>
      <c r="AA10" s="2">
        <f t="shared" si="7"/>
        <v>-1.243546311225407E-2</v>
      </c>
      <c r="AB10" s="2">
        <f t="shared" si="8"/>
        <v>-1.2435463321687858E-2</v>
      </c>
      <c r="AC10" s="2">
        <f t="shared" si="9"/>
        <v>-1.2497679395938141E-2</v>
      </c>
      <c r="AD10" s="2">
        <f t="shared" si="10"/>
        <v>-923.29855247646856</v>
      </c>
      <c r="AE10" s="10">
        <f t="shared" si="11"/>
        <v>99010050.332325101</v>
      </c>
    </row>
    <row r="11" spans="1:31" x14ac:dyDescent="0.25">
      <c r="A11" s="1">
        <f t="shared" si="12"/>
        <v>1.2500000000000001E-2</v>
      </c>
      <c r="B11" s="7">
        <f t="shared" si="13"/>
        <v>108264151.8095919</v>
      </c>
      <c r="C11" s="7">
        <f t="shared" si="14"/>
        <v>99010050.332325101</v>
      </c>
      <c r="D11" s="7"/>
      <c r="E11" s="7"/>
      <c r="F11" s="7"/>
      <c r="G11" s="7"/>
      <c r="H11" s="7"/>
      <c r="I11" s="7"/>
      <c r="J11" s="7"/>
      <c r="L11" s="1">
        <f t="shared" si="17"/>
        <v>1.2500000000000001E-2</v>
      </c>
      <c r="M11">
        <f t="shared" si="15"/>
        <v>1080</v>
      </c>
      <c r="N11" s="9">
        <f t="shared" si="18"/>
        <v>-1614.5848925685841</v>
      </c>
      <c r="O11" s="7">
        <f t="shared" si="18"/>
        <v>108264151.8095919</v>
      </c>
      <c r="P11" s="2">
        <f t="shared" si="0"/>
        <v>-1.3665791048181729E-2</v>
      </c>
      <c r="Q11" s="2">
        <f t="shared" si="1"/>
        <v>-1.3720591786437931E-2</v>
      </c>
      <c r="R11" s="2">
        <f t="shared" si="2"/>
        <v>-1.3720592050833933E-2</v>
      </c>
      <c r="S11" s="2">
        <f t="shared" si="3"/>
        <v>-1.3775822136502559E-2</v>
      </c>
      <c r="T11" s="9">
        <f t="shared" si="4"/>
        <v>-1619.5243314201377</v>
      </c>
      <c r="U11" s="7">
        <f t="shared" si="5"/>
        <v>107682012.14927393</v>
      </c>
      <c r="W11">
        <f t="shared" si="16"/>
        <v>1080</v>
      </c>
      <c r="X11" s="9">
        <f t="shared" si="19"/>
        <v>-923.29855247646856</v>
      </c>
      <c r="Y11" s="2">
        <f t="shared" si="19"/>
        <v>99010050.332325101</v>
      </c>
      <c r="Z11" s="2">
        <f t="shared" si="6"/>
        <v>-1.2497679397065526E-2</v>
      </c>
      <c r="AA11" s="2">
        <f t="shared" si="7"/>
        <v>-1.2560451189361086E-2</v>
      </c>
      <c r="AB11" s="2">
        <f t="shared" si="8"/>
        <v>-1.2560451405453119E-2</v>
      </c>
      <c r="AC11" s="2">
        <f t="shared" si="9"/>
        <v>-1.2623786394263807E-2</v>
      </c>
      <c r="AD11" s="2">
        <f t="shared" si="10"/>
        <v>-927.82034873532598</v>
      </c>
      <c r="AE11" s="10">
        <f t="shared" si="11"/>
        <v>98676848.930106983</v>
      </c>
    </row>
    <row r="12" spans="1:31" x14ac:dyDescent="0.25">
      <c r="A12" s="1">
        <f t="shared" si="12"/>
        <v>1.6666666666666666E-2</v>
      </c>
      <c r="B12" s="7">
        <f t="shared" si="13"/>
        <v>107682012.14927393</v>
      </c>
      <c r="C12" s="7">
        <f t="shared" si="14"/>
        <v>98676848.930106983</v>
      </c>
      <c r="D12" s="7"/>
      <c r="E12" s="7"/>
      <c r="F12" s="7"/>
      <c r="G12" s="7"/>
      <c r="H12" s="7"/>
      <c r="I12" s="7"/>
      <c r="J12" s="7"/>
      <c r="L12" s="1">
        <f t="shared" si="17"/>
        <v>1.6666666666666666E-2</v>
      </c>
      <c r="M12">
        <f t="shared" si="15"/>
        <v>1440</v>
      </c>
      <c r="N12" s="9">
        <f t="shared" si="18"/>
        <v>-1619.5243314201377</v>
      </c>
      <c r="O12" s="7">
        <f t="shared" si="18"/>
        <v>107682012.14927393</v>
      </c>
      <c r="P12" s="2">
        <f t="shared" si="0"/>
        <v>-1.3775822138037418E-2</v>
      </c>
      <c r="Q12" s="2">
        <f t="shared" si="1"/>
        <v>-1.383148591929133E-2</v>
      </c>
      <c r="R12" s="2">
        <f t="shared" si="2"/>
        <v>-1.3831486191626613E-2</v>
      </c>
      <c r="S12" s="2">
        <f t="shared" si="3"/>
        <v>-1.3887589163233309E-2</v>
      </c>
      <c r="T12" s="9">
        <f t="shared" si="4"/>
        <v>-1624.5036927515241</v>
      </c>
      <c r="U12" s="7">
        <f t="shared" si="5"/>
        <v>107098087.10492304</v>
      </c>
      <c r="W12">
        <f t="shared" si="16"/>
        <v>1440</v>
      </c>
      <c r="X12" s="9">
        <f t="shared" si="19"/>
        <v>-927.82034873532598</v>
      </c>
      <c r="Y12" s="2">
        <f t="shared" si="19"/>
        <v>98676848.930106983</v>
      </c>
      <c r="Z12" s="2">
        <f t="shared" si="6"/>
        <v>-1.2623786395435665E-2</v>
      </c>
      <c r="AA12" s="2">
        <f t="shared" si="7"/>
        <v>-1.268769130954012E-2</v>
      </c>
      <c r="AB12" s="2">
        <f t="shared" si="8"/>
        <v>-1.268769153255509E-2</v>
      </c>
      <c r="AC12" s="2">
        <f t="shared" si="9"/>
        <v>-1.2752174098088329E-2</v>
      </c>
      <c r="AD12" s="2">
        <f t="shared" si="10"/>
        <v>-932.38795230598885</v>
      </c>
      <c r="AE12" s="10">
        <f t="shared" si="11"/>
        <v>98342011.435919553</v>
      </c>
    </row>
    <row r="13" spans="1:31" x14ac:dyDescent="0.25">
      <c r="A13" s="1">
        <f t="shared" si="12"/>
        <v>2.0833333333333332E-2</v>
      </c>
      <c r="B13" s="7">
        <f t="shared" si="13"/>
        <v>107098087.10492304</v>
      </c>
      <c r="C13" s="7">
        <f t="shared" si="14"/>
        <v>98342011.435919553</v>
      </c>
      <c r="D13" s="7"/>
      <c r="E13" s="7"/>
      <c r="F13" s="7"/>
      <c r="G13" s="7"/>
      <c r="H13" s="7"/>
      <c r="I13" s="7"/>
      <c r="J13" s="7"/>
      <c r="L13" s="1">
        <f t="shared" si="17"/>
        <v>2.0833333333333332E-2</v>
      </c>
      <c r="M13">
        <f t="shared" si="15"/>
        <v>1800</v>
      </c>
      <c r="N13" s="9">
        <f t="shared" si="18"/>
        <v>-1624.5036927515241</v>
      </c>
      <c r="O13" s="7">
        <f t="shared" si="18"/>
        <v>107098087.10492304</v>
      </c>
      <c r="P13" s="2">
        <f t="shared" si="0"/>
        <v>-1.3887589164826285E-2</v>
      </c>
      <c r="Q13" s="2">
        <f t="shared" si="1"/>
        <v>-1.3944135806155103E-2</v>
      </c>
      <c r="R13" s="2">
        <f t="shared" si="2"/>
        <v>-1.3944136086731314E-2</v>
      </c>
      <c r="S13" s="2">
        <f t="shared" si="3"/>
        <v>-1.4001132058845487E-2</v>
      </c>
      <c r="T13" s="9">
        <f t="shared" si="4"/>
        <v>-1629.5236086520908</v>
      </c>
      <c r="U13" s="7">
        <f t="shared" si="5"/>
        <v>106512362.19067039</v>
      </c>
      <c r="W13">
        <f t="shared" si="16"/>
        <v>1800</v>
      </c>
      <c r="X13" s="9">
        <f t="shared" si="19"/>
        <v>-932.38795230598885</v>
      </c>
      <c r="Y13" s="2">
        <f t="shared" si="19"/>
        <v>98342011.435919553</v>
      </c>
      <c r="Z13" s="2">
        <f t="shared" si="6"/>
        <v>-1.2752174099306757E-2</v>
      </c>
      <c r="AA13" s="2">
        <f t="shared" si="7"/>
        <v>-1.2817241269704445E-2</v>
      </c>
      <c r="AB13" s="2">
        <f t="shared" si="8"/>
        <v>-1.2817241499919665E-2</v>
      </c>
      <c r="AC13" s="2">
        <f t="shared" si="9"/>
        <v>-1.2882901259106181E-2</v>
      </c>
      <c r="AD13" s="2">
        <f t="shared" si="10"/>
        <v>-937.00219475984852</v>
      </c>
      <c r="AE13" s="10">
        <f t="shared" si="11"/>
        <v>98005521.209447697</v>
      </c>
    </row>
    <row r="14" spans="1:31" x14ac:dyDescent="0.25">
      <c r="A14" s="1">
        <f t="shared" si="12"/>
        <v>2.5000000000000001E-2</v>
      </c>
      <c r="B14" s="7">
        <f t="shared" si="13"/>
        <v>106512362.19067039</v>
      </c>
      <c r="C14" s="7">
        <f t="shared" si="14"/>
        <v>98005521.209447697</v>
      </c>
      <c r="D14" s="7"/>
      <c r="E14" s="7"/>
      <c r="F14" s="7"/>
      <c r="G14" s="7"/>
      <c r="H14" s="7"/>
      <c r="I14" s="7"/>
      <c r="J14" s="7"/>
      <c r="L14" s="1">
        <f t="shared" si="17"/>
        <v>2.5000000000000001E-2</v>
      </c>
      <c r="M14">
        <f t="shared" si="15"/>
        <v>2160</v>
      </c>
      <c r="N14" s="9">
        <f t="shared" si="18"/>
        <v>-1629.5236086520908</v>
      </c>
      <c r="O14" s="7">
        <f t="shared" si="18"/>
        <v>106512362.19067039</v>
      </c>
      <c r="P14" s="2">
        <f t="shared" si="0"/>
        <v>-1.4001132060499246E-2</v>
      </c>
      <c r="Q14" s="2">
        <f t="shared" si="1"/>
        <v>-1.4058581978876723E-2</v>
      </c>
      <c r="R14" s="2">
        <f t="shared" si="2"/>
        <v>-1.405858226800938E-2</v>
      </c>
      <c r="S14" s="2">
        <f t="shared" si="3"/>
        <v>-1.4116491966278351E-2</v>
      </c>
      <c r="T14" s="9">
        <f t="shared" si="4"/>
        <v>-1634.5847258033239</v>
      </c>
      <c r="U14" s="7">
        <f t="shared" si="5"/>
        <v>105924822.69046842</v>
      </c>
      <c r="W14">
        <f t="shared" si="16"/>
        <v>2160</v>
      </c>
      <c r="X14" s="9">
        <f t="shared" si="19"/>
        <v>-937.00219475984852</v>
      </c>
      <c r="Y14" s="2">
        <f t="shared" si="19"/>
        <v>98005521.209447697</v>
      </c>
      <c r="Z14" s="2">
        <f t="shared" si="6"/>
        <v>-1.2882901260373418E-2</v>
      </c>
      <c r="AA14" s="2">
        <f t="shared" si="7"/>
        <v>-1.2949160795684318E-2</v>
      </c>
      <c r="AB14" s="2">
        <f t="shared" si="8"/>
        <v>-1.294916103339044E-2</v>
      </c>
      <c r="AC14" s="2">
        <f t="shared" si="9"/>
        <v>-1.3016028597157073E-2</v>
      </c>
      <c r="AD14" s="2">
        <f t="shared" si="10"/>
        <v>-941.66392917078929</v>
      </c>
      <c r="AE14" s="10">
        <f t="shared" si="11"/>
        <v>97667361.307140186</v>
      </c>
    </row>
    <row r="15" spans="1:31" x14ac:dyDescent="0.25">
      <c r="A15" s="1">
        <f t="shared" si="12"/>
        <v>2.9166666666666667E-2</v>
      </c>
      <c r="B15" s="7">
        <f t="shared" si="13"/>
        <v>105924822.69046842</v>
      </c>
      <c r="C15" s="7">
        <f t="shared" si="14"/>
        <v>97667361.307140186</v>
      </c>
      <c r="D15" s="7"/>
      <c r="E15" s="7"/>
      <c r="F15" s="7"/>
      <c r="G15" s="7"/>
      <c r="H15" s="7"/>
      <c r="I15" s="7"/>
      <c r="J15" s="7"/>
      <c r="L15" s="1">
        <f t="shared" si="17"/>
        <v>2.9166666666666667E-2</v>
      </c>
      <c r="M15">
        <f t="shared" si="15"/>
        <v>2520</v>
      </c>
      <c r="N15" s="9">
        <f t="shared" si="18"/>
        <v>-1634.5847258033239</v>
      </c>
      <c r="O15" s="7">
        <f t="shared" si="18"/>
        <v>105924822.69046842</v>
      </c>
      <c r="P15" s="2">
        <f t="shared" si="0"/>
        <v>-1.4116491967995705E-2</v>
      </c>
      <c r="Q15" s="2">
        <f t="shared" si="1"/>
        <v>-1.4174866202874902E-2</v>
      </c>
      <c r="R15" s="2">
        <f t="shared" si="2"/>
        <v>-1.4174866500894112E-2</v>
      </c>
      <c r="S15" s="2">
        <f t="shared" si="3"/>
        <v>-1.4233711285129312E-2</v>
      </c>
      <c r="T15" s="9">
        <f t="shared" si="4"/>
        <v>-1639.6877059229637</v>
      </c>
      <c r="U15" s="7">
        <f t="shared" si="5"/>
        <v>105335453.65275769</v>
      </c>
      <c r="W15">
        <f t="shared" si="16"/>
        <v>2520</v>
      </c>
      <c r="X15" s="9">
        <f t="shared" si="19"/>
        <v>-941.66392917078929</v>
      </c>
      <c r="Y15" s="2">
        <f t="shared" si="19"/>
        <v>97667361.307140186</v>
      </c>
      <c r="Z15" s="2">
        <f t="shared" si="6"/>
        <v>-1.3016028598475461E-2</v>
      </c>
      <c r="AA15" s="2">
        <f t="shared" si="7"/>
        <v>-1.3083511621629009E-2</v>
      </c>
      <c r="AB15" s="2">
        <f t="shared" si="8"/>
        <v>-1.308351186713079E-2</v>
      </c>
      <c r="AC15" s="2">
        <f t="shared" si="9"/>
        <v>-1.3151618881548453E-2</v>
      </c>
      <c r="AD15" s="2">
        <f t="shared" si="10"/>
        <v>-946.37403083824188</v>
      </c>
      <c r="AE15" s="10">
        <f t="shared" si="11"/>
        <v>97327514.474338561</v>
      </c>
    </row>
    <row r="16" spans="1:31" x14ac:dyDescent="0.25">
      <c r="A16" s="1">
        <f t="shared" si="12"/>
        <v>3.3333333333333333E-2</v>
      </c>
      <c r="B16" s="7">
        <f t="shared" si="13"/>
        <v>105335453.65275769</v>
      </c>
      <c r="C16" s="7">
        <f t="shared" si="14"/>
        <v>97327514.474338561</v>
      </c>
      <c r="D16" s="7"/>
      <c r="E16" s="7"/>
      <c r="F16" s="7"/>
      <c r="G16" s="7"/>
      <c r="H16" s="7"/>
      <c r="I16" s="7"/>
      <c r="J16" s="7"/>
      <c r="L16" s="1">
        <f t="shared" si="17"/>
        <v>3.3333333333333333E-2</v>
      </c>
      <c r="M16">
        <f t="shared" si="15"/>
        <v>2880</v>
      </c>
      <c r="N16" s="9">
        <f t="shared" si="18"/>
        <v>-1639.6877059229637</v>
      </c>
      <c r="O16" s="7">
        <f t="shared" si="18"/>
        <v>105335453.65275769</v>
      </c>
      <c r="P16" s="2">
        <f t="shared" si="0"/>
        <v>-1.4233711286913224E-2</v>
      </c>
      <c r="Q16" s="2">
        <f t="shared" si="1"/>
        <v>-1.4293031523827535E-2</v>
      </c>
      <c r="R16" s="2">
        <f t="shared" si="2"/>
        <v>-1.429303183107883E-2</v>
      </c>
      <c r="S16" s="2">
        <f t="shared" si="3"/>
        <v>-1.4352833719386587E-2</v>
      </c>
      <c r="T16" s="9">
        <f t="shared" si="4"/>
        <v>-1644.8332262259305</v>
      </c>
      <c r="U16" s="7">
        <f t="shared" si="5"/>
        <v>104744239.88497089</v>
      </c>
      <c r="W16">
        <f t="shared" si="16"/>
        <v>2880</v>
      </c>
      <c r="X16" s="9">
        <f t="shared" si="19"/>
        <v>-946.37403083824188</v>
      </c>
      <c r="Y16" s="2">
        <f t="shared" si="19"/>
        <v>97327514.474338561</v>
      </c>
      <c r="Z16" s="2">
        <f t="shared" si="6"/>
        <v>-1.315161888292048E-2</v>
      </c>
      <c r="AA16" s="2">
        <f t="shared" si="7"/>
        <v>-1.3220357573303542E-2</v>
      </c>
      <c r="AB16" s="2">
        <f t="shared" si="8"/>
        <v>-1.322035782692061E-2</v>
      </c>
      <c r="AC16" s="2">
        <f t="shared" si="9"/>
        <v>-1.328973701638207E-2</v>
      </c>
      <c r="AD16" s="2">
        <f t="shared" si="10"/>
        <v>-951.13339804022689</v>
      </c>
      <c r="AE16" s="10">
        <f t="shared" si="11"/>
        <v>96985963.137140438</v>
      </c>
    </row>
    <row r="17" spans="1:31" x14ac:dyDescent="0.25">
      <c r="A17" s="1">
        <f t="shared" si="12"/>
        <v>3.7499999999999999E-2</v>
      </c>
      <c r="B17" s="7">
        <f t="shared" si="13"/>
        <v>104744239.88497089</v>
      </c>
      <c r="C17" s="7">
        <f t="shared" si="14"/>
        <v>96985963.137140438</v>
      </c>
      <c r="D17" s="7"/>
      <c r="E17" s="7"/>
      <c r="F17" s="7"/>
      <c r="G17" s="7"/>
      <c r="H17" s="7"/>
      <c r="I17" s="7"/>
      <c r="J17" s="7"/>
      <c r="L17" s="1">
        <f t="shared" si="17"/>
        <v>3.7499999999999999E-2</v>
      </c>
      <c r="M17">
        <f t="shared" si="15"/>
        <v>3240</v>
      </c>
      <c r="N17" s="9">
        <f t="shared" si="18"/>
        <v>-1644.8332262259305</v>
      </c>
      <c r="O17" s="7">
        <f t="shared" si="18"/>
        <v>104744239.88497089</v>
      </c>
      <c r="P17" s="2">
        <f t="shared" si="0"/>
        <v>-1.4352833721240186E-2</v>
      </c>
      <c r="Q17" s="2">
        <f t="shared" si="1"/>
        <v>-1.4413122316476158E-2</v>
      </c>
      <c r="R17" s="2">
        <f t="shared" si="2"/>
        <v>-1.44131226333213E-2</v>
      </c>
      <c r="S17" s="2">
        <f t="shared" si="3"/>
        <v>-1.4473904327333508E-2</v>
      </c>
      <c r="T17" s="9">
        <f t="shared" si="4"/>
        <v>-1650.0219799028207</v>
      </c>
      <c r="U17" s="7">
        <f t="shared" si="5"/>
        <v>104151165.94786771</v>
      </c>
      <c r="W17">
        <f t="shared" si="16"/>
        <v>3240</v>
      </c>
      <c r="X17" s="9">
        <f t="shared" si="19"/>
        <v>-951.13339804022689</v>
      </c>
      <c r="Y17" s="2">
        <f t="shared" si="19"/>
        <v>96985963.137140438</v>
      </c>
      <c r="Z17" s="2">
        <f t="shared" si="6"/>
        <v>-1.3289737017810364E-2</v>
      </c>
      <c r="AA17" s="2">
        <f t="shared" si="7"/>
        <v>-1.3359764655502222E-2</v>
      </c>
      <c r="AB17" s="2">
        <f t="shared" si="8"/>
        <v>-1.3359764917569955E-2</v>
      </c>
      <c r="AC17" s="2">
        <f t="shared" si="9"/>
        <v>-1.3430450130113802E-2</v>
      </c>
      <c r="AD17" s="2">
        <f t="shared" si="10"/>
        <v>-955.94295281787106</v>
      </c>
      <c r="AE17" s="10">
        <f t="shared" si="11"/>
        <v>96642689.393985987</v>
      </c>
    </row>
    <row r="18" spans="1:31" x14ac:dyDescent="0.25">
      <c r="A18" s="1">
        <f t="shared" si="12"/>
        <v>4.1666666666666664E-2</v>
      </c>
      <c r="B18" s="7">
        <f t="shared" si="13"/>
        <v>104151165.94786771</v>
      </c>
      <c r="C18" s="7">
        <f t="shared" si="14"/>
        <v>96642689.393985987</v>
      </c>
      <c r="D18" s="7"/>
      <c r="E18" s="7"/>
      <c r="F18" s="7"/>
      <c r="G18" s="7"/>
      <c r="H18" s="7"/>
      <c r="I18" s="7"/>
      <c r="J18" s="7"/>
      <c r="L18" s="1">
        <f t="shared" si="17"/>
        <v>4.1666666666666664E-2</v>
      </c>
      <c r="M18">
        <f t="shared" si="15"/>
        <v>3600</v>
      </c>
      <c r="N18" s="9">
        <f t="shared" si="18"/>
        <v>-1650.0219799028207</v>
      </c>
      <c r="O18" s="7">
        <f t="shared" si="18"/>
        <v>104151165.94786771</v>
      </c>
      <c r="P18" s="2">
        <f t="shared" si="0"/>
        <v>-1.4473904329260087E-2</v>
      </c>
      <c r="Q18" s="2">
        <f t="shared" si="1"/>
        <v>-1.4535184335658811E-2</v>
      </c>
      <c r="R18" s="2">
        <f t="shared" si="2"/>
        <v>-1.4535184662476715E-2</v>
      </c>
      <c r="S18" s="2">
        <f t="shared" si="3"/>
        <v>-1.4596969573739786E-2</v>
      </c>
      <c r="T18" s="9">
        <f t="shared" si="4"/>
        <v>-1655.254676616777</v>
      </c>
      <c r="U18" s="7">
        <f t="shared" si="5"/>
        <v>103556216.14969417</v>
      </c>
      <c r="W18">
        <f t="shared" si="16"/>
        <v>3600</v>
      </c>
      <c r="X18" s="9">
        <f t="shared" si="19"/>
        <v>-955.94295281787106</v>
      </c>
      <c r="Y18" s="2">
        <f t="shared" si="19"/>
        <v>96642689.393985987</v>
      </c>
      <c r="Z18" s="2">
        <f t="shared" si="6"/>
        <v>-1.3430450131601147E-2</v>
      </c>
      <c r="AA18" s="2">
        <f t="shared" si="7"/>
        <v>-1.3501801143815712E-2</v>
      </c>
      <c r="AB18" s="2">
        <f t="shared" si="8"/>
        <v>-1.3501801414686139E-2</v>
      </c>
      <c r="AC18" s="2">
        <f t="shared" si="9"/>
        <v>-1.3573827669591032E-2</v>
      </c>
      <c r="AD18" s="2">
        <f t="shared" si="10"/>
        <v>-960.80364179296282</v>
      </c>
      <c r="AE18" s="10">
        <f t="shared" si="11"/>
        <v>96297675.006956041</v>
      </c>
    </row>
    <row r="19" spans="1:31" x14ac:dyDescent="0.25">
      <c r="A19" s="1">
        <f t="shared" si="12"/>
        <v>4.583333333333333E-2</v>
      </c>
      <c r="B19" s="7">
        <f t="shared" si="13"/>
        <v>103556216.14969417</v>
      </c>
      <c r="C19" s="7">
        <f t="shared" si="14"/>
        <v>96297675.006956041</v>
      </c>
      <c r="D19" s="7"/>
      <c r="E19" s="7"/>
      <c r="F19" s="7"/>
      <c r="G19" s="7"/>
      <c r="H19" s="7"/>
      <c r="I19" s="7"/>
      <c r="J19" s="7"/>
      <c r="L19" s="1">
        <f t="shared" si="17"/>
        <v>4.583333333333333E-2</v>
      </c>
      <c r="M19">
        <f t="shared" si="15"/>
        <v>3960</v>
      </c>
      <c r="N19" s="9">
        <f t="shared" si="18"/>
        <v>-1655.254676616777</v>
      </c>
      <c r="O19" s="7">
        <f t="shared" si="18"/>
        <v>103556216.14969417</v>
      </c>
      <c r="P19" s="2">
        <f t="shared" si="0"/>
        <v>-1.4596969575742838E-2</v>
      </c>
      <c r="Q19" s="2">
        <f t="shared" si="1"/>
        <v>-1.4659264769690114E-2</v>
      </c>
      <c r="R19" s="2">
        <f t="shared" si="2"/>
        <v>-1.4659265106877801E-2</v>
      </c>
      <c r="S19" s="2">
        <f t="shared" si="3"/>
        <v>-1.4722077384461971E-2</v>
      </c>
      <c r="T19" s="9">
        <f t="shared" si="4"/>
        <v>-1660.5320430195775</v>
      </c>
      <c r="U19" s="7">
        <f t="shared" si="5"/>
        <v>102959374.54015963</v>
      </c>
      <c r="W19">
        <f t="shared" si="16"/>
        <v>3960</v>
      </c>
      <c r="X19" s="9">
        <f t="shared" si="19"/>
        <v>-960.80364179296282</v>
      </c>
      <c r="Y19" s="2">
        <f t="shared" si="19"/>
        <v>96297675.006956041</v>
      </c>
      <c r="Z19" s="2">
        <f t="shared" si="6"/>
        <v>-1.3573827671140347E-2</v>
      </c>
      <c r="AA19" s="2">
        <f t="shared" si="7"/>
        <v>-1.3646537681003705E-2</v>
      </c>
      <c r="AB19" s="2">
        <f t="shared" si="8"/>
        <v>-1.3646537961046463E-2</v>
      </c>
      <c r="AC19" s="2">
        <f t="shared" si="9"/>
        <v>-1.3719941498827919E-2</v>
      </c>
      <c r="AD19" s="2">
        <f t="shared" si="10"/>
        <v>-965.71643702020697</v>
      </c>
      <c r="AE19" s="10">
        <f t="shared" si="11"/>
        <v>95950901.392769665</v>
      </c>
    </row>
    <row r="20" spans="1:31" x14ac:dyDescent="0.25">
      <c r="A20" s="1">
        <f t="shared" si="12"/>
        <v>0.05</v>
      </c>
      <c r="B20" s="7">
        <f t="shared" si="13"/>
        <v>102959374.54015963</v>
      </c>
      <c r="C20" s="7">
        <f t="shared" si="14"/>
        <v>95950901.392769665</v>
      </c>
      <c r="D20" s="7"/>
      <c r="E20" s="7"/>
      <c r="F20" s="7"/>
      <c r="G20" s="7"/>
      <c r="H20" s="7"/>
      <c r="I20" s="7"/>
      <c r="J20" s="7"/>
      <c r="L20" s="1">
        <f t="shared" si="17"/>
        <v>0.05</v>
      </c>
      <c r="M20">
        <f t="shared" si="15"/>
        <v>4320</v>
      </c>
      <c r="N20" s="9">
        <f t="shared" si="18"/>
        <v>-1660.5320430195775</v>
      </c>
      <c r="O20" s="7">
        <f t="shared" si="18"/>
        <v>102959374.54015963</v>
      </c>
      <c r="P20" s="2">
        <f t="shared" si="0"/>
        <v>-1.4722077386545174E-2</v>
      </c>
      <c r="Q20" s="2">
        <f t="shared" si="1"/>
        <v>-1.4785412296214476E-2</v>
      </c>
      <c r="R20" s="2">
        <f t="shared" si="2"/>
        <v>-1.4785412644188088E-2</v>
      </c>
      <c r="S20" s="2">
        <f t="shared" si="3"/>
        <v>-1.4849277203582882E-2</v>
      </c>
      <c r="T20" s="9">
        <f t="shared" si="4"/>
        <v>-1665.8548232878334</v>
      </c>
      <c r="U20" s="7">
        <f t="shared" si="5"/>
        <v>102360624.90422429</v>
      </c>
      <c r="W20">
        <f t="shared" si="16"/>
        <v>4320</v>
      </c>
      <c r="X20" s="9">
        <f t="shared" si="19"/>
        <v>-965.71643702020697</v>
      </c>
      <c r="Y20" s="2">
        <f t="shared" si="19"/>
        <v>95950901.392769665</v>
      </c>
      <c r="Z20" s="2">
        <f t="shared" si="6"/>
        <v>-1.3719941500442317E-2</v>
      </c>
      <c r="AA20" s="2">
        <f t="shared" si="7"/>
        <v>-1.3794047378242089E-2</v>
      </c>
      <c r="AB20" s="2">
        <f t="shared" si="8"/>
        <v>-1.3794047667845423E-2</v>
      </c>
      <c r="AC20" s="2">
        <f t="shared" si="9"/>
        <v>-1.3868866002796292E-2</v>
      </c>
      <c r="AD20" s="2">
        <f t="shared" si="10"/>
        <v>-970.68233687593181</v>
      </c>
      <c r="AE20" s="10">
        <f t="shared" si="11"/>
        <v>95602349.613468364</v>
      </c>
    </row>
    <row r="21" spans="1:31" x14ac:dyDescent="0.25">
      <c r="A21" s="1">
        <f t="shared" si="12"/>
        <v>5.4166666666666669E-2</v>
      </c>
      <c r="B21" s="7">
        <f t="shared" si="13"/>
        <v>102360624.90422429</v>
      </c>
      <c r="C21" s="7">
        <f t="shared" si="14"/>
        <v>95602349.613468364</v>
      </c>
      <c r="D21" s="7"/>
      <c r="E21" s="7"/>
      <c r="F21" s="7"/>
      <c r="G21" s="7"/>
      <c r="H21" s="7"/>
      <c r="I21" s="7"/>
      <c r="J21" s="7"/>
      <c r="L21" s="1">
        <f t="shared" si="17"/>
        <v>5.4166666666666669E-2</v>
      </c>
      <c r="M21">
        <f t="shared" si="15"/>
        <v>4680</v>
      </c>
      <c r="N21" s="9">
        <f t="shared" si="18"/>
        <v>-1665.8548232878334</v>
      </c>
      <c r="O21" s="7">
        <f t="shared" si="18"/>
        <v>102360624.90422429</v>
      </c>
      <c r="P21" s="2">
        <f t="shared" si="0"/>
        <v>-1.4849277205750119E-2</v>
      </c>
      <c r="Q21" s="2">
        <f t="shared" si="1"/>
        <v>-1.4913677140666043E-2</v>
      </c>
      <c r="R21" s="2">
        <f t="shared" si="2"/>
        <v>-1.4913677499861909E-2</v>
      </c>
      <c r="S21" s="2">
        <f t="shared" si="3"/>
        <v>-1.4978620053227774E-2</v>
      </c>
      <c r="T21" s="9">
        <f t="shared" si="4"/>
        <v>-1671.2237796802353</v>
      </c>
      <c r="U21" s="7">
        <f t="shared" si="5"/>
        <v>101759950.75569004</v>
      </c>
      <c r="W21">
        <f t="shared" si="16"/>
        <v>4680</v>
      </c>
      <c r="X21" s="9">
        <f t="shared" si="19"/>
        <v>-970.68233687593181</v>
      </c>
      <c r="Y21" s="2">
        <f t="shared" si="19"/>
        <v>95602349.613468364</v>
      </c>
      <c r="Z21" s="2">
        <f t="shared" si="6"/>
        <v>-1.3868866004479062E-2</v>
      </c>
      <c r="AA21" s="2">
        <f t="shared" si="7"/>
        <v>-1.3944405921531355E-2</v>
      </c>
      <c r="AB21" s="2">
        <f t="shared" si="8"/>
        <v>-1.3944406221103288E-2</v>
      </c>
      <c r="AC21" s="2">
        <f t="shared" si="9"/>
        <v>-1.4020678196528222E-2</v>
      </c>
      <c r="AD21" s="2">
        <f t="shared" si="10"/>
        <v>-975.70236698510837</v>
      </c>
      <c r="AE21" s="10">
        <f t="shared" si="11"/>
        <v>95252000.366773382</v>
      </c>
    </row>
    <row r="22" spans="1:31" x14ac:dyDescent="0.25">
      <c r="A22" s="1">
        <f t="shared" si="12"/>
        <v>5.8333333333333334E-2</v>
      </c>
      <c r="B22" s="7">
        <f t="shared" si="13"/>
        <v>101759950.75569004</v>
      </c>
      <c r="C22" s="7">
        <f t="shared" si="14"/>
        <v>95252000.366773382</v>
      </c>
      <c r="D22" s="7"/>
      <c r="E22" s="7"/>
      <c r="F22" s="7"/>
      <c r="G22" s="7"/>
      <c r="H22" s="7"/>
      <c r="I22" s="7"/>
      <c r="J22" s="7"/>
      <c r="L22" s="1">
        <f t="shared" si="17"/>
        <v>5.8333333333333334E-2</v>
      </c>
      <c r="M22">
        <f t="shared" si="15"/>
        <v>5040</v>
      </c>
      <c r="N22" s="9">
        <f t="shared" si="18"/>
        <v>-1671.2237796802353</v>
      </c>
      <c r="O22" s="7">
        <f t="shared" si="18"/>
        <v>101759950.75569004</v>
      </c>
      <c r="P22" s="2">
        <f t="shared" si="0"/>
        <v>-1.4978620055483147E-2</v>
      </c>
      <c r="Q22" s="2">
        <f t="shared" si="1"/>
        <v>-1.504411113747748E-2</v>
      </c>
      <c r="R22" s="2">
        <f t="shared" si="2"/>
        <v>-1.5044111508353298E-2</v>
      </c>
      <c r="S22" s="2">
        <f t="shared" si="3"/>
        <v>-1.5110158596203528E-2</v>
      </c>
      <c r="T22" s="9">
        <f t="shared" si="4"/>
        <v>-1676.6396931168363</v>
      </c>
      <c r="U22" s="7">
        <f t="shared" si="5"/>
        <v>101157335.33058657</v>
      </c>
      <c r="W22">
        <f t="shared" si="16"/>
        <v>5040</v>
      </c>
      <c r="X22" s="9">
        <f t="shared" si="19"/>
        <v>-975.70236698510837</v>
      </c>
      <c r="Y22" s="2">
        <f t="shared" si="19"/>
        <v>95252000.366773382</v>
      </c>
      <c r="Z22" s="2">
        <f t="shared" si="6"/>
        <v>-1.402067819828285E-2</v>
      </c>
      <c r="AA22" s="2">
        <f t="shared" si="7"/>
        <v>-1.4097691683572333E-2</v>
      </c>
      <c r="AB22" s="2">
        <f t="shared" si="8"/>
        <v>-1.4097691993541779E-2</v>
      </c>
      <c r="AC22" s="2">
        <f t="shared" si="9"/>
        <v>-1.417545783984667E-2</v>
      </c>
      <c r="AD22" s="2">
        <f t="shared" si="10"/>
        <v>-980.77758118864983</v>
      </c>
      <c r="AE22" s="10">
        <f t="shared" si="11"/>
        <v>94899833.976102099</v>
      </c>
    </row>
    <row r="23" spans="1:31" x14ac:dyDescent="0.25">
      <c r="A23" s="1">
        <f t="shared" si="12"/>
        <v>6.25E-2</v>
      </c>
      <c r="B23" s="7">
        <f t="shared" si="13"/>
        <v>101157335.33058657</v>
      </c>
      <c r="C23" s="7">
        <f t="shared" si="14"/>
        <v>94899833.976102099</v>
      </c>
      <c r="D23" s="7"/>
      <c r="E23" s="7"/>
      <c r="F23" s="7"/>
      <c r="G23" s="7"/>
      <c r="H23" s="7"/>
      <c r="I23" s="7"/>
      <c r="J23" s="7"/>
      <c r="L23" s="1">
        <f t="shared" si="17"/>
        <v>6.25E-2</v>
      </c>
      <c r="M23">
        <f t="shared" si="15"/>
        <v>5400</v>
      </c>
      <c r="N23" s="9">
        <f t="shared" si="18"/>
        <v>-1676.6396931168363</v>
      </c>
      <c r="O23" s="7">
        <f t="shared" si="18"/>
        <v>101157335.33058657</v>
      </c>
      <c r="P23" s="2">
        <f t="shared" si="0"/>
        <v>-1.5110158598551388E-2</v>
      </c>
      <c r="Q23" s="2">
        <f t="shared" si="1"/>
        <v>-1.5176767794188343E-2</v>
      </c>
      <c r="R23" s="2">
        <f t="shared" si="2"/>
        <v>-1.5176768177224347E-2</v>
      </c>
      <c r="S23" s="2">
        <f t="shared" si="3"/>
        <v>-1.5243947201616301E-2</v>
      </c>
      <c r="T23" s="9">
        <f t="shared" si="4"/>
        <v>-1682.103363781416</v>
      </c>
      <c r="U23" s="7">
        <f t="shared" si="5"/>
        <v>100552761.58034489</v>
      </c>
      <c r="W23">
        <f t="shared" si="16"/>
        <v>5400</v>
      </c>
      <c r="X23" s="9">
        <f t="shared" si="19"/>
        <v>-980.77758118864983</v>
      </c>
      <c r="Y23" s="2">
        <f t="shared" si="19"/>
        <v>94899833.976102099</v>
      </c>
      <c r="Z23" s="2">
        <f t="shared" si="6"/>
        <v>-1.4175457841676843E-2</v>
      </c>
      <c r="AA23" s="2">
        <f t="shared" si="7"/>
        <v>-1.4253985841435956E-2</v>
      </c>
      <c r="AB23" s="2">
        <f t="shared" si="8"/>
        <v>-1.4253986162254002E-2</v>
      </c>
      <c r="AC23" s="2">
        <f t="shared" si="9"/>
        <v>-1.4333287558061812E-2</v>
      </c>
      <c r="AD23" s="2">
        <f t="shared" si="10"/>
        <v>-985.90906255307698</v>
      </c>
      <c r="AE23" s="10">
        <f t="shared" si="11"/>
        <v>94545830.380228594</v>
      </c>
    </row>
    <row r="24" spans="1:31" x14ac:dyDescent="0.25">
      <c r="A24" s="1">
        <f t="shared" si="12"/>
        <v>6.6666666666666666E-2</v>
      </c>
      <c r="B24" s="7">
        <f t="shared" si="13"/>
        <v>100552761.58034489</v>
      </c>
      <c r="C24" s="7">
        <f t="shared" si="14"/>
        <v>94545830.380228594</v>
      </c>
      <c r="D24" s="7"/>
      <c r="E24" s="7"/>
      <c r="F24" s="7"/>
      <c r="G24" s="7"/>
      <c r="H24" s="7"/>
      <c r="I24" s="7"/>
      <c r="J24" s="7"/>
      <c r="L24" s="1">
        <f t="shared" si="17"/>
        <v>6.6666666666666666E-2</v>
      </c>
      <c r="M24">
        <f t="shared" si="15"/>
        <v>5760</v>
      </c>
      <c r="N24" s="9">
        <f t="shared" si="18"/>
        <v>-1682.103363781416</v>
      </c>
      <c r="O24" s="7">
        <f t="shared" si="18"/>
        <v>100552761.58034489</v>
      </c>
      <c r="P24" s="2">
        <f t="shared" si="0"/>
        <v>-1.5243947204061227E-2</v>
      </c>
      <c r="Q24" s="2">
        <f t="shared" si="1"/>
        <v>-1.5311702358613092E-2</v>
      </c>
      <c r="R24" s="2">
        <f t="shared" si="2"/>
        <v>-1.5311702754313462E-2</v>
      </c>
      <c r="S24" s="2">
        <f t="shared" si="3"/>
        <v>-1.5380042013632919E-2</v>
      </c>
      <c r="T24" s="9">
        <f t="shared" si="4"/>
        <v>-1687.6156117480289</v>
      </c>
      <c r="U24" s="7">
        <f t="shared" si="5"/>
        <v>99946212.164749593</v>
      </c>
      <c r="W24">
        <f t="shared" si="16"/>
        <v>5760</v>
      </c>
      <c r="X24" s="9">
        <f t="shared" si="19"/>
        <v>-985.90906255307698</v>
      </c>
      <c r="Y24" s="2">
        <f t="shared" si="19"/>
        <v>94545830.380228594</v>
      </c>
      <c r="Z24" s="2">
        <f t="shared" si="6"/>
        <v>-1.4333287559971458E-2</v>
      </c>
      <c r="AA24" s="2">
        <f t="shared" si="7"/>
        <v>-1.4413372500376205E-2</v>
      </c>
      <c r="AB24" s="2">
        <f t="shared" si="8"/>
        <v>-1.4413372832517417E-2</v>
      </c>
      <c r="AC24" s="2">
        <f t="shared" si="9"/>
        <v>-1.4494252968993997E-2</v>
      </c>
      <c r="AD24" s="2">
        <f t="shared" si="10"/>
        <v>-991.09792442476214</v>
      </c>
      <c r="AE24" s="10">
        <f t="shared" si="11"/>
        <v>94189969.122572586</v>
      </c>
    </row>
    <row r="25" spans="1:31" x14ac:dyDescent="0.25">
      <c r="A25" s="1">
        <f t="shared" si="12"/>
        <v>7.0833333333333331E-2</v>
      </c>
      <c r="B25" s="7">
        <f t="shared" si="13"/>
        <v>99946212.164749593</v>
      </c>
      <c r="C25" s="7">
        <f t="shared" si="14"/>
        <v>94189969.122572586</v>
      </c>
      <c r="D25" s="7"/>
      <c r="E25" s="7"/>
      <c r="F25" s="7"/>
      <c r="G25" s="7"/>
      <c r="H25" s="7"/>
      <c r="I25" s="7"/>
      <c r="J25" s="7"/>
      <c r="L25" s="1">
        <f t="shared" si="17"/>
        <v>7.0833333333333331E-2</v>
      </c>
      <c r="M25">
        <f t="shared" si="15"/>
        <v>6120</v>
      </c>
      <c r="N25" s="9">
        <f t="shared" si="18"/>
        <v>-1687.6156117480289</v>
      </c>
      <c r="O25" s="7">
        <f t="shared" si="18"/>
        <v>99946212.164749593</v>
      </c>
      <c r="P25" s="2">
        <f t="shared" si="0"/>
        <v>-1.5380042016179794E-2</v>
      </c>
      <c r="Q25" s="2">
        <f t="shared" si="1"/>
        <v>-1.5448971889239656E-2</v>
      </c>
      <c r="R25" s="2">
        <f t="shared" si="2"/>
        <v>-1.5448972298133795E-2</v>
      </c>
      <c r="S25" s="2">
        <f t="shared" si="3"/>
        <v>-1.5518501023561752E-2</v>
      </c>
      <c r="T25" s="9">
        <f t="shared" si="4"/>
        <v>-1693.1772776328983</v>
      </c>
      <c r="U25" s="7">
        <f t="shared" si="5"/>
        <v>99337669.444661021</v>
      </c>
      <c r="W25">
        <f t="shared" si="16"/>
        <v>6120</v>
      </c>
      <c r="X25" s="9">
        <f t="shared" si="19"/>
        <v>-991.09792442476214</v>
      </c>
      <c r="Y25" s="2">
        <f t="shared" si="19"/>
        <v>94189969.122572586</v>
      </c>
      <c r="Z25" s="2">
        <f t="shared" si="6"/>
        <v>-1.4494252970987248E-2</v>
      </c>
      <c r="AA25" s="2">
        <f t="shared" si="7"/>
        <v>-1.4575938824159258E-2</v>
      </c>
      <c r="AB25" s="2">
        <f t="shared" si="8"/>
        <v>-1.4575939168123176E-2</v>
      </c>
      <c r="AC25" s="2">
        <f t="shared" si="9"/>
        <v>-1.465844281670905E-2</v>
      </c>
      <c r="AD25" s="2">
        <f t="shared" si="10"/>
        <v>-996.34531153109776</v>
      </c>
      <c r="AE25" s="10">
        <f t="shared" si="11"/>
        <v>93832229.340100527</v>
      </c>
    </row>
    <row r="26" spans="1:31" x14ac:dyDescent="0.25">
      <c r="A26" s="1">
        <f t="shared" si="12"/>
        <v>7.4999999999999997E-2</v>
      </c>
      <c r="B26" s="7">
        <f t="shared" si="13"/>
        <v>99337669.444661021</v>
      </c>
      <c r="C26" s="7">
        <f t="shared" si="14"/>
        <v>93832229.340100527</v>
      </c>
      <c r="D26" s="7"/>
      <c r="E26" s="7"/>
      <c r="F26" s="7"/>
      <c r="G26" s="7"/>
      <c r="H26" s="7"/>
      <c r="I26" s="7"/>
      <c r="J26" s="7"/>
      <c r="L26" s="1">
        <f t="shared" si="17"/>
        <v>7.4999999999999997E-2</v>
      </c>
      <c r="M26">
        <f t="shared" si="15"/>
        <v>6480</v>
      </c>
      <c r="N26" s="9">
        <f t="shared" ref="N26:O55" si="20">T25</f>
        <v>-1693.1772776328983</v>
      </c>
      <c r="O26" s="7">
        <f t="shared" si="20"/>
        <v>99337669.444661021</v>
      </c>
      <c r="P26" s="2">
        <f t="shared" si="0"/>
        <v>-1.5518501026215719E-2</v>
      </c>
      <c r="Q26" s="2">
        <f t="shared" si="1"/>
        <v>-1.5588635329039148E-2</v>
      </c>
      <c r="R26" s="2">
        <f t="shared" si="2"/>
        <v>-1.558863575168328E-2</v>
      </c>
      <c r="S26" s="2">
        <f t="shared" si="3"/>
        <v>-1.5659384145439964E-2</v>
      </c>
      <c r="T26" s="9">
        <f t="shared" si="4"/>
        <v>-1698.7892232728843</v>
      </c>
      <c r="U26" s="7">
        <f t="shared" si="5"/>
        <v>98727115.474497974</v>
      </c>
      <c r="W26">
        <f t="shared" si="16"/>
        <v>6480</v>
      </c>
      <c r="X26" s="9">
        <f t="shared" ref="X26:Y55" si="21">AD25</f>
        <v>-996.34531153109776</v>
      </c>
      <c r="Y26" s="2">
        <f t="shared" si="21"/>
        <v>93832229.340100527</v>
      </c>
      <c r="Z26" s="2">
        <f t="shared" si="6"/>
        <v>-1.4658442818790328E-2</v>
      </c>
      <c r="AA26" s="2">
        <f t="shared" si="7"/>
        <v>-1.4741775172308007E-2</v>
      </c>
      <c r="AB26" s="2">
        <f t="shared" si="8"/>
        <v>-1.4741775528620594E-2</v>
      </c>
      <c r="AC26" s="2">
        <f t="shared" si="9"/>
        <v>-1.4825949112378771E-2</v>
      </c>
      <c r="AD26" s="2">
        <f t="shared" si="10"/>
        <v>-1001.6524011310794</v>
      </c>
      <c r="AE26" s="10">
        <f t="shared" si="11"/>
        <v>93472589.751821339</v>
      </c>
    </row>
    <row r="27" spans="1:31" x14ac:dyDescent="0.25">
      <c r="A27" s="1">
        <f t="shared" si="12"/>
        <v>7.9166666666666663E-2</v>
      </c>
      <c r="B27" s="7">
        <f t="shared" si="13"/>
        <v>98727115.474497974</v>
      </c>
      <c r="C27" s="7">
        <f t="shared" si="14"/>
        <v>93472589.751821339</v>
      </c>
      <c r="D27" s="7"/>
      <c r="E27" s="7"/>
      <c r="F27" s="7"/>
      <c r="G27" s="7"/>
      <c r="H27" s="7"/>
      <c r="I27" s="7"/>
      <c r="J27" s="7"/>
      <c r="L27" s="1">
        <f t="shared" si="17"/>
        <v>7.9166666666666663E-2</v>
      </c>
      <c r="M27">
        <f t="shared" si="15"/>
        <v>6840</v>
      </c>
      <c r="N27" s="9">
        <f t="shared" si="20"/>
        <v>-1698.7892232728843</v>
      </c>
      <c r="O27" s="7">
        <f t="shared" si="20"/>
        <v>98727115.474497974</v>
      </c>
      <c r="P27" s="2">
        <f t="shared" si="0"/>
        <v>-1.5659384148206484E-2</v>
      </c>
      <c r="Q27" s="2">
        <f t="shared" si="1"/>
        <v>-1.5730753582880248E-2</v>
      </c>
      <c r="R27" s="2">
        <f t="shared" si="2"/>
        <v>-1.5730754019858906E-2</v>
      </c>
      <c r="S27" s="2">
        <f t="shared" si="3"/>
        <v>-1.5802753295326336E-2</v>
      </c>
      <c r="T27" s="9">
        <f t="shared" si="4"/>
        <v>-1704.452332431825</v>
      </c>
      <c r="U27" s="7">
        <f t="shared" si="5"/>
        <v>98114531.994471133</v>
      </c>
      <c r="W27">
        <f t="shared" si="16"/>
        <v>6840</v>
      </c>
      <c r="X27" s="9">
        <f t="shared" si="21"/>
        <v>-1001.6524011310794</v>
      </c>
      <c r="Y27" s="2">
        <f t="shared" si="21"/>
        <v>93472589.751821339</v>
      </c>
      <c r="Z27" s="2">
        <f t="shared" si="6"/>
        <v>-1.4825949114552735E-2</v>
      </c>
      <c r="AA27" s="2">
        <f t="shared" si="7"/>
        <v>-1.4910975244688594E-2</v>
      </c>
      <c r="AB27" s="2">
        <f t="shared" si="8"/>
        <v>-1.4910975613903936E-2</v>
      </c>
      <c r="AC27" s="2">
        <f t="shared" si="9"/>
        <v>-1.4996867282708083E-2</v>
      </c>
      <c r="AD27" s="2">
        <f t="shared" si="10"/>
        <v>-1007.0204042179462</v>
      </c>
      <c r="AE27" s="10">
        <f t="shared" si="11"/>
        <v>93111028.646858513</v>
      </c>
    </row>
    <row r="28" spans="1:31" x14ac:dyDescent="0.25">
      <c r="A28" s="1">
        <f t="shared" si="12"/>
        <v>8.3333333333333329E-2</v>
      </c>
      <c r="B28" s="7">
        <f t="shared" si="13"/>
        <v>98114531.994471133</v>
      </c>
      <c r="C28" s="7">
        <f t="shared" si="14"/>
        <v>93111028.646858513</v>
      </c>
      <c r="D28" s="7"/>
      <c r="E28" s="7"/>
      <c r="F28" s="7"/>
      <c r="G28" s="7"/>
      <c r="H28" s="7"/>
      <c r="I28" s="7"/>
      <c r="J28" s="7"/>
      <c r="L28" s="1">
        <f t="shared" si="17"/>
        <v>8.3333333333333329E-2</v>
      </c>
      <c r="M28">
        <f t="shared" si="15"/>
        <v>7200</v>
      </c>
      <c r="N28" s="9">
        <f t="shared" si="20"/>
        <v>-1704.452332431825</v>
      </c>
      <c r="O28" s="7">
        <f t="shared" si="20"/>
        <v>98114531.994471133</v>
      </c>
      <c r="P28" s="2">
        <f t="shared" si="0"/>
        <v>-1.5802753298211174E-2</v>
      </c>
      <c r="Q28" s="2">
        <f t="shared" si="1"/>
        <v>-1.5875389598753141E-2</v>
      </c>
      <c r="R28" s="2">
        <f t="shared" si="2"/>
        <v>-1.5875390050680963E-2</v>
      </c>
      <c r="S28" s="2">
        <f t="shared" si="3"/>
        <v>-1.5948672474511396E-2</v>
      </c>
      <c r="T28" s="9">
        <f t="shared" si="4"/>
        <v>-1710.1675115361204</v>
      </c>
      <c r="U28" s="7">
        <f t="shared" si="5"/>
        <v>97499900.422556907</v>
      </c>
      <c r="W28">
        <f t="shared" si="16"/>
        <v>7200</v>
      </c>
      <c r="X28" s="9">
        <f t="shared" si="21"/>
        <v>-1007.0204042179462</v>
      </c>
      <c r="Y28" s="2">
        <f t="shared" si="21"/>
        <v>93111028.646858513</v>
      </c>
      <c r="Z28" s="2">
        <f t="shared" si="6"/>
        <v>-1.4996867284979719E-2</v>
      </c>
      <c r="AA28" s="2">
        <f t="shared" si="7"/>
        <v>-1.5083636233896282E-2</v>
      </c>
      <c r="AB28" s="2">
        <f t="shared" si="8"/>
        <v>-1.5083636616598325E-2</v>
      </c>
      <c r="AC28" s="2">
        <f t="shared" si="9"/>
        <v>-1.5171296326402111E-2</v>
      </c>
      <c r="AD28" s="2">
        <f t="shared" si="10"/>
        <v>-1012.4505667766884</v>
      </c>
      <c r="AE28" s="10">
        <f t="shared" si="11"/>
        <v>92747523.872079477</v>
      </c>
    </row>
    <row r="29" spans="1:31" x14ac:dyDescent="0.25">
      <c r="A29" s="1">
        <f t="shared" si="12"/>
        <v>8.7499999999999994E-2</v>
      </c>
      <c r="B29" s="7">
        <f t="shared" si="13"/>
        <v>97499900.422556907</v>
      </c>
      <c r="C29" s="7">
        <f t="shared" si="14"/>
        <v>92747523.872079477</v>
      </c>
      <c r="D29" s="7"/>
      <c r="E29" s="7"/>
      <c r="F29" s="7"/>
      <c r="G29" s="7"/>
      <c r="H29" s="7"/>
      <c r="I29" s="7"/>
      <c r="J29" s="7"/>
      <c r="L29" s="1">
        <f t="shared" si="17"/>
        <v>8.7499999999999994E-2</v>
      </c>
      <c r="M29">
        <f t="shared" si="15"/>
        <v>7560</v>
      </c>
      <c r="N29" s="9">
        <f t="shared" si="20"/>
        <v>-1710.1675115361204</v>
      </c>
      <c r="O29" s="7">
        <f t="shared" si="20"/>
        <v>97499900.422556907</v>
      </c>
      <c r="P29" s="2">
        <f t="shared" si="0"/>
        <v>-1.5948672477520708E-2</v>
      </c>
      <c r="Q29" s="2">
        <f t="shared" si="1"/>
        <v>-1.6022608453022186E-2</v>
      </c>
      <c r="R29" s="2">
        <f t="shared" si="2"/>
        <v>-1.6022608920545658E-2</v>
      </c>
      <c r="S29" s="2">
        <f t="shared" si="3"/>
        <v>-1.6097207856870951E-2</v>
      </c>
      <c r="T29" s="9">
        <f t="shared" si="4"/>
        <v>-1715.935690441012</v>
      </c>
      <c r="U29" s="7">
        <f t="shared" si="5"/>
        <v>96883201.846201017</v>
      </c>
      <c r="W29">
        <f t="shared" si="16"/>
        <v>7560</v>
      </c>
      <c r="X29" s="9">
        <f t="shared" si="21"/>
        <v>-1012.4505667766884</v>
      </c>
      <c r="Y29" s="2">
        <f t="shared" si="21"/>
        <v>92747523.872079477</v>
      </c>
      <c r="Z29" s="2">
        <f t="shared" si="6"/>
        <v>-1.5171296328776684E-2</v>
      </c>
      <c r="AA29" s="2">
        <f t="shared" si="7"/>
        <v>-1.5259858985930035E-2</v>
      </c>
      <c r="AB29" s="2">
        <f t="shared" si="8"/>
        <v>-1.5259859382734456E-2</v>
      </c>
      <c r="AC29" s="2">
        <f t="shared" si="9"/>
        <v>-1.5349338979179636E-2</v>
      </c>
      <c r="AD29" s="2">
        <f t="shared" si="10"/>
        <v>-1017.9441710994056</v>
      </c>
      <c r="AE29" s="10">
        <f t="shared" si="11"/>
        <v>92382052.819261774</v>
      </c>
    </row>
    <row r="30" spans="1:31" x14ac:dyDescent="0.25">
      <c r="A30" s="1">
        <f t="shared" si="12"/>
        <v>9.166666666666666E-2</v>
      </c>
      <c r="B30" s="7">
        <f t="shared" si="13"/>
        <v>96883201.846201017</v>
      </c>
      <c r="C30" s="7">
        <f t="shared" si="14"/>
        <v>92382052.819261774</v>
      </c>
      <c r="D30" s="7"/>
      <c r="E30" s="7"/>
      <c r="F30" s="7"/>
      <c r="G30" s="7"/>
      <c r="H30" s="7"/>
      <c r="I30" s="7"/>
      <c r="J30" s="7"/>
      <c r="L30" s="1">
        <f t="shared" si="17"/>
        <v>9.166666666666666E-2</v>
      </c>
      <c r="M30">
        <f t="shared" si="15"/>
        <v>7920</v>
      </c>
      <c r="N30" s="9">
        <f t="shared" si="20"/>
        <v>-1715.935690441012</v>
      </c>
      <c r="O30" s="7">
        <f t="shared" si="20"/>
        <v>96883201.846201017</v>
      </c>
      <c r="P30" s="2">
        <f t="shared" si="0"/>
        <v>-1.6097207860011242E-2</v>
      </c>
      <c r="Q30" s="2">
        <f t="shared" si="1"/>
        <v>-1.6172477439940131E-2</v>
      </c>
      <c r="R30" s="2">
        <f t="shared" si="2"/>
        <v>-1.6172477923739558E-2</v>
      </c>
      <c r="S30" s="2">
        <f t="shared" si="3"/>
        <v>-1.6248427880603464E-2</v>
      </c>
      <c r="T30" s="9">
        <f t="shared" si="4"/>
        <v>-1721.7578232290905</v>
      </c>
      <c r="U30" s="7">
        <f t="shared" si="5"/>
        <v>96264417.013740405</v>
      </c>
      <c r="W30">
        <f t="shared" si="16"/>
        <v>7920</v>
      </c>
      <c r="X30" s="9">
        <f t="shared" si="21"/>
        <v>-1017.9441710994056</v>
      </c>
      <c r="Y30" s="2">
        <f t="shared" si="21"/>
        <v>92382052.819261774</v>
      </c>
      <c r="Z30" s="2">
        <f t="shared" si="6"/>
        <v>-1.534933898166275E-2</v>
      </c>
      <c r="AA30" s="2">
        <f t="shared" si="7"/>
        <v>-1.5439748169680436E-2</v>
      </c>
      <c r="AB30" s="2">
        <f t="shared" si="8"/>
        <v>-1.5439748581236678E-2</v>
      </c>
      <c r="AC30" s="2">
        <f t="shared" si="9"/>
        <v>-1.5531101887876413E-2</v>
      </c>
      <c r="AD30" s="2">
        <f t="shared" si="10"/>
        <v>-1023.502537161688</v>
      </c>
      <c r="AE30" s="10">
        <f t="shared" si="11"/>
        <v>92014592.411774784</v>
      </c>
    </row>
    <row r="31" spans="1:31" x14ac:dyDescent="0.25">
      <c r="A31" s="1">
        <f t="shared" si="12"/>
        <v>9.583333333333334E-2</v>
      </c>
      <c r="B31" s="7">
        <f t="shared" si="13"/>
        <v>96264417.013740405</v>
      </c>
      <c r="C31" s="7">
        <f t="shared" si="14"/>
        <v>92014592.411774784</v>
      </c>
      <c r="D31" s="7"/>
      <c r="E31" s="7"/>
      <c r="F31" s="7"/>
      <c r="G31" s="7"/>
      <c r="H31" s="7"/>
      <c r="I31" s="7"/>
      <c r="J31" s="7"/>
      <c r="L31" s="1">
        <f t="shared" si="17"/>
        <v>9.583333333333334E-2</v>
      </c>
      <c r="M31">
        <f t="shared" si="15"/>
        <v>8280</v>
      </c>
      <c r="N31" s="9">
        <f t="shared" si="20"/>
        <v>-1721.7578232290905</v>
      </c>
      <c r="O31" s="7">
        <f t="shared" si="20"/>
        <v>96264417.013740405</v>
      </c>
      <c r="P31" s="2">
        <f t="shared" si="0"/>
        <v>-1.624842788388163E-2</v>
      </c>
      <c r="Q31" s="2">
        <f t="shared" si="1"/>
        <v>-1.6325066165672614E-2</v>
      </c>
      <c r="R31" s="2">
        <f t="shared" si="2"/>
        <v>-1.6325066666464202E-2</v>
      </c>
      <c r="S31" s="2">
        <f t="shared" si="3"/>
        <v>-1.6402403344608255E-2</v>
      </c>
      <c r="T31" s="9">
        <f t="shared" si="4"/>
        <v>-1727.6348890426564</v>
      </c>
      <c r="U31" s="7">
        <f t="shared" si="5"/>
        <v>95643526.325531498</v>
      </c>
      <c r="W31">
        <f t="shared" si="16"/>
        <v>8280</v>
      </c>
      <c r="X31" s="9">
        <f t="shared" si="21"/>
        <v>-1023.502537161688</v>
      </c>
      <c r="Y31" s="2">
        <f t="shared" si="21"/>
        <v>92014592.411774784</v>
      </c>
      <c r="Z31" s="2">
        <f t="shared" si="6"/>
        <v>-1.5531101890474035E-2</v>
      </c>
      <c r="AA31" s="2">
        <f t="shared" si="7"/>
        <v>-1.562341245579371E-2</v>
      </c>
      <c r="AB31" s="2">
        <f t="shared" si="8"/>
        <v>-1.5623412882787133E-2</v>
      </c>
      <c r="AC31" s="2">
        <f t="shared" si="9"/>
        <v>-1.5716695794220924E-2</v>
      </c>
      <c r="AD31" s="2">
        <f t="shared" si="10"/>
        <v>-1029.1270240633994</v>
      </c>
      <c r="AE31" s="10">
        <f t="shared" si="11"/>
        <v>91645119.090754271</v>
      </c>
    </row>
    <row r="32" spans="1:31" x14ac:dyDescent="0.25">
      <c r="A32" s="1">
        <f t="shared" si="12"/>
        <v>0.1</v>
      </c>
      <c r="B32" s="7">
        <f t="shared" si="13"/>
        <v>95643526.325531498</v>
      </c>
      <c r="C32" s="7">
        <f t="shared" si="14"/>
        <v>91645119.090754271</v>
      </c>
      <c r="D32" s="7"/>
      <c r="E32" s="7"/>
      <c r="F32" s="7"/>
      <c r="G32" s="7"/>
      <c r="H32" s="7"/>
      <c r="I32" s="7"/>
      <c r="J32" s="7"/>
      <c r="L32" s="1">
        <f t="shared" si="17"/>
        <v>0.1</v>
      </c>
      <c r="M32">
        <f t="shared" si="15"/>
        <v>8640</v>
      </c>
      <c r="N32" s="9">
        <f t="shared" si="20"/>
        <v>-1727.6348890426564</v>
      </c>
      <c r="O32" s="7">
        <f t="shared" si="20"/>
        <v>95643526.325531498</v>
      </c>
      <c r="P32" s="2">
        <f t="shared" si="0"/>
        <v>-1.6402403348031638E-2</v>
      </c>
      <c r="Q32" s="2">
        <f t="shared" si="1"/>
        <v>-1.6480446647098208E-2</v>
      </c>
      <c r="R32" s="2">
        <f t="shared" si="2"/>
        <v>-1.6480447165636295E-2</v>
      </c>
      <c r="S32" s="2">
        <f t="shared" si="3"/>
        <v>-1.6559207509778285E-2</v>
      </c>
      <c r="T32" s="9">
        <f t="shared" si="4"/>
        <v>-1733.567892951653</v>
      </c>
      <c r="U32" s="7">
        <f t="shared" si="5"/>
        <v>95020509.824772522</v>
      </c>
      <c r="W32">
        <f t="shared" si="16"/>
        <v>8640</v>
      </c>
      <c r="X32" s="9">
        <f t="shared" si="21"/>
        <v>-1029.1270240633994</v>
      </c>
      <c r="Y32" s="2">
        <f t="shared" si="21"/>
        <v>91645119.090754271</v>
      </c>
      <c r="Z32" s="2">
        <f t="shared" si="6"/>
        <v>-1.571669579693942E-2</v>
      </c>
      <c r="AA32" s="2">
        <f t="shared" si="7"/>
        <v>-1.5810964705515299E-2</v>
      </c>
      <c r="AB32" s="2">
        <f t="shared" si="8"/>
        <v>-1.5810965148669493E-2</v>
      </c>
      <c r="AC32" s="2">
        <f t="shared" si="9"/>
        <v>-1.5906235728908199E-2</v>
      </c>
      <c r="AD32" s="2">
        <f t="shared" si="10"/>
        <v>-1034.8190315374525</v>
      </c>
      <c r="AE32" s="10">
        <f t="shared" si="11"/>
        <v>91273608.800746113</v>
      </c>
    </row>
    <row r="33" spans="1:31" x14ac:dyDescent="0.25">
      <c r="A33" s="1">
        <f t="shared" si="12"/>
        <v>0.10416666666666667</v>
      </c>
      <c r="B33" s="7">
        <f t="shared" si="13"/>
        <v>95020509.824772522</v>
      </c>
      <c r="C33" s="7">
        <f t="shared" si="14"/>
        <v>91273608.800746113</v>
      </c>
      <c r="D33" s="7"/>
      <c r="E33" s="7"/>
      <c r="F33" s="7"/>
      <c r="G33" s="7"/>
      <c r="H33" s="7"/>
      <c r="I33" s="7"/>
      <c r="J33" s="7"/>
      <c r="L33" s="1">
        <f t="shared" si="17"/>
        <v>0.10416666666666667</v>
      </c>
      <c r="M33">
        <f t="shared" si="15"/>
        <v>9000</v>
      </c>
      <c r="N33" s="9">
        <f t="shared" si="20"/>
        <v>-1733.567892951653</v>
      </c>
      <c r="O33" s="7">
        <f t="shared" si="20"/>
        <v>95020509.824772522</v>
      </c>
      <c r="P33" s="2">
        <f t="shared" si="0"/>
        <v>-1.6559207513354678E-2</v>
      </c>
      <c r="Q33" s="2">
        <f t="shared" si="1"/>
        <v>-1.6638693415666785E-2</v>
      </c>
      <c r="R33" s="2">
        <f t="shared" si="2"/>
        <v>-1.6638693952746187E-2</v>
      </c>
      <c r="S33" s="2">
        <f t="shared" si="3"/>
        <v>-1.6718916205500048E-2</v>
      </c>
      <c r="T33" s="9">
        <f t="shared" si="4"/>
        <v>-1739.5578668589937</v>
      </c>
      <c r="U33" s="7">
        <f t="shared" si="5"/>
        <v>94395347.18800661</v>
      </c>
      <c r="W33">
        <f t="shared" si="16"/>
        <v>9000</v>
      </c>
      <c r="X33" s="9">
        <f t="shared" si="21"/>
        <v>-1034.8190315374525</v>
      </c>
      <c r="Y33" s="2">
        <f t="shared" si="21"/>
        <v>91273608.800746113</v>
      </c>
      <c r="Z33" s="2">
        <f t="shared" si="6"/>
        <v>-1.5906235731754335E-2</v>
      </c>
      <c r="AA33" s="2">
        <f t="shared" si="7"/>
        <v>-1.6002522170161279E-2</v>
      </c>
      <c r="AB33" s="2">
        <f t="shared" si="8"/>
        <v>-1.6002522630240597E-2</v>
      </c>
      <c r="AC33" s="2">
        <f t="shared" si="9"/>
        <v>-1.6099841216643065E-2</v>
      </c>
      <c r="AD33" s="2">
        <f t="shared" si="10"/>
        <v>-1040.5800015304046</v>
      </c>
      <c r="AE33" s="10">
        <f t="shared" si="11"/>
        <v>90900036.974793896</v>
      </c>
    </row>
    <row r="34" spans="1:31" x14ac:dyDescent="0.25">
      <c r="A34" s="1">
        <f t="shared" si="12"/>
        <v>0.10833333333333334</v>
      </c>
      <c r="B34" s="7">
        <f t="shared" si="13"/>
        <v>94395347.18800661</v>
      </c>
      <c r="C34" s="7">
        <f t="shared" si="14"/>
        <v>90900036.974793896</v>
      </c>
      <c r="D34" s="7"/>
      <c r="E34" s="7"/>
      <c r="F34" s="7"/>
      <c r="G34" s="7"/>
      <c r="H34" s="7"/>
      <c r="I34" s="7"/>
      <c r="J34" s="7"/>
      <c r="L34" s="1">
        <f t="shared" si="17"/>
        <v>0.10833333333333334</v>
      </c>
      <c r="M34">
        <f t="shared" si="15"/>
        <v>9360</v>
      </c>
      <c r="N34" s="9">
        <f t="shared" si="20"/>
        <v>-1739.5578668589937</v>
      </c>
      <c r="O34" s="7">
        <f t="shared" si="20"/>
        <v>94395347.18800661</v>
      </c>
      <c r="P34" s="2">
        <f t="shared" si="0"/>
        <v>-1.6718916209237739E-2</v>
      </c>
      <c r="Q34" s="2">
        <f t="shared" si="1"/>
        <v>-1.6799883626618623E-2</v>
      </c>
      <c r="R34" s="2">
        <f t="shared" si="2"/>
        <v>-1.6799884183077225E-2</v>
      </c>
      <c r="S34" s="2">
        <f t="shared" si="3"/>
        <v>-1.6881607941672885E-2</v>
      </c>
      <c r="T34" s="9">
        <f t="shared" si="4"/>
        <v>-1745.6058704452118</v>
      </c>
      <c r="U34" s="7">
        <f t="shared" si="5"/>
        <v>93768017.715291858</v>
      </c>
      <c r="W34">
        <f t="shared" si="16"/>
        <v>9360</v>
      </c>
      <c r="X34" s="9">
        <f t="shared" si="21"/>
        <v>-1040.5800015304046</v>
      </c>
      <c r="Y34" s="2">
        <f t="shared" si="21"/>
        <v>90900036.974793896</v>
      </c>
      <c r="Z34" s="2">
        <f t="shared" si="6"/>
        <v>-1.6099841219624045E-2</v>
      </c>
      <c r="AA34" s="2">
        <f t="shared" si="7"/>
        <v>-1.6198206701913617E-2</v>
      </c>
      <c r="AB34" s="2">
        <f t="shared" si="8"/>
        <v>-1.6198207179725827E-2</v>
      </c>
      <c r="AC34" s="2">
        <f t="shared" si="9"/>
        <v>-1.6297636492874787E-2</v>
      </c>
      <c r="AD34" s="2">
        <f t="shared" si="10"/>
        <v>-1046.4114198589514</v>
      </c>
      <c r="AE34" s="10">
        <f t="shared" si="11"/>
        <v>90524378.518943816</v>
      </c>
    </row>
    <row r="35" spans="1:31" x14ac:dyDescent="0.25">
      <c r="A35" s="1">
        <f t="shared" si="12"/>
        <v>0.1125</v>
      </c>
      <c r="B35" s="7">
        <f t="shared" si="13"/>
        <v>93768017.715291858</v>
      </c>
      <c r="C35" s="7">
        <f t="shared" si="14"/>
        <v>90524378.518943816</v>
      </c>
      <c r="D35" s="7"/>
      <c r="E35" s="7"/>
      <c r="F35" s="7"/>
      <c r="G35" s="7"/>
      <c r="H35" s="7"/>
      <c r="I35" s="7"/>
      <c r="J35" s="7"/>
      <c r="L35" s="1">
        <f t="shared" si="17"/>
        <v>0.1125</v>
      </c>
      <c r="M35">
        <f t="shared" si="15"/>
        <v>9720</v>
      </c>
      <c r="N35" s="9">
        <f t="shared" si="20"/>
        <v>-1745.6058704452118</v>
      </c>
      <c r="O35" s="7">
        <f t="shared" si="20"/>
        <v>93768017.715291858</v>
      </c>
      <c r="P35" s="2">
        <f t="shared" si="0"/>
        <v>-1.6881607945580683E-2</v>
      </c>
      <c r="Q35" s="2">
        <f t="shared" si="1"/>
        <v>-1.6964097173887003E-2</v>
      </c>
      <c r="R35" s="2">
        <f t="shared" si="2"/>
        <v>-1.6964097750608503E-2</v>
      </c>
      <c r="S35" s="2">
        <f t="shared" si="3"/>
        <v>-1.7047364026581517E-2</v>
      </c>
      <c r="T35" s="9">
        <f t="shared" si="4"/>
        <v>-1751.7129921544811</v>
      </c>
      <c r="U35" s="7">
        <f t="shared" si="5"/>
        <v>93138500.320023909</v>
      </c>
      <c r="W35">
        <f t="shared" si="16"/>
        <v>9720</v>
      </c>
      <c r="X35" s="9">
        <f t="shared" si="21"/>
        <v>-1046.4114198589514</v>
      </c>
      <c r="Y35" s="2">
        <f t="shared" si="21"/>
        <v>90524378.518943816</v>
      </c>
      <c r="Z35" s="2">
        <f t="shared" si="6"/>
        <v>-1.6297636495998295E-2</v>
      </c>
      <c r="AA35" s="2">
        <f t="shared" si="7"/>
        <v>-1.6398144976687692E-2</v>
      </c>
      <c r="AB35" s="2">
        <f t="shared" si="8"/>
        <v>-1.6398145473086861E-2</v>
      </c>
      <c r="AC35" s="2">
        <f t="shared" si="9"/>
        <v>-1.649975073299904E-2</v>
      </c>
      <c r="AD35" s="2">
        <f t="shared" si="10"/>
        <v>-1052.3148179466641</v>
      </c>
      <c r="AE35" s="10">
        <f t="shared" si="11"/>
        <v>90146607.796138808</v>
      </c>
    </row>
    <row r="36" spans="1:31" x14ac:dyDescent="0.25">
      <c r="A36" s="1">
        <f t="shared" si="12"/>
        <v>0.11666666666666667</v>
      </c>
      <c r="B36" s="7">
        <f t="shared" si="13"/>
        <v>93138500.320023909</v>
      </c>
      <c r="C36" s="7">
        <f t="shared" si="14"/>
        <v>90146607.796138808</v>
      </c>
      <c r="D36" s="7"/>
      <c r="E36" s="7"/>
      <c r="F36" s="7"/>
      <c r="G36" s="7"/>
      <c r="H36" s="7"/>
      <c r="I36" s="7"/>
      <c r="J36" s="7"/>
      <c r="L36" s="1">
        <f t="shared" si="17"/>
        <v>0.11666666666666667</v>
      </c>
      <c r="M36">
        <f t="shared" si="15"/>
        <v>10080</v>
      </c>
      <c r="N36" s="9">
        <f t="shared" si="20"/>
        <v>-1751.7129921544811</v>
      </c>
      <c r="O36" s="7">
        <f t="shared" si="20"/>
        <v>93138500.320023909</v>
      </c>
      <c r="P36" s="2">
        <f t="shared" si="0"/>
        <v>-1.7047364030668796E-2</v>
      </c>
      <c r="Q36" s="2">
        <f t="shared" si="1"/>
        <v>-1.713141681102949E-2</v>
      </c>
      <c r="R36" s="2">
        <f t="shared" si="2"/>
        <v>-1.713141740894631E-2</v>
      </c>
      <c r="S36" s="2">
        <f t="shared" si="3"/>
        <v>-1.7216268690978611E-2</v>
      </c>
      <c r="T36" s="9">
        <f t="shared" si="4"/>
        <v>-1757.8803502241769</v>
      </c>
      <c r="U36" s="7">
        <f t="shared" si="5"/>
        <v>92506773.518395752</v>
      </c>
      <c r="W36">
        <f t="shared" si="16"/>
        <v>10080</v>
      </c>
      <c r="X36" s="9">
        <f t="shared" si="21"/>
        <v>-1052.3148179466641</v>
      </c>
      <c r="Y36" s="2">
        <f t="shared" si="21"/>
        <v>90146607.796138808</v>
      </c>
      <c r="Z36" s="2">
        <f t="shared" si="6"/>
        <v>-1.6499750736273286E-2</v>
      </c>
      <c r="AA36" s="2">
        <f t="shared" si="7"/>
        <v>-1.6602468729876928E-2</v>
      </c>
      <c r="AB36" s="2">
        <f t="shared" si="8"/>
        <v>-1.660246924576653E-2</v>
      </c>
      <c r="AC36" s="2">
        <f t="shared" si="9"/>
        <v>-1.670631829486207E-2</v>
      </c>
      <c r="AD36" s="2">
        <f t="shared" si="10"/>
        <v>-1058.2917746456094</v>
      </c>
      <c r="AE36" s="10">
        <f t="shared" si="11"/>
        <v>89766698.6094722</v>
      </c>
    </row>
    <row r="37" spans="1:31" x14ac:dyDescent="0.25">
      <c r="A37" s="1">
        <f t="shared" si="12"/>
        <v>0.12083333333333333</v>
      </c>
      <c r="B37" s="7">
        <f t="shared" si="13"/>
        <v>92506773.518395752</v>
      </c>
      <c r="C37" s="7">
        <f t="shared" si="14"/>
        <v>89766698.6094722</v>
      </c>
      <c r="D37" s="7"/>
      <c r="E37" s="7"/>
      <c r="F37" s="7"/>
      <c r="G37" s="7"/>
      <c r="H37" s="7"/>
      <c r="I37" s="7"/>
      <c r="J37" s="7"/>
      <c r="L37" s="1">
        <f t="shared" si="17"/>
        <v>0.12083333333333333</v>
      </c>
      <c r="M37">
        <f t="shared" si="15"/>
        <v>10440</v>
      </c>
      <c r="N37" s="9">
        <f t="shared" si="20"/>
        <v>-1757.8803502241769</v>
      </c>
      <c r="O37" s="7">
        <f t="shared" si="20"/>
        <v>92506773.518395752</v>
      </c>
      <c r="P37" s="2">
        <f t="shared" si="0"/>
        <v>-1.7216268695255364E-2</v>
      </c>
      <c r="Q37" s="2">
        <f t="shared" si="1"/>
        <v>-1.7301928278556845E-2</v>
      </c>
      <c r="R37" s="2">
        <f t="shared" si="2"/>
        <v>-1.7301928898653347E-2</v>
      </c>
      <c r="S37" s="2">
        <f t="shared" si="3"/>
        <v>-1.7388409218759303E-2</v>
      </c>
      <c r="T37" s="9">
        <f t="shared" si="4"/>
        <v>-1764.109093760283</v>
      </c>
      <c r="U37" s="7">
        <f t="shared" si="5"/>
        <v>91872815.418478549</v>
      </c>
      <c r="W37">
        <f t="shared" si="16"/>
        <v>10440</v>
      </c>
      <c r="X37" s="9">
        <f t="shared" si="21"/>
        <v>-1058.2917746456094</v>
      </c>
      <c r="Y37" s="2">
        <f t="shared" si="21"/>
        <v>89766698.6094722</v>
      </c>
      <c r="Z37" s="2">
        <f t="shared" si="6"/>
        <v>-1.6706318298295792E-2</v>
      </c>
      <c r="AA37" s="2">
        <f t="shared" si="7"/>
        <v>-1.6811315005840651E-2</v>
      </c>
      <c r="AB37" s="2">
        <f t="shared" si="8"/>
        <v>-1.6811315542176897E-2</v>
      </c>
      <c r="AC37" s="2">
        <f t="shared" si="9"/>
        <v>-1.6917478975465864E-2</v>
      </c>
      <c r="AD37" s="2">
        <f t="shared" si="10"/>
        <v>-1064.3439181477972</v>
      </c>
      <c r="AE37" s="10">
        <f t="shared" si="11"/>
        <v>89384624.184769392</v>
      </c>
    </row>
    <row r="38" spans="1:31" x14ac:dyDescent="0.25">
      <c r="A38" s="1">
        <f t="shared" si="12"/>
        <v>0.125</v>
      </c>
      <c r="B38" s="7">
        <f t="shared" si="13"/>
        <v>91872815.418478549</v>
      </c>
      <c r="C38" s="7">
        <f t="shared" si="14"/>
        <v>89384624.184769392</v>
      </c>
      <c r="D38" s="7"/>
      <c r="E38" s="7"/>
      <c r="F38" s="7"/>
      <c r="G38" s="7"/>
      <c r="H38" s="7"/>
      <c r="I38" s="7"/>
      <c r="J38" s="7"/>
      <c r="L38" s="1">
        <f t="shared" si="17"/>
        <v>0.125</v>
      </c>
      <c r="M38">
        <f t="shared" si="15"/>
        <v>10800</v>
      </c>
      <c r="N38" s="9">
        <f t="shared" si="20"/>
        <v>-1764.109093760283</v>
      </c>
      <c r="O38" s="7">
        <f t="shared" si="20"/>
        <v>91872815.418478549</v>
      </c>
      <c r="P38" s="2">
        <f t="shared" si="0"/>
        <v>-1.7388409223236173E-2</v>
      </c>
      <c r="Q38" s="2">
        <f t="shared" si="1"/>
        <v>-1.7475720438054752E-2</v>
      </c>
      <c r="R38" s="2">
        <f t="shared" si="2"/>
        <v>-1.7475721081370542E-2</v>
      </c>
      <c r="S38" s="2">
        <f t="shared" si="3"/>
        <v>-1.7563876084636117E-2</v>
      </c>
      <c r="T38" s="9">
        <f t="shared" si="4"/>
        <v>-1770.4004038610865</v>
      </c>
      <c r="U38" s="7">
        <f t="shared" si="5"/>
        <v>91236603.708906695</v>
      </c>
      <c r="W38">
        <f t="shared" si="16"/>
        <v>10800</v>
      </c>
      <c r="X38" s="9">
        <f t="shared" si="21"/>
        <v>-1064.3439181477972</v>
      </c>
      <c r="Y38" s="2">
        <f t="shared" si="21"/>
        <v>89384624.184769392</v>
      </c>
      <c r="Z38" s="2">
        <f t="shared" si="6"/>
        <v>-1.6917478979068416E-2</v>
      </c>
      <c r="AA38" s="2">
        <f t="shared" si="7"/>
        <v>-1.7024826422068075E-2</v>
      </c>
      <c r="AB38" s="2">
        <f t="shared" si="8"/>
        <v>-1.7024826979863562E-2</v>
      </c>
      <c r="AC38" s="2">
        <f t="shared" si="9"/>
        <v>-1.7133378282842678E-2</v>
      </c>
      <c r="AD38" s="2">
        <f t="shared" si="10"/>
        <v>-1070.4729279917437</v>
      </c>
      <c r="AE38" s="10">
        <f t="shared" si="11"/>
        <v>89000357.152464271</v>
      </c>
    </row>
    <row r="39" spans="1:31" x14ac:dyDescent="0.25">
      <c r="A39" s="1">
        <f t="shared" si="12"/>
        <v>0.12916666666666668</v>
      </c>
      <c r="B39" s="7">
        <f t="shared" si="13"/>
        <v>91236603.708906695</v>
      </c>
      <c r="C39" s="7">
        <f t="shared" si="14"/>
        <v>89000357.152464271</v>
      </c>
      <c r="D39" s="7"/>
      <c r="E39" s="7"/>
      <c r="F39" s="7"/>
      <c r="G39" s="7"/>
      <c r="H39" s="7"/>
      <c r="I39" s="7"/>
      <c r="J39" s="7"/>
      <c r="L39" s="1">
        <f t="shared" si="17"/>
        <v>0.12916666666666668</v>
      </c>
      <c r="M39">
        <f t="shared" si="15"/>
        <v>11160</v>
      </c>
      <c r="N39" s="9">
        <f t="shared" si="20"/>
        <v>-1770.4004038610865</v>
      </c>
      <c r="O39" s="7">
        <f t="shared" si="20"/>
        <v>91236603.708906695</v>
      </c>
      <c r="P39" s="2">
        <f t="shared" si="0"/>
        <v>-1.756387608932446E-2</v>
      </c>
      <c r="Q39" s="2">
        <f t="shared" si="1"/>
        <v>-1.7652885413520898E-2</v>
      </c>
      <c r="R39" s="2">
        <f t="shared" si="2"/>
        <v>-1.7652886081154558E-2</v>
      </c>
      <c r="S39" s="2">
        <f t="shared" si="3"/>
        <v>-1.774276309925206E-2</v>
      </c>
      <c r="T39" s="9">
        <f t="shared" si="4"/>
        <v>-1776.7554947917622</v>
      </c>
      <c r="U39" s="7">
        <f t="shared" si="5"/>
        <v>90598115.647149175</v>
      </c>
      <c r="W39">
        <f t="shared" si="16"/>
        <v>11160</v>
      </c>
      <c r="X39" s="9">
        <f t="shared" si="21"/>
        <v>-1070.4729279917437</v>
      </c>
      <c r="Y39" s="2">
        <f t="shared" si="21"/>
        <v>89000357.152464271</v>
      </c>
      <c r="Z39" s="2">
        <f t="shared" si="6"/>
        <v>-1.7133378286624035E-2</v>
      </c>
      <c r="AA39" s="2">
        <f t="shared" si="7"/>
        <v>-1.724315144902365E-2</v>
      </c>
      <c r="AB39" s="2">
        <f t="shared" si="8"/>
        <v>-1.7243152029351196E-2</v>
      </c>
      <c r="AC39" s="2">
        <f t="shared" si="9"/>
        <v>-1.7354167724142559E-2</v>
      </c>
      <c r="AD39" s="2">
        <f t="shared" si="10"/>
        <v>-1076.6805371697947</v>
      </c>
      <c r="AE39" s="10">
        <f t="shared" si="11"/>
        <v>88613869.528735191</v>
      </c>
    </row>
    <row r="40" spans="1:31" x14ac:dyDescent="0.25">
      <c r="A40" s="1">
        <f t="shared" si="12"/>
        <v>0.13333333333333333</v>
      </c>
      <c r="B40" s="7">
        <f t="shared" si="13"/>
        <v>90598115.647149175</v>
      </c>
      <c r="C40" s="7">
        <f t="shared" si="14"/>
        <v>88613869.528735191</v>
      </c>
      <c r="D40" s="7"/>
      <c r="E40" s="7"/>
      <c r="F40" s="7"/>
      <c r="G40" s="7"/>
      <c r="H40" s="7"/>
      <c r="I40" s="7"/>
      <c r="J40" s="7"/>
      <c r="L40" s="1">
        <f t="shared" si="17"/>
        <v>0.13333333333333333</v>
      </c>
      <c r="M40">
        <f t="shared" si="15"/>
        <v>11520</v>
      </c>
      <c r="N40" s="9">
        <f t="shared" si="20"/>
        <v>-1776.7554947917622</v>
      </c>
      <c r="O40" s="7">
        <f t="shared" si="20"/>
        <v>90598115.647149175</v>
      </c>
      <c r="P40" s="2">
        <f t="shared" si="0"/>
        <v>-1.7742763104163964E-2</v>
      </c>
      <c r="Q40" s="2">
        <f t="shared" si="1"/>
        <v>-1.7833518740370608E-2</v>
      </c>
      <c r="R40" s="2">
        <f t="shared" si="2"/>
        <v>-1.7833519433483606E-2</v>
      </c>
      <c r="S40" s="2">
        <f t="shared" si="3"/>
        <v>-1.7925167562200663E-2</v>
      </c>
      <c r="T40" s="9">
        <f t="shared" si="4"/>
        <v>-1783.1756152126065</v>
      </c>
      <c r="U40" s="7">
        <f t="shared" si="5"/>
        <v>89957328.047348395</v>
      </c>
      <c r="W40">
        <f t="shared" si="16"/>
        <v>11520</v>
      </c>
      <c r="X40" s="9">
        <f t="shared" si="21"/>
        <v>-1076.6805371697947</v>
      </c>
      <c r="Y40" s="2">
        <f t="shared" si="21"/>
        <v>88613869.528735191</v>
      </c>
      <c r="Z40" s="2">
        <f t="shared" si="6"/>
        <v>-1.7354167728113407E-2</v>
      </c>
      <c r="AA40" s="2">
        <f t="shared" si="7"/>
        <v>-1.7466444706757567E-2</v>
      </c>
      <c r="AB40" s="2">
        <f t="shared" si="8"/>
        <v>-1.7466445310754416E-2</v>
      </c>
      <c r="AC40" s="2">
        <f t="shared" si="9"/>
        <v>-1.7580005111059806E-2</v>
      </c>
      <c r="AD40" s="2">
        <f t="shared" si="10"/>
        <v>-1082.9685343422466</v>
      </c>
      <c r="AE40" s="10">
        <f t="shared" si="11"/>
        <v>88225132.695863023</v>
      </c>
    </row>
    <row r="41" spans="1:31" x14ac:dyDescent="0.25">
      <c r="A41" s="1">
        <f t="shared" si="12"/>
        <v>0.13750000000000001</v>
      </c>
      <c r="B41" s="7">
        <f t="shared" si="13"/>
        <v>89957328.047348395</v>
      </c>
      <c r="C41" s="7">
        <f t="shared" si="14"/>
        <v>88225132.695863023</v>
      </c>
      <c r="D41" s="7"/>
      <c r="E41" s="7"/>
      <c r="F41" s="7"/>
      <c r="G41" s="7"/>
      <c r="H41" s="7"/>
      <c r="I41" s="7"/>
      <c r="J41" s="7"/>
      <c r="L41" s="1">
        <f t="shared" si="17"/>
        <v>0.13750000000000001</v>
      </c>
      <c r="M41">
        <f t="shared" si="15"/>
        <v>11880</v>
      </c>
      <c r="N41" s="9">
        <f t="shared" si="20"/>
        <v>-1783.1756152126065</v>
      </c>
      <c r="O41" s="7">
        <f t="shared" si="20"/>
        <v>89957328.047348395</v>
      </c>
      <c r="P41" s="2">
        <f t="shared" si="0"/>
        <v>-1.7925167567349038E-2</v>
      </c>
      <c r="Q41" s="2">
        <f t="shared" si="1"/>
        <v>-1.8017719522596502E-2</v>
      </c>
      <c r="R41" s="2">
        <f t="shared" si="2"/>
        <v>-1.8017720242417389E-2</v>
      </c>
      <c r="S41" s="2">
        <f t="shared" si="3"/>
        <v>-1.8111190423455773E-2</v>
      </c>
      <c r="T41" s="9">
        <f t="shared" si="4"/>
        <v>-1789.6620494638564</v>
      </c>
      <c r="U41" s="7">
        <f t="shared" si="5"/>
        <v>89314217.267706633</v>
      </c>
      <c r="W41">
        <f t="shared" si="16"/>
        <v>11880</v>
      </c>
      <c r="X41" s="9">
        <f t="shared" si="21"/>
        <v>-1082.9685343422466</v>
      </c>
      <c r="Y41" s="2">
        <f t="shared" si="21"/>
        <v>88225132.695863023</v>
      </c>
      <c r="Z41" s="2">
        <f t="shared" si="6"/>
        <v>-1.758000511523157E-2</v>
      </c>
      <c r="AA41" s="2">
        <f t="shared" si="7"/>
        <v>-1.7694867279451239E-2</v>
      </c>
      <c r="AB41" s="2">
        <f t="shared" si="8"/>
        <v>-1.7694867908323593E-2</v>
      </c>
      <c r="AC41" s="2">
        <f t="shared" si="9"/>
        <v>-1.7811054883813734E-2</v>
      </c>
      <c r="AD41" s="2">
        <f t="shared" si="10"/>
        <v>-1089.3387661647223</v>
      </c>
      <c r="AE41" s="10">
        <f t="shared" si="11"/>
        <v>87834117.381771773</v>
      </c>
    </row>
    <row r="42" spans="1:31" x14ac:dyDescent="0.25">
      <c r="A42" s="1">
        <f t="shared" si="12"/>
        <v>0.14166666666666666</v>
      </c>
      <c r="B42" s="7">
        <f t="shared" si="13"/>
        <v>89314217.267706633</v>
      </c>
      <c r="C42" s="7">
        <f t="shared" si="14"/>
        <v>87834117.381771773</v>
      </c>
      <c r="D42" s="7"/>
      <c r="E42" s="7"/>
      <c r="F42" s="7"/>
      <c r="G42" s="7"/>
      <c r="H42" s="7"/>
      <c r="I42" s="7"/>
      <c r="J42" s="7"/>
      <c r="L42" s="1">
        <f t="shared" si="17"/>
        <v>0.14166666666666666</v>
      </c>
      <c r="M42">
        <f t="shared" si="15"/>
        <v>12240</v>
      </c>
      <c r="N42" s="9">
        <f t="shared" si="20"/>
        <v>-1789.6620494638564</v>
      </c>
      <c r="O42" s="7">
        <f t="shared" si="20"/>
        <v>89314217.267706633</v>
      </c>
      <c r="P42" s="2">
        <f t="shared" si="0"/>
        <v>-1.8111190428854423E-2</v>
      </c>
      <c r="Q42" s="2">
        <f t="shared" si="1"/>
        <v>-1.8205590598602606E-2</v>
      </c>
      <c r="R42" s="2">
        <f t="shared" si="2"/>
        <v>-1.8205591346431609E-2</v>
      </c>
      <c r="S42" s="2">
        <f t="shared" si="3"/>
        <v>-1.8300936453750492E-2</v>
      </c>
      <c r="T42" s="9">
        <f t="shared" si="4"/>
        <v>-1796.2161189102169</v>
      </c>
      <c r="U42" s="7">
        <f t="shared" si="5"/>
        <v>88668759.197399303</v>
      </c>
      <c r="W42">
        <f t="shared" si="16"/>
        <v>12240</v>
      </c>
      <c r="X42" s="9">
        <f t="shared" si="21"/>
        <v>-1089.3387661647223</v>
      </c>
      <c r="Y42" s="2">
        <f t="shared" si="21"/>
        <v>87834117.381771773</v>
      </c>
      <c r="Z42" s="2">
        <f t="shared" si="6"/>
        <v>-1.7811054888198643E-2</v>
      </c>
      <c r="AA42" s="2">
        <f t="shared" si="7"/>
        <v>-1.7928587049160626E-2</v>
      </c>
      <c r="AB42" s="2">
        <f t="shared" si="8"/>
        <v>-1.7928587704188526E-2</v>
      </c>
      <c r="AC42" s="2">
        <f t="shared" si="9"/>
        <v>-1.8047488454996246E-2</v>
      </c>
      <c r="AD42" s="2">
        <f t="shared" si="10"/>
        <v>-1095.7931397357158</v>
      </c>
      <c r="AE42" s="10">
        <f t="shared" si="11"/>
        <v>87440793.638709694</v>
      </c>
    </row>
    <row r="43" spans="1:31" x14ac:dyDescent="0.25">
      <c r="A43" s="1">
        <f t="shared" si="12"/>
        <v>0.14583333333333334</v>
      </c>
      <c r="B43" s="7">
        <f t="shared" si="13"/>
        <v>88668759.197399303</v>
      </c>
      <c r="C43" s="7">
        <f t="shared" si="14"/>
        <v>87440793.638709694</v>
      </c>
      <c r="D43" s="7"/>
      <c r="E43" s="7"/>
      <c r="F43" s="7"/>
      <c r="G43" s="7"/>
      <c r="H43" s="7"/>
      <c r="I43" s="7"/>
      <c r="J43" s="7"/>
      <c r="L43" s="1">
        <f t="shared" si="17"/>
        <v>0.14583333333333334</v>
      </c>
      <c r="M43">
        <f t="shared" si="15"/>
        <v>12600</v>
      </c>
      <c r="N43" s="9">
        <f t="shared" si="20"/>
        <v>-1796.2161189102169</v>
      </c>
      <c r="O43" s="7">
        <f t="shared" si="20"/>
        <v>88668759.197399303</v>
      </c>
      <c r="P43" s="2">
        <f t="shared" si="0"/>
        <v>-1.8300936459414153E-2</v>
      </c>
      <c r="Q43" s="2">
        <f t="shared" si="1"/>
        <v>-1.8397238716271899E-2</v>
      </c>
      <c r="R43" s="2">
        <f t="shared" si="2"/>
        <v>-1.8397239493485824E-2</v>
      </c>
      <c r="S43" s="2">
        <f t="shared" si="3"/>
        <v>-1.849451442448383E-2</v>
      </c>
      <c r="T43" s="9">
        <f t="shared" si="4"/>
        <v>-1802.8391833484218</v>
      </c>
      <c r="U43" s="7">
        <f t="shared" si="5"/>
        <v>88020929.242992744</v>
      </c>
      <c r="W43">
        <f t="shared" si="16"/>
        <v>12600</v>
      </c>
      <c r="X43" s="9">
        <f t="shared" si="21"/>
        <v>-1095.7931397357158</v>
      </c>
      <c r="Y43" s="2">
        <f t="shared" si="21"/>
        <v>87440793.638709694</v>
      </c>
      <c r="Z43" s="2">
        <f t="shared" si="6"/>
        <v>-1.8047488459607394E-2</v>
      </c>
      <c r="AA43" s="2">
        <f t="shared" si="7"/>
        <v>-1.8167779050122047E-2</v>
      </c>
      <c r="AB43" s="2">
        <f t="shared" si="8"/>
        <v>-1.8167779732664667E-2</v>
      </c>
      <c r="AC43" s="2">
        <f t="shared" si="9"/>
        <v>-1.82894845747055E-2</v>
      </c>
      <c r="AD43" s="2">
        <f t="shared" si="10"/>
        <v>-1102.3336251717089</v>
      </c>
      <c r="AE43" s="10">
        <f t="shared" si="11"/>
        <v>87045130.821026355</v>
      </c>
    </row>
    <row r="44" spans="1:31" x14ac:dyDescent="0.25">
      <c r="A44" s="1">
        <f t="shared" si="12"/>
        <v>0.15</v>
      </c>
      <c r="B44" s="7">
        <f t="shared" si="13"/>
        <v>88020929.242992744</v>
      </c>
      <c r="C44" s="7">
        <f t="shared" si="14"/>
        <v>87045130.821026355</v>
      </c>
      <c r="D44" s="7"/>
      <c r="E44" s="7"/>
      <c r="F44" s="7"/>
      <c r="G44" s="7"/>
      <c r="H44" s="7"/>
      <c r="I44" s="7"/>
      <c r="J44" s="7"/>
      <c r="L44" s="1">
        <f t="shared" si="17"/>
        <v>0.15</v>
      </c>
      <c r="M44">
        <f t="shared" si="15"/>
        <v>12960</v>
      </c>
      <c r="N44" s="9">
        <f t="shared" si="20"/>
        <v>-1802.8391833484218</v>
      </c>
      <c r="O44" s="7">
        <f t="shared" si="20"/>
        <v>88020929.242992744</v>
      </c>
      <c r="P44" s="2">
        <f t="shared" si="0"/>
        <v>-1.8494514430428266E-2</v>
      </c>
      <c r="Q44" s="2">
        <f t="shared" si="1"/>
        <v>-1.8592774717866998E-2</v>
      </c>
      <c r="R44" s="2">
        <f t="shared" si="2"/>
        <v>-1.8592775525924515E-2</v>
      </c>
      <c r="S44" s="2">
        <f t="shared" si="3"/>
        <v>-1.8692037297777162E-2</v>
      </c>
      <c r="T44" s="9">
        <f t="shared" si="4"/>
        <v>-1809.5326424813691</v>
      </c>
      <c r="U44" s="7">
        <f t="shared" si="5"/>
        <v>87370702.314343378</v>
      </c>
      <c r="W44">
        <f t="shared" si="16"/>
        <v>12960</v>
      </c>
      <c r="X44" s="9">
        <f t="shared" si="21"/>
        <v>-1102.3336251717089</v>
      </c>
      <c r="Y44" s="2">
        <f t="shared" si="21"/>
        <v>87045130.821026355</v>
      </c>
      <c r="Z44" s="2">
        <f t="shared" si="6"/>
        <v>-1.8289484579556946E-2</v>
      </c>
      <c r="AA44" s="2">
        <f t="shared" si="7"/>
        <v>-1.8412625845096234E-2</v>
      </c>
      <c r="AB44" s="2">
        <f t="shared" si="8"/>
        <v>-1.841262655659762E-2</v>
      </c>
      <c r="AC44" s="2">
        <f t="shared" si="9"/>
        <v>-1.8537229718500223E-2</v>
      </c>
      <c r="AD44" s="2">
        <f t="shared" si="10"/>
        <v>-1108.9622583177957</v>
      </c>
      <c r="AE44" s="10">
        <f t="shared" si="11"/>
        <v>86647097.561998248</v>
      </c>
    </row>
    <row r="45" spans="1:31" x14ac:dyDescent="0.25">
      <c r="A45" s="1">
        <f t="shared" si="12"/>
        <v>0.15416666666666667</v>
      </c>
      <c r="B45" s="7">
        <f t="shared" si="13"/>
        <v>87370702.314343378</v>
      </c>
      <c r="C45" s="7">
        <f t="shared" si="14"/>
        <v>86647097.561998248</v>
      </c>
      <c r="D45" s="7"/>
      <c r="E45" s="7"/>
      <c r="F45" s="7"/>
      <c r="G45" s="7"/>
      <c r="H45" s="7"/>
      <c r="I45" s="7"/>
      <c r="J45" s="7"/>
      <c r="L45" s="1">
        <f t="shared" si="17"/>
        <v>0.15416666666666667</v>
      </c>
      <c r="M45">
        <f t="shared" si="15"/>
        <v>13320</v>
      </c>
      <c r="N45" s="9">
        <f t="shared" si="20"/>
        <v>-1809.5326424813691</v>
      </c>
      <c r="O45" s="7">
        <f t="shared" si="20"/>
        <v>87370702.314343378</v>
      </c>
      <c r="P45" s="2">
        <f t="shared" si="0"/>
        <v>-1.8692037304019242E-2</v>
      </c>
      <c r="Q45" s="2">
        <f t="shared" si="1"/>
        <v>-1.8792313735408347E-2</v>
      </c>
      <c r="R45" s="2">
        <f t="shared" si="2"/>
        <v>-1.8792314575855742E-2</v>
      </c>
      <c r="S45" s="2">
        <f t="shared" si="3"/>
        <v>-1.8893622427348298E-2</v>
      </c>
      <c r="T45" s="9">
        <f t="shared" si="4"/>
        <v>-1816.2979374626027</v>
      </c>
      <c r="U45" s="7">
        <f t="shared" si="5"/>
        <v>86718052.809953466</v>
      </c>
      <c r="W45">
        <f t="shared" si="16"/>
        <v>13320</v>
      </c>
      <c r="X45" s="9">
        <f t="shared" si="21"/>
        <v>-1108.9622583177957</v>
      </c>
      <c r="Y45" s="2">
        <f t="shared" si="21"/>
        <v>86647097.561998248</v>
      </c>
      <c r="Z45" s="2">
        <f t="shared" si="6"/>
        <v>-1.8537229723607013E-2</v>
      </c>
      <c r="AA45" s="2">
        <f t="shared" si="7"/>
        <v>-1.8663317925347405E-2</v>
      </c>
      <c r="AB45" s="2">
        <f t="shared" si="8"/>
        <v>-1.8663318667342631E-2</v>
      </c>
      <c r="AC45" s="2">
        <f t="shared" si="9"/>
        <v>-1.8790918499836457E-2</v>
      </c>
      <c r="AD45" s="2">
        <f t="shared" si="10"/>
        <v>-1115.6811436023252</v>
      </c>
      <c r="AE45" s="10">
        <f t="shared" si="11"/>
        <v>86246661.749652624</v>
      </c>
    </row>
    <row r="46" spans="1:31" x14ac:dyDescent="0.25">
      <c r="A46" s="1">
        <f t="shared" si="12"/>
        <v>0.15833333333333333</v>
      </c>
      <c r="B46" s="7">
        <f t="shared" si="13"/>
        <v>86718052.809953466</v>
      </c>
      <c r="C46" s="7">
        <f t="shared" si="14"/>
        <v>86246661.749652624</v>
      </c>
      <c r="D46" s="7"/>
      <c r="E46" s="7"/>
      <c r="F46" s="7"/>
      <c r="G46" s="7"/>
      <c r="H46" s="7"/>
      <c r="I46" s="7"/>
      <c r="J46" s="7"/>
      <c r="L46" s="1">
        <f t="shared" si="17"/>
        <v>0.15833333333333333</v>
      </c>
      <c r="M46">
        <f t="shared" si="15"/>
        <v>13680</v>
      </c>
      <c r="N46" s="9">
        <f t="shared" si="20"/>
        <v>-1816.2979374626027</v>
      </c>
      <c r="O46" s="7">
        <f t="shared" si="20"/>
        <v>86718052.809953466</v>
      </c>
      <c r="P46" s="2">
        <f t="shared" si="0"/>
        <v>-1.8893622433906073E-2</v>
      </c>
      <c r="Q46" s="2">
        <f t="shared" si="1"/>
        <v>-1.8995975397222885E-2</v>
      </c>
      <c r="R46" s="2">
        <f t="shared" si="2"/>
        <v>-1.8995976271700216E-2</v>
      </c>
      <c r="S46" s="2">
        <f t="shared" si="3"/>
        <v>-1.9099391770921716E-2</v>
      </c>
      <c r="T46" s="9">
        <f t="shared" si="4"/>
        <v>-1823.1365525151632</v>
      </c>
      <c r="U46" s="7">
        <f t="shared" si="5"/>
        <v>86062954.601757467</v>
      </c>
      <c r="W46">
        <f t="shared" si="16"/>
        <v>13680</v>
      </c>
      <c r="X46" s="9">
        <f t="shared" si="21"/>
        <v>-1115.6811436023252</v>
      </c>
      <c r="Y46" s="2">
        <f t="shared" si="21"/>
        <v>86246661.749652624</v>
      </c>
      <c r="Z46" s="2">
        <f t="shared" si="6"/>
        <v>-1.879091850521477E-2</v>
      </c>
      <c r="AA46" s="2">
        <f t="shared" si="7"/>
        <v>-1.8920054135986377E-2</v>
      </c>
      <c r="AB46" s="2">
        <f t="shared" si="8"/>
        <v>-1.8920054910108321E-2</v>
      </c>
      <c r="AC46" s="2">
        <f t="shared" si="9"/>
        <v>-1.905075410878649E-2</v>
      </c>
      <c r="AD46" s="2">
        <f t="shared" si="10"/>
        <v>-1122.4924570446965</v>
      </c>
      <c r="AE46" s="10">
        <f t="shared" si="11"/>
        <v>85843790.501536161</v>
      </c>
    </row>
    <row r="47" spans="1:31" x14ac:dyDescent="0.25">
      <c r="A47" s="1">
        <f t="shared" si="12"/>
        <v>0.16250000000000001</v>
      </c>
      <c r="B47" s="7">
        <f t="shared" si="13"/>
        <v>86062954.601757467</v>
      </c>
      <c r="C47" s="7">
        <f t="shared" si="14"/>
        <v>85843790.501536161</v>
      </c>
      <c r="D47" s="7"/>
      <c r="E47" s="7"/>
      <c r="F47" s="7"/>
      <c r="G47" s="7"/>
      <c r="H47" s="7"/>
      <c r="I47" s="7"/>
      <c r="J47" s="7"/>
      <c r="L47" s="1">
        <f t="shared" si="17"/>
        <v>0.16250000000000001</v>
      </c>
      <c r="M47">
        <f t="shared" si="15"/>
        <v>14040</v>
      </c>
      <c r="N47" s="9">
        <f t="shared" si="20"/>
        <v>-1823.1365525151632</v>
      </c>
      <c r="O47" s="7">
        <f t="shared" si="20"/>
        <v>86062954.601757467</v>
      </c>
      <c r="P47" s="2">
        <f t="shared" si="0"/>
        <v>-1.9099391777814521E-2</v>
      </c>
      <c r="Q47" s="2">
        <f t="shared" si="1"/>
        <v>-1.9203884046408139E-2</v>
      </c>
      <c r="R47" s="2">
        <f t="shared" si="2"/>
        <v>-1.9203884956655946E-2</v>
      </c>
      <c r="S47" s="2">
        <f t="shared" si="3"/>
        <v>-1.9309472114947955E-2</v>
      </c>
      <c r="T47" s="9">
        <f t="shared" si="4"/>
        <v>-1830.0500166290967</v>
      </c>
      <c r="U47" s="7">
        <f t="shared" si="5"/>
        <v>85405381.019311503</v>
      </c>
      <c r="W47">
        <f t="shared" si="16"/>
        <v>14040</v>
      </c>
      <c r="X47" s="9">
        <f t="shared" si="21"/>
        <v>-1122.4924570446965</v>
      </c>
      <c r="Y47" s="2">
        <f t="shared" si="21"/>
        <v>85843790.501536161</v>
      </c>
      <c r="Z47" s="2">
        <f t="shared" si="6"/>
        <v>-1.9050754114453703E-2</v>
      </c>
      <c r="AA47" s="2">
        <f t="shared" si="7"/>
        <v>-1.9183042128551896E-2</v>
      </c>
      <c r="AB47" s="2">
        <f t="shared" si="8"/>
        <v>-1.9183042936538448E-2</v>
      </c>
      <c r="AC47" s="2">
        <f t="shared" si="9"/>
        <v>-1.93169487789914E-2</v>
      </c>
      <c r="AD47" s="2">
        <f t="shared" si="10"/>
        <v>-1129.398449426114</v>
      </c>
      <c r="AE47" s="10">
        <f t="shared" si="11"/>
        <v>85438450.138371408</v>
      </c>
    </row>
    <row r="48" spans="1:31" x14ac:dyDescent="0.25">
      <c r="A48" s="1">
        <f t="shared" si="12"/>
        <v>0.16666666666666666</v>
      </c>
      <c r="B48" s="7">
        <f t="shared" si="13"/>
        <v>85405381.019311503</v>
      </c>
      <c r="C48" s="7">
        <f t="shared" si="14"/>
        <v>85438450.138371408</v>
      </c>
      <c r="D48" s="7"/>
      <c r="E48" s="7"/>
      <c r="F48" s="7"/>
      <c r="G48" s="7"/>
      <c r="H48" s="7"/>
      <c r="I48" s="7"/>
      <c r="J48" s="7"/>
      <c r="L48" s="1">
        <f t="shared" si="17"/>
        <v>0.16666666666666666</v>
      </c>
      <c r="M48">
        <f t="shared" si="15"/>
        <v>14400</v>
      </c>
      <c r="N48" s="9">
        <f t="shared" si="20"/>
        <v>-1830.0500166290967</v>
      </c>
      <c r="O48" s="7">
        <f t="shared" si="20"/>
        <v>85405381.019311503</v>
      </c>
      <c r="P48" s="2">
        <f t="shared" si="0"/>
        <v>-1.9309472122196546E-2</v>
      </c>
      <c r="Q48" s="2">
        <f t="shared" si="1"/>
        <v>-1.9416168972013838E-2</v>
      </c>
      <c r="R48" s="2">
        <f t="shared" si="2"/>
        <v>-1.9416169919880356E-2</v>
      </c>
      <c r="S48" s="2">
        <f t="shared" si="3"/>
        <v>-1.9523995312464387E-2</v>
      </c>
      <c r="T48" s="9">
        <f t="shared" si="4"/>
        <v>-1837.0399053422036</v>
      </c>
      <c r="U48" s="7">
        <f t="shared" si="5"/>
        <v>84745304.833356664</v>
      </c>
      <c r="W48">
        <f t="shared" si="16"/>
        <v>14400</v>
      </c>
      <c r="X48" s="9">
        <f t="shared" si="21"/>
        <v>-1129.398449426114</v>
      </c>
      <c r="Y48" s="2">
        <f t="shared" si="21"/>
        <v>85438450.138371408</v>
      </c>
      <c r="Z48" s="2">
        <f t="shared" si="6"/>
        <v>-1.9316948784966169E-2</v>
      </c>
      <c r="AA48" s="2">
        <f t="shared" si="7"/>
        <v>-1.9452498842862161E-2</v>
      </c>
      <c r="AB48" s="2">
        <f t="shared" si="8"/>
        <v>-1.945249968656421E-2</v>
      </c>
      <c r="AC48" s="2">
        <f t="shared" si="9"/>
        <v>-1.958972428496418E-2</v>
      </c>
      <c r="AD48" s="2">
        <f t="shared" si="10"/>
        <v>-1136.4014496338409</v>
      </c>
      <c r="AE48" s="10">
        <f t="shared" si="11"/>
        <v>85030606.156540617</v>
      </c>
    </row>
    <row r="49" spans="1:31" x14ac:dyDescent="0.25">
      <c r="A49" s="1">
        <f t="shared" si="12"/>
        <v>0.17083333333333334</v>
      </c>
      <c r="B49" s="7">
        <f t="shared" si="13"/>
        <v>84745304.833356664</v>
      </c>
      <c r="C49" s="7">
        <f t="shared" si="14"/>
        <v>85030606.156540617</v>
      </c>
      <c r="D49" s="7"/>
      <c r="E49" s="7"/>
      <c r="F49" s="7"/>
      <c r="G49" s="7"/>
      <c r="H49" s="7"/>
      <c r="I49" s="7"/>
      <c r="J49" s="7"/>
      <c r="L49" s="1">
        <f t="shared" si="17"/>
        <v>0.17083333333333334</v>
      </c>
      <c r="M49">
        <f t="shared" si="15"/>
        <v>14760</v>
      </c>
      <c r="N49" s="9">
        <f t="shared" si="20"/>
        <v>-1837.0399053422036</v>
      </c>
      <c r="O49" s="7">
        <f t="shared" si="20"/>
        <v>84745304.833356664</v>
      </c>
      <c r="P49" s="2">
        <f t="shared" si="0"/>
        <v>-1.9523995320091005E-2</v>
      </c>
      <c r="Q49" s="2">
        <f t="shared" si="1"/>
        <v>-1.963296465380476E-2</v>
      </c>
      <c r="R49" s="2">
        <f t="shared" si="2"/>
        <v>-1.9632965641253802E-2</v>
      </c>
      <c r="S49" s="2">
        <f t="shared" si="3"/>
        <v>-1.9743098534994011E-2</v>
      </c>
      <c r="T49" s="9">
        <f t="shared" si="4"/>
        <v>-1844.1078426089157</v>
      </c>
      <c r="U49" s="7">
        <f t="shared" si="5"/>
        <v>84082698.238725469</v>
      </c>
      <c r="W49">
        <f t="shared" si="16"/>
        <v>14760</v>
      </c>
      <c r="X49" s="9">
        <f t="shared" si="21"/>
        <v>-1136.4014496338409</v>
      </c>
      <c r="Y49" s="2">
        <f t="shared" si="21"/>
        <v>85030606.156540617</v>
      </c>
      <c r="Z49" s="2">
        <f t="shared" si="6"/>
        <v>-1.9589724291266604E-2</v>
      </c>
      <c r="AA49" s="2">
        <f t="shared" si="7"/>
        <v>-1.9728651020342814E-2</v>
      </c>
      <c r="AB49" s="2">
        <f t="shared" si="8"/>
        <v>-1.9728651901732782E-2</v>
      </c>
      <c r="AC49" s="2">
        <f t="shared" si="9"/>
        <v>-1.9869312472042419E-2</v>
      </c>
      <c r="AD49" s="2">
        <f t="shared" si="10"/>
        <v>-1143.5038681902886</v>
      </c>
      <c r="AE49" s="10">
        <f t="shared" si="11"/>
        <v>84620223.199332267</v>
      </c>
    </row>
    <row r="50" spans="1:31" x14ac:dyDescent="0.25">
      <c r="A50" s="1">
        <f t="shared" si="12"/>
        <v>0.17499999999999999</v>
      </c>
      <c r="B50" s="7">
        <f t="shared" si="13"/>
        <v>84082698.238725469</v>
      </c>
      <c r="C50" s="7">
        <f t="shared" si="14"/>
        <v>84620223.199332267</v>
      </c>
      <c r="D50" s="7"/>
      <c r="E50" s="7"/>
      <c r="F50" s="7"/>
      <c r="G50" s="7"/>
      <c r="H50" s="7"/>
      <c r="I50" s="7"/>
      <c r="J50" s="7"/>
      <c r="L50" s="1">
        <f t="shared" si="17"/>
        <v>0.17499999999999999</v>
      </c>
      <c r="M50">
        <f t="shared" si="15"/>
        <v>15120</v>
      </c>
      <c r="N50" s="9">
        <f t="shared" si="20"/>
        <v>-1844.1078426089157</v>
      </c>
      <c r="O50" s="7">
        <f t="shared" si="20"/>
        <v>84082698.238725469</v>
      </c>
      <c r="P50" s="2">
        <f t="shared" si="0"/>
        <v>-1.9743098543022548E-2</v>
      </c>
      <c r="Q50" s="2">
        <f t="shared" si="1"/>
        <v>-1.9854411021535779E-2</v>
      </c>
      <c r="R50" s="2">
        <f t="shared" si="2"/>
        <v>-1.9854412050655173E-2</v>
      </c>
      <c r="S50" s="2">
        <f t="shared" si="3"/>
        <v>-1.9966924539448795E-2</v>
      </c>
      <c r="T50" s="9">
        <f t="shared" si="4"/>
        <v>-1851.2555027625269</v>
      </c>
      <c r="U50" s="7">
        <f t="shared" si="5"/>
        <v>83417532.83655861</v>
      </c>
      <c r="W50">
        <f t="shared" si="16"/>
        <v>15120</v>
      </c>
      <c r="X50" s="9">
        <f t="shared" si="21"/>
        <v>-1143.5038681902886</v>
      </c>
      <c r="Y50" s="2">
        <f t="shared" si="21"/>
        <v>84620223.199332267</v>
      </c>
      <c r="Z50" s="2">
        <f t="shared" si="6"/>
        <v>-1.9869312478694109E-2</v>
      </c>
      <c r="AA50" s="2">
        <f t="shared" si="7"/>
        <v>-2.0011735751227024E-2</v>
      </c>
      <c r="AB50" s="2">
        <f t="shared" si="8"/>
        <v>-2.0011736672408246E-2</v>
      </c>
      <c r="AC50" s="2">
        <f t="shared" si="9"/>
        <v>-2.0155955821488415E-2</v>
      </c>
      <c r="AD50" s="2">
        <f t="shared" si="10"/>
        <v>-1150.7082009791359</v>
      </c>
      <c r="AE50" s="10">
        <f t="shared" si="11"/>
        <v>84207265.026881769</v>
      </c>
    </row>
    <row r="51" spans="1:31" x14ac:dyDescent="0.25">
      <c r="A51" s="1">
        <f t="shared" si="12"/>
        <v>0.17916666666666667</v>
      </c>
      <c r="B51" s="7">
        <f t="shared" si="13"/>
        <v>83417532.83655861</v>
      </c>
      <c r="C51" s="7">
        <f t="shared" si="14"/>
        <v>84207265.026881769</v>
      </c>
      <c r="D51" s="7"/>
      <c r="E51" s="7"/>
      <c r="F51" s="7"/>
      <c r="G51" s="7"/>
      <c r="H51" s="7"/>
      <c r="I51" s="7"/>
      <c r="J51" s="7"/>
      <c r="L51" s="1">
        <f t="shared" si="17"/>
        <v>0.17916666666666667</v>
      </c>
      <c r="M51">
        <f t="shared" si="15"/>
        <v>15480</v>
      </c>
      <c r="N51" s="9">
        <f t="shared" si="20"/>
        <v>-1851.2555027625269</v>
      </c>
      <c r="O51" s="7">
        <f t="shared" si="20"/>
        <v>83417532.83655861</v>
      </c>
      <c r="P51" s="2">
        <f t="shared" si="0"/>
        <v>-1.9966924547904909E-2</v>
      </c>
      <c r="Q51" s="2">
        <f t="shared" si="1"/>
        <v>-2.0080653729742756E-2</v>
      </c>
      <c r="R51" s="2">
        <f t="shared" si="2"/>
        <v>-2.0080654802753575E-2</v>
      </c>
      <c r="S51" s="2">
        <f t="shared" si="3"/>
        <v>-2.0195621951080298E-2</v>
      </c>
      <c r="T51" s="9">
        <f t="shared" si="4"/>
        <v>-1858.4846125763656</v>
      </c>
      <c r="U51" s="7">
        <f t="shared" si="5"/>
        <v>82749779.615797609</v>
      </c>
      <c r="W51">
        <f t="shared" si="16"/>
        <v>15480</v>
      </c>
      <c r="X51" s="9">
        <f t="shared" si="21"/>
        <v>-1150.7082009791359</v>
      </c>
      <c r="Y51" s="2">
        <f t="shared" si="21"/>
        <v>84207265.026881769</v>
      </c>
      <c r="Z51" s="2">
        <f t="shared" si="6"/>
        <v>-2.0155955828512664E-2</v>
      </c>
      <c r="AA51" s="2">
        <f t="shared" si="7"/>
        <v>-2.0302001058232971E-2</v>
      </c>
      <c r="AB51" s="2">
        <f t="shared" si="8"/>
        <v>-2.0302002021449845E-2</v>
      </c>
      <c r="AC51" s="2">
        <f t="shared" si="9"/>
        <v>-2.0449908053453651E-2</v>
      </c>
      <c r="AD51" s="2">
        <f t="shared" si="10"/>
        <v>-1158.0170331816157</v>
      </c>
      <c r="AE51" s="10">
        <f t="shared" si="11"/>
        <v>83791694.484732836</v>
      </c>
    </row>
    <row r="52" spans="1:31" x14ac:dyDescent="0.25">
      <c r="A52" s="1">
        <f t="shared" si="12"/>
        <v>0.18333333333333332</v>
      </c>
      <c r="B52" s="7">
        <f t="shared" si="13"/>
        <v>82749779.615797609</v>
      </c>
      <c r="C52" s="7">
        <f t="shared" si="14"/>
        <v>83791694.484732836</v>
      </c>
      <c r="D52" s="7"/>
      <c r="E52" s="7"/>
      <c r="F52" s="7"/>
      <c r="G52" s="7"/>
      <c r="H52" s="7"/>
      <c r="I52" s="7"/>
      <c r="J52" s="7"/>
      <c r="L52" s="1">
        <f t="shared" si="17"/>
        <v>0.18333333333333332</v>
      </c>
      <c r="M52">
        <f t="shared" si="15"/>
        <v>15840</v>
      </c>
      <c r="N52" s="9">
        <f t="shared" si="20"/>
        <v>-1858.4846125763656</v>
      </c>
      <c r="O52" s="7">
        <f t="shared" si="20"/>
        <v>82749779.615797609</v>
      </c>
      <c r="P52" s="2">
        <f t="shared" si="0"/>
        <v>-2.0195621959991583E-2</v>
      </c>
      <c r="Q52" s="2">
        <f t="shared" si="1"/>
        <v>-2.0311844449132675E-2</v>
      </c>
      <c r="R52" s="2">
        <f t="shared" si="2"/>
        <v>-2.0311845568399274E-2</v>
      </c>
      <c r="S52" s="2">
        <f t="shared" si="3"/>
        <v>-2.0429345563603117E-2</v>
      </c>
      <c r="T52" s="9">
        <f t="shared" si="4"/>
        <v>-1865.7969534298852</v>
      </c>
      <c r="U52" s="7">
        <f t="shared" si="5"/>
        <v>82079408.933916479</v>
      </c>
      <c r="W52">
        <f t="shared" si="16"/>
        <v>15840</v>
      </c>
      <c r="X52" s="9">
        <f t="shared" si="21"/>
        <v>-1158.0170331816157</v>
      </c>
      <c r="Y52" s="2">
        <f t="shared" si="21"/>
        <v>83791694.484732836</v>
      </c>
      <c r="Z52" s="2">
        <f t="shared" si="6"/>
        <v>-2.0449908060875564E-2</v>
      </c>
      <c r="AA52" s="2">
        <f t="shared" si="7"/>
        <v>-2.0599706519552573E-2</v>
      </c>
      <c r="AB52" s="2">
        <f t="shared" si="8"/>
        <v>-2.0599707527201618E-2</v>
      </c>
      <c r="AC52" s="2">
        <f t="shared" si="9"/>
        <v>-2.0751434770764805E-2</v>
      </c>
      <c r="AD52" s="2">
        <f t="shared" si="10"/>
        <v>-1165.4330434371248</v>
      </c>
      <c r="AE52" s="10">
        <f t="shared" si="11"/>
        <v>83373473.470941469</v>
      </c>
    </row>
    <row r="53" spans="1:31" x14ac:dyDescent="0.25">
      <c r="A53" s="1">
        <f t="shared" si="12"/>
        <v>0.1875</v>
      </c>
      <c r="B53" s="7">
        <f t="shared" si="13"/>
        <v>82079408.933916479</v>
      </c>
      <c r="C53" s="7">
        <f t="shared" si="14"/>
        <v>83373473.470941469</v>
      </c>
      <c r="D53" s="7"/>
      <c r="E53" s="7"/>
      <c r="F53" s="7"/>
      <c r="G53" s="7"/>
      <c r="H53" s="7"/>
      <c r="I53" s="7"/>
      <c r="J53" s="7"/>
      <c r="L53" s="1">
        <f t="shared" si="17"/>
        <v>0.1875</v>
      </c>
      <c r="M53">
        <f t="shared" si="15"/>
        <v>16200</v>
      </c>
      <c r="N53" s="9">
        <f t="shared" si="20"/>
        <v>-1865.7969534298852</v>
      </c>
      <c r="O53" s="7">
        <f t="shared" si="20"/>
        <v>82079408.933916479</v>
      </c>
      <c r="P53" s="2">
        <f t="shared" si="0"/>
        <v>-2.042934557299925E-2</v>
      </c>
      <c r="Q53" s="2">
        <f t="shared" si="1"/>
        <v>-2.0548141175742614E-2</v>
      </c>
      <c r="R53" s="2">
        <f t="shared" si="2"/>
        <v>-2.0548142343783441E-2</v>
      </c>
      <c r="S53" s="2">
        <f t="shared" si="3"/>
        <v>-2.0668256657706989E-2</v>
      </c>
      <c r="T53" s="9">
        <f t="shared" si="4"/>
        <v>-1873.1943635860707</v>
      </c>
      <c r="U53" s="7">
        <f t="shared" si="5"/>
        <v>81406390.496853605</v>
      </c>
      <c r="W53">
        <f t="shared" si="16"/>
        <v>16200</v>
      </c>
      <c r="X53" s="9">
        <f t="shared" si="21"/>
        <v>-1165.4330434371248</v>
      </c>
      <c r="Y53" s="2">
        <f t="shared" si="21"/>
        <v>83373473.470941469</v>
      </c>
      <c r="Z53" s="2">
        <f t="shared" si="6"/>
        <v>-2.075143477861149E-2</v>
      </c>
      <c r="AA53" s="2">
        <f t="shared" si="7"/>
        <v>-2.0905123934237897E-2</v>
      </c>
      <c r="AB53" s="2">
        <f t="shared" si="8"/>
        <v>-2.0905124988879864E-2</v>
      </c>
      <c r="AC53" s="2">
        <f t="shared" si="9"/>
        <v>-2.1060814146752996E-2</v>
      </c>
      <c r="AD53" s="2">
        <f t="shared" si="10"/>
        <v>-1172.9590082434208</v>
      </c>
      <c r="AE53" s="10">
        <f t="shared" si="11"/>
        <v>82952562.90163897</v>
      </c>
    </row>
    <row r="54" spans="1:31" x14ac:dyDescent="0.25">
      <c r="A54" s="1">
        <f t="shared" si="12"/>
        <v>0.19166666666666668</v>
      </c>
      <c r="B54" s="7">
        <f t="shared" si="13"/>
        <v>81406390.496853605</v>
      </c>
      <c r="C54" s="7">
        <f t="shared" si="14"/>
        <v>82952562.90163897</v>
      </c>
      <c r="D54" s="7"/>
      <c r="E54" s="7"/>
      <c r="F54" s="7"/>
      <c r="G54" s="7"/>
      <c r="H54" s="7"/>
      <c r="I54" s="7"/>
      <c r="J54" s="7"/>
      <c r="L54" s="1">
        <f t="shared" si="17"/>
        <v>0.19166666666666668</v>
      </c>
      <c r="M54">
        <f t="shared" si="15"/>
        <v>16560</v>
      </c>
      <c r="N54" s="9">
        <f t="shared" si="20"/>
        <v>-1873.1943635860707</v>
      </c>
      <c r="O54" s="7">
        <f t="shared" si="20"/>
        <v>81406390.496853605</v>
      </c>
      <c r="P54" s="2">
        <f t="shared" si="0"/>
        <v>-2.0668256667619945E-2</v>
      </c>
      <c r="Q54" s="2">
        <f t="shared" si="1"/>
        <v>-2.078970855913163E-2</v>
      </c>
      <c r="R54" s="2">
        <f t="shared" si="2"/>
        <v>-2.0789709778631094E-2</v>
      </c>
      <c r="S54" s="2">
        <f t="shared" si="3"/>
        <v>-2.0912523339271842E-2</v>
      </c>
      <c r="T54" s="9">
        <f t="shared" si="4"/>
        <v>-1880.6787405870157</v>
      </c>
      <c r="U54" s="7">
        <f t="shared" si="5"/>
        <v>80730693.338102445</v>
      </c>
      <c r="W54">
        <f t="shared" si="16"/>
        <v>16560</v>
      </c>
      <c r="X54" s="9">
        <f t="shared" si="21"/>
        <v>-1172.9590082434208</v>
      </c>
      <c r="Y54" s="2">
        <f t="shared" si="21"/>
        <v>82952562.90163897</v>
      </c>
      <c r="Z54" s="2">
        <f t="shared" si="6"/>
        <v>-2.1060814155053696E-2</v>
      </c>
      <c r="AA54" s="2">
        <f t="shared" si="7"/>
        <v>-2.1218538033348815E-2</v>
      </c>
      <c r="AB54" s="2">
        <f t="shared" si="8"/>
        <v>-2.1218539137721808E-2</v>
      </c>
      <c r="AC54" s="2">
        <f t="shared" si="9"/>
        <v>-2.1378337660638826E-2</v>
      </c>
      <c r="AD54" s="2">
        <f t="shared" si="10"/>
        <v>-1180.597806612891</v>
      </c>
      <c r="AE54" s="10">
        <f t="shared" si="11"/>
        <v>82528922.67496483</v>
      </c>
    </row>
    <row r="55" spans="1:31" x14ac:dyDescent="0.25">
      <c r="A55" s="1">
        <f t="shared" si="12"/>
        <v>0.19583333333333333</v>
      </c>
      <c r="B55" s="7">
        <f t="shared" si="13"/>
        <v>80730693.338102445</v>
      </c>
      <c r="C55" s="7">
        <f t="shared" si="14"/>
        <v>82528922.67496483</v>
      </c>
      <c r="D55" s="7"/>
      <c r="E55" s="7"/>
      <c r="F55" s="7"/>
      <c r="G55" s="7"/>
      <c r="H55" s="7"/>
      <c r="I55" s="7"/>
      <c r="J55" s="7"/>
      <c r="L55" s="1">
        <f t="shared" si="17"/>
        <v>0.19583333333333333</v>
      </c>
      <c r="M55">
        <f t="shared" si="15"/>
        <v>16920</v>
      </c>
      <c r="N55" s="9">
        <f t="shared" si="20"/>
        <v>-1880.6787405870157</v>
      </c>
      <c r="O55" s="7">
        <f t="shared" si="20"/>
        <v>80730693.338102445</v>
      </c>
      <c r="P55" s="2">
        <f t="shared" si="0"/>
        <v>-2.0912523349736076E-2</v>
      </c>
      <c r="Q55" s="2">
        <f t="shared" si="1"/>
        <v>-2.1036718250972267E-2</v>
      </c>
      <c r="R55" s="2">
        <f t="shared" si="2"/>
        <v>-2.1036719524793565E-2</v>
      </c>
      <c r="S55" s="2">
        <f t="shared" si="3"/>
        <v>-2.1162320898707437E-2</v>
      </c>
      <c r="T55" s="9">
        <f t="shared" si="4"/>
        <v>-1888.2520437750143</v>
      </c>
      <c r="U55" s="7">
        <f t="shared" si="5"/>
        <v>80052285.796917275</v>
      </c>
      <c r="W55">
        <f t="shared" si="16"/>
        <v>16920</v>
      </c>
      <c r="X55" s="9">
        <f t="shared" si="21"/>
        <v>-1180.597806612891</v>
      </c>
      <c r="Y55" s="2">
        <f t="shared" si="21"/>
        <v>82528922.67496483</v>
      </c>
      <c r="Z55" s="2">
        <f t="shared" si="6"/>
        <v>-2.1378337669425148E-2</v>
      </c>
      <c r="AA55" s="2">
        <f t="shared" si="7"/>
        <v>-2.1540247240531132E-2</v>
      </c>
      <c r="AB55" s="2">
        <f t="shared" si="8"/>
        <v>-2.1540248397565027E-2</v>
      </c>
      <c r="AC55" s="2">
        <f t="shared" si="9"/>
        <v>-2.1704310884306875E-2</v>
      </c>
      <c r="AD55" s="2">
        <f t="shared" si="10"/>
        <v>-1188.3524250026865</v>
      </c>
      <c r="AE55" s="10">
        <f t="shared" si="11"/>
        <v>82102511.633274034</v>
      </c>
    </row>
    <row r="56" spans="1:31" x14ac:dyDescent="0.25">
      <c r="A56" s="1">
        <f t="shared" si="12"/>
        <v>0.2</v>
      </c>
      <c r="B56" s="7">
        <f t="shared" si="13"/>
        <v>80052285.796917275</v>
      </c>
      <c r="C56" s="7">
        <f t="shared" si="14"/>
        <v>82102511.633274034</v>
      </c>
      <c r="D56" s="7"/>
      <c r="E56" s="7"/>
      <c r="F56" s="7"/>
      <c r="G56" s="7"/>
      <c r="H56" s="7"/>
      <c r="I56" s="7"/>
      <c r="J56" s="7"/>
      <c r="L56" s="1">
        <f t="shared" si="17"/>
        <v>0.2</v>
      </c>
      <c r="M56">
        <f t="shared" si="15"/>
        <v>17280</v>
      </c>
      <c r="N56" s="9">
        <f t="shared" ref="N56:N119" si="22">T55</f>
        <v>-1888.2520437750143</v>
      </c>
      <c r="O56" s="7">
        <f t="shared" ref="O56:O119" si="23">U55</f>
        <v>80052285.796917275</v>
      </c>
      <c r="P56" s="2">
        <f t="shared" si="0"/>
        <v>-2.1162320909760085E-2</v>
      </c>
      <c r="Q56" s="2">
        <f t="shared" si="1"/>
        <v>-2.1289349275520748E-2</v>
      </c>
      <c r="R56" s="2">
        <f t="shared" si="2"/>
        <v>-2.1289350606719885E-2</v>
      </c>
      <c r="S56" s="2">
        <f t="shared" si="3"/>
        <v>-2.1417832192956499E-2</v>
      </c>
      <c r="T56" s="9">
        <f t="shared" si="4"/>
        <v>-1895.9162969470462</v>
      </c>
      <c r="U56" s="7">
        <f t="shared" si="5"/>
        <v>79371135.495587304</v>
      </c>
      <c r="W56">
        <f t="shared" si="16"/>
        <v>17280</v>
      </c>
      <c r="X56" s="9">
        <f t="shared" ref="X56:X119" si="24">AD55</f>
        <v>-1188.3524250026865</v>
      </c>
      <c r="Y56" s="2">
        <f t="shared" ref="Y56:Y119" si="25">AE55</f>
        <v>82102511.633274034</v>
      </c>
      <c r="Z56" s="2">
        <f t="shared" si="6"/>
        <v>-2.1704310893613032E-2</v>
      </c>
      <c r="AA56" s="2">
        <f t="shared" si="7"/>
        <v>-2.1870564486031224E-2</v>
      </c>
      <c r="AB56" s="2">
        <f t="shared" si="8"/>
        <v>-2.1870565698863351E-2</v>
      </c>
      <c r="AC56" s="2">
        <f t="shared" si="9"/>
        <v>-2.2039054324657144E-2</v>
      </c>
      <c r="AD56" s="2">
        <f t="shared" si="10"/>
        <v>-1196.22596253797</v>
      </c>
      <c r="AE56" s="10">
        <f t="shared" si="11"/>
        <v>81673287.523516715</v>
      </c>
    </row>
    <row r="57" spans="1:31" x14ac:dyDescent="0.25">
      <c r="A57" s="1">
        <f t="shared" si="12"/>
        <v>0.20416666666666666</v>
      </c>
      <c r="B57" s="7">
        <f t="shared" si="13"/>
        <v>79371135.495587304</v>
      </c>
      <c r="C57" s="7">
        <f t="shared" si="14"/>
        <v>81673287.523516715</v>
      </c>
      <c r="D57" s="7"/>
      <c r="E57" s="7"/>
      <c r="F57" s="7"/>
      <c r="G57" s="7"/>
      <c r="H57" s="7"/>
      <c r="I57" s="7"/>
      <c r="J57" s="7"/>
      <c r="L57" s="1">
        <f t="shared" si="17"/>
        <v>0.20416666666666666</v>
      </c>
      <c r="M57">
        <f t="shared" si="15"/>
        <v>17640</v>
      </c>
      <c r="N57" s="9">
        <f t="shared" si="22"/>
        <v>-1895.9162969470462</v>
      </c>
      <c r="O57" s="7">
        <f t="shared" si="23"/>
        <v>79371135.495587304</v>
      </c>
      <c r="P57" s="2">
        <f t="shared" si="0"/>
        <v>-2.1417832204637659E-2</v>
      </c>
      <c r="Q57" s="2">
        <f t="shared" si="1"/>
        <v>-2.1547788423567374E-2</v>
      </c>
      <c r="R57" s="2">
        <f t="shared" si="2"/>
        <v>-2.1547789815408405E-2</v>
      </c>
      <c r="S57" s="2">
        <f t="shared" si="3"/>
        <v>-2.1679248051828616E-2</v>
      </c>
      <c r="T57" s="9">
        <f t="shared" si="4"/>
        <v>-1903.6735911511114</v>
      </c>
      <c r="U57" s="7">
        <f t="shared" si="5"/>
        <v>78687209.315729633</v>
      </c>
      <c r="W57">
        <f t="shared" si="16"/>
        <v>17640</v>
      </c>
      <c r="X57" s="9">
        <f t="shared" si="24"/>
        <v>-1196.22596253797</v>
      </c>
      <c r="Y57" s="2">
        <f t="shared" si="25"/>
        <v>81673287.523516715</v>
      </c>
      <c r="Z57" s="2">
        <f t="shared" si="6"/>
        <v>-2.2039054334520133E-2</v>
      </c>
      <c r="AA57" s="2">
        <f t="shared" si="7"/>
        <v>-2.2209818078525196E-2</v>
      </c>
      <c r="AB57" s="2">
        <f t="shared" si="8"/>
        <v>-2.220981935051761E-2</v>
      </c>
      <c r="AC57" s="2">
        <f t="shared" si="9"/>
        <v>-2.2382904326111196E-2</v>
      </c>
      <c r="AD57" s="2">
        <f t="shared" si="10"/>
        <v>-1204.2216365490931</v>
      </c>
      <c r="AE57" s="10">
        <f t="shared" si="11"/>
        <v>81241206.955681041</v>
      </c>
    </row>
    <row r="58" spans="1:31" x14ac:dyDescent="0.25">
      <c r="A58" s="1">
        <f t="shared" si="12"/>
        <v>0.20833333333333334</v>
      </c>
      <c r="B58" s="7">
        <f t="shared" si="13"/>
        <v>78687209.315729633</v>
      </c>
      <c r="C58" s="7">
        <f t="shared" si="14"/>
        <v>81241206.955681041</v>
      </c>
      <c r="D58" s="7"/>
      <c r="E58" s="7"/>
      <c r="F58" s="7"/>
      <c r="G58" s="7"/>
      <c r="H58" s="7"/>
      <c r="I58" s="7"/>
      <c r="J58" s="7"/>
      <c r="L58" s="1">
        <f t="shared" si="17"/>
        <v>0.20833333333333334</v>
      </c>
      <c r="M58">
        <f t="shared" si="15"/>
        <v>18000</v>
      </c>
      <c r="N58" s="9">
        <f t="shared" si="22"/>
        <v>-1903.6735911511114</v>
      </c>
      <c r="O58" s="7">
        <f t="shared" si="23"/>
        <v>78687209.315729633</v>
      </c>
      <c r="P58" s="2">
        <f t="shared" si="0"/>
        <v>-2.1679248064181599E-2</v>
      </c>
      <c r="Q58" s="2">
        <f t="shared" si="1"/>
        <v>-2.1812230671602748E-2</v>
      </c>
      <c r="R58" s="2">
        <f t="shared" si="2"/>
        <v>-2.1812232127574514E-2</v>
      </c>
      <c r="S58" s="2">
        <f t="shared" si="3"/>
        <v>-2.1946767710471941E-2</v>
      </c>
      <c r="T58" s="9">
        <f t="shared" si="4"/>
        <v>-1911.5260876334919</v>
      </c>
      <c r="U58" s="7">
        <f t="shared" si="5"/>
        <v>78000473.373548403</v>
      </c>
      <c r="W58">
        <f t="shared" si="16"/>
        <v>18000</v>
      </c>
      <c r="X58" s="9">
        <f t="shared" si="24"/>
        <v>-1204.2216365490931</v>
      </c>
      <c r="Y58" s="2">
        <f t="shared" si="25"/>
        <v>81241206.955681041</v>
      </c>
      <c r="Z58" s="2">
        <f t="shared" si="6"/>
        <v>-2.2382904336571138E-2</v>
      </c>
      <c r="AA58" s="2">
        <f t="shared" si="7"/>
        <v>-2.2558352639551159E-2</v>
      </c>
      <c r="AB58" s="2">
        <f t="shared" si="8"/>
        <v>-2.2558353974309393E-2</v>
      </c>
      <c r="AC58" s="2">
        <f t="shared" si="9"/>
        <v>-2.2736214038283787E-2</v>
      </c>
      <c r="AD58" s="2">
        <f t="shared" si="10"/>
        <v>-1212.3427884452476</v>
      </c>
      <c r="AE58" s="10">
        <f t="shared" si="11"/>
        <v>80806225.35918206</v>
      </c>
    </row>
    <row r="59" spans="1:31" x14ac:dyDescent="0.25">
      <c r="A59" s="1">
        <f t="shared" si="12"/>
        <v>0.21249999999999999</v>
      </c>
      <c r="B59" s="7">
        <f t="shared" si="13"/>
        <v>78000473.373548403</v>
      </c>
      <c r="C59" s="7">
        <f t="shared" si="14"/>
        <v>80806225.35918206</v>
      </c>
      <c r="D59" s="7"/>
      <c r="E59" s="7"/>
      <c r="F59" s="7"/>
      <c r="G59" s="7"/>
      <c r="H59" s="7"/>
      <c r="I59" s="7"/>
      <c r="J59" s="7"/>
      <c r="L59" s="1">
        <f t="shared" si="17"/>
        <v>0.21249999999999999</v>
      </c>
      <c r="M59">
        <f t="shared" si="15"/>
        <v>18360</v>
      </c>
      <c r="N59" s="9">
        <f t="shared" si="22"/>
        <v>-1911.5260876334919</v>
      </c>
      <c r="O59" s="7">
        <f t="shared" si="23"/>
        <v>78000473.373548403</v>
      </c>
      <c r="P59" s="2">
        <f t="shared" si="0"/>
        <v>-2.1946767723543571E-2</v>
      </c>
      <c r="Q59" s="2">
        <f t="shared" si="1"/>
        <v>-2.2082879628082214E-2</v>
      </c>
      <c r="R59" s="2">
        <f t="shared" si="2"/>
        <v>-2.2082881151916468E-2</v>
      </c>
      <c r="S59" s="2">
        <f t="shared" si="3"/>
        <v>-2.2220599269943655E-2</v>
      </c>
      <c r="T59" s="9">
        <f t="shared" si="4"/>
        <v>-1919.4760209467011</v>
      </c>
      <c r="U59" s="7">
        <f t="shared" si="5"/>
        <v>77310892.994003966</v>
      </c>
      <c r="W59">
        <f t="shared" si="16"/>
        <v>18360</v>
      </c>
      <c r="X59" s="9">
        <f t="shared" si="24"/>
        <v>-1212.3427884452476</v>
      </c>
      <c r="Y59" s="2">
        <f t="shared" si="25"/>
        <v>80806225.35918206</v>
      </c>
      <c r="Z59" s="2">
        <f t="shared" si="6"/>
        <v>-2.2736214049384158E-2</v>
      </c>
      <c r="AA59" s="2">
        <f t="shared" si="7"/>
        <v>-2.2916530105787633E-2</v>
      </c>
      <c r="AB59" s="2">
        <f t="shared" si="8"/>
        <v>-2.2916531507181453E-2</v>
      </c>
      <c r="AC59" s="2">
        <f t="shared" si="9"/>
        <v>-2.3099354454307434E-2</v>
      </c>
      <c r="AD59" s="2">
        <f t="shared" si="10"/>
        <v>-1220.5928899490254</v>
      </c>
      <c r="AE59" s="10">
        <f t="shared" si="11"/>
        <v>80368296.937071085</v>
      </c>
    </row>
    <row r="60" spans="1:31" x14ac:dyDescent="0.25">
      <c r="A60" s="1">
        <f t="shared" si="12"/>
        <v>0.21666666666666667</v>
      </c>
      <c r="B60" s="7">
        <f t="shared" si="13"/>
        <v>77310892.994003966</v>
      </c>
      <c r="C60" s="7">
        <f t="shared" si="14"/>
        <v>80368296.937071085</v>
      </c>
      <c r="D60" s="7"/>
      <c r="E60" s="7"/>
      <c r="F60" s="7"/>
      <c r="G60" s="7"/>
      <c r="H60" s="7"/>
      <c r="I60" s="7"/>
      <c r="J60" s="7"/>
      <c r="K60" s="7"/>
      <c r="L60" s="1">
        <f t="shared" si="17"/>
        <v>0.21666666666666667</v>
      </c>
      <c r="M60">
        <f t="shared" si="15"/>
        <v>18720</v>
      </c>
      <c r="N60" s="9">
        <f t="shared" si="22"/>
        <v>-1919.4760209467011</v>
      </c>
      <c r="O60" s="7">
        <f t="shared" si="23"/>
        <v>77310892.994003966</v>
      </c>
      <c r="P60" s="2">
        <f t="shared" si="0"/>
        <v>-2.2220599283784611E-2</v>
      </c>
      <c r="Q60" s="2">
        <f t="shared" si="1"/>
        <v>-2.2359948008831024E-2</v>
      </c>
      <c r="R60" s="2">
        <f t="shared" si="2"/>
        <v>-2.2359949604522412E-2</v>
      </c>
      <c r="S60" s="2">
        <f t="shared" si="3"/>
        <v>-2.2500960188007842E-2</v>
      </c>
      <c r="T60" s="9">
        <f t="shared" si="4"/>
        <v>-1927.525702228611</v>
      </c>
      <c r="U60" s="7">
        <f t="shared" si="5"/>
        <v>76618432.683832407</v>
      </c>
      <c r="W60">
        <f t="shared" si="16"/>
        <v>18720</v>
      </c>
      <c r="X60" s="9">
        <f t="shared" si="24"/>
        <v>-1220.5928899490254</v>
      </c>
      <c r="Y60" s="2">
        <f t="shared" si="25"/>
        <v>80368296.937071085</v>
      </c>
      <c r="Z60" s="2">
        <f t="shared" si="6"/>
        <v>-2.3099354466095429E-2</v>
      </c>
      <c r="AA60" s="2">
        <f t="shared" si="7"/>
        <v>-2.328473080492437E-2</v>
      </c>
      <c r="AB60" s="2">
        <f t="shared" si="8"/>
        <v>-2.3284732277110316E-2</v>
      </c>
      <c r="AC60" s="2">
        <f t="shared" si="9"/>
        <v>-2.3472715525828122E-2</v>
      </c>
      <c r="AD60" s="2">
        <f t="shared" si="10"/>
        <v>-1228.9755497183851</v>
      </c>
      <c r="AE60" s="10">
        <f t="shared" si="11"/>
        <v>79927374.617930949</v>
      </c>
    </row>
    <row r="61" spans="1:31" x14ac:dyDescent="0.25">
      <c r="A61" s="1">
        <f t="shared" si="12"/>
        <v>0.22083333333333333</v>
      </c>
      <c r="B61" s="7">
        <f t="shared" si="13"/>
        <v>76618432.683832407</v>
      </c>
      <c r="C61" s="7">
        <f t="shared" si="14"/>
        <v>79927374.617930949</v>
      </c>
      <c r="D61" s="7"/>
      <c r="E61" s="7"/>
      <c r="F61" s="7"/>
      <c r="G61" s="7"/>
      <c r="H61" s="7"/>
      <c r="I61" s="7"/>
      <c r="J61" s="7"/>
      <c r="K61" s="7"/>
      <c r="L61" s="1">
        <f t="shared" si="17"/>
        <v>0.22083333333333333</v>
      </c>
      <c r="M61">
        <f t="shared" si="15"/>
        <v>19080</v>
      </c>
      <c r="N61" s="9">
        <f t="shared" si="22"/>
        <v>-1927.525702228611</v>
      </c>
      <c r="O61" s="7">
        <f t="shared" si="23"/>
        <v>76618432.683832407</v>
      </c>
      <c r="P61" s="2">
        <f t="shared" si="0"/>
        <v>-2.2500960202673007E-2</v>
      </c>
      <c r="Q61" s="2">
        <f t="shared" si="1"/>
        <v>-2.2643658143809437E-2</v>
      </c>
      <c r="R61" s="2">
        <f t="shared" si="2"/>
        <v>-2.2643659815637214E-2</v>
      </c>
      <c r="S61" s="2">
        <f t="shared" si="3"/>
        <v>-2.2788077802473952E-2</v>
      </c>
      <c r="T61" s="9">
        <f t="shared" si="4"/>
        <v>-1935.6775226640534</v>
      </c>
      <c r="U61" s="7">
        <f t="shared" si="5"/>
        <v>75923056.103351727</v>
      </c>
      <c r="W61">
        <f t="shared" si="16"/>
        <v>19080</v>
      </c>
      <c r="X61" s="9">
        <f t="shared" si="24"/>
        <v>-1228.9755497183851</v>
      </c>
      <c r="Y61" s="2">
        <f t="shared" si="25"/>
        <v>79927374.617930949</v>
      </c>
      <c r="Z61" s="2">
        <f t="shared" si="6"/>
        <v>-2.3472715538355008E-2</v>
      </c>
      <c r="AA61" s="2">
        <f t="shared" si="7"/>
        <v>-2.3663354611428822E-2</v>
      </c>
      <c r="AB61" s="2">
        <f t="shared" si="8"/>
        <v>-2.3663356158875219E-2</v>
      </c>
      <c r="AC61" s="2">
        <f t="shared" si="9"/>
        <v>-2.3856707361276718E-2</v>
      </c>
      <c r="AD61" s="2">
        <f t="shared" si="10"/>
        <v>-1237.4945203847994</v>
      </c>
      <c r="AE61" s="10">
        <f t="shared" si="11"/>
        <v>79483410.005312368</v>
      </c>
    </row>
    <row r="62" spans="1:31" x14ac:dyDescent="0.25">
      <c r="A62" s="1">
        <f t="shared" si="12"/>
        <v>0.22500000000000001</v>
      </c>
      <c r="B62" s="7">
        <f t="shared" si="13"/>
        <v>75923056.103351727</v>
      </c>
      <c r="C62" s="7">
        <f t="shared" si="14"/>
        <v>79483410.005312368</v>
      </c>
      <c r="D62" s="7"/>
      <c r="E62" s="7"/>
      <c r="F62" s="7"/>
      <c r="G62" s="7"/>
      <c r="H62" s="7"/>
      <c r="I62" s="7"/>
      <c r="J62" s="7"/>
      <c r="K62" s="7"/>
      <c r="L62" s="1">
        <f t="shared" si="17"/>
        <v>0.22500000000000001</v>
      </c>
      <c r="M62">
        <f t="shared" si="15"/>
        <v>19440</v>
      </c>
      <c r="N62" s="9">
        <f t="shared" si="22"/>
        <v>-1935.6775226640534</v>
      </c>
      <c r="O62" s="7">
        <f t="shared" si="23"/>
        <v>75923056.103351727</v>
      </c>
      <c r="P62" s="2">
        <f t="shared" si="0"/>
        <v>-2.2788077818022785E-2</v>
      </c>
      <c r="Q62" s="2">
        <f t="shared" si="1"/>
        <v>-2.2934242517649181E-2</v>
      </c>
      <c r="R62" s="2">
        <f t="shared" si="2"/>
        <v>-2.2934244270201166E-2</v>
      </c>
      <c r="S62" s="2">
        <f t="shared" si="3"/>
        <v>-2.3082189889591091E-2</v>
      </c>
      <c r="T62" s="9">
        <f t="shared" si="4"/>
        <v>-1943.9339571410524</v>
      </c>
      <c r="U62" s="7">
        <f t="shared" si="5"/>
        <v>75224726.036986813</v>
      </c>
      <c r="W62">
        <f t="shared" si="16"/>
        <v>19440</v>
      </c>
      <c r="X62" s="9">
        <f t="shared" si="24"/>
        <v>-1237.4945203847994</v>
      </c>
      <c r="Y62" s="2">
        <f t="shared" si="25"/>
        <v>79483410.005312368</v>
      </c>
      <c r="Z62" s="2">
        <f t="shared" si="6"/>
        <v>-2.3856707374598274E-2</v>
      </c>
      <c r="AA62" s="2">
        <f t="shared" si="7"/>
        <v>-2.4052822189131021E-2</v>
      </c>
      <c r="AB62" s="2">
        <f t="shared" si="8"/>
        <v>-2.4052823816645297E-2</v>
      </c>
      <c r="AC62" s="2">
        <f t="shared" si="9"/>
        <v>-2.425176151467319E-2</v>
      </c>
      <c r="AD62" s="2">
        <f t="shared" si="10"/>
        <v>-1246.1537060388489</v>
      </c>
      <c r="AE62" s="10">
        <f t="shared" si="11"/>
        <v>79036353.324556112</v>
      </c>
    </row>
    <row r="63" spans="1:31" x14ac:dyDescent="0.25">
      <c r="A63" s="1">
        <f t="shared" si="12"/>
        <v>0.22916666666666666</v>
      </c>
      <c r="B63" s="7">
        <f t="shared" si="13"/>
        <v>75224726.036986813</v>
      </c>
      <c r="C63" s="7">
        <f t="shared" si="14"/>
        <v>79036353.324556112</v>
      </c>
      <c r="D63" s="7"/>
      <c r="E63" s="7"/>
      <c r="F63" s="7"/>
      <c r="G63" s="7"/>
      <c r="H63" s="7"/>
      <c r="I63" s="7"/>
      <c r="J63" s="7"/>
      <c r="K63" s="7"/>
      <c r="L63" s="1">
        <f t="shared" si="17"/>
        <v>0.22916666666666666</v>
      </c>
      <c r="M63">
        <f t="shared" si="15"/>
        <v>19800</v>
      </c>
      <c r="N63" s="9">
        <f t="shared" si="22"/>
        <v>-1943.9339571410524</v>
      </c>
      <c r="O63" s="7">
        <f t="shared" si="23"/>
        <v>75224726.036986813</v>
      </c>
      <c r="P63" s="2">
        <f t="shared" si="0"/>
        <v>-2.3082189906088135E-2</v>
      </c>
      <c r="Q63" s="2">
        <f t="shared" si="1"/>
        <v>-2.3231944346585334E-2</v>
      </c>
      <c r="R63" s="2">
        <f t="shared" si="2"/>
        <v>-2.3231946184783987E-2</v>
      </c>
      <c r="S63" s="2">
        <f t="shared" si="3"/>
        <v>-2.3383545260235665E-2</v>
      </c>
      <c r="T63" s="9">
        <f t="shared" si="4"/>
        <v>-1952.2975681147961</v>
      </c>
      <c r="U63" s="7">
        <f t="shared" si="5"/>
        <v>74523404.362440765</v>
      </c>
      <c r="W63">
        <f t="shared" si="16"/>
        <v>19800</v>
      </c>
      <c r="X63" s="9">
        <f t="shared" si="24"/>
        <v>-1246.1537060388489</v>
      </c>
      <c r="Y63" s="2">
        <f t="shared" si="25"/>
        <v>79036353.324556112</v>
      </c>
      <c r="Z63" s="2">
        <f t="shared" si="6"/>
        <v>-2.4251761528850099E-2</v>
      </c>
      <c r="AA63" s="2">
        <f t="shared" si="7"/>
        <v>-2.4453576328236103E-2</v>
      </c>
      <c r="AB63" s="2">
        <f t="shared" si="8"/>
        <v>-2.4453578040994996E-2</v>
      </c>
      <c r="AC63" s="2">
        <f t="shared" si="9"/>
        <v>-2.4658332372945183E-2</v>
      </c>
      <c r="AD63" s="2">
        <f t="shared" si="10"/>
        <v>-1254.9571701972643</v>
      </c>
      <c r="AE63" s="10">
        <f t="shared" si="11"/>
        <v>78586153.366833612</v>
      </c>
    </row>
    <row r="64" spans="1:31" x14ac:dyDescent="0.25">
      <c r="A64" s="1">
        <f t="shared" si="12"/>
        <v>0.23333333333333334</v>
      </c>
      <c r="B64" s="7">
        <f t="shared" si="13"/>
        <v>74523404.362440765</v>
      </c>
      <c r="C64" s="7">
        <f t="shared" si="14"/>
        <v>78586153.366833612</v>
      </c>
      <c r="D64" s="7"/>
      <c r="E64" s="7"/>
      <c r="F64" s="7"/>
      <c r="G64" s="7"/>
      <c r="H64" s="7"/>
      <c r="I64" s="7"/>
      <c r="J64" s="7"/>
      <c r="K64" s="7"/>
      <c r="L64" s="1">
        <f t="shared" si="17"/>
        <v>0.23333333333333334</v>
      </c>
      <c r="M64">
        <f t="shared" si="15"/>
        <v>20160</v>
      </c>
      <c r="N64" s="9">
        <f t="shared" si="22"/>
        <v>-1952.2975681147961</v>
      </c>
      <c r="O64" s="7">
        <f t="shared" si="23"/>
        <v>74523404.362440765</v>
      </c>
      <c r="P64" s="2">
        <f t="shared" si="0"/>
        <v>-2.3383545277751029E-2</v>
      </c>
      <c r="Q64" s="2">
        <f t="shared" si="1"/>
        <v>-2.3537018194639988E-2</v>
      </c>
      <c r="R64" s="2">
        <f t="shared" si="2"/>
        <v>-2.35370201237712E-2</v>
      </c>
      <c r="S64" s="2">
        <f t="shared" si="3"/>
        <v>-2.3692404396873892E-2</v>
      </c>
      <c r="T64" s="9">
        <f t="shared" si="4"/>
        <v>-1960.7710096934829</v>
      </c>
      <c r="U64" s="7">
        <f t="shared" si="5"/>
        <v>73819052.01843527</v>
      </c>
      <c r="W64">
        <f t="shared" si="16"/>
        <v>20160</v>
      </c>
      <c r="X64" s="9">
        <f t="shared" si="24"/>
        <v>-1254.9571701972643</v>
      </c>
      <c r="Y64" s="2">
        <f t="shared" si="25"/>
        <v>78586153.366833612</v>
      </c>
      <c r="Z64" s="2">
        <f t="shared" si="6"/>
        <v>-2.4658332388043561E-2</v>
      </c>
      <c r="AA64" s="2">
        <f t="shared" si="7"/>
        <v>-2.4866083385138807E-2</v>
      </c>
      <c r="AB64" s="2">
        <f t="shared" si="8"/>
        <v>-2.4866085188721562E-2</v>
      </c>
      <c r="AC64" s="2">
        <f t="shared" si="9"/>
        <v>-2.5076898650549167E-2</v>
      </c>
      <c r="AD64" s="2">
        <f t="shared" si="10"/>
        <v>-1263.909144288443</v>
      </c>
      <c r="AE64" s="10">
        <f t="shared" si="11"/>
        <v>78132757.430226192</v>
      </c>
    </row>
    <row r="65" spans="1:31" x14ac:dyDescent="0.25">
      <c r="A65" s="1">
        <f t="shared" si="12"/>
        <v>0.23749999999999999</v>
      </c>
      <c r="B65" s="7">
        <f t="shared" si="13"/>
        <v>73819052.01843527</v>
      </c>
      <c r="C65" s="7">
        <f t="shared" si="14"/>
        <v>78132757.430226192</v>
      </c>
      <c r="D65" s="7"/>
      <c r="E65" s="7"/>
      <c r="F65" s="7"/>
      <c r="G65" s="7"/>
      <c r="H65" s="7"/>
      <c r="I65" s="7"/>
      <c r="J65" s="7"/>
      <c r="K65" s="7"/>
      <c r="L65" s="1">
        <f t="shared" si="17"/>
        <v>0.23749999999999999</v>
      </c>
      <c r="M65">
        <f t="shared" si="15"/>
        <v>20520</v>
      </c>
      <c r="N65" s="9">
        <f t="shared" si="22"/>
        <v>-1960.7710096934829</v>
      </c>
      <c r="O65" s="7">
        <f t="shared" si="23"/>
        <v>73819052.01843527</v>
      </c>
      <c r="P65" s="2">
        <f t="shared" si="0"/>
        <v>-2.3692404415483759E-2</v>
      </c>
      <c r="Q65" s="2">
        <f t="shared" si="1"/>
        <v>-2.3849730632170347E-2</v>
      </c>
      <c r="R65" s="2">
        <f t="shared" si="2"/>
        <v>-2.3849732657915033E-2</v>
      </c>
      <c r="S65" s="2">
        <f t="shared" si="3"/>
        <v>-2.4009040134549301E-2</v>
      </c>
      <c r="T65" s="9">
        <f t="shared" si="4"/>
        <v>-1969.3570319612952</v>
      </c>
      <c r="U65" s="7">
        <f t="shared" si="5"/>
        <v>73111628.970937416</v>
      </c>
      <c r="W65">
        <f t="shared" si="16"/>
        <v>20520</v>
      </c>
      <c r="X65" s="9">
        <f t="shared" si="24"/>
        <v>-1263.909144288443</v>
      </c>
      <c r="Y65" s="2">
        <f t="shared" si="25"/>
        <v>78132757.430226192</v>
      </c>
      <c r="Z65" s="2">
        <f t="shared" si="6"/>
        <v>-2.5076898666641135E-2</v>
      </c>
      <c r="AA65" s="2">
        <f t="shared" si="7"/>
        <v>-2.5290834834265075E-2</v>
      </c>
      <c r="AB65" s="2">
        <f t="shared" si="8"/>
        <v>-2.5290836734690091E-2</v>
      </c>
      <c r="AC65" s="2">
        <f t="shared" si="9"/>
        <v>-2.5507965001081094E-2</v>
      </c>
      <c r="AD65" s="2">
        <f t="shared" si="10"/>
        <v>-1273.014036696781</v>
      </c>
      <c r="AE65" s="10">
        <f t="shared" si="11"/>
        <v>77676111.257648855</v>
      </c>
    </row>
    <row r="66" spans="1:31" x14ac:dyDescent="0.25">
      <c r="A66" s="1">
        <f t="shared" si="12"/>
        <v>0.24166666666666667</v>
      </c>
      <c r="B66" s="7">
        <f t="shared" si="13"/>
        <v>73111628.970937416</v>
      </c>
      <c r="C66" s="7">
        <f t="shared" si="14"/>
        <v>77676111.257648855</v>
      </c>
      <c r="D66" s="7"/>
      <c r="E66" s="7"/>
      <c r="F66" s="7"/>
      <c r="G66" s="7"/>
      <c r="H66" s="7"/>
      <c r="I66" s="7"/>
      <c r="J66" s="7"/>
      <c r="K66" s="7"/>
      <c r="L66" s="1">
        <f t="shared" si="17"/>
        <v>0.24166666666666667</v>
      </c>
      <c r="M66">
        <f t="shared" si="15"/>
        <v>20880</v>
      </c>
      <c r="N66" s="9">
        <f t="shared" si="22"/>
        <v>-1969.3570319612952</v>
      </c>
      <c r="O66" s="7">
        <f t="shared" si="23"/>
        <v>73111628.970937416</v>
      </c>
      <c r="P66" s="2">
        <f t="shared" si="0"/>
        <v>-2.4009040154336577E-2</v>
      </c>
      <c r="Q66" s="2">
        <f t="shared" si="1"/>
        <v>-2.4170360940175845E-2</v>
      </c>
      <c r="R66" s="2">
        <f t="shared" si="2"/>
        <v>-2.4170363068644705E-2</v>
      </c>
      <c r="S66" s="2">
        <f t="shared" si="3"/>
        <v>-2.4333738389441268E-2</v>
      </c>
      <c r="T66" s="9">
        <f t="shared" si="4"/>
        <v>-1978.0584855549803</v>
      </c>
      <c r="U66" s="7">
        <f t="shared" si="5"/>
        <v>72401094.177784488</v>
      </c>
      <c r="W66">
        <f t="shared" si="16"/>
        <v>20880</v>
      </c>
      <c r="X66" s="9">
        <f t="shared" si="24"/>
        <v>-1273.014036696781</v>
      </c>
      <c r="Y66" s="2">
        <f t="shared" si="25"/>
        <v>77676111.257648855</v>
      </c>
      <c r="Z66" s="2">
        <f t="shared" si="6"/>
        <v>-2.5507965018245388E-2</v>
      </c>
      <c r="AA66" s="2">
        <f t="shared" si="7"/>
        <v>-2.5728348942115089E-2</v>
      </c>
      <c r="AB66" s="2">
        <f t="shared" si="8"/>
        <v>-2.5728350945880437E-2</v>
      </c>
      <c r="AC66" s="2">
        <f t="shared" si="9"/>
        <v>-2.5952063756565929E-2</v>
      </c>
      <c r="AD66" s="2">
        <f t="shared" si="10"/>
        <v>-1282.2764424098291</v>
      </c>
      <c r="AE66" s="10">
        <f t="shared" si="11"/>
        <v>77216158.971409664</v>
      </c>
    </row>
    <row r="67" spans="1:31" x14ac:dyDescent="0.25">
      <c r="A67" s="1">
        <f t="shared" si="12"/>
        <v>0.24583333333333332</v>
      </c>
      <c r="B67" s="7">
        <f t="shared" si="13"/>
        <v>72401094.177784488</v>
      </c>
      <c r="C67" s="7">
        <f t="shared" si="14"/>
        <v>77216158.971409664</v>
      </c>
      <c r="D67" s="7"/>
      <c r="E67" s="7"/>
      <c r="F67" s="7"/>
      <c r="G67" s="7"/>
      <c r="H67" s="7"/>
      <c r="I67" s="7"/>
      <c r="J67" s="7"/>
      <c r="K67" s="7"/>
      <c r="L67" s="1">
        <f t="shared" si="17"/>
        <v>0.24583333333333332</v>
      </c>
      <c r="M67">
        <f t="shared" si="15"/>
        <v>21240</v>
      </c>
      <c r="N67" s="9">
        <f t="shared" si="22"/>
        <v>-1978.0584855549803</v>
      </c>
      <c r="O67" s="7">
        <f t="shared" si="23"/>
        <v>72401094.177784488</v>
      </c>
      <c r="P67" s="2">
        <f t="shared" si="0"/>
        <v>-2.4333738410496283E-2</v>
      </c>
      <c r="Q67" s="2">
        <f t="shared" si="1"/>
        <v>-2.4499201864069061E-2</v>
      </c>
      <c r="R67" s="2">
        <f t="shared" si="2"/>
        <v>-2.4499204101840789E-2</v>
      </c>
      <c r="S67" s="2">
        <f t="shared" si="3"/>
        <v>-2.4666798938866516E-2</v>
      </c>
      <c r="T67" s="9">
        <f t="shared" si="4"/>
        <v>-1986.8783265118511</v>
      </c>
      <c r="U67" s="7">
        <f t="shared" si="5"/>
        <v>71687405.551612452</v>
      </c>
      <c r="W67">
        <f t="shared" si="16"/>
        <v>21240</v>
      </c>
      <c r="X67" s="9">
        <f t="shared" si="24"/>
        <v>-1282.2764424098291</v>
      </c>
      <c r="Y67" s="2">
        <f t="shared" si="25"/>
        <v>77216158.971409664</v>
      </c>
      <c r="Z67" s="2">
        <f t="shared" si="6"/>
        <v>-2.5952063774888599E-2</v>
      </c>
      <c r="AA67" s="2">
        <f t="shared" si="7"/>
        <v>-2.6179172574741651E-2</v>
      </c>
      <c r="AB67" s="2">
        <f t="shared" si="8"/>
        <v>-2.6179174688869919E-2</v>
      </c>
      <c r="AC67" s="2">
        <f t="shared" si="9"/>
        <v>-2.6409756806235571E-2</v>
      </c>
      <c r="AD67" s="2">
        <f t="shared" si="10"/>
        <v>-1291.70115331633</v>
      </c>
      <c r="AE67" s="10">
        <f t="shared" si="11"/>
        <v>76752843.004178956</v>
      </c>
    </row>
    <row r="68" spans="1:31" x14ac:dyDescent="0.25">
      <c r="A68" s="1">
        <f t="shared" si="12"/>
        <v>0.25</v>
      </c>
      <c r="B68" s="7">
        <f t="shared" si="13"/>
        <v>71687405.551612452</v>
      </c>
      <c r="C68" s="7">
        <f t="shared" si="14"/>
        <v>76752843.004178956</v>
      </c>
      <c r="D68" s="7"/>
      <c r="E68" s="7"/>
      <c r="F68" s="7"/>
      <c r="G68" s="7"/>
      <c r="H68" s="7"/>
      <c r="I68" s="7"/>
      <c r="J68" s="7"/>
      <c r="K68" s="7"/>
      <c r="L68" s="1">
        <f t="shared" si="17"/>
        <v>0.25</v>
      </c>
      <c r="M68">
        <f t="shared" si="15"/>
        <v>21600</v>
      </c>
      <c r="N68" s="9">
        <f t="shared" si="22"/>
        <v>-1986.8783265118511</v>
      </c>
      <c r="O68" s="7">
        <f t="shared" si="23"/>
        <v>71687405.551612452</v>
      </c>
      <c r="P68" s="2">
        <f t="shared" si="0"/>
        <v>-2.4666798961287713E-2</v>
      </c>
      <c r="Q68" s="2">
        <f t="shared" si="1"/>
        <v>-2.4836560420957745E-2</v>
      </c>
      <c r="R68" s="2">
        <f t="shared" si="2"/>
        <v>-2.4836562775121338E-2</v>
      </c>
      <c r="S68" s="2">
        <f t="shared" si="3"/>
        <v>-2.5008536256955108E-2</v>
      </c>
      <c r="T68" s="9">
        <f t="shared" si="4"/>
        <v>-1995.8196214084751</v>
      </c>
      <c r="U68" s="7">
        <f t="shared" si="5"/>
        <v>70970519.920986786</v>
      </c>
      <c r="W68">
        <f t="shared" si="16"/>
        <v>21600</v>
      </c>
      <c r="X68" s="9">
        <f t="shared" si="24"/>
        <v>-1291.70115331633</v>
      </c>
      <c r="Y68" s="2">
        <f t="shared" si="25"/>
        <v>76752843.004178956</v>
      </c>
      <c r="Z68" s="2">
        <f t="shared" si="6"/>
        <v>-2.6409756825810753E-2</v>
      </c>
      <c r="AA68" s="2">
        <f t="shared" si="7"/>
        <v>-2.6643883151081765E-2</v>
      </c>
      <c r="AB68" s="2">
        <f t="shared" si="8"/>
        <v>-2.6643885383169599E-2</v>
      </c>
      <c r="AC68" s="2">
        <f t="shared" si="9"/>
        <v>-2.6881637627856857E-2</v>
      </c>
      <c r="AD68" s="2">
        <f t="shared" si="10"/>
        <v>-1301.2931692076602</v>
      </c>
      <c r="AE68" s="10">
        <f t="shared" si="11"/>
        <v>76286104.026124641</v>
      </c>
    </row>
    <row r="69" spans="1:31" x14ac:dyDescent="0.25">
      <c r="A69" s="1">
        <f t="shared" si="12"/>
        <v>0.25416666666666665</v>
      </c>
      <c r="B69" s="7">
        <f t="shared" si="13"/>
        <v>70970519.920986786</v>
      </c>
      <c r="C69" s="7">
        <f t="shared" si="14"/>
        <v>76286104.026124641</v>
      </c>
      <c r="D69" s="7"/>
      <c r="E69" s="7"/>
      <c r="F69" s="7"/>
      <c r="G69" s="7"/>
      <c r="H69" s="7"/>
      <c r="I69" s="7"/>
      <c r="J69" s="7"/>
      <c r="K69" s="7"/>
      <c r="L69" s="1">
        <f t="shared" si="17"/>
        <v>0.25416666666666665</v>
      </c>
      <c r="M69">
        <f t="shared" si="15"/>
        <v>21960</v>
      </c>
      <c r="N69" s="9">
        <f t="shared" si="22"/>
        <v>-1995.8196214084751</v>
      </c>
      <c r="O69" s="7">
        <f t="shared" si="23"/>
        <v>70970519.920986786</v>
      </c>
      <c r="P69" s="2">
        <f t="shared" si="0"/>
        <v>-2.5008536280849994E-2</v>
      </c>
      <c r="Q69" s="2">
        <f t="shared" si="1"/>
        <v>-2.5182758764863346E-2</v>
      </c>
      <c r="R69" s="2">
        <f t="shared" si="2"/>
        <v>-2.5182761243064615E-2</v>
      </c>
      <c r="S69" s="2">
        <f t="shared" si="3"/>
        <v>-2.5359280410629979E-2</v>
      </c>
      <c r="T69" s="9">
        <f t="shared" si="4"/>
        <v>-2004.8855528109152</v>
      </c>
      <c r="U69" s="7">
        <f t="shared" si="5"/>
        <v>70250392.989627302</v>
      </c>
      <c r="W69">
        <f t="shared" si="16"/>
        <v>21960</v>
      </c>
      <c r="X69" s="9">
        <f t="shared" si="24"/>
        <v>-1301.2931692076602</v>
      </c>
      <c r="Y69" s="2">
        <f t="shared" si="25"/>
        <v>76286104.026124641</v>
      </c>
      <c r="Z69" s="2">
        <f t="shared" si="6"/>
        <v>-2.688163764878768E-2</v>
      </c>
      <c r="AA69" s="2">
        <f t="shared" si="7"/>
        <v>-2.7123090755884798E-2</v>
      </c>
      <c r="AB69" s="2">
        <f t="shared" si="8"/>
        <v>-2.7123093114157955E-2</v>
      </c>
      <c r="AC69" s="2">
        <f t="shared" si="9"/>
        <v>-2.7368333486074758E-2</v>
      </c>
      <c r="AD69" s="2">
        <f t="shared" si="10"/>
        <v>-1311.057709540157</v>
      </c>
      <c r="AE69" s="10">
        <f t="shared" si="11"/>
        <v>75815880.867950037</v>
      </c>
    </row>
    <row r="70" spans="1:31" x14ac:dyDescent="0.25">
      <c r="A70" s="1">
        <f t="shared" si="12"/>
        <v>0.25833333333333336</v>
      </c>
      <c r="B70" s="7">
        <f t="shared" si="13"/>
        <v>70250392.989627302</v>
      </c>
      <c r="C70" s="7">
        <f t="shared" si="14"/>
        <v>75815880.867950037</v>
      </c>
      <c r="D70" s="7"/>
      <c r="E70" s="7"/>
      <c r="F70" s="7"/>
      <c r="G70" s="7"/>
      <c r="H70" s="7"/>
      <c r="I70" s="7"/>
      <c r="J70" s="7"/>
      <c r="K70" s="7"/>
      <c r="L70" s="1">
        <f t="shared" si="17"/>
        <v>0.25833333333333336</v>
      </c>
      <c r="M70">
        <f t="shared" si="15"/>
        <v>22320</v>
      </c>
      <c r="N70" s="9">
        <f t="shared" si="22"/>
        <v>-2004.8855528109152</v>
      </c>
      <c r="O70" s="7">
        <f t="shared" si="23"/>
        <v>70250392.989627302</v>
      </c>
      <c r="P70" s="2">
        <f t="shared" si="0"/>
        <v>-2.5359280436115975E-2</v>
      </c>
      <c r="Q70" s="2">
        <f t="shared" si="1"/>
        <v>-2.5538135114718467E-2</v>
      </c>
      <c r="R70" s="2">
        <f t="shared" si="2"/>
        <v>-2.5538137725211654E-2</v>
      </c>
      <c r="S70" s="2">
        <f t="shared" si="3"/>
        <v>-2.5719378020957317E-2</v>
      </c>
      <c r="T70" s="9">
        <f t="shared" si="4"/>
        <v>-2014.0794250591312</v>
      </c>
      <c r="U70" s="7">
        <f t="shared" si="5"/>
        <v>69526979.293610692</v>
      </c>
      <c r="W70">
        <f t="shared" si="16"/>
        <v>22320</v>
      </c>
      <c r="X70" s="9">
        <f t="shared" si="24"/>
        <v>-1311.057709540157</v>
      </c>
      <c r="Y70" s="2">
        <f t="shared" si="25"/>
        <v>75815880.867950037</v>
      </c>
      <c r="Z70" s="2">
        <f t="shared" si="6"/>
        <v>-2.7368333508474299E-2</v>
      </c>
      <c r="AA70" s="2">
        <f t="shared" si="7"/>
        <v>-2.7617440427465809E-2</v>
      </c>
      <c r="AB70" s="2">
        <f t="shared" si="8"/>
        <v>-2.7617442920840198E-2</v>
      </c>
      <c r="AC70" s="2">
        <f t="shared" si="9"/>
        <v>-2.7870507813808579E-2</v>
      </c>
      <c r="AD70" s="2">
        <f t="shared" si="10"/>
        <v>-1321.0002260212907</v>
      </c>
      <c r="AE70" s="10">
        <f t="shared" si="11"/>
        <v>75342110.439548969</v>
      </c>
    </row>
    <row r="71" spans="1:31" x14ac:dyDescent="0.25">
      <c r="A71" s="1">
        <f t="shared" si="12"/>
        <v>0.26250000000000001</v>
      </c>
      <c r="B71" s="7">
        <f t="shared" si="13"/>
        <v>69526979.293610692</v>
      </c>
      <c r="C71" s="7">
        <f t="shared" si="14"/>
        <v>75342110.439548969</v>
      </c>
      <c r="D71" s="7"/>
      <c r="E71" s="7"/>
      <c r="F71" s="7"/>
      <c r="G71" s="7"/>
      <c r="H71" s="7"/>
      <c r="I71" s="7"/>
      <c r="J71" s="7"/>
      <c r="K71" s="7"/>
      <c r="L71" s="1">
        <f t="shared" si="17"/>
        <v>0.26250000000000001</v>
      </c>
      <c r="M71">
        <f t="shared" si="15"/>
        <v>22680</v>
      </c>
      <c r="N71" s="9">
        <f t="shared" si="22"/>
        <v>-2014.0794250591312</v>
      </c>
      <c r="O71" s="7">
        <f t="shared" si="23"/>
        <v>69526979.293610692</v>
      </c>
      <c r="P71" s="2">
        <f t="shared" si="0"/>
        <v>-2.5719378048162916E-2</v>
      </c>
      <c r="Q71" s="2">
        <f t="shared" si="1"/>
        <v>-2.5903044750447812E-2</v>
      </c>
      <c r="R71" s="2">
        <f t="shared" si="2"/>
        <v>-2.5903047502152478E-2</v>
      </c>
      <c r="S71" s="2">
        <f t="shared" si="3"/>
        <v>-2.6089193295421611E-2</v>
      </c>
      <c r="T71" s="9">
        <f t="shared" si="4"/>
        <v>-2023.4046704100583</v>
      </c>
      <c r="U71" s="7">
        <f t="shared" si="5"/>
        <v>68800232.156426236</v>
      </c>
      <c r="W71">
        <f t="shared" si="16"/>
        <v>22680</v>
      </c>
      <c r="X71" s="9">
        <f t="shared" si="24"/>
        <v>-1321.0002260212907</v>
      </c>
      <c r="Y71" s="2">
        <f t="shared" si="25"/>
        <v>75342110.439548969</v>
      </c>
      <c r="Z71" s="2">
        <f t="shared" si="6"/>
        <v>-2.7870507837800981E-2</v>
      </c>
      <c r="AA71" s="2">
        <f t="shared" si="7"/>
        <v>-2.8127614637179901E-2</v>
      </c>
      <c r="AB71" s="2">
        <f t="shared" si="8"/>
        <v>-2.8127617275329517E-2</v>
      </c>
      <c r="AC71" s="2">
        <f t="shared" si="9"/>
        <v>-2.8388862794506198E-2</v>
      </c>
      <c r="AD71" s="2">
        <f t="shared" si="10"/>
        <v>-1331.1264160887304</v>
      </c>
      <c r="AE71" s="10">
        <f t="shared" si="11"/>
        <v>74864727.643969163</v>
      </c>
    </row>
    <row r="72" spans="1:31" x14ac:dyDescent="0.25">
      <c r="A72" s="1">
        <f t="shared" si="12"/>
        <v>0.26666666666666666</v>
      </c>
      <c r="B72" s="7">
        <f t="shared" si="13"/>
        <v>68800232.156426236</v>
      </c>
      <c r="C72" s="7">
        <f t="shared" si="14"/>
        <v>74864727.643969163</v>
      </c>
      <c r="D72" s="7"/>
      <c r="E72" s="7"/>
      <c r="F72" s="7"/>
      <c r="G72" s="7"/>
      <c r="H72" s="7"/>
      <c r="I72" s="7"/>
      <c r="J72" s="7"/>
      <c r="K72" s="7"/>
      <c r="L72" s="1">
        <f t="shared" si="17"/>
        <v>0.26666666666666666</v>
      </c>
      <c r="M72">
        <f t="shared" si="15"/>
        <v>23040</v>
      </c>
      <c r="N72" s="9">
        <f t="shared" si="22"/>
        <v>-2023.4046704100583</v>
      </c>
      <c r="O72" s="7">
        <f t="shared" si="23"/>
        <v>68800232.156426236</v>
      </c>
      <c r="P72" s="2">
        <f t="shared" ref="P72:P135" si="26">dvdt_x($O72,$Y72)</f>
        <v>-2.6089193324487513E-2</v>
      </c>
      <c r="Q72" s="2">
        <f t="shared" ref="Q72:Q135" si="27">dvdt_x($O72+h/4*($N72+($N72+h/2*P72)),$Y72+h/4*($X72+($X72+h/2*Z72)))</f>
        <v>-2.6277861082947572E-2</v>
      </c>
      <c r="R72" s="2">
        <f t="shared" ref="R72:R135" si="28">dvdt_x($O72+h/4*($N72+($N72+h/2*Q72)),$Y72+h/4*($X72+($X72+h/2*AA72)))</f>
        <v>-2.6277863985511834E-2</v>
      </c>
      <c r="S72" s="2">
        <f t="shared" ref="S72:S135" si="29">dvdt_x($O72+h/2*($N72+($N72+h*R72)),$Y72+h/2*($X72+($X72+h*AB72)))</f>
        <v>-2.6469109137216042E-2</v>
      </c>
      <c r="T72" s="9">
        <f t="shared" ref="T72:T135" si="30">N72+h/6*(P72+2*Q72+2*R72+S72)</f>
        <v>-2032.8648555659756</v>
      </c>
      <c r="U72" s="7">
        <f t="shared" ref="U72:U135" si="31">O72+h/2*(N72+T72)</f>
        <v>68070103.641750544</v>
      </c>
      <c r="W72">
        <f t="shared" si="16"/>
        <v>23040</v>
      </c>
      <c r="X72" s="9">
        <f t="shared" si="24"/>
        <v>-1331.1264160887304</v>
      </c>
      <c r="Y72" s="2">
        <f t="shared" si="25"/>
        <v>74864727.643969163</v>
      </c>
      <c r="Z72" s="2">
        <f t="shared" ref="Z72:Z135" si="32">dvdt_y($O72,$Y72)</f>
        <v>-2.8388862820227907E-2</v>
      </c>
      <c r="AA72" s="2">
        <f t="shared" ref="AA72:AA135" si="33">dvdt_y($O72+h/4*($N72+($N72+h/2*P72)),$Y72+h/4*($X72+($X72+h/2*Z72)))</f>
        <v>-2.8654335979386329E-2</v>
      </c>
      <c r="AB72" s="2">
        <f t="shared" ref="AB72:AB135" si="34">dvdt_y($O72+h/4*($N72+($N72+h/2*Q72)),$Y72+h/4*($X72+($X72+h/2*AA72)))</f>
        <v>-2.8654338772818803E-2</v>
      </c>
      <c r="AC72" s="2">
        <f t="shared" ref="AC72:AC135" si="35">dvdt_y($O72+h/2*($N72+($N72+h*R72)),$Y72+h/2*($X72+($X72+h*AB72)))</f>
        <v>-2.8924142165048482E-2</v>
      </c>
      <c r="AD72" s="2">
        <f t="shared" ref="AD72:AD135" si="36">X72+h/6*(Z72+2*AA72+2*AB72+AC72)</f>
        <v>-1341.4422373581115</v>
      </c>
      <c r="AE72" s="10">
        <f t="shared" ref="AE72:AE135" si="37">Y72+h/2*(X72+AD72)</f>
        <v>74383665.28634873</v>
      </c>
    </row>
    <row r="73" spans="1:31" x14ac:dyDescent="0.25">
      <c r="A73" s="1">
        <f t="shared" ref="A73:A136" si="38">L73</f>
        <v>0.27083333333333331</v>
      </c>
      <c r="B73" s="7">
        <f t="shared" ref="B73:B136" si="39">O73</f>
        <v>68070103.641750544</v>
      </c>
      <c r="C73" s="7">
        <f t="shared" ref="C73:C136" si="40">Y73</f>
        <v>74383665.28634873</v>
      </c>
      <c r="D73" s="7"/>
      <c r="E73" s="7"/>
      <c r="F73" s="7"/>
      <c r="G73" s="7"/>
      <c r="H73" s="7"/>
      <c r="I73" s="7"/>
      <c r="J73" s="7"/>
      <c r="K73" s="7"/>
      <c r="L73" s="1">
        <f t="shared" si="17"/>
        <v>0.27083333333333331</v>
      </c>
      <c r="M73">
        <f t="shared" ref="M73:M136" si="41">M72+h</f>
        <v>23400</v>
      </c>
      <c r="N73" s="9">
        <f t="shared" si="22"/>
        <v>-2032.8648555659756</v>
      </c>
      <c r="O73" s="7">
        <f t="shared" si="23"/>
        <v>68070103.641750544</v>
      </c>
      <c r="P73" s="2">
        <f t="shared" si="26"/>
        <v>-2.646910916829652E-2</v>
      </c>
      <c r="Q73" s="2">
        <f t="shared" si="27"/>
        <v>-2.6662976804344995E-2</v>
      </c>
      <c r="R73" s="2">
        <f t="shared" si="28"/>
        <v>-2.6662979868215683E-2</v>
      </c>
      <c r="S73" s="2">
        <f t="shared" si="29"/>
        <v>-2.6859528338235784E-2</v>
      </c>
      <c r="T73" s="9">
        <f t="shared" si="30"/>
        <v>-2042.4636886170749</v>
      </c>
      <c r="U73" s="7">
        <f t="shared" si="31"/>
        <v>67336544.503797591</v>
      </c>
      <c r="W73">
        <f t="shared" ref="W73:W136" si="42">W72+h</f>
        <v>23400</v>
      </c>
      <c r="X73" s="9">
        <f t="shared" si="24"/>
        <v>-1341.4422373581115</v>
      </c>
      <c r="Y73" s="2">
        <f t="shared" si="25"/>
        <v>74383665.28634873</v>
      </c>
      <c r="Z73" s="2">
        <f t="shared" si="32"/>
        <v>-2.892414219264967E-2</v>
      </c>
      <c r="AA73" s="2">
        <f t="shared" si="33"/>
        <v>-2.9198370092780188E-2</v>
      </c>
      <c r="AB73" s="2">
        <f t="shared" si="34"/>
        <v>-2.9198373052920997E-2</v>
      </c>
      <c r="AC73" s="2">
        <f t="shared" si="35"/>
        <v>-2.9477134261333911E-2</v>
      </c>
      <c r="AD73" s="2">
        <f t="shared" si="36"/>
        <v>-1351.9539231228346</v>
      </c>
      <c r="AE73" s="10">
        <f t="shared" si="37"/>
        <v>73898853.977462158</v>
      </c>
    </row>
    <row r="74" spans="1:31" x14ac:dyDescent="0.25">
      <c r="A74" s="1">
        <f t="shared" si="38"/>
        <v>0.27500000000000002</v>
      </c>
      <c r="B74" s="7">
        <f t="shared" si="39"/>
        <v>67336544.503797591</v>
      </c>
      <c r="C74" s="7">
        <f t="shared" si="40"/>
        <v>73898853.977462158</v>
      </c>
      <c r="D74" s="7"/>
      <c r="E74" s="7"/>
      <c r="F74" s="7"/>
      <c r="G74" s="7"/>
      <c r="H74" s="7"/>
      <c r="I74" s="7"/>
      <c r="J74" s="7"/>
      <c r="K74" s="7"/>
      <c r="L74" s="1">
        <f t="shared" ref="L74:L137" si="43">M74/(24*3600)</f>
        <v>0.27500000000000002</v>
      </c>
      <c r="M74">
        <f t="shared" si="41"/>
        <v>23760</v>
      </c>
      <c r="N74" s="9">
        <f t="shared" si="22"/>
        <v>-2042.4636886170749</v>
      </c>
      <c r="O74" s="7">
        <f t="shared" si="23"/>
        <v>67336544.503797591</v>
      </c>
      <c r="P74" s="2">
        <f t="shared" si="26"/>
        <v>-2.685952837150021E-2</v>
      </c>
      <c r="Q74" s="2">
        <f t="shared" si="27"/>
        <v>-2.7058805125547071E-2</v>
      </c>
      <c r="R74" s="2">
        <f t="shared" si="28"/>
        <v>-2.7058808362047639E-2</v>
      </c>
      <c r="S74" s="2">
        <f t="shared" si="29"/>
        <v>-2.7260874863122824E-2</v>
      </c>
      <c r="T74" s="9">
        <f t="shared" si="30"/>
        <v>-2052.2050264296636</v>
      </c>
      <c r="U74" s="7">
        <f t="shared" si="31"/>
        <v>66599504.135089181</v>
      </c>
      <c r="W74">
        <f t="shared" si="42"/>
        <v>23760</v>
      </c>
      <c r="X74" s="9">
        <f t="shared" si="24"/>
        <v>-1351.9539231228346</v>
      </c>
      <c r="Y74" s="2">
        <f t="shared" si="25"/>
        <v>73898853.977462158</v>
      </c>
      <c r="Z74" s="2">
        <f t="shared" si="32"/>
        <v>-2.9477134290980041E-2</v>
      </c>
      <c r="AA74" s="2">
        <f t="shared" si="33"/>
        <v>-2.9760528836345567E-2</v>
      </c>
      <c r="AB74" s="2">
        <f t="shared" si="34"/>
        <v>-2.9760531975632023E-2</v>
      </c>
      <c r="AC74" s="2">
        <f t="shared" si="35"/>
        <v>-3.0048675331098076E-2</v>
      </c>
      <c r="AD74" s="2">
        <f t="shared" si="36"/>
        <v>-1362.6679989975967</v>
      </c>
      <c r="AE74" s="10">
        <f t="shared" si="37"/>
        <v>73410222.031480476</v>
      </c>
    </row>
    <row r="75" spans="1:31" x14ac:dyDescent="0.25">
      <c r="A75" s="1">
        <f t="shared" si="38"/>
        <v>0.27916666666666667</v>
      </c>
      <c r="B75" s="7">
        <f t="shared" si="39"/>
        <v>66599504.135089181</v>
      </c>
      <c r="C75" s="7">
        <f t="shared" si="40"/>
        <v>73410222.031480476</v>
      </c>
      <c r="D75" s="7"/>
      <c r="E75" s="7"/>
      <c r="F75" s="7"/>
      <c r="G75" s="7"/>
      <c r="H75" s="7"/>
      <c r="I75" s="7"/>
      <c r="J75" s="7"/>
      <c r="K75" s="7"/>
      <c r="L75" s="1">
        <f t="shared" si="43"/>
        <v>0.27916666666666667</v>
      </c>
      <c r="M75">
        <f t="shared" si="41"/>
        <v>24120</v>
      </c>
      <c r="N75" s="9">
        <f t="shared" si="22"/>
        <v>-2052.2050264296636</v>
      </c>
      <c r="O75" s="7">
        <f t="shared" si="23"/>
        <v>66599504.135089181</v>
      </c>
      <c r="P75" s="2">
        <f t="shared" si="26"/>
        <v>-2.7260874898757326E-2</v>
      </c>
      <c r="Q75" s="2">
        <f t="shared" si="27"/>
        <v>-2.7465781108784861E-2</v>
      </c>
      <c r="R75" s="2">
        <f t="shared" si="28"/>
        <v>-2.7465784530201941E-2</v>
      </c>
      <c r="S75" s="2">
        <f t="shared" si="29"/>
        <v>-2.7673595232445374E-2</v>
      </c>
      <c r="T75" s="9">
        <f t="shared" si="30"/>
        <v>-2062.0928825142141</v>
      </c>
      <c r="U75" s="7">
        <f t="shared" si="31"/>
        <v>65858930.511479281</v>
      </c>
      <c r="W75">
        <f t="shared" si="42"/>
        <v>24120</v>
      </c>
      <c r="X75" s="9">
        <f t="shared" si="24"/>
        <v>-1362.6679989975967</v>
      </c>
      <c r="Y75" s="2">
        <f t="shared" si="25"/>
        <v>73410222.031480476</v>
      </c>
      <c r="Z75" s="2">
        <f t="shared" si="32"/>
        <v>-3.0048675362971733E-2</v>
      </c>
      <c r="AA75" s="2">
        <f t="shared" si="33"/>
        <v>-3.034167374586683E-2</v>
      </c>
      <c r="AB75" s="2">
        <f t="shared" si="34"/>
        <v>-3.0341677077853308E-2</v>
      </c>
      <c r="AC75" s="2">
        <f t="shared" si="35"/>
        <v>-3.063965314137498E-2</v>
      </c>
      <c r="AD75" s="2">
        <f t="shared" si="36"/>
        <v>-1373.5913008067039</v>
      </c>
      <c r="AE75" s="10">
        <f t="shared" si="37"/>
        <v>72917695.357515708</v>
      </c>
    </row>
    <row r="76" spans="1:31" x14ac:dyDescent="0.25">
      <c r="A76" s="1">
        <f t="shared" si="38"/>
        <v>0.28333333333333333</v>
      </c>
      <c r="B76" s="7">
        <f t="shared" si="39"/>
        <v>65858930.511479281</v>
      </c>
      <c r="C76" s="7">
        <f t="shared" si="40"/>
        <v>72917695.357515708</v>
      </c>
      <c r="D76" s="7"/>
      <c r="E76" s="7"/>
      <c r="F76" s="7"/>
      <c r="G76" s="7"/>
      <c r="H76" s="7"/>
      <c r="I76" s="7"/>
      <c r="J76" s="7"/>
      <c r="K76" s="7"/>
      <c r="L76" s="1">
        <f t="shared" si="43"/>
        <v>0.28333333333333333</v>
      </c>
      <c r="M76">
        <f t="shared" si="41"/>
        <v>24480</v>
      </c>
      <c r="N76" s="9">
        <f t="shared" si="22"/>
        <v>-2062.0928825142141</v>
      </c>
      <c r="O76" s="7">
        <f t="shared" si="23"/>
        <v>65858930.511479281</v>
      </c>
      <c r="P76" s="2">
        <f t="shared" si="26"/>
        <v>-2.7673595270654792E-2</v>
      </c>
      <c r="Q76" s="2">
        <f t="shared" si="27"/>
        <v>-2.7884363103633528E-2</v>
      </c>
      <c r="R76" s="2">
        <f t="shared" si="28"/>
        <v>-2.7884366723313573E-2</v>
      </c>
      <c r="S76" s="2">
        <f t="shared" si="29"/>
        <v>-2.8098160013912139E-2</v>
      </c>
      <c r="T76" s="9">
        <f t="shared" si="30"/>
        <v>-2072.1314354105216</v>
      </c>
      <c r="U76" s="7">
        <f t="shared" si="31"/>
        <v>65114770.134252831</v>
      </c>
      <c r="W76">
        <f t="shared" si="42"/>
        <v>24480</v>
      </c>
      <c r="X76" s="9">
        <f t="shared" si="24"/>
        <v>-1373.5913008067039</v>
      </c>
      <c r="Y76" s="2">
        <f t="shared" si="25"/>
        <v>72917695.357515708</v>
      </c>
      <c r="Z76" s="2">
        <f t="shared" si="32"/>
        <v>-3.0639653175677874E-2</v>
      </c>
      <c r="AA76" s="2">
        <f t="shared" si="33"/>
        <v>-3.0942719799968463E-2</v>
      </c>
      <c r="AB76" s="2">
        <f t="shared" si="34"/>
        <v>-3.0942723339444034E-2</v>
      </c>
      <c r="AC76" s="2">
        <f t="shared" si="35"/>
        <v>-3.1251010911233758E-2</v>
      </c>
      <c r="AD76" s="2">
        <f t="shared" si="36"/>
        <v>-1384.730993828648</v>
      </c>
      <c r="AE76" s="10">
        <f t="shared" si="37"/>
        <v>72421197.344481349</v>
      </c>
    </row>
    <row r="77" spans="1:31" x14ac:dyDescent="0.25">
      <c r="A77" s="1">
        <f t="shared" si="38"/>
        <v>0.28749999999999998</v>
      </c>
      <c r="B77" s="7">
        <f t="shared" si="39"/>
        <v>65114770.134252831</v>
      </c>
      <c r="C77" s="7">
        <f t="shared" si="40"/>
        <v>72421197.344481349</v>
      </c>
      <c r="D77" s="7"/>
      <c r="E77" s="7"/>
      <c r="F77" s="7"/>
      <c r="G77" s="7"/>
      <c r="H77" s="7"/>
      <c r="I77" s="7"/>
      <c r="J77" s="7"/>
      <c r="K77" s="7"/>
      <c r="L77" s="1">
        <f t="shared" si="43"/>
        <v>0.28749999999999998</v>
      </c>
      <c r="M77">
        <f t="shared" si="41"/>
        <v>24840</v>
      </c>
      <c r="N77" s="9">
        <f t="shared" si="22"/>
        <v>-2072.1314354105216</v>
      </c>
      <c r="O77" s="7">
        <f t="shared" si="23"/>
        <v>65114770.134252831</v>
      </c>
      <c r="P77" s="2">
        <f t="shared" si="26"/>
        <v>-2.8098160054922227E-2</v>
      </c>
      <c r="Q77" s="2">
        <f t="shared" si="27"/>
        <v>-2.8315034295850756E-2</v>
      </c>
      <c r="R77" s="2">
        <f t="shared" si="28"/>
        <v>-2.8315038128307858E-2</v>
      </c>
      <c r="S77" s="2">
        <f t="shared" si="29"/>
        <v>-2.853506543143031E-2</v>
      </c>
      <c r="T77" s="9">
        <f t="shared" si="30"/>
        <v>-2082.3250376306019</v>
      </c>
      <c r="U77" s="7">
        <f t="shared" si="31"/>
        <v>64366967.96910543</v>
      </c>
      <c r="W77">
        <f t="shared" si="42"/>
        <v>24840</v>
      </c>
      <c r="X77" s="9">
        <f t="shared" si="24"/>
        <v>-1384.730993828648</v>
      </c>
      <c r="Y77" s="2">
        <f t="shared" si="25"/>
        <v>72421197.344481349</v>
      </c>
      <c r="Z77" s="2">
        <f t="shared" si="32"/>
        <v>-3.1251010948189016E-2</v>
      </c>
      <c r="AA77" s="2">
        <f t="shared" si="33"/>
        <v>-3.156463952808769E-2</v>
      </c>
      <c r="AB77" s="2">
        <f t="shared" si="34"/>
        <v>-3.156464329120804E-2</v>
      </c>
      <c r="AC77" s="2">
        <f t="shared" si="35"/>
        <v>-3.188375160408214E-2</v>
      </c>
      <c r="AD77" s="2">
        <f t="shared" si="36"/>
        <v>-1396.0945935200998</v>
      </c>
      <c r="AE77" s="10">
        <f t="shared" si="37"/>
        <v>71920648.738758579</v>
      </c>
    </row>
    <row r="78" spans="1:31" x14ac:dyDescent="0.25">
      <c r="A78" s="1">
        <f t="shared" si="38"/>
        <v>0.29166666666666669</v>
      </c>
      <c r="B78" s="7">
        <f t="shared" si="39"/>
        <v>64366967.96910543</v>
      </c>
      <c r="C78" s="7">
        <f t="shared" si="40"/>
        <v>71920648.738758579</v>
      </c>
      <c r="D78" s="7"/>
      <c r="E78" s="7"/>
      <c r="F78" s="7"/>
      <c r="G78" s="7"/>
      <c r="H78" s="7"/>
      <c r="I78" s="7"/>
      <c r="J78" s="7"/>
      <c r="K78" s="7"/>
      <c r="L78" s="1">
        <f t="shared" si="43"/>
        <v>0.29166666666666669</v>
      </c>
      <c r="M78">
        <f t="shared" si="41"/>
        <v>25200</v>
      </c>
      <c r="N78" s="9">
        <f t="shared" si="22"/>
        <v>-2082.3250376306019</v>
      </c>
      <c r="O78" s="7">
        <f t="shared" si="23"/>
        <v>64366967.96910543</v>
      </c>
      <c r="P78" s="2">
        <f t="shared" si="26"/>
        <v>-2.8535065475490139E-2</v>
      </c>
      <c r="Q78" s="2">
        <f t="shared" si="27"/>
        <v>-2.875830437933477E-2</v>
      </c>
      <c r="R78" s="2">
        <f t="shared" si="28"/>
        <v>-2.8758308440370941E-2</v>
      </c>
      <c r="S78" s="2">
        <f t="shared" si="29"/>
        <v>-2.8984835102828677E-2</v>
      </c>
      <c r="T78" s="9">
        <f t="shared" si="30"/>
        <v>-2092.6782252036655</v>
      </c>
      <c r="U78" s="7">
        <f t="shared" si="31"/>
        <v>63615467.381795265</v>
      </c>
      <c r="W78">
        <f t="shared" si="42"/>
        <v>25200</v>
      </c>
      <c r="X78" s="9">
        <f t="shared" si="24"/>
        <v>-1396.0945935200998</v>
      </c>
      <c r="Y78" s="2">
        <f t="shared" si="25"/>
        <v>71920648.738758579</v>
      </c>
      <c r="Z78" s="2">
        <f t="shared" si="32"/>
        <v>-3.1883751643936982E-2</v>
      </c>
      <c r="AA78" s="2">
        <f t="shared" si="33"/>
        <v>-3.2208467496680895E-2</v>
      </c>
      <c r="AB78" s="2">
        <f t="shared" si="34"/>
        <v>-3.2208471501116588E-2</v>
      </c>
      <c r="AC78" s="2">
        <f t="shared" si="35"/>
        <v>-3.2538942617980036E-2</v>
      </c>
      <c r="AD78" s="2">
        <f t="shared" si="36"/>
        <v>-1407.6899878555505</v>
      </c>
      <c r="AE78" s="10">
        <f t="shared" si="37"/>
        <v>71415967.514110968</v>
      </c>
    </row>
    <row r="79" spans="1:31" x14ac:dyDescent="0.25">
      <c r="A79" s="1">
        <f t="shared" si="38"/>
        <v>0.29583333333333334</v>
      </c>
      <c r="B79" s="7">
        <f t="shared" si="39"/>
        <v>63615467.381795265</v>
      </c>
      <c r="C79" s="7">
        <f t="shared" si="40"/>
        <v>71415967.514110968</v>
      </c>
      <c r="D79" s="7"/>
      <c r="E79" s="7"/>
      <c r="F79" s="7"/>
      <c r="G79" s="7"/>
      <c r="H79" s="7"/>
      <c r="I79" s="7"/>
      <c r="J79" s="7"/>
      <c r="K79" s="7"/>
      <c r="L79" s="1">
        <f t="shared" si="43"/>
        <v>0.29583333333333334</v>
      </c>
      <c r="M79">
        <f t="shared" si="41"/>
        <v>25560</v>
      </c>
      <c r="N79" s="9">
        <f t="shared" si="22"/>
        <v>-2092.6782252036655</v>
      </c>
      <c r="O79" s="7">
        <f t="shared" si="23"/>
        <v>63615467.381795265</v>
      </c>
      <c r="P79" s="2">
        <f t="shared" si="26"/>
        <v>-2.8984835150213453E-2</v>
      </c>
      <c r="Q79" s="2">
        <f t="shared" si="27"/>
        <v>-2.9214711362571939E-2</v>
      </c>
      <c r="R79" s="2">
        <f t="shared" si="28"/>
        <v>-2.9214715669411941E-2</v>
      </c>
      <c r="S79" s="2">
        <f t="shared" si="29"/>
        <v>-2.9448021918196603E-2</v>
      </c>
      <c r="T79" s="9">
        <f t="shared" si="30"/>
        <v>-2103.1957278716081</v>
      </c>
      <c r="U79" s="7">
        <f t="shared" si="31"/>
        <v>62860210.070241712</v>
      </c>
      <c r="W79">
        <f t="shared" si="42"/>
        <v>25560</v>
      </c>
      <c r="X79" s="9">
        <f t="shared" si="24"/>
        <v>-1407.6899878555505</v>
      </c>
      <c r="Y79" s="2">
        <f t="shared" si="25"/>
        <v>71415967.514110968</v>
      </c>
      <c r="Z79" s="2">
        <f t="shared" si="32"/>
        <v>-3.2538942661008714E-2</v>
      </c>
      <c r="AA79" s="2">
        <f t="shared" si="33"/>
        <v>-3.2875305214391304E-2</v>
      </c>
      <c r="AB79" s="2">
        <f t="shared" si="34"/>
        <v>-3.2875309479494429E-2</v>
      </c>
      <c r="AC79" s="2">
        <f t="shared" si="35"/>
        <v>-3.3217720917127679E-2</v>
      </c>
      <c r="AD79" s="2">
        <f t="shared" si="36"/>
        <v>-1419.5254614335049</v>
      </c>
      <c r="AE79" s="10">
        <f t="shared" si="37"/>
        <v>70907068.733238935</v>
      </c>
    </row>
    <row r="80" spans="1:31" x14ac:dyDescent="0.25">
      <c r="A80" s="1">
        <f t="shared" si="38"/>
        <v>0.3</v>
      </c>
      <c r="B80" s="7">
        <f t="shared" si="39"/>
        <v>62860210.070241712</v>
      </c>
      <c r="C80" s="7">
        <f t="shared" si="40"/>
        <v>70907068.733238935</v>
      </c>
      <c r="D80" s="7"/>
      <c r="E80" s="7"/>
      <c r="F80" s="7"/>
      <c r="G80" s="7"/>
      <c r="H80" s="7"/>
      <c r="I80" s="7"/>
      <c r="J80" s="7"/>
      <c r="K80" s="7"/>
      <c r="L80" s="1">
        <f t="shared" si="43"/>
        <v>0.3</v>
      </c>
      <c r="M80">
        <f t="shared" si="41"/>
        <v>25920</v>
      </c>
      <c r="N80" s="9">
        <f t="shared" si="22"/>
        <v>-2103.1957278716081</v>
      </c>
      <c r="O80" s="7">
        <f t="shared" si="23"/>
        <v>62860210.070241712</v>
      </c>
      <c r="P80" s="2">
        <f t="shared" si="26"/>
        <v>-2.9448021969210859E-2</v>
      </c>
      <c r="Q80" s="2">
        <f t="shared" si="27"/>
        <v>-2.968482352213777E-2</v>
      </c>
      <c r="R80" s="2">
        <f t="shared" si="28"/>
        <v>-2.9684828093580182E-2</v>
      </c>
      <c r="S80" s="2">
        <f t="shared" si="29"/>
        <v>-2.9925210072049985E-2</v>
      </c>
      <c r="T80" s="9">
        <f t="shared" si="30"/>
        <v>-2113.8824799879699</v>
      </c>
      <c r="U80" s="7">
        <f t="shared" si="31"/>
        <v>62101135.992826991</v>
      </c>
      <c r="W80">
        <f t="shared" si="42"/>
        <v>25920</v>
      </c>
      <c r="X80" s="9">
        <f t="shared" si="24"/>
        <v>-1419.5254614335049</v>
      </c>
      <c r="Y80" s="2">
        <f t="shared" si="25"/>
        <v>70907068.733238935</v>
      </c>
      <c r="Z80" s="2">
        <f t="shared" si="32"/>
        <v>-3.3217720963634942E-2</v>
      </c>
      <c r="AA80" s="2">
        <f t="shared" si="33"/>
        <v>-3.3566326501943002E-2</v>
      </c>
      <c r="AB80" s="2">
        <f t="shared" si="34"/>
        <v>-3.3566331048935028E-2</v>
      </c>
      <c r="AC80" s="2">
        <f t="shared" si="35"/>
        <v>-3.3921298653071821E-2</v>
      </c>
      <c r="AD80" s="2">
        <f t="shared" si="36"/>
        <v>-1431.6097215166126</v>
      </c>
      <c r="AE80" s="10">
        <f t="shared" si="37"/>
        <v>70393864.400307909</v>
      </c>
    </row>
    <row r="81" spans="1:31" x14ac:dyDescent="0.25">
      <c r="A81" s="1">
        <f t="shared" si="38"/>
        <v>0.30416666666666664</v>
      </c>
      <c r="B81" s="7">
        <f t="shared" si="39"/>
        <v>62101135.992826991</v>
      </c>
      <c r="C81" s="7">
        <f t="shared" si="40"/>
        <v>70393864.400307909</v>
      </c>
      <c r="D81" s="7"/>
      <c r="E81" s="7"/>
      <c r="F81" s="7"/>
      <c r="G81" s="7"/>
      <c r="H81" s="7"/>
      <c r="I81" s="7"/>
      <c r="J81" s="7"/>
      <c r="K81" s="7"/>
      <c r="L81" s="1">
        <f t="shared" si="43"/>
        <v>0.30416666666666664</v>
      </c>
      <c r="M81">
        <f t="shared" si="41"/>
        <v>26280</v>
      </c>
      <c r="N81" s="9">
        <f t="shared" si="22"/>
        <v>-2113.8824799879699</v>
      </c>
      <c r="O81" s="7">
        <f t="shared" si="23"/>
        <v>62101135.992826991</v>
      </c>
      <c r="P81" s="2">
        <f t="shared" si="26"/>
        <v>-2.9925210127031112E-2</v>
      </c>
      <c r="Q81" s="2">
        <f t="shared" si="27"/>
        <v>-3.0169241517146186E-2</v>
      </c>
      <c r="R81" s="2">
        <f t="shared" si="28"/>
        <v>-3.0169246373732948E-2</v>
      </c>
      <c r="S81" s="2">
        <f t="shared" si="29"/>
        <v>-3.041701726394349E-2</v>
      </c>
      <c r="T81" s="9">
        <f t="shared" si="30"/>
        <v>-2124.7436321783339</v>
      </c>
      <c r="U81" s="7">
        <f t="shared" si="31"/>
        <v>61338183.292637058</v>
      </c>
      <c r="W81">
        <f t="shared" si="42"/>
        <v>26280</v>
      </c>
      <c r="X81" s="9">
        <f t="shared" si="24"/>
        <v>-1431.6097215166126</v>
      </c>
      <c r="Y81" s="2">
        <f t="shared" si="25"/>
        <v>70393864.400307909</v>
      </c>
      <c r="Z81" s="2">
        <f t="shared" si="32"/>
        <v>-3.3921298703396781E-2</v>
      </c>
      <c r="AA81" s="2">
        <f t="shared" si="33"/>
        <v>-3.4282783378271633E-2</v>
      </c>
      <c r="AB81" s="2">
        <f t="shared" si="34"/>
        <v>-3.4282788230455392E-2</v>
      </c>
      <c r="AC81" s="2">
        <f t="shared" si="35"/>
        <v>-3.4650969330310991E-2</v>
      </c>
      <c r="AD81" s="2">
        <f t="shared" si="36"/>
        <v>-1443.9519261916823</v>
      </c>
      <c r="AE81" s="10">
        <f t="shared" si="37"/>
        <v>69876263.303720415</v>
      </c>
    </row>
    <row r="82" spans="1:31" x14ac:dyDescent="0.25">
      <c r="A82" s="1">
        <f t="shared" si="38"/>
        <v>0.30833333333333335</v>
      </c>
      <c r="B82" s="7">
        <f t="shared" si="39"/>
        <v>61338183.292637058</v>
      </c>
      <c r="C82" s="7">
        <f t="shared" si="40"/>
        <v>69876263.303720415</v>
      </c>
      <c r="D82" s="7"/>
      <c r="E82" s="7"/>
      <c r="F82" s="7"/>
      <c r="G82" s="7"/>
      <c r="H82" s="7"/>
      <c r="I82" s="7"/>
      <c r="J82" s="7"/>
      <c r="K82" s="7"/>
      <c r="L82" s="1">
        <f t="shared" si="43"/>
        <v>0.30833333333333335</v>
      </c>
      <c r="M82">
        <f t="shared" si="41"/>
        <v>26640</v>
      </c>
      <c r="N82" s="9">
        <f t="shared" si="22"/>
        <v>-2124.7436321783339</v>
      </c>
      <c r="O82" s="7">
        <f t="shared" si="23"/>
        <v>61338183.292637058</v>
      </c>
      <c r="P82" s="2">
        <f t="shared" si="26"/>
        <v>-3.0417017323265908E-2</v>
      </c>
      <c r="Q82" s="2">
        <f t="shared" si="27"/>
        <v>-3.0668600680032056E-2</v>
      </c>
      <c r="R82" s="2">
        <f t="shared" si="28"/>
        <v>-3.0668605844239236E-2</v>
      </c>
      <c r="S82" s="2">
        <f t="shared" si="29"/>
        <v>-3.0924097083724074E-2</v>
      </c>
      <c r="T82" s="9">
        <f t="shared" si="30"/>
        <v>-2135.7845638256658</v>
      </c>
      <c r="U82" s="7">
        <f t="shared" si="31"/>
        <v>60571288.217356339</v>
      </c>
      <c r="W82">
        <f t="shared" si="42"/>
        <v>26640</v>
      </c>
      <c r="X82" s="9">
        <f t="shared" si="24"/>
        <v>-1443.9519261916823</v>
      </c>
      <c r="Y82" s="2">
        <f t="shared" si="25"/>
        <v>69876263.303720415</v>
      </c>
      <c r="Z82" s="2">
        <f t="shared" si="32"/>
        <v>-3.465096938483158E-2</v>
      </c>
      <c r="AA82" s="2">
        <f t="shared" si="33"/>
        <v>-3.5026012520962442E-2</v>
      </c>
      <c r="AB82" s="2">
        <f t="shared" si="34"/>
        <v>-3.5026017703961854E-2</v>
      </c>
      <c r="AC82" s="2">
        <f t="shared" si="35"/>
        <v>-3.5408114577998674E-2</v>
      </c>
      <c r="AD82" s="2">
        <f t="shared" si="36"/>
        <v>-1456.5617148564431</v>
      </c>
      <c r="AE82" s="10">
        <f t="shared" si="37"/>
        <v>69354170.848331749</v>
      </c>
    </row>
    <row r="83" spans="1:31" x14ac:dyDescent="0.25">
      <c r="A83" s="1">
        <f t="shared" si="38"/>
        <v>0.3125</v>
      </c>
      <c r="B83" s="7">
        <f t="shared" si="39"/>
        <v>60571288.217356339</v>
      </c>
      <c r="C83" s="7">
        <f t="shared" si="40"/>
        <v>69354170.848331749</v>
      </c>
      <c r="D83" s="7"/>
      <c r="E83" s="7"/>
      <c r="F83" s="7"/>
      <c r="G83" s="7"/>
      <c r="H83" s="7"/>
      <c r="I83" s="7"/>
      <c r="J83" s="7"/>
      <c r="K83" s="7"/>
      <c r="L83" s="1">
        <f t="shared" si="43"/>
        <v>0.3125</v>
      </c>
      <c r="M83">
        <f t="shared" si="41"/>
        <v>27000</v>
      </c>
      <c r="N83" s="9">
        <f t="shared" si="22"/>
        <v>-2135.7845638256658</v>
      </c>
      <c r="O83" s="7">
        <f t="shared" si="23"/>
        <v>60571288.217356339</v>
      </c>
      <c r="P83" s="2">
        <f t="shared" si="26"/>
        <v>-3.0924097147803982E-2</v>
      </c>
      <c r="Q83" s="2">
        <f t="shared" si="27"/>
        <v>-3.1183573500718254E-2</v>
      </c>
      <c r="R83" s="2">
        <f t="shared" si="28"/>
        <v>-3.1183578997170787E-2</v>
      </c>
      <c r="S83" s="2">
        <f t="shared" si="29"/>
        <v>-3.1447141599384512E-2</v>
      </c>
      <c r="T83" s="9">
        <f t="shared" si="30"/>
        <v>-2147.0108964502438</v>
      </c>
      <c r="U83" s="7">
        <f t="shared" si="31"/>
        <v>59800385.034506679</v>
      </c>
      <c r="W83">
        <f t="shared" si="42"/>
        <v>27000</v>
      </c>
      <c r="X83" s="9">
        <f t="shared" si="24"/>
        <v>-1456.5617148564431</v>
      </c>
      <c r="Y83" s="2">
        <f t="shared" si="25"/>
        <v>69354170.848331749</v>
      </c>
      <c r="Z83" s="2">
        <f t="shared" si="32"/>
        <v>-3.5408114637136792E-2</v>
      </c>
      <c r="AA83" s="2">
        <f t="shared" si="33"/>
        <v>-3.5797442366576504E-2</v>
      </c>
      <c r="AB83" s="2">
        <f t="shared" si="34"/>
        <v>-3.5797447908608067E-2</v>
      </c>
      <c r="AC83" s="2">
        <f t="shared" si="35"/>
        <v>-3.6194211597482089E-2</v>
      </c>
      <c r="AD83" s="2">
        <f t="shared" si="36"/>
        <v>-1469.4492412635425</v>
      </c>
      <c r="AE83" s="10">
        <f t="shared" si="37"/>
        <v>68827488.87623015</v>
      </c>
    </row>
    <row r="84" spans="1:31" x14ac:dyDescent="0.25">
      <c r="A84" s="1">
        <f t="shared" si="38"/>
        <v>0.31666666666666665</v>
      </c>
      <c r="B84" s="7">
        <f t="shared" si="39"/>
        <v>59800385.034506679</v>
      </c>
      <c r="C84" s="7">
        <f t="shared" si="40"/>
        <v>68827488.87623015</v>
      </c>
      <c r="D84" s="7"/>
      <c r="E84" s="7"/>
      <c r="F84" s="7"/>
      <c r="G84" s="7"/>
      <c r="H84" s="7"/>
      <c r="I84" s="7"/>
      <c r="J84" s="7"/>
      <c r="K84" s="7"/>
      <c r="L84" s="1">
        <f t="shared" si="43"/>
        <v>0.31666666666666665</v>
      </c>
      <c r="M84">
        <f t="shared" si="41"/>
        <v>27360</v>
      </c>
      <c r="N84" s="9">
        <f t="shared" si="22"/>
        <v>-2147.0108964502438</v>
      </c>
      <c r="O84" s="7">
        <f t="shared" si="23"/>
        <v>59800385.034506679</v>
      </c>
      <c r="P84" s="2">
        <f t="shared" si="26"/>
        <v>-3.1447141668685133E-2</v>
      </c>
      <c r="Q84" s="2">
        <f t="shared" si="27"/>
        <v>-3.171487232308523E-2</v>
      </c>
      <c r="R84" s="2">
        <f t="shared" si="28"/>
        <v>-3.1714878178799435E-2</v>
      </c>
      <c r="S84" s="2">
        <f t="shared" si="29"/>
        <v>-3.1986884167451927E-2</v>
      </c>
      <c r="T84" s="9">
        <f t="shared" si="30"/>
        <v>-2158.4285080606383</v>
      </c>
      <c r="U84" s="7">
        <f t="shared" si="31"/>
        <v>59025405.941694722</v>
      </c>
      <c r="W84">
        <f t="shared" si="42"/>
        <v>27360</v>
      </c>
      <c r="X84" s="9">
        <f t="shared" si="24"/>
        <v>-1469.4492412635425</v>
      </c>
      <c r="Y84" s="2">
        <f t="shared" si="25"/>
        <v>68827488.87623015</v>
      </c>
      <c r="Z84" s="2">
        <f t="shared" si="32"/>
        <v>-3.6194211661709504E-2</v>
      </c>
      <c r="AA84" s="2">
        <f t="shared" si="33"/>
        <v>-3.6598600925054792E-2</v>
      </c>
      <c r="AB84" s="2">
        <f t="shared" si="34"/>
        <v>-3.6598606857235684E-2</v>
      </c>
      <c r="AC84" s="2">
        <f t="shared" si="35"/>
        <v>-3.7010841364640376E-2</v>
      </c>
      <c r="AD84" s="2">
        <f t="shared" si="36"/>
        <v>-1482.6252093789983</v>
      </c>
      <c r="AE84" s="10">
        <f t="shared" si="37"/>
        <v>68296115.475114495</v>
      </c>
    </row>
    <row r="85" spans="1:31" x14ac:dyDescent="0.25">
      <c r="A85" s="1">
        <f t="shared" si="38"/>
        <v>0.32083333333333336</v>
      </c>
      <c r="B85" s="7">
        <f t="shared" si="39"/>
        <v>59025405.941694722</v>
      </c>
      <c r="C85" s="7">
        <f t="shared" si="40"/>
        <v>68296115.475114495</v>
      </c>
      <c r="D85" s="7"/>
      <c r="E85" s="7"/>
      <c r="F85" s="7"/>
      <c r="G85" s="7"/>
      <c r="H85" s="7"/>
      <c r="I85" s="7"/>
      <c r="J85" s="7"/>
      <c r="K85" s="7"/>
      <c r="L85" s="1">
        <f t="shared" si="43"/>
        <v>0.32083333333333336</v>
      </c>
      <c r="M85">
        <f t="shared" si="41"/>
        <v>27720</v>
      </c>
      <c r="N85" s="9">
        <f t="shared" si="22"/>
        <v>-2158.4285080606383</v>
      </c>
      <c r="O85" s="7">
        <f t="shared" si="23"/>
        <v>59025405.941694722</v>
      </c>
      <c r="P85" s="2">
        <f t="shared" si="26"/>
        <v>-3.1986884242489771E-2</v>
      </c>
      <c r="Q85" s="2">
        <f t="shared" si="27"/>
        <v>-3.226325227475537E-2</v>
      </c>
      <c r="R85" s="2">
        <f t="shared" si="28"/>
        <v>-3.2263258519413009E-2</v>
      </c>
      <c r="S85" s="2">
        <f t="shared" si="29"/>
        <v>-3.2544102488064948E-2</v>
      </c>
      <c r="T85" s="9">
        <f t="shared" si="30"/>
        <v>-2170.0435485597718</v>
      </c>
      <c r="U85" s="7">
        <f t="shared" si="31"/>
        <v>58246280.971503049</v>
      </c>
      <c r="W85">
        <f t="shared" si="42"/>
        <v>27720</v>
      </c>
      <c r="X85" s="9">
        <f t="shared" si="24"/>
        <v>-1482.6252093789983</v>
      </c>
      <c r="Y85" s="2">
        <f t="shared" si="25"/>
        <v>68296115.475114495</v>
      </c>
      <c r="Z85" s="2">
        <f t="shared" si="32"/>
        <v>-3.701084143448552E-2</v>
      </c>
      <c r="AA85" s="2">
        <f t="shared" si="33"/>
        <v>-3.7431124392282134E-2</v>
      </c>
      <c r="AB85" s="2">
        <f t="shared" si="34"/>
        <v>-3.7431130748980586E-2</v>
      </c>
      <c r="AC85" s="2">
        <f t="shared" si="35"/>
        <v>-3.7859697676596915E-2</v>
      </c>
      <c r="AD85" s="2">
        <f t="shared" si="36"/>
        <v>-1496.1009123426147</v>
      </c>
      <c r="AE85" s="10">
        <f t="shared" si="37"/>
        <v>67759944.77320461</v>
      </c>
    </row>
    <row r="86" spans="1:31" x14ac:dyDescent="0.25">
      <c r="A86" s="1">
        <f t="shared" si="38"/>
        <v>0.32500000000000001</v>
      </c>
      <c r="B86" s="7">
        <f t="shared" si="39"/>
        <v>58246280.971503049</v>
      </c>
      <c r="C86" s="7">
        <f t="shared" si="40"/>
        <v>67759944.77320461</v>
      </c>
      <c r="D86" s="7"/>
      <c r="E86" s="7"/>
      <c r="F86" s="7"/>
      <c r="G86" s="7"/>
      <c r="H86" s="7"/>
      <c r="I86" s="7"/>
      <c r="J86" s="7"/>
      <c r="K86" s="7"/>
      <c r="L86" s="1">
        <f t="shared" si="43"/>
        <v>0.32500000000000001</v>
      </c>
      <c r="M86">
        <f t="shared" si="41"/>
        <v>28080</v>
      </c>
      <c r="N86" s="9">
        <f t="shared" si="22"/>
        <v>-2170.0435485597718</v>
      </c>
      <c r="O86" s="7">
        <f t="shared" si="23"/>
        <v>58246280.971503049</v>
      </c>
      <c r="P86" s="2">
        <f t="shared" si="26"/>
        <v>-3.2544102569416866E-2</v>
      </c>
      <c r="Q86" s="2">
        <f t="shared" si="27"/>
        <v>-3.2829514453552935E-2</v>
      </c>
      <c r="R86" s="2">
        <f t="shared" si="28"/>
        <v>-3.2829521119811585E-2</v>
      </c>
      <c r="S86" s="2">
        <f t="shared" si="29"/>
        <v>-3.3119621929382149E-2</v>
      </c>
      <c r="T86" s="9">
        <f t="shared" si="30"/>
        <v>-2181.8624562985033</v>
      </c>
      <c r="U86" s="7">
        <f t="shared" si="31"/>
        <v>57462937.890628561</v>
      </c>
      <c r="W86">
        <f t="shared" si="42"/>
        <v>28080</v>
      </c>
      <c r="X86" s="9">
        <f t="shared" si="24"/>
        <v>-1496.1009123426147</v>
      </c>
      <c r="Y86" s="2">
        <f t="shared" si="25"/>
        <v>67759944.77320461</v>
      </c>
      <c r="Z86" s="2">
        <f t="shared" si="32"/>
        <v>-3.7859697752652716E-2</v>
      </c>
      <c r="AA86" s="2">
        <f t="shared" si="33"/>
        <v>-3.8296766656280595E-2</v>
      </c>
      <c r="AB86" s="2">
        <f t="shared" si="34"/>
        <v>-3.8296773475514995E-2</v>
      </c>
      <c r="AC86" s="2">
        <f t="shared" si="35"/>
        <v>-3.8742597144608884E-2</v>
      </c>
      <c r="AD86" s="2">
        <f t="shared" si="36"/>
        <v>-1509.8882748522658</v>
      </c>
      <c r="AE86" s="10">
        <f t="shared" si="37"/>
        <v>67218866.719509527</v>
      </c>
    </row>
    <row r="87" spans="1:31" x14ac:dyDescent="0.25">
      <c r="A87" s="1">
        <f t="shared" si="38"/>
        <v>0.32916666666666666</v>
      </c>
      <c r="B87" s="7">
        <f t="shared" si="39"/>
        <v>57462937.890628561</v>
      </c>
      <c r="C87" s="7">
        <f t="shared" si="40"/>
        <v>67218866.719509527</v>
      </c>
      <c r="D87" s="7"/>
      <c r="E87" s="7"/>
      <c r="F87" s="7"/>
      <c r="G87" s="7"/>
      <c r="H87" s="7"/>
      <c r="I87" s="7"/>
      <c r="J87" s="7"/>
      <c r="K87" s="7"/>
      <c r="L87" s="1">
        <f t="shared" si="43"/>
        <v>0.32916666666666666</v>
      </c>
      <c r="M87">
        <f t="shared" si="41"/>
        <v>28440</v>
      </c>
      <c r="N87" s="9">
        <f t="shared" si="22"/>
        <v>-2181.8624562985033</v>
      </c>
      <c r="O87" s="7">
        <f t="shared" si="23"/>
        <v>57462937.890628561</v>
      </c>
      <c r="P87" s="2">
        <f t="shared" si="26"/>
        <v>-3.311962201769357E-2</v>
      </c>
      <c r="Q87" s="2">
        <f t="shared" si="27"/>
        <v>-3.34145093966405E-2</v>
      </c>
      <c r="R87" s="2">
        <f t="shared" si="28"/>
        <v>-3.3414516520485799E-2</v>
      </c>
      <c r="S87" s="2">
        <f t="shared" si="29"/>
        <v>-3.3714319148764403E-2</v>
      </c>
      <c r="T87" s="9">
        <f t="shared" si="30"/>
        <v>-2193.891975878546</v>
      </c>
      <c r="U87" s="7">
        <f t="shared" si="31"/>
        <v>56675302.092836693</v>
      </c>
      <c r="W87">
        <f t="shared" si="42"/>
        <v>28440</v>
      </c>
      <c r="X87" s="9">
        <f t="shared" si="24"/>
        <v>-1509.8882748522658</v>
      </c>
      <c r="Y87" s="2">
        <f t="shared" si="25"/>
        <v>67218866.719509527</v>
      </c>
      <c r="Z87" s="2">
        <f t="shared" si="32"/>
        <v>-3.8742597227541864E-2</v>
      </c>
      <c r="AA87" s="2">
        <f t="shared" si="33"/>
        <v>-3.9197409805639384E-2</v>
      </c>
      <c r="AB87" s="2">
        <f t="shared" si="34"/>
        <v>-3.9197417129533868E-2</v>
      </c>
      <c r="AC87" s="2">
        <f t="shared" si="35"/>
        <v>-3.966149024905926E-2</v>
      </c>
      <c r="AD87" s="2">
        <f t="shared" si="36"/>
        <v>-1523.9998993330826</v>
      </c>
      <c r="AE87" s="10">
        <f t="shared" si="37"/>
        <v>66672766.848156162</v>
      </c>
    </row>
    <row r="88" spans="1:31" x14ac:dyDescent="0.25">
      <c r="A88" s="1">
        <f t="shared" si="38"/>
        <v>0.33333333333333331</v>
      </c>
      <c r="B88" s="7">
        <f t="shared" si="39"/>
        <v>56675302.092836693</v>
      </c>
      <c r="C88" s="7">
        <f t="shared" si="40"/>
        <v>66672766.848156162</v>
      </c>
      <c r="D88" s="7"/>
      <c r="E88" s="7"/>
      <c r="F88" s="7"/>
      <c r="G88" s="7"/>
      <c r="H88" s="7"/>
      <c r="I88" s="7"/>
      <c r="J88" s="7"/>
      <c r="K88" s="7"/>
      <c r="L88" s="1">
        <f t="shared" si="43"/>
        <v>0.33333333333333331</v>
      </c>
      <c r="M88">
        <f t="shared" si="41"/>
        <v>28800</v>
      </c>
      <c r="N88" s="9">
        <f t="shared" si="22"/>
        <v>-2193.891975878546</v>
      </c>
      <c r="O88" s="7">
        <f t="shared" si="23"/>
        <v>56675302.092836693</v>
      </c>
      <c r="P88" s="2">
        <f t="shared" si="26"/>
        <v>-3.3714319244758574E-2</v>
      </c>
      <c r="Q88" s="2">
        <f t="shared" si="27"/>
        <v>-3.4019140861300902E-2</v>
      </c>
      <c r="R88" s="2">
        <f t="shared" si="28"/>
        <v>-3.4019148482446998E-2</v>
      </c>
      <c r="S88" s="2">
        <f t="shared" si="29"/>
        <v>-3.4329126041320324E-2</v>
      </c>
      <c r="T88" s="9">
        <f t="shared" si="30"/>
        <v>-2206.1391773169603</v>
      </c>
      <c r="U88" s="7">
        <f t="shared" si="31"/>
        <v>55883296.4852615</v>
      </c>
      <c r="W88">
        <f t="shared" si="42"/>
        <v>28800</v>
      </c>
      <c r="X88" s="9">
        <f t="shared" si="24"/>
        <v>-1523.9998993330826</v>
      </c>
      <c r="Y88" s="2">
        <f t="shared" si="25"/>
        <v>66672766.848156162</v>
      </c>
      <c r="Z88" s="2">
        <f t="shared" si="32"/>
        <v>-3.9661490339620083E-2</v>
      </c>
      <c r="AA88" s="2">
        <f t="shared" si="33"/>
        <v>-4.0135075763977374E-2</v>
      </c>
      <c r="AB88" s="2">
        <f t="shared" si="34"/>
        <v>-4.0135083639283184E-2</v>
      </c>
      <c r="AC88" s="2">
        <f t="shared" si="35"/>
        <v>-4.0618473588823173E-2</v>
      </c>
      <c r="AD88" s="2">
        <f t="shared" si="36"/>
        <v>-1538.4491162971804</v>
      </c>
      <c r="AE88" s="10">
        <f t="shared" si="37"/>
        <v>66121526.025342718</v>
      </c>
    </row>
    <row r="89" spans="1:31" x14ac:dyDescent="0.25">
      <c r="A89" s="1">
        <f t="shared" si="38"/>
        <v>0.33750000000000002</v>
      </c>
      <c r="B89" s="7">
        <f t="shared" si="39"/>
        <v>55883296.4852615</v>
      </c>
      <c r="C89" s="7">
        <f t="shared" si="40"/>
        <v>66121526.025342718</v>
      </c>
      <c r="D89" s="7"/>
      <c r="E89" s="7"/>
      <c r="F89" s="7"/>
      <c r="G89" s="7"/>
      <c r="H89" s="7"/>
      <c r="I89" s="7"/>
      <c r="J89" s="7"/>
      <c r="K89" s="7"/>
      <c r="L89" s="1">
        <f t="shared" si="43"/>
        <v>0.33750000000000002</v>
      </c>
      <c r="M89">
        <f t="shared" si="41"/>
        <v>29160</v>
      </c>
      <c r="N89" s="9">
        <f t="shared" si="22"/>
        <v>-2206.1391773169603</v>
      </c>
      <c r="O89" s="7">
        <f t="shared" si="23"/>
        <v>55883296.4852615</v>
      </c>
      <c r="P89" s="2">
        <f t="shared" si="26"/>
        <v>-3.4329126145809408E-2</v>
      </c>
      <c r="Q89" s="2">
        <f t="shared" si="27"/>
        <v>-3.4644369949672793E-2</v>
      </c>
      <c r="R89" s="2">
        <f t="shared" si="28"/>
        <v>-3.4644378112018655E-2</v>
      </c>
      <c r="S89" s="2">
        <f t="shared" si="29"/>
        <v>-3.4965034049950619E-2</v>
      </c>
      <c r="T89" s="9">
        <f t="shared" si="30"/>
        <v>-2218.6114766961086</v>
      </c>
      <c r="U89" s="7">
        <f t="shared" si="31"/>
        <v>55086841.367539145</v>
      </c>
      <c r="W89">
        <f t="shared" si="42"/>
        <v>29160</v>
      </c>
      <c r="X89" s="9">
        <f t="shared" si="24"/>
        <v>-1538.4491162971804</v>
      </c>
      <c r="Y89" s="2">
        <f t="shared" si="25"/>
        <v>66121526.025342718</v>
      </c>
      <c r="Z89" s="2">
        <f t="shared" si="32"/>
        <v>-4.0618473687858841E-2</v>
      </c>
      <c r="AA89" s="2">
        <f t="shared" si="33"/>
        <v>-4.1111939191835437E-2</v>
      </c>
      <c r="AB89" s="2">
        <f t="shared" si="34"/>
        <v>-4.111194767052842E-2</v>
      </c>
      <c r="AC89" s="2">
        <f t="shared" si="35"/>
        <v>-4.1615803476242059E-2</v>
      </c>
      <c r="AD89" s="2">
        <f t="shared" si="36"/>
        <v>-1553.2500393505102</v>
      </c>
      <c r="AE89" s="10">
        <f t="shared" si="37"/>
        <v>65565020.177326135</v>
      </c>
    </row>
    <row r="90" spans="1:31" x14ac:dyDescent="0.25">
      <c r="A90" s="1">
        <f t="shared" si="38"/>
        <v>0.34166666666666667</v>
      </c>
      <c r="B90" s="7">
        <f t="shared" si="39"/>
        <v>55086841.367539145</v>
      </c>
      <c r="C90" s="7">
        <f t="shared" si="40"/>
        <v>65565020.177326135</v>
      </c>
      <c r="D90" s="7"/>
      <c r="E90" s="7"/>
      <c r="F90" s="7"/>
      <c r="G90" s="7"/>
      <c r="H90" s="7"/>
      <c r="I90" s="7"/>
      <c r="J90" s="7"/>
      <c r="K90" s="7"/>
      <c r="L90" s="1">
        <f t="shared" si="43"/>
        <v>0.34166666666666667</v>
      </c>
      <c r="M90">
        <f t="shared" si="41"/>
        <v>29520</v>
      </c>
      <c r="N90" s="9">
        <f t="shared" si="22"/>
        <v>-2218.6114766961086</v>
      </c>
      <c r="O90" s="7">
        <f t="shared" si="23"/>
        <v>55086841.367539145</v>
      </c>
      <c r="P90" s="2">
        <f t="shared" si="26"/>
        <v>-3.4965034163848205E-2</v>
      </c>
      <c r="Q90" s="2">
        <f t="shared" si="27"/>
        <v>-3.5291219613510817E-2</v>
      </c>
      <c r="R90" s="2">
        <f t="shared" si="28"/>
        <v>-3.5291228365661183E-2</v>
      </c>
      <c r="S90" s="2">
        <f t="shared" si="29"/>
        <v>-3.5623098875018626E-2</v>
      </c>
      <c r="T90" s="9">
        <f t="shared" si="30"/>
        <v>-2231.3166584359415</v>
      </c>
      <c r="U90" s="7">
        <f t="shared" si="31"/>
        <v>54285854.303215377</v>
      </c>
      <c r="W90">
        <f t="shared" si="42"/>
        <v>29520</v>
      </c>
      <c r="X90" s="9">
        <f t="shared" si="24"/>
        <v>-1553.2500393505102</v>
      </c>
      <c r="Y90" s="2">
        <f t="shared" si="25"/>
        <v>65565020.177326135</v>
      </c>
      <c r="Z90" s="2">
        <f t="shared" si="32"/>
        <v>-4.1615803584710349E-2</v>
      </c>
      <c r="AA90" s="2">
        <f t="shared" si="33"/>
        <v>-4.2130341817836044E-2</v>
      </c>
      <c r="AB90" s="2">
        <f t="shared" si="34"/>
        <v>-4.2130350957803389E-2</v>
      </c>
      <c r="AC90" s="2">
        <f t="shared" si="35"/>
        <v>-4.2655911050989787E-2</v>
      </c>
      <c r="AD90" s="2">
        <f t="shared" si="36"/>
        <v>-1568.4176253617288</v>
      </c>
      <c r="AE90" s="10">
        <f t="shared" si="37"/>
        <v>65003119.99767793</v>
      </c>
    </row>
    <row r="91" spans="1:31" x14ac:dyDescent="0.25">
      <c r="A91" s="1">
        <f t="shared" si="38"/>
        <v>0.34583333333333333</v>
      </c>
      <c r="B91" s="7">
        <f t="shared" si="39"/>
        <v>54285854.303215377</v>
      </c>
      <c r="C91" s="7">
        <f t="shared" si="40"/>
        <v>65003119.99767793</v>
      </c>
      <c r="D91" s="7"/>
      <c r="E91" s="7"/>
      <c r="F91" s="7"/>
      <c r="G91" s="7"/>
      <c r="H91" s="7"/>
      <c r="I91" s="7"/>
      <c r="J91" s="7"/>
      <c r="K91" s="7"/>
      <c r="L91" s="1">
        <f t="shared" si="43"/>
        <v>0.34583333333333333</v>
      </c>
      <c r="M91">
        <f t="shared" si="41"/>
        <v>29880</v>
      </c>
      <c r="N91" s="9">
        <f t="shared" si="22"/>
        <v>-2231.3166584359415</v>
      </c>
      <c r="O91" s="7">
        <f t="shared" si="23"/>
        <v>54285854.303215377</v>
      </c>
      <c r="P91" s="2">
        <f t="shared" si="26"/>
        <v>-3.5623098999354508E-2</v>
      </c>
      <c r="Q91" s="2">
        <f t="shared" si="27"/>
        <v>-3.5960779579280421E-2</v>
      </c>
      <c r="R91" s="2">
        <f t="shared" si="28"/>
        <v>-3.5960788975141718E-2</v>
      </c>
      <c r="S91" s="2">
        <f t="shared" si="29"/>
        <v>-3.630444562627809E-2</v>
      </c>
      <c r="T91" s="9">
        <f t="shared" si="30"/>
        <v>-2244.2628993400099</v>
      </c>
      <c r="U91" s="7">
        <f t="shared" si="31"/>
        <v>53480249.982815705</v>
      </c>
      <c r="W91">
        <f t="shared" si="42"/>
        <v>29880</v>
      </c>
      <c r="X91" s="9">
        <f t="shared" si="24"/>
        <v>-1568.4176253617288</v>
      </c>
      <c r="Y91" s="2">
        <f t="shared" si="25"/>
        <v>65003119.99767793</v>
      </c>
      <c r="Z91" s="2">
        <f t="shared" si="32"/>
        <v>-4.2655911169975753E-2</v>
      </c>
      <c r="AA91" s="2">
        <f t="shared" si="33"/>
        <v>-4.3192808384746255E-2</v>
      </c>
      <c r="AB91" s="2">
        <f t="shared" si="34"/>
        <v>-4.3192818250577358E-2</v>
      </c>
      <c r="AC91" s="2">
        <f t="shared" si="35"/>
        <v>-4.3741419111814221E-2</v>
      </c>
      <c r="AD91" s="2">
        <f t="shared" si="36"/>
        <v>-1583.9677403748751</v>
      </c>
      <c r="AE91" s="10">
        <f t="shared" si="37"/>
        <v>64435690.63184534</v>
      </c>
    </row>
    <row r="92" spans="1:31" x14ac:dyDescent="0.25">
      <c r="A92" s="1">
        <f t="shared" si="38"/>
        <v>0.35</v>
      </c>
      <c r="B92" s="7">
        <f t="shared" si="39"/>
        <v>53480249.982815705</v>
      </c>
      <c r="C92" s="7">
        <f t="shared" si="40"/>
        <v>64435690.63184534</v>
      </c>
      <c r="D92" s="7"/>
      <c r="E92" s="7"/>
      <c r="F92" s="7"/>
      <c r="G92" s="7"/>
      <c r="H92" s="7"/>
      <c r="I92" s="7"/>
      <c r="J92" s="7"/>
      <c r="K92" s="7"/>
      <c r="L92" s="1">
        <f t="shared" si="43"/>
        <v>0.35</v>
      </c>
      <c r="M92">
        <f t="shared" si="41"/>
        <v>30240</v>
      </c>
      <c r="N92" s="9">
        <f t="shared" si="22"/>
        <v>-2244.2628993400099</v>
      </c>
      <c r="O92" s="7">
        <f t="shared" si="23"/>
        <v>53480249.982815705</v>
      </c>
      <c r="P92" s="2">
        <f t="shared" si="26"/>
        <v>-3.6304445762215309E-2</v>
      </c>
      <c r="Q92" s="2">
        <f t="shared" si="27"/>
        <v>-3.6654211738678916E-2</v>
      </c>
      <c r="R92" s="2">
        <f t="shared" si="28"/>
        <v>-3.6654221838142806E-2</v>
      </c>
      <c r="S92" s="2">
        <f t="shared" si="29"/>
        <v>-3.7010274464768393E-2</v>
      </c>
      <c r="T92" s="9">
        <f t="shared" si="30"/>
        <v>-2257.4587945828475</v>
      </c>
      <c r="U92" s="7">
        <f t="shared" si="31"/>
        <v>52669940.077909589</v>
      </c>
      <c r="W92">
        <f t="shared" si="42"/>
        <v>30240</v>
      </c>
      <c r="X92" s="9">
        <f t="shared" si="24"/>
        <v>-1583.9677403748751</v>
      </c>
      <c r="Y92" s="2">
        <f t="shared" si="25"/>
        <v>64435690.63184534</v>
      </c>
      <c r="Z92" s="2">
        <f t="shared" si="32"/>
        <v>-4.37414192425499E-2</v>
      </c>
      <c r="AA92" s="2">
        <f t="shared" si="33"/>
        <v>-4.430206442385215E-2</v>
      </c>
      <c r="AB92" s="2">
        <f t="shared" si="34"/>
        <v>-4.4302075087751726E-2</v>
      </c>
      <c r="AC92" s="2">
        <f t="shared" si="35"/>
        <v>-4.4875160895170615E-2</v>
      </c>
      <c r="AD92" s="2">
        <f t="shared" si="36"/>
        <v>-1599.9172319245308</v>
      </c>
      <c r="AE92" s="10">
        <f t="shared" si="37"/>
        <v>63862591.33683145</v>
      </c>
    </row>
    <row r="93" spans="1:31" x14ac:dyDescent="0.25">
      <c r="A93" s="1">
        <f t="shared" si="38"/>
        <v>0.35416666666666669</v>
      </c>
      <c r="B93" s="7">
        <f t="shared" si="39"/>
        <v>52669940.077909589</v>
      </c>
      <c r="C93" s="7">
        <f t="shared" si="40"/>
        <v>63862591.33683145</v>
      </c>
      <c r="D93" s="7"/>
      <c r="E93" s="7"/>
      <c r="F93" s="7"/>
      <c r="G93" s="7"/>
      <c r="H93" s="7"/>
      <c r="I93" s="7"/>
      <c r="J93" s="7"/>
      <c r="K93" s="7"/>
      <c r="L93" s="1">
        <f t="shared" si="43"/>
        <v>0.35416666666666669</v>
      </c>
      <c r="M93">
        <f t="shared" si="41"/>
        <v>30600</v>
      </c>
      <c r="N93" s="9">
        <f t="shared" si="22"/>
        <v>-2257.4587945828475</v>
      </c>
      <c r="O93" s="7">
        <f t="shared" si="23"/>
        <v>52669940.077909589</v>
      </c>
      <c r="P93" s="2">
        <f t="shared" si="26"/>
        <v>-3.7010274613623238E-2</v>
      </c>
      <c r="Q93" s="2">
        <f t="shared" si="27"/>
        <v>-3.7372756055070858E-2</v>
      </c>
      <c r="R93" s="2">
        <f t="shared" si="28"/>
        <v>-3.7372766924799836E-2</v>
      </c>
      <c r="S93" s="2">
        <f t="shared" si="29"/>
        <v>-3.7741866788120144E-2</v>
      </c>
      <c r="T93" s="9">
        <f t="shared" si="30"/>
        <v>-2270.9133858245368</v>
      </c>
      <c r="U93" s="7">
        <f t="shared" si="31"/>
        <v>51854833.085436262</v>
      </c>
      <c r="W93">
        <f t="shared" si="42"/>
        <v>30600</v>
      </c>
      <c r="X93" s="9">
        <f t="shared" si="24"/>
        <v>-1599.9172319245308</v>
      </c>
      <c r="Y93" s="2">
        <f t="shared" si="25"/>
        <v>63862591.33683145</v>
      </c>
      <c r="Z93" s="2">
        <f t="shared" si="32"/>
        <v>-4.4875161039058017E-2</v>
      </c>
      <c r="AA93" s="2">
        <f t="shared" si="33"/>
        <v>-4.5461056103547018E-2</v>
      </c>
      <c r="AB93" s="2">
        <f t="shared" si="34"/>
        <v>-4.546106764639174E-2</v>
      </c>
      <c r="AC93" s="2">
        <f t="shared" si="35"/>
        <v>-4.6060201064944836E-2</v>
      </c>
      <c r="AD93" s="2">
        <f t="shared" si="36"/>
        <v>-1616.2840085007635</v>
      </c>
      <c r="AE93" s="10">
        <f t="shared" si="37"/>
        <v>63283675.113554895</v>
      </c>
    </row>
    <row r="94" spans="1:31" x14ac:dyDescent="0.25">
      <c r="A94" s="1">
        <f t="shared" si="38"/>
        <v>0.35833333333333334</v>
      </c>
      <c r="B94" s="7">
        <f t="shared" si="39"/>
        <v>51854833.085436262</v>
      </c>
      <c r="C94" s="7">
        <f t="shared" si="40"/>
        <v>63283675.113554895</v>
      </c>
      <c r="D94" s="7"/>
      <c r="E94" s="7"/>
      <c r="F94" s="7"/>
      <c r="G94" s="7"/>
      <c r="H94" s="7"/>
      <c r="I94" s="7"/>
      <c r="J94" s="7"/>
      <c r="K94" s="7"/>
      <c r="L94" s="1">
        <f t="shared" si="43"/>
        <v>0.35833333333333334</v>
      </c>
      <c r="M94">
        <f t="shared" si="41"/>
        <v>30960</v>
      </c>
      <c r="N94" s="9">
        <f t="shared" si="22"/>
        <v>-2270.9133858245368</v>
      </c>
      <c r="O94" s="7">
        <f t="shared" si="23"/>
        <v>51854833.085436262</v>
      </c>
      <c r="P94" s="2">
        <f t="shared" si="26"/>
        <v>-3.7741866951385594E-2</v>
      </c>
      <c r="Q94" s="2">
        <f t="shared" si="27"/>
        <v>-3.8117737042416285E-2</v>
      </c>
      <c r="R94" s="2">
        <f t="shared" si="28"/>
        <v>-3.8117748756748608E-2</v>
      </c>
      <c r="S94" s="2">
        <f t="shared" si="29"/>
        <v>-3.8500592019187492E-2</v>
      </c>
      <c r="T94" s="9">
        <f t="shared" si="30"/>
        <v>-2284.6361916586711</v>
      </c>
      <c r="U94" s="7">
        <f t="shared" si="31"/>
        <v>51034834.161489286</v>
      </c>
      <c r="W94">
        <f t="shared" si="42"/>
        <v>30960</v>
      </c>
      <c r="X94" s="9">
        <f t="shared" si="24"/>
        <v>-1616.2840085007635</v>
      </c>
      <c r="Y94" s="2">
        <f t="shared" si="25"/>
        <v>63283675.113554895</v>
      </c>
      <c r="Z94" s="2">
        <f t="shared" si="32"/>
        <v>-4.6060201223582946E-2</v>
      </c>
      <c r="AA94" s="2">
        <f t="shared" si="33"/>
        <v>-4.6672972436152399E-2</v>
      </c>
      <c r="AB94" s="2">
        <f t="shared" si="34"/>
        <v>-4.6672984948717244E-2</v>
      </c>
      <c r="AC94" s="2">
        <f t="shared" si="35"/>
        <v>-4.7299859218790867E-2</v>
      </c>
      <c r="AD94" s="2">
        <f t="shared" si="36"/>
        <v>-1633.0871270134903</v>
      </c>
      <c r="AE94" s="10">
        <f t="shared" si="37"/>
        <v>62698788.309162326</v>
      </c>
    </row>
    <row r="95" spans="1:31" x14ac:dyDescent="0.25">
      <c r="A95" s="1">
        <f t="shared" si="38"/>
        <v>0.36249999999999999</v>
      </c>
      <c r="B95" s="7">
        <f t="shared" si="39"/>
        <v>51034834.161489286</v>
      </c>
      <c r="C95" s="7">
        <f t="shared" si="40"/>
        <v>62698788.309162326</v>
      </c>
      <c r="D95" s="7"/>
      <c r="E95" s="7"/>
      <c r="F95" s="7"/>
      <c r="G95" s="7"/>
      <c r="H95" s="7"/>
      <c r="I95" s="7"/>
      <c r="J95" s="7"/>
      <c r="K95" s="7"/>
      <c r="L95" s="1">
        <f t="shared" si="43"/>
        <v>0.36249999999999999</v>
      </c>
      <c r="M95">
        <f t="shared" si="41"/>
        <v>31320</v>
      </c>
      <c r="N95" s="9">
        <f t="shared" si="22"/>
        <v>-2284.6361916586711</v>
      </c>
      <c r="O95" s="7">
        <f t="shared" si="23"/>
        <v>51034834.161489286</v>
      </c>
      <c r="P95" s="2">
        <f t="shared" si="26"/>
        <v>-3.8500592198560717E-2</v>
      </c>
      <c r="Q95" s="2">
        <f t="shared" si="27"/>
        <v>-3.8890570880148245E-2</v>
      </c>
      <c r="R95" s="2">
        <f t="shared" si="28"/>
        <v>-3.889058352214339E-2</v>
      </c>
      <c r="S95" s="2">
        <f t="shared" si="29"/>
        <v>-3.9287915065232638E-2</v>
      </c>
      <c r="T95" s="9">
        <f t="shared" si="30"/>
        <v>-2298.6372406227738</v>
      </c>
      <c r="U95" s="7">
        <f t="shared" si="31"/>
        <v>50209844.943678625</v>
      </c>
      <c r="W95">
        <f t="shared" si="42"/>
        <v>31320</v>
      </c>
      <c r="X95" s="9">
        <f t="shared" si="24"/>
        <v>-1633.0871270134903</v>
      </c>
      <c r="Y95" s="2">
        <f t="shared" si="25"/>
        <v>62698788.309162326</v>
      </c>
      <c r="Z95" s="2">
        <f t="shared" si="32"/>
        <v>-4.7299859394007771E-2</v>
      </c>
      <c r="AA95" s="2">
        <f t="shared" si="33"/>
        <v>-4.7941270171826922E-2</v>
      </c>
      <c r="AB95" s="2">
        <f t="shared" si="34"/>
        <v>-4.7941283756211581E-2</v>
      </c>
      <c r="AC95" s="2">
        <f t="shared" si="35"/>
        <v>-4.8597736265284804E-2</v>
      </c>
      <c r="AD95" s="2">
        <f t="shared" si="36"/>
        <v>-1650.3468892244125</v>
      </c>
      <c r="AE95" s="10">
        <f t="shared" si="37"/>
        <v>62107770.186239503</v>
      </c>
    </row>
    <row r="96" spans="1:31" x14ac:dyDescent="0.25">
      <c r="A96" s="1">
        <f t="shared" si="38"/>
        <v>0.36666666666666664</v>
      </c>
      <c r="B96" s="7">
        <f t="shared" si="39"/>
        <v>50209844.943678625</v>
      </c>
      <c r="C96" s="7">
        <f t="shared" si="40"/>
        <v>62107770.186239503</v>
      </c>
      <c r="D96" s="7"/>
      <c r="E96" s="7"/>
      <c r="F96" s="7"/>
      <c r="G96" s="7"/>
      <c r="H96" s="7"/>
      <c r="I96" s="7"/>
      <c r="J96" s="7"/>
      <c r="K96" s="7"/>
      <c r="L96" s="1">
        <f t="shared" si="43"/>
        <v>0.36666666666666664</v>
      </c>
      <c r="M96">
        <f t="shared" si="41"/>
        <v>31680</v>
      </c>
      <c r="N96" s="9">
        <f t="shared" si="22"/>
        <v>-2298.6372406227738</v>
      </c>
      <c r="O96" s="7">
        <f t="shared" si="23"/>
        <v>50209844.943678625</v>
      </c>
      <c r="P96" s="2">
        <f t="shared" si="26"/>
        <v>-3.9287915262647452E-2</v>
      </c>
      <c r="Q96" s="2">
        <f t="shared" si="27"/>
        <v>-3.969277323522305E-2</v>
      </c>
      <c r="R96" s="2">
        <f t="shared" si="28"/>
        <v>-3.9692786897872021E-2</v>
      </c>
      <c r="S96" s="2">
        <f t="shared" si="29"/>
        <v>-4.0105404523141132E-2</v>
      </c>
      <c r="T96" s="9">
        <f t="shared" si="30"/>
        <v>-2312.9271070258924</v>
      </c>
      <c r="U96" s="7">
        <f t="shared" si="31"/>
        <v>49379763.361101866</v>
      </c>
      <c r="W96">
        <f t="shared" si="42"/>
        <v>31680</v>
      </c>
      <c r="X96" s="9">
        <f t="shared" si="24"/>
        <v>-1650.3468892244125</v>
      </c>
      <c r="Y96" s="2">
        <f t="shared" si="25"/>
        <v>62107770.186239503</v>
      </c>
      <c r="Z96" s="2">
        <f t="shared" si="32"/>
        <v>-4.8597736459175513E-2</v>
      </c>
      <c r="AA96" s="2">
        <f t="shared" si="33"/>
        <v>-4.926970176130073E-2</v>
      </c>
      <c r="AB96" s="2">
        <f t="shared" si="34"/>
        <v>-4.9269716532593967E-2</v>
      </c>
      <c r="AC96" s="2">
        <f t="shared" si="35"/>
        <v>-4.9957744083595698E-2</v>
      </c>
      <c r="AD96" s="2">
        <f t="shared" si="36"/>
        <v>-1668.0849482522462</v>
      </c>
      <c r="AE96" s="10">
        <f t="shared" si="37"/>
        <v>61510452.455493703</v>
      </c>
    </row>
    <row r="97" spans="1:31" x14ac:dyDescent="0.25">
      <c r="A97" s="1">
        <f t="shared" si="38"/>
        <v>0.37083333333333335</v>
      </c>
      <c r="B97" s="7">
        <f t="shared" si="39"/>
        <v>49379763.361101866</v>
      </c>
      <c r="C97" s="7">
        <f t="shared" si="40"/>
        <v>61510452.455493703</v>
      </c>
      <c r="D97" s="7"/>
      <c r="E97" s="7"/>
      <c r="F97" s="7"/>
      <c r="G97" s="7"/>
      <c r="H97" s="7"/>
      <c r="I97" s="7"/>
      <c r="J97" s="7"/>
      <c r="K97" s="7"/>
      <c r="L97" s="1">
        <f t="shared" si="43"/>
        <v>0.37083333333333335</v>
      </c>
      <c r="M97">
        <f t="shared" si="41"/>
        <v>32040</v>
      </c>
      <c r="N97" s="9">
        <f t="shared" si="22"/>
        <v>-2312.9271070258924</v>
      </c>
      <c r="O97" s="7">
        <f t="shared" si="23"/>
        <v>49379763.361101866</v>
      </c>
      <c r="P97" s="2">
        <f t="shared" si="26"/>
        <v>-4.0105404740806178E-2</v>
      </c>
      <c r="Q97" s="2">
        <f t="shared" si="27"/>
        <v>-4.0525967871334244E-2</v>
      </c>
      <c r="R97" s="2">
        <f t="shared" si="28"/>
        <v>-4.0525982658964899E-2</v>
      </c>
      <c r="S97" s="2">
        <f t="shared" si="29"/>
        <v>-4.0954741715463011E-2</v>
      </c>
      <c r="T97" s="9">
        <f t="shared" si="30"/>
        <v>-2327.5169498769046</v>
      </c>
      <c r="U97" s="7">
        <f t="shared" si="31"/>
        <v>48544483.430859365</v>
      </c>
      <c r="W97">
        <f t="shared" si="42"/>
        <v>32040</v>
      </c>
      <c r="X97" s="9">
        <f t="shared" si="24"/>
        <v>-1668.0849482522462</v>
      </c>
      <c r="Y97" s="2">
        <f t="shared" si="25"/>
        <v>61510452.455493703</v>
      </c>
      <c r="Z97" s="2">
        <f t="shared" si="32"/>
        <v>-4.9957744298567308E-2</v>
      </c>
      <c r="AA97" s="2">
        <f t="shared" si="33"/>
        <v>-5.0662346831733825E-2</v>
      </c>
      <c r="AB97" s="2">
        <f t="shared" si="34"/>
        <v>-5.0662362919960478E-2</v>
      </c>
      <c r="AC97" s="2">
        <f t="shared" si="35"/>
        <v>-5.1384138945492604E-2</v>
      </c>
      <c r="AD97" s="2">
        <f t="shared" si="36"/>
        <v>-1686.3244264170933</v>
      </c>
      <c r="AE97" s="10">
        <f t="shared" si="37"/>
        <v>60906658.768053219</v>
      </c>
    </row>
    <row r="98" spans="1:31" x14ac:dyDescent="0.25">
      <c r="A98" s="1">
        <f t="shared" si="38"/>
        <v>0.375</v>
      </c>
      <c r="B98" s="7">
        <f t="shared" si="39"/>
        <v>48544483.430859365</v>
      </c>
      <c r="C98" s="7">
        <f t="shared" si="40"/>
        <v>60906658.768053219</v>
      </c>
      <c r="D98" s="7"/>
      <c r="E98" s="7"/>
      <c r="F98" s="7"/>
      <c r="G98" s="7"/>
      <c r="H98" s="7"/>
      <c r="I98" s="7"/>
      <c r="J98" s="7"/>
      <c r="K98" s="7"/>
      <c r="L98" s="1">
        <f t="shared" si="43"/>
        <v>0.375</v>
      </c>
      <c r="M98">
        <f t="shared" si="41"/>
        <v>32400</v>
      </c>
      <c r="N98" s="9">
        <f t="shared" si="22"/>
        <v>-2327.5169498769046</v>
      </c>
      <c r="O98" s="7">
        <f t="shared" si="23"/>
        <v>48544483.430859365</v>
      </c>
      <c r="P98" s="2">
        <f t="shared" si="26"/>
        <v>-4.0954741955907058E-2</v>
      </c>
      <c r="Q98" s="2">
        <f t="shared" si="27"/>
        <v>-4.1391896135176263E-2</v>
      </c>
      <c r="R98" s="2">
        <f t="shared" si="28"/>
        <v>-4.139191216508923E-2</v>
      </c>
      <c r="S98" s="2">
        <f t="shared" si="29"/>
        <v>-4.1837730652582485E-2</v>
      </c>
      <c r="T98" s="9">
        <f t="shared" si="30"/>
        <v>-2342.4185552294457</v>
      </c>
      <c r="U98" s="7">
        <f t="shared" si="31"/>
        <v>47703895.039940223</v>
      </c>
      <c r="W98">
        <f t="shared" si="42"/>
        <v>32400</v>
      </c>
      <c r="X98" s="9">
        <f t="shared" si="24"/>
        <v>-1686.3244264170933</v>
      </c>
      <c r="Y98" s="2">
        <f t="shared" si="25"/>
        <v>60906658.768053219</v>
      </c>
      <c r="Z98" s="2">
        <f t="shared" si="32"/>
        <v>-5.1384139184318195E-2</v>
      </c>
      <c r="AA98" s="2">
        <f t="shared" si="33"/>
        <v>-5.2123647694221516E-2</v>
      </c>
      <c r="AB98" s="2">
        <f t="shared" si="34"/>
        <v>-5.2123665246627336E-2</v>
      </c>
      <c r="AC98" s="2">
        <f t="shared" si="35"/>
        <v>-5.2881559260455631E-2</v>
      </c>
      <c r="AD98" s="2">
        <f t="shared" si="36"/>
        <v>-1705.0900458766816</v>
      </c>
      <c r="AE98" s="10">
        <f t="shared" si="37"/>
        <v>60296204.16304034</v>
      </c>
    </row>
    <row r="99" spans="1:31" x14ac:dyDescent="0.25">
      <c r="A99" s="1">
        <f t="shared" si="38"/>
        <v>0.37916666666666665</v>
      </c>
      <c r="B99" s="7">
        <f t="shared" si="39"/>
        <v>47703895.039940223</v>
      </c>
      <c r="C99" s="7">
        <f t="shared" si="40"/>
        <v>60296204.16304034</v>
      </c>
      <c r="D99" s="7"/>
      <c r="E99" s="7"/>
      <c r="F99" s="7"/>
      <c r="G99" s="7"/>
      <c r="H99" s="7"/>
      <c r="I99" s="7"/>
      <c r="J99" s="7"/>
      <c r="K99" s="7"/>
      <c r="L99" s="1">
        <f t="shared" si="43"/>
        <v>0.37916666666666665</v>
      </c>
      <c r="M99">
        <f t="shared" si="41"/>
        <v>32760</v>
      </c>
      <c r="N99" s="9">
        <f t="shared" si="22"/>
        <v>-2342.4185552294457</v>
      </c>
      <c r="O99" s="7">
        <f t="shared" si="23"/>
        <v>47703895.039940223</v>
      </c>
      <c r="P99" s="2">
        <f t="shared" si="26"/>
        <v>-4.1837730918708592E-2</v>
      </c>
      <c r="Q99" s="2">
        <f t="shared" si="27"/>
        <v>-4.2292427420797828E-2</v>
      </c>
      <c r="R99" s="2">
        <f t="shared" si="28"/>
        <v>-4.2292444825176696E-2</v>
      </c>
      <c r="S99" s="2">
        <f t="shared" si="29"/>
        <v>-4.2756309028159939E-2</v>
      </c>
      <c r="T99" s="9">
        <f t="shared" si="30"/>
        <v>-2357.6443822957749</v>
      </c>
      <c r="U99" s="7">
        <f t="shared" si="31"/>
        <v>46857883.711185686</v>
      </c>
      <c r="W99">
        <f t="shared" si="42"/>
        <v>32760</v>
      </c>
      <c r="X99" s="9">
        <f t="shared" si="24"/>
        <v>-1705.0900458766816</v>
      </c>
      <c r="Y99" s="2">
        <f t="shared" si="25"/>
        <v>60296204.16304034</v>
      </c>
      <c r="Z99" s="2">
        <f t="shared" si="32"/>
        <v>-5.2881559526338426E-2</v>
      </c>
      <c r="AA99" s="2">
        <f t="shared" si="33"/>
        <v>-5.3658449489814457E-2</v>
      </c>
      <c r="AB99" s="2">
        <f t="shared" si="34"/>
        <v>-5.3658468673555157E-2</v>
      </c>
      <c r="AC99" s="2">
        <f t="shared" si="35"/>
        <v>-5.4455068301153771E-2</v>
      </c>
      <c r="AD99" s="2">
        <f t="shared" si="36"/>
        <v>-1724.4082737259355</v>
      </c>
      <c r="AE99" s="10">
        <f t="shared" si="37"/>
        <v>59678894.465511866</v>
      </c>
    </row>
    <row r="100" spans="1:31" x14ac:dyDescent="0.25">
      <c r="A100" s="1">
        <f t="shared" si="38"/>
        <v>0.38333333333333336</v>
      </c>
      <c r="B100" s="7">
        <f t="shared" si="39"/>
        <v>46857883.711185686</v>
      </c>
      <c r="C100" s="7">
        <f t="shared" si="40"/>
        <v>59678894.465511866</v>
      </c>
      <c r="D100" s="7"/>
      <c r="E100" s="7"/>
      <c r="F100" s="7"/>
      <c r="G100" s="7"/>
      <c r="H100" s="7"/>
      <c r="I100" s="7"/>
      <c r="J100" s="7"/>
      <c r="K100" s="7"/>
      <c r="L100" s="1">
        <f t="shared" si="43"/>
        <v>0.38333333333333336</v>
      </c>
      <c r="M100">
        <f t="shared" si="41"/>
        <v>33120</v>
      </c>
      <c r="N100" s="9">
        <f t="shared" si="22"/>
        <v>-2357.6443822957749</v>
      </c>
      <c r="O100" s="7">
        <f t="shared" si="23"/>
        <v>46857883.711185686</v>
      </c>
      <c r="P100" s="2">
        <f t="shared" si="26"/>
        <v>-4.2756309323309483E-2</v>
      </c>
      <c r="Q100" s="2">
        <f t="shared" si="27"/>
        <v>-4.3229570725645025E-2</v>
      </c>
      <c r="R100" s="2">
        <f t="shared" si="28"/>
        <v>-4.3229589653792665E-2</v>
      </c>
      <c r="S100" s="2">
        <f t="shared" si="29"/>
        <v>-4.3712560368306348E-2</v>
      </c>
      <c r="T100" s="9">
        <f t="shared" si="30"/>
        <v>-2373.2076137228046</v>
      </c>
      <c r="U100" s="7">
        <f t="shared" si="31"/>
        <v>46006330.351902343</v>
      </c>
      <c r="W100">
        <f t="shared" si="42"/>
        <v>33120</v>
      </c>
      <c r="X100" s="9">
        <f t="shared" si="24"/>
        <v>-1724.4082737259355</v>
      </c>
      <c r="Y100" s="2">
        <f t="shared" si="25"/>
        <v>59678894.465511866</v>
      </c>
      <c r="Z100" s="2">
        <f t="shared" si="32"/>
        <v>-5.4455068597804614E-2</v>
      </c>
      <c r="AA100" s="2">
        <f t="shared" si="33"/>
        <v>-5.5272045686403086E-2</v>
      </c>
      <c r="AB100" s="2">
        <f t="shared" si="34"/>
        <v>-5.5272066691719871E-2</v>
      </c>
      <c r="AC100" s="2">
        <f t="shared" si="35"/>
        <v>-5.6110202681963747E-2</v>
      </c>
      <c r="AD100" s="2">
        <f t="shared" si="36"/>
        <v>-1744.3074834880963</v>
      </c>
      <c r="AE100" s="10">
        <f t="shared" si="37"/>
        <v>59054525.629213341</v>
      </c>
    </row>
    <row r="101" spans="1:31" x14ac:dyDescent="0.25">
      <c r="A101" s="1">
        <f t="shared" si="38"/>
        <v>0.38750000000000001</v>
      </c>
      <c r="B101" s="7">
        <f t="shared" si="39"/>
        <v>46006330.351902343</v>
      </c>
      <c r="C101" s="7">
        <f t="shared" si="40"/>
        <v>59054525.629213341</v>
      </c>
      <c r="D101" s="7"/>
      <c r="E101" s="7"/>
      <c r="F101" s="7"/>
      <c r="G101" s="7"/>
      <c r="H101" s="7"/>
      <c r="I101" s="7"/>
      <c r="J101" s="7"/>
      <c r="K101" s="7"/>
      <c r="L101" s="1">
        <f t="shared" si="43"/>
        <v>0.38750000000000001</v>
      </c>
      <c r="M101">
        <f t="shared" si="41"/>
        <v>33480</v>
      </c>
      <c r="N101" s="9">
        <f t="shared" si="22"/>
        <v>-2373.2076137228046</v>
      </c>
      <c r="O101" s="7">
        <f t="shared" si="23"/>
        <v>46006330.351902343</v>
      </c>
      <c r="P101" s="2">
        <f t="shared" si="26"/>
        <v>-4.3712560696336097E-2</v>
      </c>
      <c r="Q101" s="2">
        <f t="shared" si="27"/>
        <v>-4.4205487426003186E-2</v>
      </c>
      <c r="R101" s="2">
        <f t="shared" si="28"/>
        <v>-4.4205508046968829E-2</v>
      </c>
      <c r="S101" s="2">
        <f t="shared" si="29"/>
        <v>-4.4708727469896702E-2</v>
      </c>
      <c r="T101" s="9">
        <f t="shared" si="30"/>
        <v>-2389.1222104695353</v>
      </c>
      <c r="U101" s="7">
        <f t="shared" si="31"/>
        <v>45149110.983547725</v>
      </c>
      <c r="W101">
        <f t="shared" si="42"/>
        <v>33480</v>
      </c>
      <c r="X101" s="9">
        <f t="shared" si="24"/>
        <v>-1744.3074834880963</v>
      </c>
      <c r="Y101" s="2">
        <f t="shared" si="25"/>
        <v>59054525.629213341</v>
      </c>
      <c r="Z101" s="2">
        <f t="shared" si="32"/>
        <v>-5.6110203013694258E-2</v>
      </c>
      <c r="AA101" s="2">
        <f t="shared" si="33"/>
        <v>-5.6970229765188077E-2</v>
      </c>
      <c r="AB101" s="2">
        <f t="shared" si="34"/>
        <v>-5.6970252809169349E-2</v>
      </c>
      <c r="AC101" s="2">
        <f t="shared" si="35"/>
        <v>-5.7853027501703944E-2</v>
      </c>
      <c r="AD101" s="2">
        <f t="shared" si="36"/>
        <v>-1764.818135227943</v>
      </c>
      <c r="AE101" s="10">
        <f t="shared" si="37"/>
        <v>58422883.017844453</v>
      </c>
    </row>
    <row r="102" spans="1:31" x14ac:dyDescent="0.25">
      <c r="A102" s="1">
        <f t="shared" si="38"/>
        <v>0.39166666666666666</v>
      </c>
      <c r="B102" s="7">
        <f t="shared" si="39"/>
        <v>45149110.983547725</v>
      </c>
      <c r="C102" s="7">
        <f t="shared" si="40"/>
        <v>58422883.017844453</v>
      </c>
      <c r="D102" s="7"/>
      <c r="E102" s="7"/>
      <c r="F102" s="7"/>
      <c r="G102" s="7"/>
      <c r="H102" s="7"/>
      <c r="I102" s="7"/>
      <c r="J102" s="7"/>
      <c r="K102" s="7"/>
      <c r="L102" s="1">
        <f t="shared" si="43"/>
        <v>0.39166666666666666</v>
      </c>
      <c r="M102">
        <f t="shared" si="41"/>
        <v>33840</v>
      </c>
      <c r="N102" s="9">
        <f t="shared" si="22"/>
        <v>-2389.1222104695353</v>
      </c>
      <c r="O102" s="7">
        <f t="shared" si="23"/>
        <v>45149110.983547725</v>
      </c>
      <c r="P102" s="2">
        <f t="shared" si="26"/>
        <v>-4.4708727835271217E-2</v>
      </c>
      <c r="Q102" s="2">
        <f t="shared" si="27"/>
        <v>-4.5222505415358577E-2</v>
      </c>
      <c r="R102" s="2">
        <f t="shared" si="28"/>
        <v>-4.5222527921032991E-2</v>
      </c>
      <c r="S102" s="2">
        <f t="shared" si="29"/>
        <v>-4.5747227280142792E-2</v>
      </c>
      <c r="T102" s="9">
        <f t="shared" si="30"/>
        <v>-2405.4029717768271</v>
      </c>
      <c r="U102" s="7">
        <f t="shared" si="31"/>
        <v>44286096.450743377</v>
      </c>
      <c r="W102">
        <f t="shared" si="42"/>
        <v>33840</v>
      </c>
      <c r="X102" s="9">
        <f t="shared" si="24"/>
        <v>-1764.818135227943</v>
      </c>
      <c r="Y102" s="2">
        <f t="shared" si="25"/>
        <v>58422883.017844453</v>
      </c>
      <c r="Z102" s="2">
        <f t="shared" si="32"/>
        <v>-5.785302787353909E-2</v>
      </c>
      <c r="AA102" s="2">
        <f t="shared" si="33"/>
        <v>-5.875935408737782E-2</v>
      </c>
      <c r="AB102" s="2">
        <f t="shared" si="34"/>
        <v>-5.8759379418431318E-2</v>
      </c>
      <c r="AC102" s="2">
        <f t="shared" si="35"/>
        <v>-5.9690199228556604E-2</v>
      </c>
      <c r="AD102" s="2">
        <f t="shared" si="36"/>
        <v>-1785.9729768747659</v>
      </c>
      <c r="AE102" s="10">
        <f t="shared" si="37"/>
        <v>57783740.617665969</v>
      </c>
    </row>
    <row r="103" spans="1:31" x14ac:dyDescent="0.25">
      <c r="A103" s="1">
        <f t="shared" si="38"/>
        <v>0.39583333333333331</v>
      </c>
      <c r="B103" s="7">
        <f t="shared" si="39"/>
        <v>44286096.450743377</v>
      </c>
      <c r="C103" s="7">
        <f t="shared" si="40"/>
        <v>57783740.617665969</v>
      </c>
      <c r="D103" s="7"/>
      <c r="E103" s="7"/>
      <c r="F103" s="7"/>
      <c r="G103" s="7"/>
      <c r="H103" s="7"/>
      <c r="I103" s="7"/>
      <c r="J103" s="7"/>
      <c r="K103" s="7"/>
      <c r="L103" s="1">
        <f t="shared" si="43"/>
        <v>0.39583333333333331</v>
      </c>
      <c r="M103">
        <f t="shared" si="41"/>
        <v>34200</v>
      </c>
      <c r="N103" s="9">
        <f t="shared" si="22"/>
        <v>-2405.4029717768271</v>
      </c>
      <c r="O103" s="7">
        <f t="shared" si="23"/>
        <v>44286096.450743377</v>
      </c>
      <c r="P103" s="2">
        <f t="shared" si="26"/>
        <v>-4.5747227688045775E-2</v>
      </c>
      <c r="Q103" s="2">
        <f t="shared" si="27"/>
        <v>-4.6283134766844959E-2</v>
      </c>
      <c r="R103" s="2">
        <f t="shared" si="28"/>
        <v>-4.6283159375619685E-2</v>
      </c>
      <c r="S103" s="2">
        <f t="shared" si="29"/>
        <v>-4.6830667388156534E-2</v>
      </c>
      <c r="T103" s="9">
        <f t="shared" si="30"/>
        <v>-2422.0656007784951</v>
      </c>
      <c r="U103" s="7">
        <f t="shared" si="31"/>
        <v>43417152.10768342</v>
      </c>
      <c r="W103">
        <f t="shared" si="42"/>
        <v>34200</v>
      </c>
      <c r="X103" s="9">
        <f t="shared" si="24"/>
        <v>-1785.9729768747659</v>
      </c>
      <c r="Y103" s="2">
        <f t="shared" si="25"/>
        <v>57783740.617665969</v>
      </c>
      <c r="Z103" s="2">
        <f t="shared" si="32"/>
        <v>-5.9690199646371705E-2</v>
      </c>
      <c r="AA103" s="2">
        <f t="shared" si="33"/>
        <v>-6.064639711504731E-2</v>
      </c>
      <c r="AB103" s="2">
        <f t="shared" si="34"/>
        <v>-6.0646425018235514E-2</v>
      </c>
      <c r="AC103" s="2">
        <f t="shared" si="35"/>
        <v>-6.1629037606771665E-2</v>
      </c>
      <c r="AD103" s="2">
        <f t="shared" si="36"/>
        <v>-1807.8072697659484</v>
      </c>
      <c r="AE103" s="10">
        <f t="shared" si="37"/>
        <v>57136860.173270643</v>
      </c>
    </row>
    <row r="104" spans="1:31" x14ac:dyDescent="0.25">
      <c r="A104" s="1">
        <f t="shared" si="38"/>
        <v>0.4</v>
      </c>
      <c r="B104" s="7">
        <f t="shared" si="39"/>
        <v>43417152.10768342</v>
      </c>
      <c r="C104" s="7">
        <f t="shared" si="40"/>
        <v>57136860.173270643</v>
      </c>
      <c r="D104" s="7"/>
      <c r="E104" s="7"/>
      <c r="F104" s="7"/>
      <c r="G104" s="7"/>
      <c r="H104" s="7"/>
      <c r="I104" s="7"/>
      <c r="J104" s="7"/>
      <c r="K104" s="7"/>
      <c r="L104" s="1">
        <f t="shared" si="43"/>
        <v>0.4</v>
      </c>
      <c r="M104">
        <f t="shared" si="41"/>
        <v>34560</v>
      </c>
      <c r="N104" s="9">
        <f t="shared" si="22"/>
        <v>-2422.0656007784951</v>
      </c>
      <c r="O104" s="7">
        <f t="shared" si="23"/>
        <v>43417152.10768342</v>
      </c>
      <c r="P104" s="2">
        <f t="shared" si="26"/>
        <v>-4.6830667844625661E-2</v>
      </c>
      <c r="Q104" s="2">
        <f t="shared" si="27"/>
        <v>-4.7390085100530548E-2</v>
      </c>
      <c r="R104" s="2">
        <f t="shared" si="28"/>
        <v>-4.7390112061638685E-2</v>
      </c>
      <c r="S104" s="2">
        <f t="shared" si="29"/>
        <v>-4.7961864319826283E-2</v>
      </c>
      <c r="T104" s="9">
        <f t="shared" si="30"/>
        <v>-2439.1267763678225</v>
      </c>
      <c r="U104" s="7">
        <f t="shared" si="31"/>
        <v>42542137.47979708</v>
      </c>
      <c r="W104">
        <f t="shared" si="42"/>
        <v>34560</v>
      </c>
      <c r="X104" s="9">
        <f t="shared" si="24"/>
        <v>-1807.8072697659484</v>
      </c>
      <c r="Y104" s="2">
        <f t="shared" si="25"/>
        <v>57136860.173270643</v>
      </c>
      <c r="Z104" s="2">
        <f t="shared" si="32"/>
        <v>-6.1629038077459154E-2</v>
      </c>
      <c r="AA104" s="2">
        <f t="shared" si="33"/>
        <v>-6.263904038206701E-2</v>
      </c>
      <c r="AB104" s="2">
        <f t="shared" si="34"/>
        <v>-6.2639071185496623E-2</v>
      </c>
      <c r="AC104" s="2">
        <f t="shared" si="35"/>
        <v>-6.3677608109384248E-2</v>
      </c>
      <c r="AD104" s="2">
        <f t="shared" si="36"/>
        <v>-1830.3590419252666</v>
      </c>
      <c r="AE104" s="10">
        <f t="shared" si="37"/>
        <v>56481990.237166226</v>
      </c>
    </row>
    <row r="105" spans="1:31" x14ac:dyDescent="0.25">
      <c r="A105" s="1">
        <f t="shared" si="38"/>
        <v>0.40416666666666667</v>
      </c>
      <c r="B105" s="7">
        <f t="shared" si="39"/>
        <v>42542137.47979708</v>
      </c>
      <c r="C105" s="7">
        <f t="shared" si="40"/>
        <v>56481990.237166226</v>
      </c>
      <c r="D105" s="7"/>
      <c r="E105" s="7"/>
      <c r="F105" s="7"/>
      <c r="G105" s="7"/>
      <c r="H105" s="7"/>
      <c r="I105" s="7"/>
      <c r="J105" s="7"/>
      <c r="K105" s="7"/>
      <c r="L105" s="1">
        <f t="shared" si="43"/>
        <v>0.40416666666666667</v>
      </c>
      <c r="M105">
        <f t="shared" si="41"/>
        <v>34920</v>
      </c>
      <c r="N105" s="9">
        <f t="shared" si="22"/>
        <v>-2439.1267763678225</v>
      </c>
      <c r="O105" s="7">
        <f t="shared" si="23"/>
        <v>42542137.47979708</v>
      </c>
      <c r="P105" s="2">
        <f t="shared" si="26"/>
        <v>-4.7961864831916792E-2</v>
      </c>
      <c r="Q105" s="2">
        <f t="shared" si="27"/>
        <v>-4.8546284857889505E-2</v>
      </c>
      <c r="R105" s="2">
        <f t="shared" si="28"/>
        <v>-4.8546314456573786E-2</v>
      </c>
      <c r="S105" s="2">
        <f t="shared" si="29"/>
        <v>-4.9143863849920574E-2</v>
      </c>
      <c r="T105" s="9">
        <f t="shared" si="30"/>
        <v>-2456.6042320064685</v>
      </c>
      <c r="U105" s="7">
        <f t="shared" si="31"/>
        <v>41660905.89828971</v>
      </c>
      <c r="W105">
        <f t="shared" si="42"/>
        <v>34920</v>
      </c>
      <c r="X105" s="9">
        <f t="shared" si="24"/>
        <v>-1830.3590419252666</v>
      </c>
      <c r="Y105" s="2">
        <f t="shared" si="25"/>
        <v>56481990.237166226</v>
      </c>
      <c r="Z105" s="2">
        <f t="shared" si="32"/>
        <v>-6.3677608641058134E-2</v>
      </c>
      <c r="AA105" s="2">
        <f t="shared" si="33"/>
        <v>-6.4745756880879329E-2</v>
      </c>
      <c r="AB105" s="2">
        <f t="shared" si="34"/>
        <v>-6.4745790963382718E-2</v>
      </c>
      <c r="AC105" s="2">
        <f t="shared" si="35"/>
        <v>-6.5844816759200508E-2</v>
      </c>
      <c r="AD105" s="2">
        <f t="shared" si="36"/>
        <v>-1853.6693731905937</v>
      </c>
      <c r="AE105" s="10">
        <f t="shared" si="37"/>
        <v>55818865.122445375</v>
      </c>
    </row>
    <row r="106" spans="1:31" x14ac:dyDescent="0.25">
      <c r="A106" s="1">
        <f t="shared" si="38"/>
        <v>0.40833333333333333</v>
      </c>
      <c r="B106" s="7">
        <f t="shared" si="39"/>
        <v>41660905.89828971</v>
      </c>
      <c r="C106" s="7">
        <f t="shared" si="40"/>
        <v>55818865.122445375</v>
      </c>
      <c r="D106" s="7"/>
      <c r="E106" s="7"/>
      <c r="F106" s="7"/>
      <c r="G106" s="7"/>
      <c r="H106" s="7"/>
      <c r="I106" s="7"/>
      <c r="J106" s="7"/>
      <c r="K106" s="7"/>
      <c r="L106" s="1">
        <f t="shared" si="43"/>
        <v>0.40833333333333333</v>
      </c>
      <c r="M106">
        <f t="shared" si="41"/>
        <v>35280</v>
      </c>
      <c r="N106" s="9">
        <f t="shared" si="22"/>
        <v>-2456.6042320064685</v>
      </c>
      <c r="O106" s="7">
        <f t="shared" si="23"/>
        <v>41660905.89828971</v>
      </c>
      <c r="P106" s="2">
        <f t="shared" si="26"/>
        <v>-4.9143864425905133E-2</v>
      </c>
      <c r="Q106" s="2">
        <f t="shared" si="27"/>
        <v>-4.9754902709361337E-2</v>
      </c>
      <c r="R106" s="2">
        <f t="shared" si="28"/>
        <v>-4.9754935273049694E-2</v>
      </c>
      <c r="S106" s="2">
        <f t="shared" si="29"/>
        <v>-5.0379963569827102E-2</v>
      </c>
      <c r="T106" s="9">
        <f t="shared" si="30"/>
        <v>-2474.5168422441016</v>
      </c>
      <c r="U106" s="7">
        <f t="shared" si="31"/>
        <v>40773304.104924604</v>
      </c>
      <c r="W106">
        <f t="shared" si="42"/>
        <v>35280</v>
      </c>
      <c r="X106" s="9">
        <f t="shared" si="24"/>
        <v>-1853.6693731905937</v>
      </c>
      <c r="Y106" s="2">
        <f t="shared" si="25"/>
        <v>55818865.122445375</v>
      </c>
      <c r="Z106" s="2">
        <f t="shared" si="32"/>
        <v>-6.5844817361447566E-2</v>
      </c>
      <c r="AA106" s="2">
        <f t="shared" si="33"/>
        <v>-6.6975912860328224E-2</v>
      </c>
      <c r="AB106" s="2">
        <f t="shared" si="34"/>
        <v>-6.6975950660735917E-2</v>
      </c>
      <c r="AC106" s="2">
        <f t="shared" si="35"/>
        <v>-6.8140519504864355E-2</v>
      </c>
      <c r="AD106" s="2">
        <f t="shared" si="36"/>
        <v>-1877.7827170251001</v>
      </c>
      <c r="AE106" s="10">
        <f t="shared" si="37"/>
        <v>55147203.746206552</v>
      </c>
    </row>
    <row r="107" spans="1:31" x14ac:dyDescent="0.25">
      <c r="A107" s="1">
        <f t="shared" si="38"/>
        <v>0.41249999999999998</v>
      </c>
      <c r="B107" s="7">
        <f t="shared" si="39"/>
        <v>40773304.104924604</v>
      </c>
      <c r="C107" s="7">
        <f t="shared" si="40"/>
        <v>55147203.746206552</v>
      </c>
      <c r="D107" s="7"/>
      <c r="E107" s="7"/>
      <c r="F107" s="7"/>
      <c r="G107" s="7"/>
      <c r="H107" s="7"/>
      <c r="I107" s="7"/>
      <c r="J107" s="7"/>
      <c r="K107" s="7"/>
      <c r="L107" s="1">
        <f t="shared" si="43"/>
        <v>0.41249999999999998</v>
      </c>
      <c r="M107">
        <f t="shared" si="41"/>
        <v>35640</v>
      </c>
      <c r="N107" s="9">
        <f t="shared" si="22"/>
        <v>-2474.5168422441016</v>
      </c>
      <c r="O107" s="7">
        <f t="shared" si="23"/>
        <v>40773304.104924604</v>
      </c>
      <c r="P107" s="2">
        <f t="shared" si="26"/>
        <v>-5.0379964219440472E-2</v>
      </c>
      <c r="Q107" s="2">
        <f t="shared" si="27"/>
        <v>-5.1019371346244333E-2</v>
      </c>
      <c r="R107" s="2">
        <f t="shared" si="28"/>
        <v>-5.1019407251958665E-2</v>
      </c>
      <c r="S107" s="2">
        <f t="shared" si="29"/>
        <v>-5.1673737975447651E-2</v>
      </c>
      <c r="T107" s="9">
        <f t="shared" si="30"/>
        <v>-2492.8847178075794</v>
      </c>
      <c r="U107" s="7">
        <f t="shared" si="31"/>
        <v>39879171.824115299</v>
      </c>
      <c r="W107">
        <f t="shared" si="42"/>
        <v>35640</v>
      </c>
      <c r="X107" s="9">
        <f t="shared" si="24"/>
        <v>-1877.7827170251001</v>
      </c>
      <c r="Y107" s="2">
        <f t="shared" si="25"/>
        <v>55147203.746206552</v>
      </c>
      <c r="Z107" s="2">
        <f t="shared" si="32"/>
        <v>-6.8140520189054671E-2</v>
      </c>
      <c r="AA107" s="2">
        <f t="shared" si="33"/>
        <v>-6.9339885433585144E-2</v>
      </c>
      <c r="AB107" s="2">
        <f t="shared" si="34"/>
        <v>-6.9339927461966683E-2</v>
      </c>
      <c r="AC107" s="2">
        <f t="shared" si="35"/>
        <v>-7.0575648786696157E-2</v>
      </c>
      <c r="AD107" s="2">
        <f t="shared" si="36"/>
        <v>-1902.7472647111113</v>
      </c>
      <c r="AE107" s="10">
        <f t="shared" si="37"/>
        <v>54466708.349494033</v>
      </c>
    </row>
    <row r="108" spans="1:31" x14ac:dyDescent="0.25">
      <c r="A108" s="1">
        <f t="shared" si="38"/>
        <v>0.41666666666666669</v>
      </c>
      <c r="B108" s="7">
        <f t="shared" si="39"/>
        <v>39879171.824115299</v>
      </c>
      <c r="C108" s="7">
        <f t="shared" si="40"/>
        <v>54466708.349494033</v>
      </c>
      <c r="D108" s="7"/>
      <c r="E108" s="7"/>
      <c r="F108" s="7"/>
      <c r="G108" s="7"/>
      <c r="H108" s="7"/>
      <c r="I108" s="7"/>
      <c r="J108" s="7"/>
      <c r="K108" s="7"/>
      <c r="L108" s="1">
        <f t="shared" si="43"/>
        <v>0.41666666666666669</v>
      </c>
      <c r="M108">
        <f t="shared" si="41"/>
        <v>36000</v>
      </c>
      <c r="N108" s="9">
        <f t="shared" si="22"/>
        <v>-2492.8847178075794</v>
      </c>
      <c r="O108" s="7">
        <f t="shared" si="23"/>
        <v>39879171.824115299</v>
      </c>
      <c r="P108" s="2">
        <f t="shared" si="26"/>
        <v>-5.1673738710187829E-2</v>
      </c>
      <c r="Q108" s="2">
        <f t="shared" si="27"/>
        <v>-5.2343413934890552E-2</v>
      </c>
      <c r="R108" s="2">
        <f t="shared" si="28"/>
        <v>-5.2343453618171172E-2</v>
      </c>
      <c r="S108" s="2">
        <f t="shared" si="29"/>
        <v>-5.3029066366930541E-2</v>
      </c>
      <c r="T108" s="9">
        <f t="shared" si="30"/>
        <v>-2511.729310218574</v>
      </c>
      <c r="U108" s="7">
        <f t="shared" si="31"/>
        <v>38978341.299070589</v>
      </c>
      <c r="W108">
        <f t="shared" si="42"/>
        <v>36000</v>
      </c>
      <c r="X108" s="9">
        <f t="shared" si="24"/>
        <v>-1902.7472647111113</v>
      </c>
      <c r="Y108" s="2">
        <f t="shared" si="25"/>
        <v>54466708.349494033</v>
      </c>
      <c r="Z108" s="2">
        <f t="shared" si="32"/>
        <v>-7.0575649566368595E-2</v>
      </c>
      <c r="AA108" s="2">
        <f t="shared" si="33"/>
        <v>-7.1849198892454405E-2</v>
      </c>
      <c r="AB108" s="2">
        <f t="shared" si="34"/>
        <v>-7.1849245743805842E-2</v>
      </c>
      <c r="AC108" s="2">
        <f t="shared" si="35"/>
        <v>-7.3162360479718955E-2</v>
      </c>
      <c r="AD108" s="2">
        <f t="shared" si="36"/>
        <v>-1928.6153586702278</v>
      </c>
      <c r="AE108" s="10">
        <f t="shared" si="37"/>
        <v>53777063.077285394</v>
      </c>
    </row>
    <row r="109" spans="1:31" x14ac:dyDescent="0.25">
      <c r="A109" s="1">
        <f t="shared" si="38"/>
        <v>0.42083333333333334</v>
      </c>
      <c r="B109" s="7">
        <f t="shared" si="39"/>
        <v>38978341.299070589</v>
      </c>
      <c r="C109" s="7">
        <f t="shared" si="40"/>
        <v>53777063.077285394</v>
      </c>
      <c r="D109" s="7"/>
      <c r="E109" s="7"/>
      <c r="F109" s="7"/>
      <c r="G109" s="7"/>
      <c r="H109" s="7"/>
      <c r="I109" s="7"/>
      <c r="J109" s="7"/>
      <c r="K109" s="7"/>
      <c r="L109" s="1">
        <f t="shared" si="43"/>
        <v>0.42083333333333334</v>
      </c>
      <c r="M109">
        <f t="shared" si="41"/>
        <v>36360</v>
      </c>
      <c r="N109" s="9">
        <f t="shared" si="22"/>
        <v>-2511.729310218574</v>
      </c>
      <c r="O109" s="7">
        <f t="shared" si="23"/>
        <v>38978341.299070589</v>
      </c>
      <c r="P109" s="2">
        <f t="shared" si="26"/>
        <v>-5.3029067200431275E-2</v>
      </c>
      <c r="Q109" s="2">
        <f t="shared" si="27"/>
        <v>-5.3731073538494309E-2</v>
      </c>
      <c r="R109" s="2">
        <f t="shared" si="28"/>
        <v>-5.3731117504195867E-2</v>
      </c>
      <c r="S109" s="2">
        <f t="shared" si="29"/>
        <v>-5.4450163879114985E-2</v>
      </c>
      <c r="T109" s="9">
        <f t="shared" si="30"/>
        <v>-2531.0735270084697</v>
      </c>
      <c r="U109" s="7">
        <f t="shared" si="31"/>
        <v>38070636.788369723</v>
      </c>
      <c r="W109">
        <f t="shared" si="42"/>
        <v>36360</v>
      </c>
      <c r="X109" s="9">
        <f t="shared" si="24"/>
        <v>-1928.6153586702278</v>
      </c>
      <c r="Y109" s="2">
        <f t="shared" si="25"/>
        <v>53777063.077285394</v>
      </c>
      <c r="Z109" s="2">
        <f t="shared" si="32"/>
        <v>-7.3162361371062162E-2</v>
      </c>
      <c r="AA109" s="2">
        <f t="shared" si="33"/>
        <v>-7.451668323940705E-2</v>
      </c>
      <c r="AB109" s="2">
        <f t="shared" si="34"/>
        <v>-7.4516735610395582E-2</v>
      </c>
      <c r="AC109" s="2">
        <f t="shared" si="35"/>
        <v>-7.5914205086617018E-2</v>
      </c>
      <c r="AD109" s="2">
        <f t="shared" si="36"/>
        <v>-1955.443962919665</v>
      </c>
      <c r="AE109" s="10">
        <f t="shared" si="37"/>
        <v>53077932.399399213</v>
      </c>
    </row>
    <row r="110" spans="1:31" x14ac:dyDescent="0.25">
      <c r="A110" s="1">
        <f t="shared" si="38"/>
        <v>0.42499999999999999</v>
      </c>
      <c r="B110" s="7">
        <f t="shared" si="39"/>
        <v>38070636.788369723</v>
      </c>
      <c r="C110" s="7">
        <f t="shared" si="40"/>
        <v>53077932.399399213</v>
      </c>
      <c r="D110" s="7"/>
      <c r="E110" s="7"/>
      <c r="F110" s="7"/>
      <c r="G110" s="7"/>
      <c r="H110" s="7"/>
      <c r="I110" s="7"/>
      <c r="J110" s="7"/>
      <c r="K110" s="7"/>
      <c r="L110" s="1">
        <f t="shared" si="43"/>
        <v>0.42499999999999999</v>
      </c>
      <c r="M110">
        <f t="shared" si="41"/>
        <v>36720</v>
      </c>
      <c r="N110" s="9">
        <f t="shared" si="22"/>
        <v>-2531.0735270084697</v>
      </c>
      <c r="O110" s="7">
        <f t="shared" si="23"/>
        <v>38070636.788369723</v>
      </c>
      <c r="P110" s="2">
        <f t="shared" si="26"/>
        <v>-5.4450164827608484E-2</v>
      </c>
      <c r="Q110" s="2">
        <f t="shared" si="27"/>
        <v>-5.5186745838371402E-2</v>
      </c>
      <c r="R110" s="2">
        <f t="shared" si="28"/>
        <v>-5.5186794673780785E-2</v>
      </c>
      <c r="S110" s="2">
        <f t="shared" si="29"/>
        <v>-5.594161598708975E-2</v>
      </c>
      <c r="T110" s="9">
        <f t="shared" si="30"/>
        <v>-2550.9418587188097</v>
      </c>
      <c r="U110" s="7">
        <f t="shared" si="31"/>
        <v>37155874.01893881</v>
      </c>
      <c r="W110">
        <f t="shared" si="42"/>
        <v>36720</v>
      </c>
      <c r="X110" s="9">
        <f t="shared" si="24"/>
        <v>-1955.443962919665</v>
      </c>
      <c r="Y110" s="2">
        <f t="shared" si="25"/>
        <v>53077932.399399213</v>
      </c>
      <c r="Z110" s="2">
        <f t="shared" si="32"/>
        <v>-7.5914206109072777E-2</v>
      </c>
      <c r="AA110" s="2">
        <f t="shared" si="33"/>
        <v>-7.7356659213176096E-2</v>
      </c>
      <c r="AB110" s="2">
        <f t="shared" si="34"/>
        <v>-7.7356717922725207E-2</v>
      </c>
      <c r="AC110" s="2">
        <f t="shared" si="35"/>
        <v>-7.8846327907308278E-2</v>
      </c>
      <c r="AD110" s="2">
        <f t="shared" si="36"/>
        <v>-1983.2952002169559</v>
      </c>
      <c r="AE110" s="10">
        <f t="shared" si="37"/>
        <v>52368959.350034624</v>
      </c>
    </row>
    <row r="111" spans="1:31" x14ac:dyDescent="0.25">
      <c r="A111" s="1">
        <f t="shared" si="38"/>
        <v>0.42916666666666664</v>
      </c>
      <c r="B111" s="7">
        <f t="shared" si="39"/>
        <v>37155874.01893881</v>
      </c>
      <c r="C111" s="7">
        <f t="shared" si="40"/>
        <v>52368959.350034624</v>
      </c>
      <c r="D111" s="7"/>
      <c r="E111" s="7"/>
      <c r="F111" s="7"/>
      <c r="G111" s="7"/>
      <c r="H111" s="7"/>
      <c r="I111" s="7"/>
      <c r="J111" s="7"/>
      <c r="K111" s="7"/>
      <c r="L111" s="1">
        <f t="shared" si="43"/>
        <v>0.42916666666666664</v>
      </c>
      <c r="M111">
        <f t="shared" si="41"/>
        <v>37080</v>
      </c>
      <c r="N111" s="9">
        <f t="shared" si="22"/>
        <v>-2550.9418587188097</v>
      </c>
      <c r="O111" s="7">
        <f t="shared" si="23"/>
        <v>37155874.01893881</v>
      </c>
      <c r="P111" s="2">
        <f t="shared" si="26"/>
        <v>-5.5941617069984954E-2</v>
      </c>
      <c r="Q111" s="2">
        <f t="shared" si="27"/>
        <v>-5.6715215510362252E-2</v>
      </c>
      <c r="R111" s="2">
        <f t="shared" si="28"/>
        <v>-5.6715269901212742E-2</v>
      </c>
      <c r="S111" s="2">
        <f t="shared" si="29"/>
        <v>-5.7508416852421494E-2</v>
      </c>
      <c r="T111" s="9">
        <f t="shared" si="30"/>
        <v>-2571.3605190035432</v>
      </c>
      <c r="U111" s="7">
        <f t="shared" si="31"/>
        <v>36233859.590948783</v>
      </c>
      <c r="W111">
        <f t="shared" si="42"/>
        <v>37080</v>
      </c>
      <c r="X111" s="9">
        <f t="shared" si="24"/>
        <v>-1983.2952002169559</v>
      </c>
      <c r="Y111" s="2">
        <f t="shared" si="25"/>
        <v>52368959.350034624</v>
      </c>
      <c r="Z111" s="2">
        <f t="shared" si="32"/>
        <v>-7.884632908433245E-2</v>
      </c>
      <c r="AA111" s="2">
        <f t="shared" si="33"/>
        <v>-8.0385155038729728E-2</v>
      </c>
      <c r="AB111" s="2">
        <f t="shared" si="34"/>
        <v>-8.0385221053454761E-2</v>
      </c>
      <c r="AC111" s="2">
        <f t="shared" si="35"/>
        <v>-8.1975703981323325E-2</v>
      </c>
      <c r="AD111" s="2">
        <f t="shared" si="36"/>
        <v>-2012.2369673319574</v>
      </c>
      <c r="AE111" s="10">
        <f t="shared" si="37"/>
        <v>51649763.559875824</v>
      </c>
    </row>
    <row r="112" spans="1:31" x14ac:dyDescent="0.25">
      <c r="A112" s="1">
        <f t="shared" si="38"/>
        <v>0.43333333333333335</v>
      </c>
      <c r="B112" s="7">
        <f t="shared" si="39"/>
        <v>36233859.590948783</v>
      </c>
      <c r="C112" s="7">
        <f t="shared" si="40"/>
        <v>51649763.559875824</v>
      </c>
      <c r="D112" s="7"/>
      <c r="E112" s="7"/>
      <c r="F112" s="7"/>
      <c r="G112" s="7"/>
      <c r="H112" s="7"/>
      <c r="I112" s="7"/>
      <c r="J112" s="7"/>
      <c r="K112" s="7"/>
      <c r="L112" s="1">
        <f t="shared" si="43"/>
        <v>0.43333333333333335</v>
      </c>
      <c r="M112">
        <f t="shared" si="41"/>
        <v>37440</v>
      </c>
      <c r="N112" s="9">
        <f t="shared" si="22"/>
        <v>-2571.3605190035432</v>
      </c>
      <c r="O112" s="7">
        <f t="shared" si="23"/>
        <v>36233859.590948783</v>
      </c>
      <c r="P112" s="2">
        <f t="shared" si="26"/>
        <v>-5.750841809303045E-2</v>
      </c>
      <c r="Q112" s="2">
        <f t="shared" si="27"/>
        <v>-5.8321696629445335E-2</v>
      </c>
      <c r="R112" s="2">
        <f t="shared" si="28"/>
        <v>-5.8321757379562154E-2</v>
      </c>
      <c r="S112" s="2">
        <f t="shared" si="29"/>
        <v>-5.9156011888123583E-2</v>
      </c>
      <c r="T112" s="9">
        <f t="shared" si="30"/>
        <v>-2592.3575992834935</v>
      </c>
      <c r="U112" s="7">
        <f t="shared" si="31"/>
        <v>35304390.329657115</v>
      </c>
      <c r="W112">
        <f t="shared" si="42"/>
        <v>37440</v>
      </c>
      <c r="X112" s="9">
        <f t="shared" si="24"/>
        <v>-2012.2369673319574</v>
      </c>
      <c r="Y112" s="2">
        <f t="shared" si="25"/>
        <v>51649763.559875824</v>
      </c>
      <c r="Z112" s="2">
        <f t="shared" si="32"/>
        <v>-8.1975705341351124E-2</v>
      </c>
      <c r="AA112" s="2">
        <f t="shared" si="33"/>
        <v>-8.3620161331691131E-2</v>
      </c>
      <c r="AB112" s="2">
        <f t="shared" si="34"/>
        <v>-8.362023579749836E-2</v>
      </c>
      <c r="AC112" s="2">
        <f t="shared" si="35"/>
        <v>-8.5321414945930707E-2</v>
      </c>
      <c r="AD112" s="2">
        <f t="shared" si="36"/>
        <v>-2042.3436422046971</v>
      </c>
      <c r="AE112" s="10">
        <f t="shared" si="37"/>
        <v>50919939.050159223</v>
      </c>
    </row>
    <row r="113" spans="1:31" x14ac:dyDescent="0.25">
      <c r="A113" s="1">
        <f t="shared" si="38"/>
        <v>0.4375</v>
      </c>
      <c r="B113" s="7">
        <f t="shared" si="39"/>
        <v>35304390.329657115</v>
      </c>
      <c r="C113" s="7">
        <f t="shared" si="40"/>
        <v>50919939.050159223</v>
      </c>
      <c r="D113" s="7"/>
      <c r="E113" s="7"/>
      <c r="F113" s="7"/>
      <c r="G113" s="7"/>
      <c r="H113" s="7"/>
      <c r="I113" s="7"/>
      <c r="J113" s="7"/>
      <c r="K113" s="7"/>
      <c r="L113" s="1">
        <f t="shared" si="43"/>
        <v>0.4375</v>
      </c>
      <c r="M113">
        <f t="shared" si="41"/>
        <v>37800</v>
      </c>
      <c r="N113" s="9">
        <f t="shared" si="22"/>
        <v>-2592.3575992834935</v>
      </c>
      <c r="O113" s="7">
        <f t="shared" si="23"/>
        <v>35304390.329657115</v>
      </c>
      <c r="P113" s="2">
        <f t="shared" si="26"/>
        <v>-5.9156013314578551E-2</v>
      </c>
      <c r="Q113" s="2">
        <f t="shared" si="27"/>
        <v>-6.0011877481519676E-2</v>
      </c>
      <c r="R113" s="2">
        <f t="shared" si="28"/>
        <v>-6.0011945537043816E-2</v>
      </c>
      <c r="S113" s="2">
        <f t="shared" si="29"/>
        <v>-6.089034491774812E-2</v>
      </c>
      <c r="T113" s="9">
        <f t="shared" si="30"/>
        <v>-2613.9632395396607</v>
      </c>
      <c r="U113" s="7">
        <f t="shared" si="31"/>
        <v>34367252.578668945</v>
      </c>
      <c r="W113">
        <f t="shared" si="42"/>
        <v>37800</v>
      </c>
      <c r="X113" s="9">
        <f t="shared" si="24"/>
        <v>-2042.3436422046971</v>
      </c>
      <c r="Y113" s="2">
        <f t="shared" si="25"/>
        <v>50919939.050159223</v>
      </c>
      <c r="Z113" s="2">
        <f t="shared" si="32"/>
        <v>-8.5321416523609001E-2</v>
      </c>
      <c r="AA113" s="2">
        <f t="shared" si="33"/>
        <v>-8.7081932101607418E-2</v>
      </c>
      <c r="AB113" s="2">
        <f t="shared" si="34"/>
        <v>-8.7082016383172103E-2</v>
      </c>
      <c r="AC113" s="2">
        <f t="shared" si="35"/>
        <v>-8.8904976658401288E-2</v>
      </c>
      <c r="AD113" s="2">
        <f t="shared" si="36"/>
        <v>-2073.6968996137912</v>
      </c>
      <c r="AE113" s="10">
        <f t="shared" si="37"/>
        <v>50179051.752631895</v>
      </c>
    </row>
    <row r="114" spans="1:31" x14ac:dyDescent="0.25">
      <c r="A114" s="1">
        <f t="shared" si="38"/>
        <v>0.44166666666666665</v>
      </c>
      <c r="B114" s="7">
        <f t="shared" si="39"/>
        <v>34367252.578668945</v>
      </c>
      <c r="C114" s="7">
        <f t="shared" si="40"/>
        <v>50179051.752631895</v>
      </c>
      <c r="D114" s="7"/>
      <c r="E114" s="7"/>
      <c r="F114" s="7"/>
      <c r="G114" s="7"/>
      <c r="H114" s="7"/>
      <c r="I114" s="7"/>
      <c r="J114" s="7"/>
      <c r="K114" s="7"/>
      <c r="L114" s="1">
        <f t="shared" si="43"/>
        <v>0.44166666666666665</v>
      </c>
      <c r="M114">
        <f t="shared" si="41"/>
        <v>38160</v>
      </c>
      <c r="N114" s="9">
        <f t="shared" si="22"/>
        <v>-2613.9632395396607</v>
      </c>
      <c r="O114" s="7">
        <f t="shared" si="23"/>
        <v>34367252.578668945</v>
      </c>
      <c r="P114" s="2">
        <f t="shared" si="26"/>
        <v>-6.0890346564167433E-2</v>
      </c>
      <c r="Q114" s="2">
        <f t="shared" si="27"/>
        <v>-6.1791970147468088E-2</v>
      </c>
      <c r="R114" s="2">
        <f t="shared" si="28"/>
        <v>-6.1792046626886997E-2</v>
      </c>
      <c r="S114" s="2">
        <f t="shared" si="29"/>
        <v>-6.2717910276036723E-2</v>
      </c>
      <c r="T114" s="9">
        <f t="shared" si="30"/>
        <v>-2636.2098169629953</v>
      </c>
      <c r="U114" s="7">
        <f t="shared" si="31"/>
        <v>33422221.428498466</v>
      </c>
      <c r="W114">
        <f t="shared" si="42"/>
        <v>38160</v>
      </c>
      <c r="X114" s="9">
        <f t="shared" si="24"/>
        <v>-2073.6968996137912</v>
      </c>
      <c r="Y114" s="2">
        <f t="shared" si="25"/>
        <v>50179051.752631895</v>
      </c>
      <c r="Z114" s="2">
        <f t="shared" si="32"/>
        <v>-8.8904978496171308E-2</v>
      </c>
      <c r="AA114" s="2">
        <f t="shared" si="33"/>
        <v>-9.0793341721761012E-2</v>
      </c>
      <c r="AB114" s="2">
        <f t="shared" si="34"/>
        <v>-9.0793437452144007E-2</v>
      </c>
      <c r="AC114" s="2">
        <f t="shared" si="35"/>
        <v>-9.2750728603359325E-2</v>
      </c>
      <c r="AD114" s="2">
        <f t="shared" si="36"/>
        <v>-2106.3866555406316</v>
      </c>
      <c r="AE114" s="10">
        <f t="shared" si="37"/>
        <v>49426636.7127041</v>
      </c>
    </row>
    <row r="115" spans="1:31" x14ac:dyDescent="0.25">
      <c r="A115" s="1">
        <f t="shared" si="38"/>
        <v>0.44583333333333336</v>
      </c>
      <c r="B115" s="7">
        <f t="shared" si="39"/>
        <v>33422221.428498466</v>
      </c>
      <c r="C115" s="7">
        <f t="shared" si="40"/>
        <v>49426636.7127041</v>
      </c>
      <c r="D115" s="7"/>
      <c r="E115" s="7"/>
      <c r="F115" s="7"/>
      <c r="G115" s="7"/>
      <c r="H115" s="7"/>
      <c r="I115" s="7"/>
      <c r="J115" s="7"/>
      <c r="K115" s="7"/>
      <c r="L115" s="1">
        <f t="shared" si="43"/>
        <v>0.44583333333333336</v>
      </c>
      <c r="M115">
        <f t="shared" si="41"/>
        <v>38520</v>
      </c>
      <c r="N115" s="9">
        <f t="shared" si="22"/>
        <v>-2636.2098169629953</v>
      </c>
      <c r="O115" s="7">
        <f t="shared" si="23"/>
        <v>33422221.428498466</v>
      </c>
      <c r="P115" s="2">
        <f t="shared" si="26"/>
        <v>-6.27179121840159E-2</v>
      </c>
      <c r="Q115" s="2">
        <f t="shared" si="27"/>
        <v>-6.3668765178631861E-2</v>
      </c>
      <c r="R115" s="2">
        <f t="shared" si="28"/>
        <v>-6.3668851410220162E-2</v>
      </c>
      <c r="S115" s="2">
        <f t="shared" si="29"/>
        <v>-6.4645810130063278E-2</v>
      </c>
      <c r="T115" s="9">
        <f t="shared" si="30"/>
        <v>-2659.1321542925025</v>
      </c>
      <c r="U115" s="7">
        <f t="shared" si="31"/>
        <v>32469059.873672474</v>
      </c>
      <c r="W115">
        <f t="shared" si="42"/>
        <v>38520</v>
      </c>
      <c r="X115" s="9">
        <f t="shared" si="24"/>
        <v>-2106.3866555406316</v>
      </c>
      <c r="Y115" s="2">
        <f t="shared" si="25"/>
        <v>49426636.7127041</v>
      </c>
      <c r="Z115" s="2">
        <f t="shared" si="32"/>
        <v>-9.2750730753503374E-2</v>
      </c>
      <c r="AA115" s="2">
        <f t="shared" si="33"/>
        <v>-9.4780310190813497E-2</v>
      </c>
      <c r="AB115" s="2">
        <f t="shared" si="34"/>
        <v>-9.4780419334212149E-2</v>
      </c>
      <c r="AC115" s="2">
        <f t="shared" si="35"/>
        <v>-9.6886298891059028E-2</v>
      </c>
      <c r="AD115" s="2">
        <f t="shared" si="36"/>
        <v>-2140.5121648623085</v>
      </c>
      <c r="AE115" s="10">
        <f t="shared" si="37"/>
        <v>48662194.925031573</v>
      </c>
    </row>
    <row r="116" spans="1:31" x14ac:dyDescent="0.25">
      <c r="A116" s="1">
        <f t="shared" si="38"/>
        <v>0.45</v>
      </c>
      <c r="B116" s="7">
        <f t="shared" si="39"/>
        <v>32469059.873672474</v>
      </c>
      <c r="C116" s="7">
        <f t="shared" si="40"/>
        <v>48662194.925031573</v>
      </c>
      <c r="D116" s="7"/>
      <c r="E116" s="7"/>
      <c r="F116" s="7"/>
      <c r="G116" s="7"/>
      <c r="H116" s="7"/>
      <c r="I116" s="7"/>
      <c r="J116" s="7"/>
      <c r="K116" s="7"/>
      <c r="L116" s="1">
        <f t="shared" si="43"/>
        <v>0.45</v>
      </c>
      <c r="M116">
        <f t="shared" si="41"/>
        <v>38880</v>
      </c>
      <c r="N116" s="9">
        <f t="shared" si="22"/>
        <v>-2659.1321542925025</v>
      </c>
      <c r="O116" s="7">
        <f t="shared" si="23"/>
        <v>32469059.873672474</v>
      </c>
      <c r="P116" s="2">
        <f t="shared" si="26"/>
        <v>-6.464581235059412E-2</v>
      </c>
      <c r="Q116" s="2">
        <f t="shared" si="27"/>
        <v>-6.5649691585848866E-2</v>
      </c>
      <c r="R116" s="2">
        <f t="shared" si="28"/>
        <v>-6.5649789154626659E-2</v>
      </c>
      <c r="S116" s="2">
        <f t="shared" si="29"/>
        <v>-6.6681817167503779E-2</v>
      </c>
      <c r="T116" s="9">
        <f t="shared" si="30"/>
        <v>-2682.7677497524455</v>
      </c>
      <c r="U116" s="7">
        <f t="shared" si="31"/>
        <v>31507517.890944384</v>
      </c>
      <c r="W116">
        <f t="shared" si="42"/>
        <v>38880</v>
      </c>
      <c r="X116" s="9">
        <f t="shared" si="24"/>
        <v>-2140.5121648623085</v>
      </c>
      <c r="Y116" s="2">
        <f t="shared" si="25"/>
        <v>48662194.925031573</v>
      </c>
      <c r="Z116" s="2">
        <f t="shared" si="32"/>
        <v>-9.6886301418366627E-2</v>
      </c>
      <c r="AA116" s="2">
        <f t="shared" si="33"/>
        <v>-9.9072312172040849E-2</v>
      </c>
      <c r="AB116" s="2">
        <f t="shared" si="34"/>
        <v>-9.907243710367912E-2</v>
      </c>
      <c r="AC116" s="2">
        <f t="shared" si="35"/>
        <v>-0.10134316224575068</v>
      </c>
      <c r="AD116" s="2">
        <f t="shared" si="36"/>
        <v>-2176.1833025952419</v>
      </c>
      <c r="AE116" s="10">
        <f t="shared" si="37"/>
        <v>47885189.740889214</v>
      </c>
    </row>
    <row r="117" spans="1:31" x14ac:dyDescent="0.25">
      <c r="A117" s="1">
        <f t="shared" si="38"/>
        <v>0.45416666666666666</v>
      </c>
      <c r="B117" s="7">
        <f t="shared" si="39"/>
        <v>31507517.890944384</v>
      </c>
      <c r="C117" s="7">
        <f t="shared" si="40"/>
        <v>47885189.740889214</v>
      </c>
      <c r="D117" s="7"/>
      <c r="E117" s="7"/>
      <c r="F117" s="7"/>
      <c r="G117" s="7"/>
      <c r="H117" s="7"/>
      <c r="I117" s="7"/>
      <c r="J117" s="7"/>
      <c r="K117" s="7"/>
      <c r="L117" s="1">
        <f t="shared" si="43"/>
        <v>0.45416666666666666</v>
      </c>
      <c r="M117">
        <f t="shared" si="41"/>
        <v>39240</v>
      </c>
      <c r="N117" s="9">
        <f t="shared" si="22"/>
        <v>-2682.7677497524455</v>
      </c>
      <c r="O117" s="7">
        <f t="shared" si="23"/>
        <v>31507517.890944384</v>
      </c>
      <c r="P117" s="2">
        <f t="shared" si="26"/>
        <v>-6.6681819763462907E-2</v>
      </c>
      <c r="Q117" s="2">
        <f t="shared" si="27"/>
        <v>-6.7742882187588518E-2</v>
      </c>
      <c r="R117" s="2">
        <f t="shared" si="28"/>
        <v>-6.7742992994587609E-2</v>
      </c>
      <c r="S117" s="2">
        <f t="shared" si="29"/>
        <v>-6.8834442567306336E-2</v>
      </c>
      <c r="T117" s="9">
        <f t="shared" si="30"/>
        <v>-2707.1570305141527</v>
      </c>
      <c r="U117" s="7">
        <f t="shared" si="31"/>
        <v>30537331.430496395</v>
      </c>
      <c r="W117">
        <f t="shared" si="42"/>
        <v>39240</v>
      </c>
      <c r="X117" s="9">
        <f t="shared" si="24"/>
        <v>-2176.1833025952419</v>
      </c>
      <c r="Y117" s="2">
        <f t="shared" si="25"/>
        <v>47885189.740889214</v>
      </c>
      <c r="Z117" s="2">
        <f t="shared" si="32"/>
        <v>-0.10134316523101691</v>
      </c>
      <c r="AA117" s="2">
        <f t="shared" si="33"/>
        <v>-0.10370298938775081</v>
      </c>
      <c r="AB117" s="2">
        <f t="shared" si="34"/>
        <v>-0.10370313299630511</v>
      </c>
      <c r="AC117" s="2">
        <f t="shared" si="35"/>
        <v>-0.10615731305189346</v>
      </c>
      <c r="AD117" s="2">
        <f t="shared" si="36"/>
        <v>-2213.5220659783031</v>
      </c>
      <c r="AE117" s="10">
        <f t="shared" si="37"/>
        <v>47095042.774545975</v>
      </c>
    </row>
    <row r="118" spans="1:31" x14ac:dyDescent="0.25">
      <c r="A118" s="1">
        <f t="shared" si="38"/>
        <v>0.45833333333333331</v>
      </c>
      <c r="B118" s="7">
        <f t="shared" si="39"/>
        <v>30537331.430496395</v>
      </c>
      <c r="C118" s="7">
        <f t="shared" si="40"/>
        <v>47095042.774545975</v>
      </c>
      <c r="D118" s="7"/>
      <c r="E118" s="7"/>
      <c r="F118" s="7"/>
      <c r="G118" s="7"/>
      <c r="H118" s="7"/>
      <c r="I118" s="7"/>
      <c r="J118" s="7"/>
      <c r="K118" s="7"/>
      <c r="L118" s="1">
        <f t="shared" si="43"/>
        <v>0.45833333333333331</v>
      </c>
      <c r="M118">
        <f t="shared" si="41"/>
        <v>39600</v>
      </c>
      <c r="N118" s="9">
        <f t="shared" si="22"/>
        <v>-2707.1570305141527</v>
      </c>
      <c r="O118" s="7">
        <f t="shared" si="23"/>
        <v>30537331.430496395</v>
      </c>
      <c r="P118" s="2">
        <f t="shared" si="26"/>
        <v>-6.8834445616705028E-2</v>
      </c>
      <c r="Q118" s="2">
        <f t="shared" si="27"/>
        <v>-6.9957244062941876E-2</v>
      </c>
      <c r="R118" s="2">
        <f t="shared" si="28"/>
        <v>-6.9957370400504384E-2</v>
      </c>
      <c r="S118" s="2">
        <f t="shared" si="29"/>
        <v>-7.1113008783919934E-2</v>
      </c>
      <c r="T118" s="9">
        <f t="shared" si="30"/>
        <v>-2732.3436315138038</v>
      </c>
      <c r="U118" s="7">
        <f t="shared" si="31"/>
        <v>29558221.311331362</v>
      </c>
      <c r="W118">
        <f t="shared" si="42"/>
        <v>39600</v>
      </c>
      <c r="X118" s="9">
        <f t="shared" si="24"/>
        <v>-2213.5220659783031</v>
      </c>
      <c r="Y118" s="2">
        <f t="shared" si="25"/>
        <v>47095042.774545975</v>
      </c>
      <c r="Z118" s="2">
        <f t="shared" si="32"/>
        <v>-0.10615731659654666</v>
      </c>
      <c r="AA118" s="2">
        <f t="shared" si="33"/>
        <v>-0.108710891281871</v>
      </c>
      <c r="AB118" s="2">
        <f t="shared" si="34"/>
        <v>-0.10871105710176586</v>
      </c>
      <c r="AC118" s="2">
        <f t="shared" si="35"/>
        <v>-0.11137008163602148</v>
      </c>
      <c r="AD118" s="2">
        <f t="shared" si="36"/>
        <v>-2252.6643436782938</v>
      </c>
      <c r="AE118" s="10">
        <f t="shared" si="37"/>
        <v>46291129.220807791</v>
      </c>
    </row>
    <row r="119" spans="1:31" x14ac:dyDescent="0.25">
      <c r="A119" s="1">
        <f t="shared" si="38"/>
        <v>0.46250000000000002</v>
      </c>
      <c r="B119" s="7">
        <f t="shared" si="39"/>
        <v>29558221.311331362</v>
      </c>
      <c r="C119" s="7">
        <f t="shared" si="40"/>
        <v>46291129.220807791</v>
      </c>
      <c r="D119" s="7"/>
      <c r="E119" s="7"/>
      <c r="F119" s="7"/>
      <c r="G119" s="7"/>
      <c r="H119" s="7"/>
      <c r="I119" s="7"/>
      <c r="J119" s="7"/>
      <c r="K119" s="7"/>
      <c r="L119" s="1">
        <f t="shared" si="43"/>
        <v>0.46250000000000002</v>
      </c>
      <c r="M119">
        <f t="shared" si="41"/>
        <v>39960</v>
      </c>
      <c r="N119" s="9">
        <f t="shared" si="22"/>
        <v>-2732.3436315138038</v>
      </c>
      <c r="O119" s="7">
        <f t="shared" si="23"/>
        <v>29558221.311331362</v>
      </c>
      <c r="P119" s="2">
        <f t="shared" si="26"/>
        <v>-7.111301238418212E-2</v>
      </c>
      <c r="Q119" s="2">
        <f t="shared" si="27"/>
        <v>-7.2302533365972921E-2</v>
      </c>
      <c r="R119" s="2">
        <f t="shared" si="28"/>
        <v>-7.2302678014091501E-2</v>
      </c>
      <c r="S119" s="2">
        <f t="shared" si="29"/>
        <v>-7.3527726057434559E-2</v>
      </c>
      <c r="T119" s="9">
        <f t="shared" si="30"/>
        <v>-2758.3747011859086</v>
      </c>
      <c r="U119" s="7">
        <f t="shared" si="31"/>
        <v>28569892.011445414</v>
      </c>
      <c r="W119">
        <f t="shared" si="42"/>
        <v>39960</v>
      </c>
      <c r="X119" s="9">
        <f t="shared" si="24"/>
        <v>-2252.6643436782938</v>
      </c>
      <c r="Y119" s="2">
        <f t="shared" si="25"/>
        <v>46291129.220807791</v>
      </c>
      <c r="Z119" s="2">
        <f t="shared" si="32"/>
        <v>-0.11137008586829626</v>
      </c>
      <c r="AA119" s="2">
        <f t="shared" si="33"/>
        <v>-0.11414037587294518</v>
      </c>
      <c r="AB119" s="2">
        <f t="shared" si="34"/>
        <v>-0.11414056825658153</v>
      </c>
      <c r="AC119" s="2">
        <f t="shared" si="35"/>
        <v>-0.11702913002050049</v>
      </c>
      <c r="AD119" s="2">
        <f t="shared" si="36"/>
        <v>-2293.7620099271649</v>
      </c>
      <c r="AE119" s="10">
        <f t="shared" si="37"/>
        <v>45472772.477158807</v>
      </c>
    </row>
    <row r="120" spans="1:31" x14ac:dyDescent="0.25">
      <c r="A120" s="1">
        <f t="shared" si="38"/>
        <v>0.46666666666666667</v>
      </c>
      <c r="B120" s="7">
        <f t="shared" si="39"/>
        <v>28569892.011445414</v>
      </c>
      <c r="C120" s="7">
        <f t="shared" si="40"/>
        <v>45472772.477158807</v>
      </c>
      <c r="D120" s="7"/>
      <c r="E120" s="7"/>
      <c r="F120" s="7"/>
      <c r="G120" s="7"/>
      <c r="H120" s="7"/>
      <c r="I120" s="7"/>
      <c r="J120" s="7"/>
      <c r="K120" s="7"/>
      <c r="L120" s="1">
        <f t="shared" si="43"/>
        <v>0.46666666666666667</v>
      </c>
      <c r="M120">
        <f t="shared" si="41"/>
        <v>40320</v>
      </c>
      <c r="N120" s="9">
        <f t="shared" ref="N120:N183" si="44">T119</f>
        <v>-2758.3747011859086</v>
      </c>
      <c r="O120" s="7">
        <f t="shared" ref="O120:O183" si="45">U119</f>
        <v>28569892.011445414</v>
      </c>
      <c r="P120" s="2">
        <f t="shared" si="26"/>
        <v>-7.3527730331075361E-2</v>
      </c>
      <c r="Q120" s="2">
        <f t="shared" si="27"/>
        <v>-7.4789432977733009E-2</v>
      </c>
      <c r="R120" s="2">
        <f t="shared" si="28"/>
        <v>-7.478959932823101E-2</v>
      </c>
      <c r="S120" s="2">
        <f t="shared" si="29"/>
        <v>-7.608977058274731E-2</v>
      </c>
      <c r="T120" s="9">
        <f t="shared" si="30"/>
        <v>-2785.3012351174539</v>
      </c>
      <c r="U120" s="7">
        <f t="shared" si="31"/>
        <v>27572030.342910808</v>
      </c>
      <c r="W120">
        <f t="shared" si="42"/>
        <v>40320</v>
      </c>
      <c r="X120" s="9">
        <f t="shared" ref="X120:X183" si="46">AD119</f>
        <v>-2293.7620099271649</v>
      </c>
      <c r="Y120" s="2">
        <f t="shared" ref="Y120:Y183" si="47">AE119</f>
        <v>45472772.477158807</v>
      </c>
      <c r="Z120" s="2">
        <f t="shared" si="32"/>
        <v>-0.117029135103746</v>
      </c>
      <c r="AA120" s="2">
        <f t="shared" si="33"/>
        <v>-0.12004271200129618</v>
      </c>
      <c r="AB120" s="2">
        <f t="shared" si="34"/>
        <v>-0.12004293634514854</v>
      </c>
      <c r="AC120" s="2">
        <f t="shared" si="35"/>
        <v>-0.12318967410059033</v>
      </c>
      <c r="AD120" s="2">
        <f t="shared" si="36"/>
        <v>-2336.9854162809984</v>
      </c>
      <c r="AE120" s="10">
        <f t="shared" si="37"/>
        <v>44639237.94044134</v>
      </c>
    </row>
    <row r="121" spans="1:31" x14ac:dyDescent="0.25">
      <c r="A121" s="1">
        <f t="shared" si="38"/>
        <v>0.47083333333333333</v>
      </c>
      <c r="B121" s="7">
        <f t="shared" si="39"/>
        <v>27572030.342910808</v>
      </c>
      <c r="C121" s="7">
        <f t="shared" si="40"/>
        <v>44639237.94044134</v>
      </c>
      <c r="D121" s="7"/>
      <c r="E121" s="7"/>
      <c r="F121" s="7"/>
      <c r="G121" s="7"/>
      <c r="H121" s="7"/>
      <c r="I121" s="7"/>
      <c r="J121" s="7"/>
      <c r="K121" s="7"/>
      <c r="L121" s="1">
        <f t="shared" si="43"/>
        <v>0.47083333333333333</v>
      </c>
      <c r="M121">
        <f t="shared" si="41"/>
        <v>40680</v>
      </c>
      <c r="N121" s="9">
        <f t="shared" si="44"/>
        <v>-2785.3012351174539</v>
      </c>
      <c r="O121" s="7">
        <f t="shared" si="45"/>
        <v>27572030.342910808</v>
      </c>
      <c r="P121" s="2">
        <f t="shared" si="26"/>
        <v>-7.6089775684976421E-2</v>
      </c>
      <c r="Q121" s="2">
        <f t="shared" si="27"/>
        <v>-7.7429630244923053E-2</v>
      </c>
      <c r="R121" s="2">
        <f t="shared" si="28"/>
        <v>-7.7429822462785458E-2</v>
      </c>
      <c r="S121" s="2">
        <f t="shared" si="29"/>
        <v>-7.8811360737087985E-2</v>
      </c>
      <c r="T121" s="9">
        <f t="shared" si="30"/>
        <v>-2813.1784376277028</v>
      </c>
      <c r="U121" s="7">
        <f t="shared" si="31"/>
        <v>26564304.001816679</v>
      </c>
      <c r="W121">
        <f t="shared" si="42"/>
        <v>40680</v>
      </c>
      <c r="X121" s="9">
        <f t="shared" si="46"/>
        <v>-2336.9854162809984</v>
      </c>
      <c r="Y121" s="2">
        <f t="shared" si="47"/>
        <v>44639237.94044134</v>
      </c>
      <c r="Z121" s="2">
        <f t="shared" si="32"/>
        <v>-0.12318968024455929</v>
      </c>
      <c r="AA121" s="2">
        <f t="shared" si="33"/>
        <v>-0.12647743656814572</v>
      </c>
      <c r="AB121" s="2">
        <f t="shared" si="34"/>
        <v>-0.12647769961223285</v>
      </c>
      <c r="AC121" s="2">
        <f t="shared" si="35"/>
        <v>-0.129915993567773</v>
      </c>
      <c r="AD121" s="2">
        <f t="shared" si="36"/>
        <v>-2382.5263730513839</v>
      </c>
      <c r="AE121" s="10">
        <f t="shared" si="37"/>
        <v>43789725.818361513</v>
      </c>
    </row>
    <row r="122" spans="1:31" x14ac:dyDescent="0.25">
      <c r="A122" s="1">
        <f t="shared" si="38"/>
        <v>0.47499999999999998</v>
      </c>
      <c r="B122" s="7">
        <f t="shared" si="39"/>
        <v>26564304.001816679</v>
      </c>
      <c r="C122" s="7">
        <f t="shared" si="40"/>
        <v>43789725.818361513</v>
      </c>
      <c r="D122" s="7"/>
      <c r="E122" s="7"/>
      <c r="F122" s="7"/>
      <c r="G122" s="7"/>
      <c r="H122" s="7"/>
      <c r="I122" s="7"/>
      <c r="J122" s="7"/>
      <c r="K122" s="7"/>
      <c r="L122" s="1">
        <f t="shared" si="43"/>
        <v>0.47499999999999998</v>
      </c>
      <c r="M122">
        <f t="shared" si="41"/>
        <v>41040</v>
      </c>
      <c r="N122" s="9">
        <f t="shared" si="44"/>
        <v>-2813.1784376277028</v>
      </c>
      <c r="O122" s="7">
        <f t="shared" si="45"/>
        <v>26564304.001816679</v>
      </c>
      <c r="P122" s="2">
        <f t="shared" si="26"/>
        <v>-7.8811366866087237E-2</v>
      </c>
      <c r="Q122" s="2">
        <f t="shared" si="27"/>
        <v>-8.0235890137826477E-2</v>
      </c>
      <c r="R122" s="2">
        <f t="shared" si="28"/>
        <v>-8.0236113372552167E-2</v>
      </c>
      <c r="S122" s="2">
        <f t="shared" si="29"/>
        <v>-8.170582537499943E-2</v>
      </c>
      <c r="T122" s="9">
        <f t="shared" si="30"/>
        <v>-2842.0661095834134</v>
      </c>
      <c r="U122" s="7">
        <f t="shared" si="31"/>
        <v>25546359.983318679</v>
      </c>
      <c r="W122">
        <f t="shared" si="42"/>
        <v>41040</v>
      </c>
      <c r="X122" s="9">
        <f t="shared" si="46"/>
        <v>-2382.5263730513839</v>
      </c>
      <c r="Y122" s="2">
        <f t="shared" si="47"/>
        <v>43789725.818361513</v>
      </c>
      <c r="Z122" s="2">
        <f t="shared" si="32"/>
        <v>-0.12991600104411721</v>
      </c>
      <c r="AA122" s="2">
        <f t="shared" si="33"/>
        <v>-0.13351403706285769</v>
      </c>
      <c r="AB122" s="2">
        <f t="shared" si="34"/>
        <v>-0.13351434729118764</v>
      </c>
      <c r="AC122" s="2">
        <f t="shared" si="35"/>
        <v>-0.13728331035566677</v>
      </c>
      <c r="AD122" s="2">
        <f t="shared" si="36"/>
        <v>-2430.6017378578563</v>
      </c>
      <c r="AE122" s="10">
        <f t="shared" si="37"/>
        <v>42923362.758397847</v>
      </c>
    </row>
    <row r="123" spans="1:31" x14ac:dyDescent="0.25">
      <c r="A123" s="1">
        <f t="shared" si="38"/>
        <v>0.47916666666666669</v>
      </c>
      <c r="B123" s="7">
        <f t="shared" si="39"/>
        <v>25546359.983318679</v>
      </c>
      <c r="C123" s="7">
        <f t="shared" si="40"/>
        <v>42923362.758397847</v>
      </c>
      <c r="D123" s="7"/>
      <c r="E123" s="7"/>
      <c r="F123" s="7"/>
      <c r="G123" s="7"/>
      <c r="H123" s="7"/>
      <c r="I123" s="7"/>
      <c r="J123" s="7"/>
      <c r="K123" s="7"/>
      <c r="L123" s="1">
        <f t="shared" si="43"/>
        <v>0.47916666666666669</v>
      </c>
      <c r="M123">
        <f t="shared" si="41"/>
        <v>41400</v>
      </c>
      <c r="N123" s="9">
        <f t="shared" si="44"/>
        <v>-2842.0661095834134</v>
      </c>
      <c r="O123" s="7">
        <f t="shared" si="45"/>
        <v>25546359.983318679</v>
      </c>
      <c r="P123" s="2">
        <f t="shared" si="26"/>
        <v>-8.1705832785954002E-2</v>
      </c>
      <c r="Q123" s="2">
        <f t="shared" si="27"/>
        <v>-8.3222116176838459E-2</v>
      </c>
      <c r="R123" s="2">
        <f t="shared" si="28"/>
        <v>-8.32223768417963E-2</v>
      </c>
      <c r="S123" s="2">
        <f t="shared" si="29"/>
        <v>-8.4787654479486482E-2</v>
      </c>
      <c r="T123" s="9">
        <f t="shared" si="30"/>
        <v>-2872.029057981576</v>
      </c>
      <c r="U123" s="7">
        <f t="shared" si="31"/>
        <v>24517822.85315698</v>
      </c>
      <c r="W123">
        <f t="shared" si="42"/>
        <v>41400</v>
      </c>
      <c r="X123" s="9">
        <f t="shared" si="46"/>
        <v>-2430.6017378578563</v>
      </c>
      <c r="Y123" s="2">
        <f t="shared" si="47"/>
        <v>42923362.758397847</v>
      </c>
      <c r="Z123" s="2">
        <f t="shared" si="32"/>
        <v>-0.13728331951943715</v>
      </c>
      <c r="AA123" s="2">
        <f t="shared" si="33"/>
        <v>-0.14123405238597783</v>
      </c>
      <c r="AB123" s="2">
        <f t="shared" si="34"/>
        <v>-0.14123442056748117</v>
      </c>
      <c r="AC123" s="2">
        <f t="shared" si="35"/>
        <v>-0.14538014297535715</v>
      </c>
      <c r="AD123" s="2">
        <f t="shared" si="36"/>
        <v>-2481.4577623619589</v>
      </c>
      <c r="AE123" s="10">
        <f t="shared" si="37"/>
        <v>42039192.048358284</v>
      </c>
    </row>
    <row r="124" spans="1:31" x14ac:dyDescent="0.25">
      <c r="A124" s="1">
        <f t="shared" si="38"/>
        <v>0.48333333333333334</v>
      </c>
      <c r="B124" s="7">
        <f t="shared" si="39"/>
        <v>24517822.85315698</v>
      </c>
      <c r="C124" s="7">
        <f t="shared" si="40"/>
        <v>42039192.048358284</v>
      </c>
      <c r="D124" s="7"/>
      <c r="E124" s="7"/>
      <c r="F124" s="7"/>
      <c r="G124" s="7"/>
      <c r="H124" s="7"/>
      <c r="I124" s="7"/>
      <c r="J124" s="7"/>
      <c r="K124" s="7"/>
      <c r="L124" s="1">
        <f t="shared" si="43"/>
        <v>0.48333333333333334</v>
      </c>
      <c r="M124">
        <f t="shared" si="41"/>
        <v>41760</v>
      </c>
      <c r="N124" s="9">
        <f t="shared" si="44"/>
        <v>-2872.029057981576</v>
      </c>
      <c r="O124" s="7">
        <f t="shared" si="45"/>
        <v>24517822.85315698</v>
      </c>
      <c r="P124" s="2">
        <f t="shared" si="26"/>
        <v>-8.4787663503944871E-2</v>
      </c>
      <c r="Q124" s="2">
        <f t="shared" si="27"/>
        <v>-8.64033868310113E-2</v>
      </c>
      <c r="R124" s="2">
        <f t="shared" si="28"/>
        <v>-8.6403692976191562E-2</v>
      </c>
      <c r="S124" s="2">
        <f t="shared" si="29"/>
        <v>-8.8072516657037678E-2</v>
      </c>
      <c r="T124" s="9">
        <f t="shared" si="30"/>
        <v>-2903.1375183680993</v>
      </c>
      <c r="U124" s="7">
        <f t="shared" si="31"/>
        <v>23478292.869414039</v>
      </c>
      <c r="W124">
        <f t="shared" si="42"/>
        <v>41760</v>
      </c>
      <c r="X124" s="9">
        <f t="shared" si="46"/>
        <v>-2481.4577623619589</v>
      </c>
      <c r="Y124" s="2">
        <f t="shared" si="47"/>
        <v>42039192.048358284</v>
      </c>
      <c r="Z124" s="2">
        <f t="shared" si="32"/>
        <v>-0.14538015429518267</v>
      </c>
      <c r="AA124" s="2">
        <f t="shared" si="33"/>
        <v>-0.14973371617853148</v>
      </c>
      <c r="AB124" s="2">
        <f t="shared" si="34"/>
        <v>-0.14973415610577251</v>
      </c>
      <c r="AC124" s="2">
        <f t="shared" si="35"/>
        <v>-0.15431128083332554</v>
      </c>
      <c r="AD124" s="2">
        <f t="shared" si="36"/>
        <v>-2535.3753931437859</v>
      </c>
      <c r="AE124" s="10">
        <f t="shared" si="37"/>
        <v>41136162.080367252</v>
      </c>
    </row>
    <row r="125" spans="1:31" x14ac:dyDescent="0.25">
      <c r="A125" s="1">
        <f t="shared" si="38"/>
        <v>0.48749999999999999</v>
      </c>
      <c r="B125" s="7">
        <f t="shared" si="39"/>
        <v>23478292.869414039</v>
      </c>
      <c r="C125" s="7">
        <f t="shared" si="40"/>
        <v>41136162.080367252</v>
      </c>
      <c r="D125" s="7"/>
      <c r="E125" s="7"/>
      <c r="F125" s="7"/>
      <c r="G125" s="7"/>
      <c r="H125" s="7"/>
      <c r="I125" s="7"/>
      <c r="J125" s="7"/>
      <c r="K125" s="7"/>
      <c r="L125" s="1">
        <f t="shared" si="43"/>
        <v>0.48749999999999999</v>
      </c>
      <c r="M125">
        <f t="shared" si="41"/>
        <v>42120</v>
      </c>
      <c r="N125" s="9">
        <f t="shared" si="44"/>
        <v>-2903.1375183680993</v>
      </c>
      <c r="O125" s="7">
        <f t="shared" si="45"/>
        <v>23478292.869414039</v>
      </c>
      <c r="P125" s="2">
        <f t="shared" si="26"/>
        <v>-8.807252772993153E-2</v>
      </c>
      <c r="Q125" s="2">
        <f t="shared" si="27"/>
        <v>-8.9795947834633627E-2</v>
      </c>
      <c r="R125" s="2">
        <f t="shared" si="28"/>
        <v>-8.9796309649068054E-2</v>
      </c>
      <c r="S125" s="2">
        <f t="shared" si="29"/>
        <v>-9.1577218880274466E-2</v>
      </c>
      <c r="T125" s="9">
        <f t="shared" si="30"/>
        <v>-2935.4675740627558</v>
      </c>
      <c r="U125" s="7">
        <f t="shared" si="31"/>
        <v>22427343.952776484</v>
      </c>
      <c r="W125">
        <f t="shared" si="42"/>
        <v>42120</v>
      </c>
      <c r="X125" s="9">
        <f t="shared" si="46"/>
        <v>-2535.3753931437859</v>
      </c>
      <c r="Y125" s="2">
        <f t="shared" si="47"/>
        <v>41136162.080367252</v>
      </c>
      <c r="Z125" s="2">
        <f t="shared" si="32"/>
        <v>-0.15431129493430346</v>
      </c>
      <c r="AA125" s="2">
        <f t="shared" si="33"/>
        <v>-0.15912731019997062</v>
      </c>
      <c r="AB125" s="2">
        <f t="shared" si="34"/>
        <v>-0.15912783970981931</v>
      </c>
      <c r="AC125" s="2">
        <f t="shared" si="35"/>
        <v>-0.16420157391767795</v>
      </c>
      <c r="AD125" s="2">
        <f t="shared" si="36"/>
        <v>-2592.6767832640794</v>
      </c>
      <c r="AE125" s="10">
        <f t="shared" si="37"/>
        <v>40213112.688613839</v>
      </c>
    </row>
    <row r="126" spans="1:31" x14ac:dyDescent="0.25">
      <c r="A126" s="1">
        <f t="shared" si="38"/>
        <v>0.49166666666666664</v>
      </c>
      <c r="B126" s="7">
        <f t="shared" si="39"/>
        <v>22427343.952776484</v>
      </c>
      <c r="C126" s="7">
        <f t="shared" si="40"/>
        <v>40213112.688613839</v>
      </c>
      <c r="D126" s="7"/>
      <c r="E126" s="7"/>
      <c r="F126" s="7"/>
      <c r="G126" s="7"/>
      <c r="H126" s="7"/>
      <c r="I126" s="7"/>
      <c r="J126" s="7"/>
      <c r="K126" s="7"/>
      <c r="L126" s="1">
        <f t="shared" si="43"/>
        <v>0.49166666666666664</v>
      </c>
      <c r="M126">
        <f t="shared" si="41"/>
        <v>42480</v>
      </c>
      <c r="N126" s="9">
        <f t="shared" si="44"/>
        <v>-2935.4675740627558</v>
      </c>
      <c r="O126" s="7">
        <f t="shared" si="45"/>
        <v>22427343.952776484</v>
      </c>
      <c r="P126" s="2">
        <f t="shared" si="26"/>
        <v>-9.1577232578091486E-2</v>
      </c>
      <c r="Q126" s="2">
        <f t="shared" si="27"/>
        <v>-9.3417129469685417E-2</v>
      </c>
      <c r="R126" s="2">
        <f t="shared" si="28"/>
        <v>-9.3417559965995253E-2</v>
      </c>
      <c r="S126" s="2">
        <f t="shared" si="29"/>
        <v>-9.5319569565084153E-2</v>
      </c>
      <c r="T126" s="9">
        <f t="shared" si="30"/>
        <v>-2969.1015449236279</v>
      </c>
      <c r="U126" s="7">
        <f t="shared" si="31"/>
        <v>21364521.511358935</v>
      </c>
      <c r="W126">
        <f t="shared" si="42"/>
        <v>42480</v>
      </c>
      <c r="X126" s="9">
        <f t="shared" si="46"/>
        <v>-2592.6767832640794</v>
      </c>
      <c r="Y126" s="2">
        <f t="shared" si="47"/>
        <v>40213112.688613839</v>
      </c>
      <c r="Z126" s="2">
        <f t="shared" si="32"/>
        <v>-0.16420159164314629</v>
      </c>
      <c r="AA126" s="2">
        <f t="shared" si="33"/>
        <v>-0.16955145616822978</v>
      </c>
      <c r="AB126" s="2">
        <f t="shared" si="34"/>
        <v>-0.16955209857000059</v>
      </c>
      <c r="AC126" s="2">
        <f t="shared" si="35"/>
        <v>-0.17520080573085145</v>
      </c>
      <c r="AD126" s="2">
        <f t="shared" si="36"/>
        <v>-2653.7333536751071</v>
      </c>
      <c r="AE126" s="10">
        <f t="shared" si="37"/>
        <v>39268758.863964789</v>
      </c>
    </row>
    <row r="127" spans="1:31" x14ac:dyDescent="0.25">
      <c r="A127" s="1">
        <f t="shared" si="38"/>
        <v>0.49583333333333335</v>
      </c>
      <c r="B127" s="7">
        <f t="shared" si="39"/>
        <v>21364521.511358935</v>
      </c>
      <c r="C127" s="7">
        <f t="shared" si="40"/>
        <v>39268758.863964789</v>
      </c>
      <c r="D127" s="7"/>
      <c r="E127" s="7"/>
      <c r="F127" s="7"/>
      <c r="G127" s="7"/>
      <c r="H127" s="7"/>
      <c r="I127" s="7"/>
      <c r="J127" s="7"/>
      <c r="K127" s="7"/>
      <c r="L127" s="1">
        <f t="shared" si="43"/>
        <v>0.49583333333333335</v>
      </c>
      <c r="M127">
        <f t="shared" si="41"/>
        <v>42840</v>
      </c>
      <c r="N127" s="9">
        <f t="shared" si="44"/>
        <v>-2969.1015449236279</v>
      </c>
      <c r="O127" s="7">
        <f t="shared" si="45"/>
        <v>21364521.511358935</v>
      </c>
      <c r="P127" s="2">
        <f t="shared" si="26"/>
        <v>-9.5319586660508562E-2</v>
      </c>
      <c r="Q127" s="2">
        <f t="shared" si="27"/>
        <v>-9.7285139826189873E-2</v>
      </c>
      <c r="R127" s="2">
        <f t="shared" si="28"/>
        <v>-9.7285655784128941E-2</v>
      </c>
      <c r="S127" s="2">
        <f t="shared" si="29"/>
        <v>-9.9318083313041983E-2</v>
      </c>
      <c r="T127" s="9">
        <f t="shared" si="30"/>
        <v>-3004.1283005952791</v>
      </c>
      <c r="U127" s="7">
        <f t="shared" si="31"/>
        <v>20289340.139165532</v>
      </c>
      <c r="W127">
        <f t="shared" si="42"/>
        <v>42840</v>
      </c>
      <c r="X127" s="9">
        <f t="shared" si="46"/>
        <v>-2653.7333536751071</v>
      </c>
      <c r="Y127" s="2">
        <f t="shared" si="47"/>
        <v>39268758.863964789</v>
      </c>
      <c r="Z127" s="2">
        <f t="shared" si="32"/>
        <v>-0.17520082823264788</v>
      </c>
      <c r="AA127" s="2">
        <f t="shared" si="33"/>
        <v>-0.18117066104319698</v>
      </c>
      <c r="AB127" s="2">
        <f t="shared" si="34"/>
        <v>-0.18117144714430336</v>
      </c>
      <c r="AC127" s="2">
        <f t="shared" si="35"/>
        <v>-0.18749002111605015</v>
      </c>
      <c r="AD127" s="2">
        <f t="shared" si="36"/>
        <v>-2718.9758576185291</v>
      </c>
      <c r="AE127" s="10">
        <f t="shared" si="37"/>
        <v>38301671.205931932</v>
      </c>
    </row>
    <row r="128" spans="1:31" x14ac:dyDescent="0.25">
      <c r="A128" s="1">
        <f t="shared" si="38"/>
        <v>0.5</v>
      </c>
      <c r="B128" s="7">
        <f t="shared" si="39"/>
        <v>20289340.139165532</v>
      </c>
      <c r="C128" s="7">
        <f t="shared" si="40"/>
        <v>38301671.205931932</v>
      </c>
      <c r="D128" s="7"/>
      <c r="E128" s="7"/>
      <c r="F128" s="7"/>
      <c r="G128" s="7"/>
      <c r="H128" s="7"/>
      <c r="I128" s="7"/>
      <c r="J128" s="7"/>
      <c r="K128" s="7"/>
      <c r="L128" s="1">
        <f t="shared" si="43"/>
        <v>0.5</v>
      </c>
      <c r="M128">
        <f t="shared" si="41"/>
        <v>43200</v>
      </c>
      <c r="N128" s="9">
        <f t="shared" si="44"/>
        <v>-3004.1283005952791</v>
      </c>
      <c r="O128" s="7">
        <f t="shared" si="45"/>
        <v>20289340.139165532</v>
      </c>
      <c r="P128" s="2">
        <f t="shared" si="26"/>
        <v>-9.9318104854281289E-2</v>
      </c>
      <c r="Q128" s="2">
        <f t="shared" si="27"/>
        <v>-0.10141865624333678</v>
      </c>
      <c r="R128" s="2">
        <f t="shared" si="28"/>
        <v>-0.10141927952654652</v>
      </c>
      <c r="S128" s="2">
        <f t="shared" si="29"/>
        <v>-0.10359142910295235</v>
      </c>
      <c r="T128" s="9">
        <f t="shared" si="30"/>
        <v>-3040.6434249250992</v>
      </c>
      <c r="U128" s="7">
        <f t="shared" si="31"/>
        <v>19201281.228571862</v>
      </c>
      <c r="W128">
        <f t="shared" si="42"/>
        <v>43200</v>
      </c>
      <c r="X128" s="9">
        <f t="shared" si="46"/>
        <v>-2718.9758576185291</v>
      </c>
      <c r="Y128" s="2">
        <f t="shared" si="47"/>
        <v>38301671.205931932</v>
      </c>
      <c r="Z128" s="2">
        <f t="shared" si="32"/>
        <v>-0.18749004998845714</v>
      </c>
      <c r="AA128" s="2">
        <f t="shared" si="33"/>
        <v>-0.19418455548410496</v>
      </c>
      <c r="AB128" s="2">
        <f t="shared" si="34"/>
        <v>-0.19418552650590334</v>
      </c>
      <c r="AC128" s="2">
        <f t="shared" si="35"/>
        <v>-0.20128983121360047</v>
      </c>
      <c r="AD128" s="2">
        <f t="shared" si="36"/>
        <v>-2788.9070603294535</v>
      </c>
      <c r="AE128" s="10">
        <f t="shared" si="37"/>
        <v>37310252.280701295</v>
      </c>
    </row>
    <row r="129" spans="1:31" x14ac:dyDescent="0.25">
      <c r="A129" s="1">
        <f t="shared" si="38"/>
        <v>0.50416666666666665</v>
      </c>
      <c r="B129" s="7">
        <f t="shared" si="39"/>
        <v>19201281.228571862</v>
      </c>
      <c r="C129" s="7">
        <f t="shared" si="40"/>
        <v>37310252.280701295</v>
      </c>
      <c r="D129" s="7"/>
      <c r="E129" s="7"/>
      <c r="F129" s="7"/>
      <c r="G129" s="7"/>
      <c r="H129" s="7"/>
      <c r="I129" s="7"/>
      <c r="J129" s="7"/>
      <c r="K129" s="7"/>
      <c r="L129" s="1">
        <f t="shared" si="43"/>
        <v>0.50416666666666665</v>
      </c>
      <c r="M129">
        <f t="shared" si="41"/>
        <v>43560</v>
      </c>
      <c r="N129" s="9">
        <f t="shared" si="44"/>
        <v>-3040.6434249250992</v>
      </c>
      <c r="O129" s="7">
        <f t="shared" si="45"/>
        <v>19201281.228571862</v>
      </c>
      <c r="P129" s="2">
        <f t="shared" si="26"/>
        <v>-0.10359145653067181</v>
      </c>
      <c r="Q129" s="2">
        <f t="shared" si="27"/>
        <v>-0.10583609059228583</v>
      </c>
      <c r="R129" s="2">
        <f t="shared" si="28"/>
        <v>-0.10583685001053156</v>
      </c>
      <c r="S129" s="2">
        <f t="shared" si="29"/>
        <v>-0.10815746429438718</v>
      </c>
      <c r="T129" s="9">
        <f t="shared" si="30"/>
        <v>-3078.7491130469407</v>
      </c>
      <c r="U129" s="7">
        <f t="shared" si="31"/>
        <v>18099790.571736895</v>
      </c>
      <c r="W129">
        <f t="shared" si="42"/>
        <v>43560</v>
      </c>
      <c r="X129" s="9">
        <f t="shared" si="46"/>
        <v>-2788.9070603294535</v>
      </c>
      <c r="Y129" s="2">
        <f t="shared" si="47"/>
        <v>37310252.280701295</v>
      </c>
      <c r="Z129" s="2">
        <f t="shared" si="32"/>
        <v>-0.20128986869550355</v>
      </c>
      <c r="AA129" s="2">
        <f t="shared" si="33"/>
        <v>-0.2088374475549937</v>
      </c>
      <c r="AB129" s="2">
        <f t="shared" si="34"/>
        <v>-0.208838659397834</v>
      </c>
      <c r="AC129" s="2">
        <f t="shared" si="35"/>
        <v>-0.21687143956698784</v>
      </c>
      <c r="AD129" s="2">
        <f t="shared" si="36"/>
        <v>-2864.1178716595423</v>
      </c>
      <c r="AE129" s="10">
        <f t="shared" si="37"/>
        <v>36292707.792943276</v>
      </c>
    </row>
    <row r="130" spans="1:31" x14ac:dyDescent="0.25">
      <c r="A130" s="1">
        <f t="shared" si="38"/>
        <v>0.5083333333333333</v>
      </c>
      <c r="B130" s="7">
        <f t="shared" si="39"/>
        <v>18099790.571736895</v>
      </c>
      <c r="C130" s="7">
        <f t="shared" si="40"/>
        <v>36292707.792943276</v>
      </c>
      <c r="D130" s="7"/>
      <c r="E130" s="7"/>
      <c r="F130" s="7"/>
      <c r="G130" s="7"/>
      <c r="H130" s="7"/>
      <c r="I130" s="7"/>
      <c r="J130" s="7"/>
      <c r="K130" s="7"/>
      <c r="L130" s="1">
        <f t="shared" si="43"/>
        <v>0.5083333333333333</v>
      </c>
      <c r="M130">
        <f t="shared" si="41"/>
        <v>43920</v>
      </c>
      <c r="N130" s="9">
        <f t="shared" si="44"/>
        <v>-3078.7491130469407</v>
      </c>
      <c r="O130" s="7">
        <f t="shared" si="45"/>
        <v>18099790.571736895</v>
      </c>
      <c r="P130" s="2">
        <f t="shared" si="26"/>
        <v>-0.10815749961695334</v>
      </c>
      <c r="Q130" s="2">
        <f t="shared" si="27"/>
        <v>-0.11055432786903072</v>
      </c>
      <c r="R130" s="2">
        <f t="shared" si="28"/>
        <v>-0.11055526184991507</v>
      </c>
      <c r="S130" s="2">
        <f t="shared" si="29"/>
        <v>-0.11303159881017229</v>
      </c>
      <c r="T130" s="9">
        <f t="shared" si="30"/>
        <v>-3118.5536097188419</v>
      </c>
      <c r="U130" s="7">
        <f t="shared" si="31"/>
        <v>16984276.081639055</v>
      </c>
      <c r="W130">
        <f t="shared" si="42"/>
        <v>43920</v>
      </c>
      <c r="X130" s="9">
        <f t="shared" si="46"/>
        <v>-2864.1178716595423</v>
      </c>
      <c r="Y130" s="2">
        <f t="shared" si="47"/>
        <v>36292707.792943276</v>
      </c>
      <c r="Z130" s="2">
        <f t="shared" si="32"/>
        <v>-0.21687148885263485</v>
      </c>
      <c r="AA130" s="2">
        <f t="shared" si="33"/>
        <v>-0.22543108439819631</v>
      </c>
      <c r="AB130" s="2">
        <f t="shared" si="34"/>
        <v>-0.22543261399001471</v>
      </c>
      <c r="AC130" s="2">
        <f t="shared" si="35"/>
        <v>-0.23457146528609554</v>
      </c>
      <c r="AD130" s="2">
        <f t="shared" si="36"/>
        <v>-2945.3080927144515</v>
      </c>
      <c r="AE130" s="10">
        <f t="shared" si="37"/>
        <v>35247011.119355954</v>
      </c>
    </row>
    <row r="131" spans="1:31" x14ac:dyDescent="0.25">
      <c r="A131" s="1">
        <f t="shared" si="38"/>
        <v>0.51249999999999996</v>
      </c>
      <c r="B131" s="7">
        <f t="shared" si="39"/>
        <v>16984276.081639055</v>
      </c>
      <c r="C131" s="7">
        <f t="shared" si="40"/>
        <v>35247011.119355954</v>
      </c>
      <c r="D131" s="7"/>
      <c r="E131" s="7"/>
      <c r="F131" s="7"/>
      <c r="G131" s="7"/>
      <c r="H131" s="7"/>
      <c r="I131" s="7"/>
      <c r="J131" s="7"/>
      <c r="K131" s="7"/>
      <c r="L131" s="1">
        <f t="shared" si="43"/>
        <v>0.51249999999999996</v>
      </c>
      <c r="M131">
        <f t="shared" si="41"/>
        <v>44280</v>
      </c>
      <c r="N131" s="9">
        <f t="shared" si="44"/>
        <v>-3118.5536097188419</v>
      </c>
      <c r="O131" s="7">
        <f t="shared" si="45"/>
        <v>16984276.081639055</v>
      </c>
      <c r="P131" s="2">
        <f t="shared" si="26"/>
        <v>-0.11303164487103731</v>
      </c>
      <c r="Q131" s="2">
        <f t="shared" si="27"/>
        <v>-0.11558661091749806</v>
      </c>
      <c r="R131" s="2">
        <f t="shared" si="28"/>
        <v>-0.11558777139916698</v>
      </c>
      <c r="S131" s="2">
        <f t="shared" si="29"/>
        <v>-0.11822406959887778</v>
      </c>
      <c r="T131" s="9">
        <f t="shared" si="30"/>
        <v>-3160.1698784650366</v>
      </c>
      <c r="U131" s="7">
        <f t="shared" si="31"/>
        <v>15854105.853765957</v>
      </c>
      <c r="W131">
        <f t="shared" si="42"/>
        <v>44280</v>
      </c>
      <c r="X131" s="9">
        <f t="shared" si="46"/>
        <v>-2945.3080927144515</v>
      </c>
      <c r="Y131" s="2">
        <f t="shared" si="47"/>
        <v>35247011.119355954</v>
      </c>
      <c r="Z131" s="2">
        <f t="shared" si="32"/>
        <v>-0.23457153101247005</v>
      </c>
      <c r="AA131" s="2">
        <f t="shared" si="33"/>
        <v>-0.24434192302144245</v>
      </c>
      <c r="AB131" s="2">
        <f t="shared" si="34"/>
        <v>-0.24434387795042903</v>
      </c>
      <c r="AC131" s="2">
        <f t="shared" si="35"/>
        <v>-0.25481214448145489</v>
      </c>
      <c r="AD131" s="2">
        <f t="shared" si="36"/>
        <v>-3033.3134093607114</v>
      </c>
      <c r="AE131" s="10">
        <f t="shared" si="37"/>
        <v>34170859.248982422</v>
      </c>
    </row>
    <row r="132" spans="1:31" x14ac:dyDescent="0.25">
      <c r="A132" s="1">
        <f t="shared" si="38"/>
        <v>0.51666666666666672</v>
      </c>
      <c r="B132" s="7">
        <f t="shared" si="39"/>
        <v>15854105.853765957</v>
      </c>
      <c r="C132" s="7">
        <f t="shared" si="40"/>
        <v>34170859.248982422</v>
      </c>
      <c r="D132" s="7"/>
      <c r="E132" s="7"/>
      <c r="F132" s="7"/>
      <c r="G132" s="7"/>
      <c r="H132" s="7"/>
      <c r="I132" s="7"/>
      <c r="J132" s="7"/>
      <c r="K132" s="7"/>
      <c r="L132" s="1">
        <f t="shared" si="43"/>
        <v>0.51666666666666672</v>
      </c>
      <c r="M132">
        <f t="shared" si="41"/>
        <v>44640</v>
      </c>
      <c r="N132" s="9">
        <f t="shared" si="44"/>
        <v>-3160.1698784650366</v>
      </c>
      <c r="O132" s="7">
        <f t="shared" si="45"/>
        <v>15854105.853765957</v>
      </c>
      <c r="P132" s="2">
        <f t="shared" si="26"/>
        <v>-0.11822413049260512</v>
      </c>
      <c r="Q132" s="2">
        <f t="shared" si="27"/>
        <v>-0.12093902989994808</v>
      </c>
      <c r="R132" s="2">
        <f t="shared" si="28"/>
        <v>-0.12094048809799207</v>
      </c>
      <c r="S132" s="2">
        <f t="shared" si="29"/>
        <v>-0.12373542498919329</v>
      </c>
      <c r="T132" s="9">
        <f t="shared" si="30"/>
        <v>-3203.7129939536972</v>
      </c>
      <c r="U132" s="7">
        <f t="shared" si="31"/>
        <v>14708606.936730586</v>
      </c>
      <c r="W132">
        <f t="shared" si="42"/>
        <v>44640</v>
      </c>
      <c r="X132" s="9">
        <f t="shared" si="46"/>
        <v>-3033.3134093607114</v>
      </c>
      <c r="Y132" s="2">
        <f t="shared" si="47"/>
        <v>34170859.248982422</v>
      </c>
      <c r="Z132" s="2">
        <f t="shared" si="32"/>
        <v>-0.25481223350962601</v>
      </c>
      <c r="AA132" s="2">
        <f t="shared" si="33"/>
        <v>-0.26604483887455832</v>
      </c>
      <c r="AB132" s="2">
        <f t="shared" si="34"/>
        <v>-0.26604737231576397</v>
      </c>
      <c r="AC132" s="2">
        <f t="shared" si="35"/>
        <v>-0.27812927509402163</v>
      </c>
      <c r="AD132" s="2">
        <f t="shared" si="36"/>
        <v>-3129.140965219769</v>
      </c>
      <c r="AE132" s="10">
        <f t="shared" si="37"/>
        <v>33061617.461557936</v>
      </c>
    </row>
    <row r="133" spans="1:31" x14ac:dyDescent="0.25">
      <c r="A133" s="1">
        <f t="shared" si="38"/>
        <v>0.52083333333333337</v>
      </c>
      <c r="B133" s="7">
        <f t="shared" si="39"/>
        <v>14708606.936730586</v>
      </c>
      <c r="C133" s="7">
        <f t="shared" si="40"/>
        <v>33061617.461557936</v>
      </c>
      <c r="D133" s="7"/>
      <c r="E133" s="7"/>
      <c r="F133" s="7"/>
      <c r="G133" s="7"/>
      <c r="H133" s="7"/>
      <c r="I133" s="7"/>
      <c r="J133" s="7"/>
      <c r="K133" s="7"/>
      <c r="L133" s="1">
        <f t="shared" si="43"/>
        <v>0.52083333333333337</v>
      </c>
      <c r="M133">
        <f t="shared" si="41"/>
        <v>45000</v>
      </c>
      <c r="N133" s="9">
        <f t="shared" si="44"/>
        <v>-3203.7129939536972</v>
      </c>
      <c r="O133" s="7">
        <f t="shared" si="45"/>
        <v>14708606.936730586</v>
      </c>
      <c r="P133" s="2">
        <f t="shared" si="26"/>
        <v>-0.12373550672274404</v>
      </c>
      <c r="Q133" s="2">
        <f t="shared" si="27"/>
        <v>-0.12660470564929363</v>
      </c>
      <c r="R133" s="2">
        <f t="shared" si="28"/>
        <v>-0.12660656075484775</v>
      </c>
      <c r="S133" s="2">
        <f t="shared" si="29"/>
        <v>-0.12954902948434038</v>
      </c>
      <c r="T133" s="9">
        <f t="shared" si="30"/>
        <v>-3249.295418094619</v>
      </c>
      <c r="U133" s="7">
        <f t="shared" si="31"/>
        <v>13547065.42256189</v>
      </c>
      <c r="W133">
        <f t="shared" si="42"/>
        <v>45000</v>
      </c>
      <c r="X133" s="9">
        <f t="shared" si="46"/>
        <v>-3129.140965219769</v>
      </c>
      <c r="Y133" s="2">
        <f t="shared" si="47"/>
        <v>33061617.461557936</v>
      </c>
      <c r="Z133" s="2">
        <f t="shared" si="32"/>
        <v>-0.27812939779249518</v>
      </c>
      <c r="AA133" s="2">
        <f t="shared" si="33"/>
        <v>-0.29114618411247567</v>
      </c>
      <c r="AB133" s="2">
        <f t="shared" si="34"/>
        <v>-0.2911495185023048</v>
      </c>
      <c r="AC133" s="2">
        <f t="shared" si="35"/>
        <v>-0.30521151148316428</v>
      </c>
      <c r="AD133" s="2">
        <f t="shared" si="36"/>
        <v>-3234.0169040900823</v>
      </c>
      <c r="AE133" s="10">
        <f t="shared" si="37"/>
        <v>31916249.045082163</v>
      </c>
    </row>
    <row r="134" spans="1:31" x14ac:dyDescent="0.25">
      <c r="A134" s="1">
        <f t="shared" si="38"/>
        <v>0.52500000000000002</v>
      </c>
      <c r="B134" s="7">
        <f t="shared" si="39"/>
        <v>13547065.42256189</v>
      </c>
      <c r="C134" s="7">
        <f t="shared" si="40"/>
        <v>31916249.045082163</v>
      </c>
      <c r="D134" s="7"/>
      <c r="E134" s="7"/>
      <c r="F134" s="7"/>
      <c r="G134" s="7"/>
      <c r="H134" s="7"/>
      <c r="I134" s="7"/>
      <c r="J134" s="7"/>
      <c r="K134" s="7"/>
      <c r="L134" s="1">
        <f t="shared" si="43"/>
        <v>0.52500000000000002</v>
      </c>
      <c r="M134">
        <f t="shared" si="41"/>
        <v>45360</v>
      </c>
      <c r="N134" s="9">
        <f t="shared" si="44"/>
        <v>-3249.295418094619</v>
      </c>
      <c r="O134" s="7">
        <f t="shared" si="45"/>
        <v>13547065.42256189</v>
      </c>
      <c r="P134" s="2">
        <f t="shared" si="26"/>
        <v>-0.12954914105315465</v>
      </c>
      <c r="Q134" s="2">
        <f t="shared" si="27"/>
        <v>-0.13255410439297127</v>
      </c>
      <c r="R134" s="2">
        <f t="shared" si="28"/>
        <v>-0.13255649694755886</v>
      </c>
      <c r="S134" s="2">
        <f t="shared" si="29"/>
        <v>-0.13561852643539779</v>
      </c>
      <c r="T134" s="9">
        <f t="shared" si="30"/>
        <v>-3297.018750304796</v>
      </c>
      <c r="U134" s="7">
        <f t="shared" si="31"/>
        <v>12368728.872249994</v>
      </c>
      <c r="W134">
        <f t="shared" si="42"/>
        <v>45360</v>
      </c>
      <c r="X134" s="9">
        <f t="shared" si="46"/>
        <v>-3234.0169040900823</v>
      </c>
      <c r="Y134" s="2">
        <f t="shared" si="47"/>
        <v>31916249.045082163</v>
      </c>
      <c r="Z134" s="2">
        <f t="shared" si="32"/>
        <v>-0.30521168389301556</v>
      </c>
      <c r="AA134" s="2">
        <f t="shared" si="33"/>
        <v>-0.32043068118067713</v>
      </c>
      <c r="AB134" s="2">
        <f t="shared" si="34"/>
        <v>-0.32043514674900558</v>
      </c>
      <c r="AC134" s="2">
        <f t="shared" si="35"/>
        <v>-0.33695662488408368</v>
      </c>
      <c r="AD134" s="2">
        <f t="shared" si="36"/>
        <v>-3349.45090196827</v>
      </c>
      <c r="AE134" s="10">
        <f t="shared" si="37"/>
        <v>30731224.839991659</v>
      </c>
    </row>
    <row r="135" spans="1:31" x14ac:dyDescent="0.25">
      <c r="A135" s="1">
        <f t="shared" si="38"/>
        <v>0.52916666666666667</v>
      </c>
      <c r="B135" s="7">
        <f t="shared" si="39"/>
        <v>12368728.872249994</v>
      </c>
      <c r="C135" s="7">
        <f t="shared" si="40"/>
        <v>30731224.839991659</v>
      </c>
      <c r="D135" s="7"/>
      <c r="E135" s="7"/>
      <c r="F135" s="7"/>
      <c r="G135" s="7"/>
      <c r="H135" s="7"/>
      <c r="I135" s="7"/>
      <c r="J135" s="7"/>
      <c r="K135" s="7"/>
      <c r="L135" s="1">
        <f t="shared" si="43"/>
        <v>0.52916666666666667</v>
      </c>
      <c r="M135">
        <f t="shared" si="41"/>
        <v>45720</v>
      </c>
      <c r="N135" s="9">
        <f t="shared" si="44"/>
        <v>-3297.018750304796</v>
      </c>
      <c r="O135" s="7">
        <f t="shared" si="45"/>
        <v>12368728.872249994</v>
      </c>
      <c r="P135" s="2">
        <f t="shared" si="26"/>
        <v>-0.13561868162025192</v>
      </c>
      <c r="Q135" s="2">
        <f t="shared" si="27"/>
        <v>-0.1387187428552874</v>
      </c>
      <c r="R135" s="2">
        <f t="shared" si="28"/>
        <v>-0.13872187574664585</v>
      </c>
      <c r="S135" s="2">
        <f t="shared" si="29"/>
        <v>-0.14184659516837864</v>
      </c>
      <c r="T135" s="9">
        <f t="shared" si="30"/>
        <v>-3346.9595411443456</v>
      </c>
      <c r="U135" s="7">
        <f t="shared" si="31"/>
        <v>11172812.77978915</v>
      </c>
      <c r="W135">
        <f t="shared" si="42"/>
        <v>45720</v>
      </c>
      <c r="X135" s="9">
        <f t="shared" si="46"/>
        <v>-3349.45090196827</v>
      </c>
      <c r="Y135" s="2">
        <f t="shared" si="47"/>
        <v>30731224.839991659</v>
      </c>
      <c r="Z135" s="2">
        <f t="shared" si="32"/>
        <v>-0.33695687248232625</v>
      </c>
      <c r="AA135" s="2">
        <f t="shared" si="33"/>
        <v>-0.354929215755796</v>
      </c>
      <c r="AB135" s="2">
        <f t="shared" si="34"/>
        <v>-0.35493531507654602</v>
      </c>
      <c r="AC135" s="2">
        <f t="shared" si="35"/>
        <v>-0.37455368052258031</v>
      </c>
      <c r="AD135" s="2">
        <f t="shared" si="36"/>
        <v>-3477.3252788484456</v>
      </c>
      <c r="AE135" s="10">
        <f t="shared" si="37"/>
        <v>29502405.127444651</v>
      </c>
    </row>
    <row r="136" spans="1:31" x14ac:dyDescent="0.25">
      <c r="A136" s="1">
        <f t="shared" si="38"/>
        <v>0.53333333333333333</v>
      </c>
      <c r="B136" s="7">
        <f t="shared" si="39"/>
        <v>11172812.77978915</v>
      </c>
      <c r="C136" s="7">
        <f t="shared" si="40"/>
        <v>29502405.127444651</v>
      </c>
      <c r="D136" s="7"/>
      <c r="E136" s="7"/>
      <c r="F136" s="7"/>
      <c r="G136" s="7"/>
      <c r="H136" s="7"/>
      <c r="I136" s="7"/>
      <c r="J136" s="7"/>
      <c r="K136" s="7"/>
      <c r="L136" s="1">
        <f t="shared" si="43"/>
        <v>0.53333333333333333</v>
      </c>
      <c r="M136">
        <f t="shared" si="41"/>
        <v>46080</v>
      </c>
      <c r="N136" s="9">
        <f t="shared" si="44"/>
        <v>-3346.9595411443456</v>
      </c>
      <c r="O136" s="7">
        <f t="shared" si="45"/>
        <v>11172812.77978915</v>
      </c>
      <c r="P136" s="2">
        <f t="shared" ref="P136:P199" si="48">dvdt_x($O136,$Y136)</f>
        <v>-0.14184681562264206</v>
      </c>
      <c r="Q136" s="2">
        <f t="shared" ref="Q136:Q199" si="49">dvdt_x($O136+h/4*($N136+($N136+h/2*P136)),$Y136+h/4*($X136+($X136+h/2*Z136)))</f>
        <v>-0.14496335018652776</v>
      </c>
      <c r="R136" s="2">
        <f t="shared" ref="R136:R199" si="50">dvdt_x($O136+h/4*($N136+($N136+h/2*Q136)),$Y136+h/4*($X136+($X136+h/2*AA136)))</f>
        <v>-0.14496752233933904</v>
      </c>
      <c r="S136" s="2">
        <f t="shared" ref="S136:S199" si="51">dvdt_x($O136+h/2*($N136+($N136+h*R136)),$Y136+h/2*($X136+($X136+h*AB136)))</f>
        <v>-0.14804831397247642</v>
      </c>
      <c r="T136" s="9">
        <f t="shared" ref="T136:T199" si="52">N136+h/6*(P136+2*Q136+2*R136+S136)</f>
        <v>-3399.1449536231567</v>
      </c>
      <c r="U136" s="7">
        <f t="shared" ref="U136:U199" si="53">O136+h/2*(N136+T136)</f>
        <v>9958513.9707309995</v>
      </c>
      <c r="W136">
        <f t="shared" si="42"/>
        <v>46080</v>
      </c>
      <c r="X136" s="9">
        <f t="shared" si="46"/>
        <v>-3477.3252788484456</v>
      </c>
      <c r="Y136" s="2">
        <f t="shared" si="47"/>
        <v>29502405.127444651</v>
      </c>
      <c r="Z136" s="2">
        <f t="shared" ref="Z136:Z199" si="54">dvdt_y($O136,$Y136)</f>
        <v>-0.37455404498562683</v>
      </c>
      <c r="AA136" s="2">
        <f t="shared" ref="AA136:AA199" si="55">dvdt_y($O136+h/4*($N136+($N136+h/2*P136)),$Y136+h/4*($X136+($X136+h/2*Z136)))</f>
        <v>-0.39601892700582508</v>
      </c>
      <c r="AB136" s="2">
        <f t="shared" ref="AB136:AB199" si="56">dvdt_y($O136+h/4*($N136+($N136+h/2*Q136)),$Y136+h/4*($X136+($X136+h/2*AA136)))</f>
        <v>-0.39602744670050755</v>
      </c>
      <c r="AC136" s="2">
        <f t="shared" ref="AC136:AC199" si="57">dvdt_y($O136+h/2*($N136+($N136+h*R136)),$Y136+h/2*($X136+($X136+h*AB136)))</f>
        <v>-0.41960576594715543</v>
      </c>
      <c r="AD136" s="2">
        <f t="shared" ref="AD136:AD199" si="58">X136+h/6*(Z136+2*AA136+2*AB136+AC136)</f>
        <v>-3620.0204323491726</v>
      </c>
      <c r="AE136" s="10">
        <f t="shared" ref="AE136:AE199" si="59">Y136+h/2*(X136+AD136)</f>
        <v>28224882.899429079</v>
      </c>
    </row>
    <row r="137" spans="1:31" x14ac:dyDescent="0.25">
      <c r="A137" s="1">
        <f t="shared" ref="A137:A200" si="60">L137</f>
        <v>0.53749999999999998</v>
      </c>
      <c r="B137" s="7">
        <f t="shared" ref="B137:B200" si="61">O137</f>
        <v>9958513.9707309995</v>
      </c>
      <c r="C137" s="7">
        <f t="shared" ref="C137:C200" si="62">Y137</f>
        <v>28224882.899429079</v>
      </c>
      <c r="D137" s="7"/>
      <c r="E137" s="7"/>
      <c r="F137" s="7"/>
      <c r="G137" s="7"/>
      <c r="H137" s="7"/>
      <c r="I137" s="7"/>
      <c r="J137" s="7"/>
      <c r="K137" s="7"/>
      <c r="L137" s="1">
        <f t="shared" si="43"/>
        <v>0.53749999999999998</v>
      </c>
      <c r="M137">
        <f t="shared" ref="M137:M200" si="63">M136+h</f>
        <v>46440</v>
      </c>
      <c r="N137" s="9">
        <f t="shared" si="44"/>
        <v>-3399.1449536231567</v>
      </c>
      <c r="O137" s="7">
        <f t="shared" si="45"/>
        <v>9958513.9707309995</v>
      </c>
      <c r="P137" s="2">
        <f t="shared" si="48"/>
        <v>-0.14804863469688453</v>
      </c>
      <c r="Q137" s="2">
        <f t="shared" si="49"/>
        <v>-0.15103734068847041</v>
      </c>
      <c r="R137" s="2">
        <f t="shared" si="50"/>
        <v>-0.15104300237683518</v>
      </c>
      <c r="S137" s="2">
        <f t="shared" si="51"/>
        <v>-0.15388652433237499</v>
      </c>
      <c r="T137" s="9">
        <f t="shared" si="52"/>
        <v>-3453.5107043327489</v>
      </c>
      <c r="U137" s="7">
        <f t="shared" si="53"/>
        <v>8725035.9522989355</v>
      </c>
      <c r="W137">
        <f t="shared" ref="W137:W200" si="64">W136+h</f>
        <v>46440</v>
      </c>
      <c r="X137" s="9">
        <f t="shared" si="46"/>
        <v>-3620.0204323491726</v>
      </c>
      <c r="Y137" s="2">
        <f t="shared" si="47"/>
        <v>28224882.899429079</v>
      </c>
      <c r="Z137" s="2">
        <f t="shared" si="54"/>
        <v>-0.41960631777204666</v>
      </c>
      <c r="AA137" s="2">
        <f t="shared" si="55"/>
        <v>-0.44557448571149816</v>
      </c>
      <c r="AB137" s="2">
        <f t="shared" si="56"/>
        <v>-0.44558669698098463</v>
      </c>
      <c r="AC137" s="2">
        <f t="shared" si="57"/>
        <v>-0.47431788358546118</v>
      </c>
      <c r="AD137" s="2">
        <f t="shared" si="58"/>
        <v>-3780.595226353721</v>
      </c>
      <c r="AE137" s="10">
        <f t="shared" si="59"/>
        <v>26892772.080862559</v>
      </c>
    </row>
    <row r="138" spans="1:31" x14ac:dyDescent="0.25">
      <c r="A138" s="1">
        <f t="shared" si="60"/>
        <v>0.54166666666666663</v>
      </c>
      <c r="B138" s="7">
        <f t="shared" si="61"/>
        <v>8725035.9522989355</v>
      </c>
      <c r="C138" s="7">
        <f t="shared" si="62"/>
        <v>26892772.080862559</v>
      </c>
      <c r="D138" s="7"/>
      <c r="E138" s="7"/>
      <c r="F138" s="7"/>
      <c r="G138" s="7"/>
      <c r="H138" s="7"/>
      <c r="I138" s="7"/>
      <c r="J138" s="7"/>
      <c r="K138" s="7"/>
      <c r="L138" s="1">
        <f t="shared" ref="L138:L201" si="65">M138/(24*3600)</f>
        <v>0.54166666666666663</v>
      </c>
      <c r="M138">
        <f t="shared" si="63"/>
        <v>46800</v>
      </c>
      <c r="N138" s="9">
        <f t="shared" si="44"/>
        <v>-3453.5107043327489</v>
      </c>
      <c r="O138" s="7">
        <f t="shared" si="45"/>
        <v>8725035.9522989355</v>
      </c>
      <c r="P138" s="2">
        <f t="shared" si="48"/>
        <v>-0.15388700373105257</v>
      </c>
      <c r="Q138" s="2">
        <f t="shared" si="49"/>
        <v>-0.15648805658635903</v>
      </c>
      <c r="R138" s="2">
        <f t="shared" si="50"/>
        <v>-0.15649590235017649</v>
      </c>
      <c r="S138" s="2">
        <f t="shared" si="51"/>
        <v>-0.15875456110974526</v>
      </c>
      <c r="T138" s="9">
        <f t="shared" si="52"/>
        <v>-3509.8272732955811</v>
      </c>
      <c r="U138" s="7">
        <f t="shared" si="53"/>
        <v>7471635.1163258366</v>
      </c>
      <c r="W138">
        <f t="shared" si="64"/>
        <v>46800</v>
      </c>
      <c r="X138" s="9">
        <f t="shared" si="46"/>
        <v>-3780.595226353721</v>
      </c>
      <c r="Y138" s="2">
        <f t="shared" si="47"/>
        <v>26892772.080862559</v>
      </c>
      <c r="Z138" s="2">
        <f t="shared" si="54"/>
        <v>-0.47431874667010582</v>
      </c>
      <c r="AA138" s="2">
        <f t="shared" si="55"/>
        <v>-0.50620281129903322</v>
      </c>
      <c r="AB138" s="2">
        <f t="shared" si="56"/>
        <v>-0.50622084532705514</v>
      </c>
      <c r="AC138" s="2">
        <f t="shared" si="57"/>
        <v>-0.54179271853054245</v>
      </c>
      <c r="AD138" s="2">
        <f t="shared" si="58"/>
        <v>-3963.0527530608906</v>
      </c>
      <c r="AE138" s="10">
        <f t="shared" si="59"/>
        <v>25498915.44456793</v>
      </c>
    </row>
    <row r="139" spans="1:31" x14ac:dyDescent="0.25">
      <c r="A139" s="1">
        <f t="shared" si="60"/>
        <v>0.54583333333333328</v>
      </c>
      <c r="B139" s="7">
        <f t="shared" si="61"/>
        <v>7471635.1163258366</v>
      </c>
      <c r="C139" s="7">
        <f t="shared" si="62"/>
        <v>25498915.44456793</v>
      </c>
      <c r="D139" s="7"/>
      <c r="E139" s="7"/>
      <c r="F139" s="7"/>
      <c r="G139" s="7"/>
      <c r="H139" s="7"/>
      <c r="I139" s="7"/>
      <c r="J139" s="7"/>
      <c r="K139" s="7"/>
      <c r="L139" s="1">
        <f t="shared" si="65"/>
        <v>0.54583333333333328</v>
      </c>
      <c r="M139">
        <f t="shared" si="63"/>
        <v>47160</v>
      </c>
      <c r="N139" s="9">
        <f t="shared" si="44"/>
        <v>-3509.8272732955811</v>
      </c>
      <c r="O139" s="7">
        <f t="shared" si="45"/>
        <v>7471635.1163258366</v>
      </c>
      <c r="P139" s="2">
        <f t="shared" si="48"/>
        <v>-0.15875530019809206</v>
      </c>
      <c r="Q139" s="2">
        <f t="shared" si="49"/>
        <v>-0.1605007964437426</v>
      </c>
      <c r="R139" s="2">
        <f t="shared" si="50"/>
        <v>-0.16051192447145474</v>
      </c>
      <c r="S139" s="2">
        <f t="shared" si="51"/>
        <v>-0.16155612578429626</v>
      </c>
      <c r="T139" s="9">
        <f t="shared" si="52"/>
        <v>-3567.5674853643482</v>
      </c>
      <c r="U139" s="7">
        <f t="shared" si="53"/>
        <v>6197704.0597670488</v>
      </c>
      <c r="W139">
        <f t="shared" si="64"/>
        <v>47160</v>
      </c>
      <c r="X139" s="9">
        <f t="shared" si="46"/>
        <v>-3963.0527530608906</v>
      </c>
      <c r="Y139" s="2">
        <f t="shared" si="47"/>
        <v>25498915.44456793</v>
      </c>
      <c r="Z139" s="2">
        <f t="shared" si="54"/>
        <v>-0.54179412044398478</v>
      </c>
      <c r="AA139" s="2">
        <f t="shared" si="55"/>
        <v>-0.58161812747939468</v>
      </c>
      <c r="AB139" s="2">
        <f t="shared" si="56"/>
        <v>-0.58164571294053502</v>
      </c>
      <c r="AC139" s="2">
        <f t="shared" si="57"/>
        <v>-0.62651101258770447</v>
      </c>
      <c r="AD139" s="2">
        <f t="shared" si="58"/>
        <v>-4172.7427218931834</v>
      </c>
      <c r="AE139" s="10">
        <f t="shared" si="59"/>
        <v>24034472.259076197</v>
      </c>
    </row>
    <row r="140" spans="1:31" x14ac:dyDescent="0.25">
      <c r="A140" s="1">
        <f t="shared" si="60"/>
        <v>0.55000000000000004</v>
      </c>
      <c r="B140" s="7">
        <f t="shared" si="61"/>
        <v>6197704.0597670488</v>
      </c>
      <c r="C140" s="7">
        <f t="shared" si="62"/>
        <v>24034472.259076197</v>
      </c>
      <c r="D140" s="7"/>
      <c r="E140" s="7"/>
      <c r="F140" s="7"/>
      <c r="G140" s="7"/>
      <c r="H140" s="7"/>
      <c r="I140" s="7"/>
      <c r="J140" s="7"/>
      <c r="K140" s="7"/>
      <c r="L140" s="1">
        <f t="shared" si="65"/>
        <v>0.55000000000000004</v>
      </c>
      <c r="M140">
        <f t="shared" si="63"/>
        <v>47520</v>
      </c>
      <c r="N140" s="9">
        <f t="shared" si="44"/>
        <v>-3567.5674853643482</v>
      </c>
      <c r="O140" s="7">
        <f t="shared" si="45"/>
        <v>6197704.0597670488</v>
      </c>
      <c r="P140" s="2">
        <f t="shared" si="48"/>
        <v>-0.16155730650839153</v>
      </c>
      <c r="Q140" s="2">
        <f t="shared" si="49"/>
        <v>-0.16159261101167552</v>
      </c>
      <c r="R140" s="2">
        <f t="shared" si="50"/>
        <v>-0.16160880035954561</v>
      </c>
      <c r="S140" s="2">
        <f t="shared" si="51"/>
        <v>-0.16027476468581794</v>
      </c>
      <c r="T140" s="9">
        <f t="shared" si="52"/>
        <v>-3625.6615790005471</v>
      </c>
      <c r="U140" s="7">
        <f t="shared" si="53"/>
        <v>4902922.8281813674</v>
      </c>
      <c r="W140">
        <f t="shared" si="64"/>
        <v>47520</v>
      </c>
      <c r="X140" s="9">
        <f t="shared" si="46"/>
        <v>-4172.7427218931834</v>
      </c>
      <c r="Y140" s="2">
        <f t="shared" si="47"/>
        <v>24034472.259076197</v>
      </c>
      <c r="Z140" s="2">
        <f t="shared" si="54"/>
        <v>-0.62651339336021061</v>
      </c>
      <c r="AA140" s="2">
        <f t="shared" si="55"/>
        <v>-0.67726145467515197</v>
      </c>
      <c r="AB140" s="2">
        <f t="shared" si="56"/>
        <v>-0.67730545026104172</v>
      </c>
      <c r="AC140" s="2">
        <f t="shared" si="57"/>
        <v>-0.73513976835646788</v>
      </c>
      <c r="AD140" s="2">
        <f t="shared" si="58"/>
        <v>-4416.9899401885277</v>
      </c>
      <c r="AE140" s="10">
        <f t="shared" si="59"/>
        <v>22488320.379901487</v>
      </c>
    </row>
    <row r="141" spans="1:31" x14ac:dyDescent="0.25">
      <c r="A141" s="1">
        <f t="shared" si="60"/>
        <v>0.5541666666666667</v>
      </c>
      <c r="B141" s="7">
        <f t="shared" si="61"/>
        <v>4902922.8281813674</v>
      </c>
      <c r="C141" s="7">
        <f t="shared" si="62"/>
        <v>22488320.379901487</v>
      </c>
      <c r="D141" s="7"/>
      <c r="E141" s="7"/>
      <c r="F141" s="7"/>
      <c r="G141" s="7"/>
      <c r="H141" s="7"/>
      <c r="I141" s="7"/>
      <c r="J141" s="7"/>
      <c r="K141" s="7"/>
      <c r="L141" s="1">
        <f t="shared" si="65"/>
        <v>0.5541666666666667</v>
      </c>
      <c r="M141">
        <f t="shared" si="63"/>
        <v>47880</v>
      </c>
      <c r="N141" s="9">
        <f t="shared" si="44"/>
        <v>-3625.6615790005471</v>
      </c>
      <c r="O141" s="7">
        <f t="shared" si="45"/>
        <v>4902922.8281813674</v>
      </c>
      <c r="P141" s="2">
        <f t="shared" si="48"/>
        <v>-0.16027673012358304</v>
      </c>
      <c r="Q141" s="2">
        <f t="shared" si="49"/>
        <v>-0.1569991621989216</v>
      </c>
      <c r="R141" s="2">
        <f t="shared" si="50"/>
        <v>-0.1570233518678783</v>
      </c>
      <c r="S141" s="2">
        <f t="shared" si="51"/>
        <v>-0.1510890476378296</v>
      </c>
      <c r="T141" s="9">
        <f t="shared" si="52"/>
        <v>-3682.026227354248</v>
      </c>
      <c r="U141" s="7">
        <f t="shared" si="53"/>
        <v>3587539.0230375044</v>
      </c>
      <c r="W141">
        <f t="shared" si="64"/>
        <v>47880</v>
      </c>
      <c r="X141" s="9">
        <f t="shared" si="46"/>
        <v>-4416.9899401885277</v>
      </c>
      <c r="Y141" s="2">
        <f t="shared" si="47"/>
        <v>22488320.379901487</v>
      </c>
      <c r="Z141" s="2">
        <f t="shared" si="54"/>
        <v>-0.73514403199348377</v>
      </c>
      <c r="AA141" s="2">
        <f t="shared" si="55"/>
        <v>-0.80136271754168464</v>
      </c>
      <c r="AB141" s="2">
        <f t="shared" si="56"/>
        <v>-0.801436513949774</v>
      </c>
      <c r="AC141" s="2">
        <f t="shared" si="57"/>
        <v>-0.87794699318220015</v>
      </c>
      <c r="AD141" s="2">
        <f t="shared" si="58"/>
        <v>-4706.1113094780439</v>
      </c>
      <c r="AE141" s="10">
        <f t="shared" si="59"/>
        <v>20846162.154961504</v>
      </c>
    </row>
    <row r="142" spans="1:31" x14ac:dyDescent="0.25">
      <c r="A142" s="1">
        <f t="shared" si="60"/>
        <v>0.55833333333333335</v>
      </c>
      <c r="B142" s="7">
        <f t="shared" si="61"/>
        <v>3587539.0230375044</v>
      </c>
      <c r="C142" s="7">
        <f t="shared" si="62"/>
        <v>20846162.154961504</v>
      </c>
      <c r="D142" s="7"/>
      <c r="E142" s="7"/>
      <c r="F142" s="7"/>
      <c r="G142" s="7"/>
      <c r="H142" s="7"/>
      <c r="I142" s="7"/>
      <c r="J142" s="7"/>
      <c r="K142" s="7"/>
      <c r="L142" s="1">
        <f t="shared" si="65"/>
        <v>0.55833333333333335</v>
      </c>
      <c r="M142">
        <f t="shared" si="63"/>
        <v>48240</v>
      </c>
      <c r="N142" s="9">
        <f t="shared" si="44"/>
        <v>-3682.026227354248</v>
      </c>
      <c r="O142" s="7">
        <f t="shared" si="45"/>
        <v>3587539.0230375044</v>
      </c>
      <c r="P142" s="2">
        <f t="shared" si="48"/>
        <v>-0.15109247875169413</v>
      </c>
      <c r="Q142" s="2">
        <f t="shared" si="49"/>
        <v>-0.14137816179568288</v>
      </c>
      <c r="R142" s="2">
        <f t="shared" si="50"/>
        <v>-0.14141522211470789</v>
      </c>
      <c r="S142" s="2">
        <f t="shared" si="51"/>
        <v>-0.12644127312341696</v>
      </c>
      <c r="T142" s="9">
        <f t="shared" si="52"/>
        <v>-3732.6134585360014</v>
      </c>
      <c r="U142" s="7">
        <f t="shared" si="53"/>
        <v>2252903.8795772595</v>
      </c>
      <c r="W142">
        <f t="shared" si="64"/>
        <v>48240</v>
      </c>
      <c r="X142" s="9">
        <f t="shared" si="46"/>
        <v>-4706.1113094780439</v>
      </c>
      <c r="Y142" s="2">
        <f t="shared" si="47"/>
        <v>20846162.154961504</v>
      </c>
      <c r="Z142" s="2">
        <f t="shared" si="54"/>
        <v>-0.87795513643949186</v>
      </c>
      <c r="AA142" s="2">
        <f t="shared" si="55"/>
        <v>-0.96683917278834297</v>
      </c>
      <c r="AB142" s="2">
        <f t="shared" si="56"/>
        <v>-0.96697086362638063</v>
      </c>
      <c r="AC142" s="2">
        <f t="shared" si="57"/>
        <v>-1.0713896240766168</v>
      </c>
      <c r="AD142" s="2">
        <f t="shared" si="58"/>
        <v>-5055.1291994787771</v>
      </c>
      <c r="AE142" s="10">
        <f t="shared" si="59"/>
        <v>19089138.863349278</v>
      </c>
    </row>
    <row r="143" spans="1:31" x14ac:dyDescent="0.25">
      <c r="A143" s="1">
        <f t="shared" si="60"/>
        <v>0.5625</v>
      </c>
      <c r="B143" s="7">
        <f t="shared" si="61"/>
        <v>2252903.8795772595</v>
      </c>
      <c r="C143" s="7">
        <f t="shared" si="62"/>
        <v>19089138.863349278</v>
      </c>
      <c r="D143" s="7"/>
      <c r="E143" s="7"/>
      <c r="F143" s="7"/>
      <c r="G143" s="7"/>
      <c r="H143" s="7"/>
      <c r="I143" s="7"/>
      <c r="J143" s="7"/>
      <c r="K143" s="7"/>
      <c r="L143" s="1">
        <f t="shared" si="65"/>
        <v>0.5625</v>
      </c>
      <c r="M143">
        <f t="shared" si="63"/>
        <v>48600</v>
      </c>
      <c r="N143" s="9">
        <f t="shared" si="44"/>
        <v>-3732.6134585360014</v>
      </c>
      <c r="O143" s="7">
        <f t="shared" si="45"/>
        <v>2252903.8795772595</v>
      </c>
      <c r="P143" s="2">
        <f t="shared" si="48"/>
        <v>-0.12644759906040906</v>
      </c>
      <c r="Q143" s="2">
        <f t="shared" si="49"/>
        <v>-0.10387949228382205</v>
      </c>
      <c r="R143" s="2">
        <f t="shared" si="50"/>
        <v>-0.10393707423433927</v>
      </c>
      <c r="S143" s="2">
        <f t="shared" si="51"/>
        <v>-7.0500192182985616E-2</v>
      </c>
      <c r="T143" s="9">
        <f t="shared" si="52"/>
        <v>-3769.3683139927844</v>
      </c>
      <c r="U143" s="7">
        <f t="shared" si="53"/>
        <v>902547.16052207816</v>
      </c>
      <c r="W143">
        <f t="shared" si="64"/>
        <v>48600</v>
      </c>
      <c r="X143" s="9">
        <f t="shared" si="46"/>
        <v>-5055.1291994787771</v>
      </c>
      <c r="Y143" s="2">
        <f t="shared" si="47"/>
        <v>19089138.863349278</v>
      </c>
      <c r="Z143" s="2">
        <f t="shared" si="54"/>
        <v>-1.0714064631351206</v>
      </c>
      <c r="AA143" s="2">
        <f t="shared" si="55"/>
        <v>-1.1948464781768726</v>
      </c>
      <c r="AB143" s="2">
        <f t="shared" si="56"/>
        <v>-1.1951004493342396</v>
      </c>
      <c r="AC143" s="2">
        <f t="shared" si="57"/>
        <v>-1.3430753876610053</v>
      </c>
      <c r="AD143" s="2">
        <f t="shared" si="58"/>
        <v>-5486.7917418278785</v>
      </c>
      <c r="AE143" s="10">
        <f t="shared" si="59"/>
        <v>17191593.09391408</v>
      </c>
    </row>
    <row r="144" spans="1:31" x14ac:dyDescent="0.25">
      <c r="A144" s="1">
        <f t="shared" si="60"/>
        <v>0.56666666666666665</v>
      </c>
      <c r="B144" s="7">
        <f t="shared" si="61"/>
        <v>902547.16052207816</v>
      </c>
      <c r="C144" s="7">
        <f t="shared" si="62"/>
        <v>17191593.09391408</v>
      </c>
      <c r="D144" s="7"/>
      <c r="E144" s="7"/>
      <c r="F144" s="7"/>
      <c r="G144" s="7"/>
      <c r="H144" s="7"/>
      <c r="I144" s="7"/>
      <c r="J144" s="7"/>
      <c r="K144" s="7"/>
      <c r="L144" s="1">
        <f t="shared" si="65"/>
        <v>0.56666666666666665</v>
      </c>
      <c r="M144">
        <f t="shared" si="63"/>
        <v>48960</v>
      </c>
      <c r="N144" s="9">
        <f t="shared" si="44"/>
        <v>-3769.3683139927844</v>
      </c>
      <c r="O144" s="7">
        <f t="shared" si="45"/>
        <v>902547.16052207816</v>
      </c>
      <c r="P144" s="2">
        <f t="shared" si="48"/>
        <v>-7.0512581834241514E-2</v>
      </c>
      <c r="Q144" s="2">
        <f t="shared" si="49"/>
        <v>-2.0962691979882018E-2</v>
      </c>
      <c r="R144" s="2">
        <f t="shared" si="50"/>
        <v>-2.1049421179204875E-2</v>
      </c>
      <c r="S144" s="2">
        <f t="shared" si="51"/>
        <v>5.2511316502658299E-2</v>
      </c>
      <c r="T144" s="9">
        <f t="shared" si="52"/>
        <v>-3775.48984349177</v>
      </c>
      <c r="U144" s="7">
        <f t="shared" si="53"/>
        <v>-455527.30782514159</v>
      </c>
      <c r="W144">
        <f t="shared" si="64"/>
        <v>48960</v>
      </c>
      <c r="X144" s="9">
        <f t="shared" si="46"/>
        <v>-5486.7917418278785</v>
      </c>
      <c r="Y144" s="2">
        <f t="shared" si="47"/>
        <v>17191593.09391408</v>
      </c>
      <c r="Z144" s="2">
        <f t="shared" si="54"/>
        <v>-1.3431138758382304</v>
      </c>
      <c r="AA144" s="2">
        <f t="shared" si="55"/>
        <v>-1.5217338936751901</v>
      </c>
      <c r="AB144" s="2">
        <f t="shared" si="56"/>
        <v>-1.5222749797632791</v>
      </c>
      <c r="AC144" s="2">
        <f t="shared" si="57"/>
        <v>-1.7417046394683353</v>
      </c>
      <c r="AD144" s="2">
        <f t="shared" si="58"/>
        <v>-6037.1619175588885</v>
      </c>
      <c r="AE144" s="10">
        <f t="shared" si="59"/>
        <v>15117281.435224462</v>
      </c>
    </row>
    <row r="145" spans="1:31" x14ac:dyDescent="0.25">
      <c r="A145" s="1">
        <f t="shared" si="60"/>
        <v>0.5708333333333333</v>
      </c>
      <c r="B145" s="7">
        <f t="shared" si="61"/>
        <v>-455527.30782514159</v>
      </c>
      <c r="C145" s="7">
        <f t="shared" si="62"/>
        <v>15117281.435224462</v>
      </c>
      <c r="D145" s="7"/>
      <c r="E145" s="7"/>
      <c r="F145" s="7"/>
      <c r="G145" s="7"/>
      <c r="H145" s="7"/>
      <c r="I145" s="7"/>
      <c r="J145" s="7"/>
      <c r="K145" s="7"/>
      <c r="L145" s="1">
        <f t="shared" si="65"/>
        <v>0.5708333333333333</v>
      </c>
      <c r="M145">
        <f t="shared" si="63"/>
        <v>49320</v>
      </c>
      <c r="N145" s="9">
        <f t="shared" si="44"/>
        <v>-3775.48984349177</v>
      </c>
      <c r="O145" s="7">
        <f t="shared" si="45"/>
        <v>-455527.30782514159</v>
      </c>
      <c r="P145" s="2">
        <f t="shared" si="48"/>
        <v>5.2485602949827743E-2</v>
      </c>
      <c r="Q145" s="2">
        <f t="shared" si="49"/>
        <v>0.16307481843614002</v>
      </c>
      <c r="R145" s="2">
        <f t="shared" si="50"/>
        <v>0.16297470935194133</v>
      </c>
      <c r="S145" s="2">
        <f t="shared" si="51"/>
        <v>0.33191795440075067</v>
      </c>
      <c r="T145" s="9">
        <f t="shared" si="52"/>
        <v>-3713.2996867161655</v>
      </c>
      <c r="U145" s="7">
        <f t="shared" si="53"/>
        <v>-1803509.4232625701</v>
      </c>
      <c r="W145">
        <f t="shared" si="64"/>
        <v>49320</v>
      </c>
      <c r="X145" s="9">
        <f t="shared" si="46"/>
        <v>-6037.1619175588885</v>
      </c>
      <c r="Y145" s="2">
        <f t="shared" si="47"/>
        <v>15117281.435224462</v>
      </c>
      <c r="Z145" s="2">
        <f t="shared" si="54"/>
        <v>-1.7418047556318255</v>
      </c>
      <c r="AA145" s="2">
        <f t="shared" si="55"/>
        <v>-2.0131400870848655</v>
      </c>
      <c r="AB145" s="2">
        <f t="shared" si="56"/>
        <v>-2.014454457418128</v>
      </c>
      <c r="AC145" s="2">
        <f t="shared" si="57"/>
        <v>-2.3573445424906834</v>
      </c>
      <c r="AD145" s="2">
        <f t="shared" si="58"/>
        <v>-6766.4222207865987</v>
      </c>
      <c r="AE145" s="10">
        <f t="shared" si="59"/>
        <v>12812636.290322274</v>
      </c>
    </row>
    <row r="146" spans="1:31" x14ac:dyDescent="0.25">
      <c r="A146" s="1">
        <f t="shared" si="60"/>
        <v>0.57499999999999996</v>
      </c>
      <c r="B146" s="7">
        <f t="shared" si="61"/>
        <v>-1803509.4232625701</v>
      </c>
      <c r="C146" s="7">
        <f t="shared" si="62"/>
        <v>12812636.290322274</v>
      </c>
      <c r="D146" s="7"/>
      <c r="E146" s="7"/>
      <c r="F146" s="7"/>
      <c r="G146" s="7"/>
      <c r="H146" s="7"/>
      <c r="I146" s="7"/>
      <c r="J146" s="7"/>
      <c r="K146" s="7"/>
      <c r="L146" s="1">
        <f t="shared" si="65"/>
        <v>0.57499999999999996</v>
      </c>
      <c r="M146">
        <f t="shared" si="63"/>
        <v>49680</v>
      </c>
      <c r="N146" s="9">
        <f t="shared" si="44"/>
        <v>-3713.2996867161655</v>
      </c>
      <c r="O146" s="7">
        <f t="shared" si="45"/>
        <v>-1803509.4232625701</v>
      </c>
      <c r="P146" s="2">
        <f t="shared" si="48"/>
        <v>0.33186383647566231</v>
      </c>
      <c r="Q146" s="2">
        <f t="shared" si="49"/>
        <v>0.59583675918719547</v>
      </c>
      <c r="R146" s="2">
        <f t="shared" si="50"/>
        <v>0.59597840795859214</v>
      </c>
      <c r="S146" s="2">
        <f t="shared" si="51"/>
        <v>1.0215000140351183</v>
      </c>
      <c r="T146" s="9">
        <f t="shared" si="52"/>
        <v>-3489.0800356280242</v>
      </c>
      <c r="U146" s="7">
        <f t="shared" si="53"/>
        <v>-3099937.7732845242</v>
      </c>
      <c r="W146">
        <f t="shared" si="64"/>
        <v>49680</v>
      </c>
      <c r="X146" s="9">
        <f t="shared" si="46"/>
        <v>-6766.4222207865987</v>
      </c>
      <c r="Y146" s="2">
        <f t="shared" si="47"/>
        <v>12812636.290322274</v>
      </c>
      <c r="Z146" s="2">
        <f t="shared" si="54"/>
        <v>-2.3576536833290507</v>
      </c>
      <c r="AA146" s="2">
        <f t="shared" si="55"/>
        <v>-2.7916900414808268</v>
      </c>
      <c r="AB146" s="2">
        <f t="shared" si="56"/>
        <v>-2.795501465324584</v>
      </c>
      <c r="AC146" s="2">
        <f t="shared" si="57"/>
        <v>-3.3577892747048148</v>
      </c>
      <c r="AD146" s="2">
        <f t="shared" si="58"/>
        <v>-7779.8117790852803</v>
      </c>
      <c r="AE146" s="10">
        <f t="shared" si="59"/>
        <v>10194314.170345336</v>
      </c>
    </row>
    <row r="147" spans="1:31" x14ac:dyDescent="0.25">
      <c r="A147" s="1">
        <f t="shared" si="60"/>
        <v>0.57916666666666672</v>
      </c>
      <c r="B147" s="7">
        <f t="shared" si="61"/>
        <v>-3099937.7732845242</v>
      </c>
      <c r="C147" s="7">
        <f t="shared" si="62"/>
        <v>10194314.170345336</v>
      </c>
      <c r="D147" s="7"/>
      <c r="E147" s="7"/>
      <c r="F147" s="7"/>
      <c r="G147" s="7"/>
      <c r="H147" s="7"/>
      <c r="I147" s="7"/>
      <c r="J147" s="7"/>
      <c r="K147" s="7"/>
      <c r="L147" s="1">
        <f t="shared" si="65"/>
        <v>0.57916666666666672</v>
      </c>
      <c r="M147">
        <f t="shared" si="63"/>
        <v>50040</v>
      </c>
      <c r="N147" s="9">
        <f t="shared" si="44"/>
        <v>-3489.0800356280242</v>
      </c>
      <c r="O147" s="7">
        <f t="shared" si="45"/>
        <v>-3099937.7732845242</v>
      </c>
      <c r="P147" s="2">
        <f t="shared" si="48"/>
        <v>1.0214195050597348</v>
      </c>
      <c r="Q147" s="2">
        <f t="shared" si="49"/>
        <v>1.7282261460304964</v>
      </c>
      <c r="R147" s="2">
        <f t="shared" si="50"/>
        <v>1.7311235375068452</v>
      </c>
      <c r="S147" s="2">
        <f t="shared" si="51"/>
        <v>2.9621597113659077</v>
      </c>
      <c r="T147" s="9">
        <f t="shared" si="52"/>
        <v>-2834.9433206180047</v>
      </c>
      <c r="U147" s="7">
        <f t="shared" si="53"/>
        <v>-4238261.9774088096</v>
      </c>
      <c r="W147">
        <f t="shared" si="64"/>
        <v>50040</v>
      </c>
      <c r="X147" s="9">
        <f t="shared" si="46"/>
        <v>-7779.8117790852803</v>
      </c>
      <c r="Y147" s="2">
        <f t="shared" si="47"/>
        <v>10194314.170345336</v>
      </c>
      <c r="Z147" s="2">
        <f t="shared" si="54"/>
        <v>-3.3589936624001564</v>
      </c>
      <c r="AA147" s="2">
        <f t="shared" si="55"/>
        <v>-4.069565616578422</v>
      </c>
      <c r="AB147" s="2">
        <f t="shared" si="56"/>
        <v>-4.0836176142426135</v>
      </c>
      <c r="AC147" s="2">
        <f t="shared" si="57"/>
        <v>-4.9759602950458044</v>
      </c>
      <c r="AD147" s="2">
        <f t="shared" si="58"/>
        <v>-9258.291004230563</v>
      </c>
      <c r="AE147" s="10">
        <f t="shared" si="59"/>
        <v>7127455.6693484839</v>
      </c>
    </row>
    <row r="148" spans="1:31" x14ac:dyDescent="0.25">
      <c r="A148" s="1">
        <f t="shared" si="60"/>
        <v>0.58333333333333337</v>
      </c>
      <c r="B148" s="7">
        <f t="shared" si="61"/>
        <v>-4238261.9774088096</v>
      </c>
      <c r="C148" s="7">
        <f t="shared" si="62"/>
        <v>7127455.6693484839</v>
      </c>
      <c r="D148" s="7"/>
      <c r="E148" s="7"/>
      <c r="F148" s="7"/>
      <c r="G148" s="7"/>
      <c r="H148" s="7"/>
      <c r="I148" s="7"/>
      <c r="J148" s="7"/>
      <c r="K148" s="7"/>
      <c r="L148" s="1">
        <f t="shared" si="65"/>
        <v>0.58333333333333337</v>
      </c>
      <c r="M148">
        <f t="shared" si="63"/>
        <v>50400</v>
      </c>
      <c r="N148" s="9">
        <f t="shared" si="44"/>
        <v>-2834.9433206180047</v>
      </c>
      <c r="O148" s="7">
        <f t="shared" si="45"/>
        <v>-4238261.9774088096</v>
      </c>
      <c r="P148" s="2">
        <f t="shared" si="48"/>
        <v>2.9627093340791038</v>
      </c>
      <c r="Q148" s="2">
        <f t="shared" si="49"/>
        <v>5.1379741680763358</v>
      </c>
      <c r="R148" s="2">
        <f t="shared" si="50"/>
        <v>5.1732361435421224</v>
      </c>
      <c r="S148" s="2">
        <f t="shared" si="51"/>
        <v>9.138129190998761</v>
      </c>
      <c r="T148" s="9">
        <f t="shared" si="52"/>
        <v>-871.54777171911792</v>
      </c>
      <c r="U148" s="7">
        <f t="shared" si="53"/>
        <v>-4905430.374029492</v>
      </c>
      <c r="W148">
        <f t="shared" si="64"/>
        <v>50400</v>
      </c>
      <c r="X148" s="9">
        <f t="shared" si="46"/>
        <v>-9258.291004230563</v>
      </c>
      <c r="Y148" s="2">
        <f t="shared" si="47"/>
        <v>7127455.6693484839</v>
      </c>
      <c r="Z148" s="2">
        <f t="shared" si="54"/>
        <v>-4.9823676668340475</v>
      </c>
      <c r="AA148" s="2">
        <f t="shared" si="55"/>
        <v>-5.8809172181202154</v>
      </c>
      <c r="AB148" s="2">
        <f t="shared" si="56"/>
        <v>-5.9498628775395854</v>
      </c>
      <c r="AC148" s="2">
        <f t="shared" si="57"/>
        <v>-6.3268846090683564</v>
      </c>
      <c r="AD148" s="2">
        <f t="shared" si="58"/>
        <v>-11356.539752263883</v>
      </c>
      <c r="AE148" s="10">
        <f t="shared" si="59"/>
        <v>3416786.1331794835</v>
      </c>
    </row>
    <row r="149" spans="1:31" x14ac:dyDescent="0.25">
      <c r="A149" s="1">
        <f t="shared" si="60"/>
        <v>0.58750000000000002</v>
      </c>
      <c r="B149" s="7">
        <f t="shared" si="61"/>
        <v>-4905430.374029492</v>
      </c>
      <c r="C149" s="7">
        <f t="shared" si="62"/>
        <v>3416786.1331794835</v>
      </c>
      <c r="D149" s="7"/>
      <c r="E149" s="7"/>
      <c r="F149" s="7"/>
      <c r="G149" s="7"/>
      <c r="H149" s="7"/>
      <c r="I149" s="7"/>
      <c r="J149" s="7"/>
      <c r="K149" s="7"/>
      <c r="L149" s="1">
        <f t="shared" si="65"/>
        <v>0.58750000000000002</v>
      </c>
      <c r="M149">
        <f t="shared" si="63"/>
        <v>50760</v>
      </c>
      <c r="N149" s="9">
        <f t="shared" si="44"/>
        <v>-871.54777171911792</v>
      </c>
      <c r="O149" s="7">
        <f t="shared" si="45"/>
        <v>-4905430.374029492</v>
      </c>
      <c r="P149" s="2">
        <f t="shared" si="48"/>
        <v>9.1522059271790219</v>
      </c>
      <c r="Q149" s="2">
        <f t="shared" si="49"/>
        <v>14.982442437766279</v>
      </c>
      <c r="R149" s="2">
        <f t="shared" si="50"/>
        <v>15.420203616796501</v>
      </c>
      <c r="S149" s="2">
        <f t="shared" si="51"/>
        <v>20.805027107562946</v>
      </c>
      <c r="T149" s="9">
        <f t="shared" si="52"/>
        <v>4574.2037369129339</v>
      </c>
      <c r="U149" s="7">
        <f t="shared" si="53"/>
        <v>-4238952.3002946051</v>
      </c>
      <c r="W149">
        <f t="shared" si="64"/>
        <v>50760</v>
      </c>
      <c r="X149" s="9">
        <f t="shared" si="46"/>
        <v>-11356.539752263883</v>
      </c>
      <c r="Y149" s="2">
        <f t="shared" si="47"/>
        <v>3416786.1331794835</v>
      </c>
      <c r="Z149" s="2">
        <f t="shared" si="54"/>
        <v>-6.3747985223773878</v>
      </c>
      <c r="AA149" s="2">
        <f t="shared" si="55"/>
        <v>-3.8700864524648146</v>
      </c>
      <c r="AB149" s="2">
        <f t="shared" si="56"/>
        <v>-4.1910452567740739</v>
      </c>
      <c r="AC149" s="2">
        <f t="shared" si="57"/>
        <v>4.6498605162593112</v>
      </c>
      <c r="AD149" s="2">
        <f t="shared" si="58"/>
        <v>-12427.371837739634</v>
      </c>
      <c r="AE149" s="10">
        <f t="shared" si="59"/>
        <v>-864317.95302114962</v>
      </c>
    </row>
    <row r="150" spans="1:31" x14ac:dyDescent="0.25">
      <c r="A150" s="1">
        <f t="shared" si="60"/>
        <v>0.59166666666666667</v>
      </c>
      <c r="B150" s="7">
        <f t="shared" si="61"/>
        <v>-4238952.3002946051</v>
      </c>
      <c r="C150" s="7">
        <f t="shared" si="62"/>
        <v>-864317.95302114962</v>
      </c>
      <c r="D150" s="7"/>
      <c r="E150" s="7"/>
      <c r="F150" s="7"/>
      <c r="G150" s="7"/>
      <c r="H150" s="7"/>
      <c r="I150" s="7"/>
      <c r="J150" s="7"/>
      <c r="K150" s="7"/>
      <c r="L150" s="1">
        <f t="shared" si="65"/>
        <v>0.59166666666666667</v>
      </c>
      <c r="M150">
        <f t="shared" si="63"/>
        <v>51120</v>
      </c>
      <c r="N150" s="9">
        <f t="shared" si="44"/>
        <v>4574.2037369129339</v>
      </c>
      <c r="O150" s="7">
        <f t="shared" si="45"/>
        <v>-4238952.3002946051</v>
      </c>
      <c r="P150" s="2">
        <f t="shared" si="48"/>
        <v>20.868217652951298</v>
      </c>
      <c r="Q150" s="2">
        <f t="shared" si="49"/>
        <v>15.211055965941712</v>
      </c>
      <c r="R150" s="2">
        <f t="shared" si="50"/>
        <v>16.250338231640399</v>
      </c>
      <c r="S150" s="2">
        <f t="shared" si="51"/>
        <v>6.1001036239733599</v>
      </c>
      <c r="T150" s="9">
        <f t="shared" si="52"/>
        <v>9967.6703172382659</v>
      </c>
      <c r="U150" s="7">
        <f t="shared" si="53"/>
        <v>-1621414.9705473892</v>
      </c>
      <c r="W150">
        <f t="shared" si="64"/>
        <v>51120</v>
      </c>
      <c r="X150" s="9">
        <f t="shared" si="46"/>
        <v>-12427.371837739634</v>
      </c>
      <c r="Y150" s="2">
        <f t="shared" si="47"/>
        <v>-864317.95302114962</v>
      </c>
      <c r="Z150" s="2">
        <f t="shared" si="54"/>
        <v>4.2550078149605666</v>
      </c>
      <c r="AA150" s="2">
        <f t="shared" si="55"/>
        <v>14.987566895658496</v>
      </c>
      <c r="AB150" s="2">
        <f t="shared" si="56"/>
        <v>14.657031214845183</v>
      </c>
      <c r="AC150" s="2">
        <f t="shared" si="57"/>
        <v>17.391745842007534</v>
      </c>
      <c r="AD150" s="2">
        <f t="shared" si="58"/>
        <v>-7571.2148450611066</v>
      </c>
      <c r="AE150" s="10">
        <f t="shared" si="59"/>
        <v>-4464063.5559252836</v>
      </c>
    </row>
    <row r="151" spans="1:31" x14ac:dyDescent="0.25">
      <c r="A151" s="1">
        <f t="shared" si="60"/>
        <v>0.59583333333333333</v>
      </c>
      <c r="B151" s="7">
        <f t="shared" si="61"/>
        <v>-1621414.9705473892</v>
      </c>
      <c r="C151" s="7">
        <f t="shared" si="62"/>
        <v>-4464063.5559252836</v>
      </c>
      <c r="D151" s="7"/>
      <c r="E151" s="7"/>
      <c r="F151" s="7"/>
      <c r="G151" s="7"/>
      <c r="H151" s="7"/>
      <c r="I151" s="7"/>
      <c r="J151" s="7"/>
      <c r="K151" s="7"/>
      <c r="L151" s="1">
        <f t="shared" si="65"/>
        <v>0.59583333333333333</v>
      </c>
      <c r="M151">
        <f t="shared" si="63"/>
        <v>51480</v>
      </c>
      <c r="N151" s="9">
        <f t="shared" si="44"/>
        <v>9967.6703172382659</v>
      </c>
      <c r="O151" s="7">
        <f t="shared" si="45"/>
        <v>-1621414.9705473892</v>
      </c>
      <c r="P151" s="2">
        <f t="shared" si="48"/>
        <v>6.0327399705604918</v>
      </c>
      <c r="Q151" s="2">
        <f t="shared" si="49"/>
        <v>-0.62581544445827697</v>
      </c>
      <c r="R151" s="2">
        <f t="shared" si="50"/>
        <v>-0.36501265056465404</v>
      </c>
      <c r="S151" s="2">
        <f t="shared" si="51"/>
        <v>-2.6194808278958814</v>
      </c>
      <c r="T151" s="9">
        <f t="shared" si="52"/>
        <v>10053.566494395391</v>
      </c>
      <c r="U151" s="7">
        <f t="shared" si="53"/>
        <v>1982407.6555466694</v>
      </c>
      <c r="W151">
        <f t="shared" si="64"/>
        <v>51480</v>
      </c>
      <c r="X151" s="9">
        <f t="shared" si="46"/>
        <v>-7571.2148450611066</v>
      </c>
      <c r="Y151" s="2">
        <f t="shared" si="47"/>
        <v>-4464063.5559252836</v>
      </c>
      <c r="Z151" s="2">
        <f t="shared" si="54"/>
        <v>16.609279631765769</v>
      </c>
      <c r="AA151" s="2">
        <f t="shared" si="55"/>
        <v>12.858465820664811</v>
      </c>
      <c r="AB151" s="2">
        <f t="shared" si="56"/>
        <v>12.610728696931414</v>
      </c>
      <c r="AC151" s="2">
        <f t="shared" si="57"/>
        <v>8.5899060745354863</v>
      </c>
      <c r="AD151" s="2">
        <f t="shared" si="58"/>
        <v>-3002.9603605714829</v>
      </c>
      <c r="AE151" s="10">
        <f t="shared" si="59"/>
        <v>-6367415.0929391496</v>
      </c>
    </row>
    <row r="152" spans="1:31" x14ac:dyDescent="0.25">
      <c r="A152" s="1">
        <f t="shared" si="60"/>
        <v>0.6</v>
      </c>
      <c r="B152" s="7">
        <f t="shared" si="61"/>
        <v>1982407.6555466694</v>
      </c>
      <c r="C152" s="7">
        <f t="shared" si="62"/>
        <v>-6367415.0929391496</v>
      </c>
      <c r="D152" s="7"/>
      <c r="E152" s="7"/>
      <c r="F152" s="7"/>
      <c r="G152" s="7"/>
      <c r="H152" s="7"/>
      <c r="I152" s="7"/>
      <c r="J152" s="7"/>
      <c r="K152" s="7"/>
      <c r="L152" s="1">
        <f t="shared" si="65"/>
        <v>0.6</v>
      </c>
      <c r="M152">
        <f t="shared" si="63"/>
        <v>51840</v>
      </c>
      <c r="N152" s="9">
        <f t="shared" si="44"/>
        <v>10053.566494395391</v>
      </c>
      <c r="O152" s="7">
        <f t="shared" si="45"/>
        <v>1982407.6555466694</v>
      </c>
      <c r="P152" s="2">
        <f t="shared" si="48"/>
        <v>-2.6642380455769183</v>
      </c>
      <c r="Q152" s="2">
        <f t="shared" si="49"/>
        <v>-3.2250882638006635</v>
      </c>
      <c r="R152" s="2">
        <f t="shared" si="50"/>
        <v>-3.1747446499603451</v>
      </c>
      <c r="S152" s="2">
        <f t="shared" si="51"/>
        <v>-3.0542467042959434</v>
      </c>
      <c r="T152" s="9">
        <f t="shared" si="52"/>
        <v>8942.4774597516989</v>
      </c>
      <c r="U152" s="7">
        <f t="shared" si="53"/>
        <v>5401695.5672931457</v>
      </c>
      <c r="W152">
        <f t="shared" si="64"/>
        <v>51840</v>
      </c>
      <c r="X152" s="9">
        <f t="shared" si="46"/>
        <v>-3002.9603605714829</v>
      </c>
      <c r="Y152" s="2">
        <f t="shared" si="47"/>
        <v>-6367415.0929391496</v>
      </c>
      <c r="Z152" s="2">
        <f t="shared" si="54"/>
        <v>8.5574273763138269</v>
      </c>
      <c r="AA152" s="2">
        <f t="shared" si="55"/>
        <v>5.8234978527391679</v>
      </c>
      <c r="AB152" s="2">
        <f t="shared" si="56"/>
        <v>5.7841180867653446</v>
      </c>
      <c r="AC152" s="2">
        <f t="shared" si="57"/>
        <v>4.0038659669530956</v>
      </c>
      <c r="AD152" s="2">
        <f t="shared" si="58"/>
        <v>-856.36884723492585</v>
      </c>
      <c r="AE152" s="10">
        <f t="shared" si="59"/>
        <v>-7062094.3503443031</v>
      </c>
    </row>
    <row r="153" spans="1:31" x14ac:dyDescent="0.25">
      <c r="A153" s="1">
        <f t="shared" si="60"/>
        <v>0.60416666666666663</v>
      </c>
      <c r="B153" s="7">
        <f t="shared" si="61"/>
        <v>5401695.5672931457</v>
      </c>
      <c r="C153" s="7">
        <f t="shared" si="62"/>
        <v>-7062094.3503443031</v>
      </c>
      <c r="D153" s="7"/>
      <c r="E153" s="7"/>
      <c r="F153" s="7"/>
      <c r="G153" s="7"/>
      <c r="H153" s="7"/>
      <c r="I153" s="7"/>
      <c r="J153" s="7"/>
      <c r="K153" s="7"/>
      <c r="L153" s="1">
        <f t="shared" si="65"/>
        <v>0.60416666666666663</v>
      </c>
      <c r="M153">
        <f t="shared" si="63"/>
        <v>52200</v>
      </c>
      <c r="N153" s="9">
        <f t="shared" si="44"/>
        <v>8942.4774597516989</v>
      </c>
      <c r="O153" s="7">
        <f t="shared" si="45"/>
        <v>5401695.5672931457</v>
      </c>
      <c r="P153" s="2">
        <f t="shared" si="48"/>
        <v>-3.0633957397523806</v>
      </c>
      <c r="Q153" s="2">
        <f t="shared" si="49"/>
        <v>-2.791366513123406</v>
      </c>
      <c r="R153" s="2">
        <f t="shared" si="50"/>
        <v>-2.7795058467073521</v>
      </c>
      <c r="S153" s="2">
        <f t="shared" si="51"/>
        <v>-2.470257915930167</v>
      </c>
      <c r="T153" s="9">
        <f t="shared" si="52"/>
        <v>7941.9535572310551</v>
      </c>
      <c r="U153" s="7">
        <f t="shared" si="53"/>
        <v>8440893.1503500417</v>
      </c>
      <c r="W153">
        <f t="shared" si="64"/>
        <v>52200</v>
      </c>
      <c r="X153" s="9">
        <f t="shared" si="46"/>
        <v>-856.36884723492585</v>
      </c>
      <c r="Y153" s="2">
        <f t="shared" si="47"/>
        <v>-7062094.3503443031</v>
      </c>
      <c r="Z153" s="2">
        <f t="shared" si="54"/>
        <v>4.0050368402037044</v>
      </c>
      <c r="AA153" s="2">
        <f t="shared" si="55"/>
        <v>2.8674063617869248</v>
      </c>
      <c r="AB153" s="2">
        <f t="shared" si="56"/>
        <v>2.860769818919529</v>
      </c>
      <c r="AC153" s="2">
        <f t="shared" si="57"/>
        <v>2.1027233529652247</v>
      </c>
      <c r="AD153" s="2">
        <f t="shared" si="58"/>
        <v>197.47790603998442</v>
      </c>
      <c r="AE153" s="10">
        <f t="shared" si="59"/>
        <v>-7180694.7197593926</v>
      </c>
    </row>
    <row r="154" spans="1:31" x14ac:dyDescent="0.25">
      <c r="A154" s="1">
        <f t="shared" si="60"/>
        <v>0.60833333333333328</v>
      </c>
      <c r="B154" s="7">
        <f t="shared" si="61"/>
        <v>8440893.1503500417</v>
      </c>
      <c r="C154" s="7">
        <f t="shared" si="62"/>
        <v>-7180694.7197593926</v>
      </c>
      <c r="D154" s="7"/>
      <c r="E154" s="7"/>
      <c r="F154" s="7"/>
      <c r="G154" s="7"/>
      <c r="H154" s="7"/>
      <c r="I154" s="7"/>
      <c r="J154" s="7"/>
      <c r="K154" s="7"/>
      <c r="L154" s="1">
        <f t="shared" si="65"/>
        <v>0.60833333333333328</v>
      </c>
      <c r="M154">
        <f t="shared" si="63"/>
        <v>52560</v>
      </c>
      <c r="N154" s="9">
        <f t="shared" si="44"/>
        <v>7941.9535572310551</v>
      </c>
      <c r="O154" s="7">
        <f t="shared" si="45"/>
        <v>8440893.1503500417</v>
      </c>
      <c r="P154" s="2">
        <f t="shared" si="48"/>
        <v>-2.4721243878668648</v>
      </c>
      <c r="Q154" s="2">
        <f t="shared" si="49"/>
        <v>-2.193961910870935</v>
      </c>
      <c r="R154" s="2">
        <f t="shared" si="50"/>
        <v>-2.1903331976970093</v>
      </c>
      <c r="S154" s="2">
        <f t="shared" si="51"/>
        <v>-1.9445013682178072</v>
      </c>
      <c r="T154" s="9">
        <f t="shared" si="52"/>
        <v>7150.8405988378217</v>
      </c>
      <c r="U154" s="7">
        <f t="shared" si="53"/>
        <v>11157596.098442439</v>
      </c>
      <c r="W154">
        <f t="shared" si="64"/>
        <v>52560</v>
      </c>
      <c r="X154" s="9">
        <f t="shared" si="46"/>
        <v>197.47790603998442</v>
      </c>
      <c r="Y154" s="2">
        <f t="shared" si="47"/>
        <v>-7180694.7197593926</v>
      </c>
      <c r="Z154" s="2">
        <f t="shared" si="54"/>
        <v>2.1030440999964402</v>
      </c>
      <c r="AA154" s="2">
        <f t="shared" si="55"/>
        <v>1.5870608583613</v>
      </c>
      <c r="AB154" s="2">
        <f t="shared" si="56"/>
        <v>1.5855715814436757</v>
      </c>
      <c r="AC154" s="2">
        <f t="shared" si="57"/>
        <v>1.2210761360695397</v>
      </c>
      <c r="AD154" s="2">
        <f t="shared" si="58"/>
        <v>777.64101298054027</v>
      </c>
      <c r="AE154" s="10">
        <f t="shared" si="59"/>
        <v>-7005173.3143356983</v>
      </c>
    </row>
    <row r="155" spans="1:31" x14ac:dyDescent="0.25">
      <c r="A155" s="1">
        <f t="shared" si="60"/>
        <v>0.61250000000000004</v>
      </c>
      <c r="B155" s="7">
        <f t="shared" si="61"/>
        <v>11157596.098442439</v>
      </c>
      <c r="C155" s="7">
        <f t="shared" si="62"/>
        <v>-7005173.3143356983</v>
      </c>
      <c r="D155" s="7"/>
      <c r="E155" s="7"/>
      <c r="F155" s="7"/>
      <c r="G155" s="7"/>
      <c r="H155" s="7"/>
      <c r="I155" s="7"/>
      <c r="J155" s="7"/>
      <c r="K155" s="7"/>
      <c r="L155" s="1">
        <f t="shared" si="65"/>
        <v>0.61250000000000004</v>
      </c>
      <c r="M155">
        <f t="shared" si="63"/>
        <v>52920</v>
      </c>
      <c r="N155" s="9">
        <f t="shared" si="44"/>
        <v>7150.8405988378217</v>
      </c>
      <c r="O155" s="7">
        <f t="shared" si="45"/>
        <v>11157596.098442439</v>
      </c>
      <c r="P155" s="2">
        <f t="shared" si="48"/>
        <v>-1.9449916798507845</v>
      </c>
      <c r="Q155" s="2">
        <f t="shared" si="49"/>
        <v>-1.7369887763509602</v>
      </c>
      <c r="R155" s="2">
        <f t="shared" si="50"/>
        <v>-1.735619284585513</v>
      </c>
      <c r="S155" s="2">
        <f t="shared" si="51"/>
        <v>-1.5574921914710989</v>
      </c>
      <c r="T155" s="9">
        <f t="shared" si="52"/>
        <v>6523.978599246132</v>
      </c>
      <c r="U155" s="7">
        <f t="shared" si="53"/>
        <v>13619063.554097552</v>
      </c>
      <c r="W155">
        <f t="shared" si="64"/>
        <v>52920</v>
      </c>
      <c r="X155" s="9">
        <f t="shared" si="46"/>
        <v>777.64101298054027</v>
      </c>
      <c r="Y155" s="2">
        <f t="shared" si="47"/>
        <v>-7005173.3143356983</v>
      </c>
      <c r="Z155" s="2">
        <f t="shared" si="54"/>
        <v>1.2211415157963705</v>
      </c>
      <c r="AA155" s="2">
        <f t="shared" si="55"/>
        <v>0.95788135775209782</v>
      </c>
      <c r="AB155" s="2">
        <f t="shared" si="56"/>
        <v>0.95746253421517036</v>
      </c>
      <c r="AC155" s="2">
        <f t="shared" si="57"/>
        <v>0.76198848134266972</v>
      </c>
      <c r="AD155" s="2">
        <f t="shared" si="58"/>
        <v>1126.4700798449549</v>
      </c>
      <c r="AE155" s="10">
        <f t="shared" si="59"/>
        <v>-6662433.3176271096</v>
      </c>
    </row>
    <row r="156" spans="1:31" x14ac:dyDescent="0.25">
      <c r="A156" s="1">
        <f t="shared" si="60"/>
        <v>0.6166666666666667</v>
      </c>
      <c r="B156" s="7">
        <f t="shared" si="61"/>
        <v>13619063.554097552</v>
      </c>
      <c r="C156" s="7">
        <f t="shared" si="62"/>
        <v>-6662433.3176271096</v>
      </c>
      <c r="D156" s="7"/>
      <c r="E156" s="7"/>
      <c r="F156" s="7"/>
      <c r="G156" s="7"/>
      <c r="H156" s="7"/>
      <c r="I156" s="7"/>
      <c r="J156" s="7"/>
      <c r="K156" s="7"/>
      <c r="L156" s="1">
        <f t="shared" si="65"/>
        <v>0.6166666666666667</v>
      </c>
      <c r="M156">
        <f t="shared" si="63"/>
        <v>53280</v>
      </c>
      <c r="N156" s="9">
        <f t="shared" si="44"/>
        <v>6523.978599246132</v>
      </c>
      <c r="O156" s="7">
        <f t="shared" si="45"/>
        <v>13619063.554097552</v>
      </c>
      <c r="P156" s="2">
        <f t="shared" si="48"/>
        <v>-1.557652812722601</v>
      </c>
      <c r="Q156" s="2">
        <f t="shared" si="49"/>
        <v>-1.4068284537639906</v>
      </c>
      <c r="R156" s="2">
        <f t="shared" si="50"/>
        <v>-1.4062239541221777</v>
      </c>
      <c r="S156" s="2">
        <f t="shared" si="51"/>
        <v>-1.2766940274292864</v>
      </c>
      <c r="T156" s="9">
        <f t="shared" si="52"/>
        <v>6016.3514998906785</v>
      </c>
      <c r="U156" s="7">
        <f t="shared" si="53"/>
        <v>15876322.971942179</v>
      </c>
      <c r="W156">
        <f t="shared" si="64"/>
        <v>53280</v>
      </c>
      <c r="X156" s="9">
        <f t="shared" si="46"/>
        <v>1126.4700798449549</v>
      </c>
      <c r="Y156" s="2">
        <f t="shared" si="47"/>
        <v>-6662433.3176271096</v>
      </c>
      <c r="Z156" s="2">
        <f t="shared" si="54"/>
        <v>0.76200231796820561</v>
      </c>
      <c r="AA156" s="2">
        <f t="shared" si="55"/>
        <v>0.61417861088840819</v>
      </c>
      <c r="AB156" s="2">
        <f t="shared" si="56"/>
        <v>0.61404114075178284</v>
      </c>
      <c r="AC156" s="2">
        <f t="shared" si="57"/>
        <v>0.4999411918097707</v>
      </c>
      <c r="AD156" s="2">
        <f t="shared" si="58"/>
        <v>1349.5730606284565</v>
      </c>
      <c r="AE156" s="10">
        <f t="shared" si="59"/>
        <v>-6216745.5523418952</v>
      </c>
    </row>
    <row r="157" spans="1:31" x14ac:dyDescent="0.25">
      <c r="A157" s="1">
        <f t="shared" si="60"/>
        <v>0.62083333333333335</v>
      </c>
      <c r="B157" s="7">
        <f t="shared" si="61"/>
        <v>15876322.971942179</v>
      </c>
      <c r="C157" s="7">
        <f t="shared" si="62"/>
        <v>-6216745.5523418952</v>
      </c>
      <c r="D157" s="7"/>
      <c r="E157" s="7"/>
      <c r="F157" s="7"/>
      <c r="G157" s="7"/>
      <c r="H157" s="7"/>
      <c r="I157" s="7"/>
      <c r="J157" s="7"/>
      <c r="K157" s="7"/>
      <c r="L157" s="1">
        <f t="shared" si="65"/>
        <v>0.62083333333333335</v>
      </c>
      <c r="M157">
        <f t="shared" si="63"/>
        <v>53640</v>
      </c>
      <c r="N157" s="9">
        <f t="shared" si="44"/>
        <v>6016.3514998906785</v>
      </c>
      <c r="O157" s="7">
        <f t="shared" si="45"/>
        <v>15876322.971942179</v>
      </c>
      <c r="P157" s="2">
        <f t="shared" si="48"/>
        <v>-1.2767563585931327</v>
      </c>
      <c r="Q157" s="2">
        <f t="shared" si="49"/>
        <v>-1.1657612206809846</v>
      </c>
      <c r="R157" s="2">
        <f t="shared" si="50"/>
        <v>-1.1654610835808012</v>
      </c>
      <c r="S157" s="2">
        <f t="shared" si="51"/>
        <v>-1.0691493603778557</v>
      </c>
      <c r="T157" s="9">
        <f t="shared" si="52"/>
        <v>5595.8504802410052</v>
      </c>
      <c r="U157" s="7">
        <f t="shared" si="53"/>
        <v>17966519.328365881</v>
      </c>
      <c r="W157">
        <f t="shared" si="64"/>
        <v>53640</v>
      </c>
      <c r="X157" s="9">
        <f t="shared" si="46"/>
        <v>1349.5730606284565</v>
      </c>
      <c r="Y157" s="2">
        <f t="shared" si="47"/>
        <v>-6216745.5523418952</v>
      </c>
      <c r="Z157" s="2">
        <f t="shared" si="54"/>
        <v>0.49994381115422265</v>
      </c>
      <c r="AA157" s="2">
        <f t="shared" si="55"/>
        <v>0.41057796728014645</v>
      </c>
      <c r="AB157" s="2">
        <f t="shared" si="56"/>
        <v>0.41052829102041305</v>
      </c>
      <c r="AC157" s="2">
        <f t="shared" si="57"/>
        <v>0.33944740576283544</v>
      </c>
      <c r="AD157" s="2">
        <f t="shared" si="58"/>
        <v>1498.4692846395471</v>
      </c>
      <c r="AE157" s="10">
        <f t="shared" si="59"/>
        <v>-5704097.9301936543</v>
      </c>
    </row>
    <row r="158" spans="1:31" x14ac:dyDescent="0.25">
      <c r="A158" s="1">
        <f t="shared" si="60"/>
        <v>0.625</v>
      </c>
      <c r="B158" s="7">
        <f t="shared" si="61"/>
        <v>17966519.328365881</v>
      </c>
      <c r="C158" s="7">
        <f t="shared" si="62"/>
        <v>-5704097.9301936543</v>
      </c>
      <c r="D158" s="7"/>
      <c r="E158" s="7"/>
      <c r="F158" s="7"/>
      <c r="G158" s="7"/>
      <c r="H158" s="7"/>
      <c r="I158" s="7"/>
      <c r="J158" s="7"/>
      <c r="K158" s="7"/>
      <c r="L158" s="1">
        <f t="shared" si="65"/>
        <v>0.625</v>
      </c>
      <c r="M158">
        <f t="shared" si="63"/>
        <v>54000</v>
      </c>
      <c r="N158" s="9">
        <f t="shared" si="44"/>
        <v>5595.8504802410052</v>
      </c>
      <c r="O158" s="7">
        <f t="shared" si="45"/>
        <v>17966519.328365881</v>
      </c>
      <c r="P158" s="2">
        <f t="shared" si="48"/>
        <v>-1.0691768910913226</v>
      </c>
      <c r="Q158" s="2">
        <f t="shared" si="49"/>
        <v>-0.98553645696426184</v>
      </c>
      <c r="R158" s="2">
        <f t="shared" si="50"/>
        <v>-0.98537335125178427</v>
      </c>
      <c r="S158" s="2">
        <f t="shared" si="51"/>
        <v>-0.91196866909126229</v>
      </c>
      <c r="T158" s="9">
        <f t="shared" si="52"/>
        <v>5240.4725696441246</v>
      </c>
      <c r="U158" s="7">
        <f t="shared" si="53"/>
        <v>19917057.477345206</v>
      </c>
      <c r="W158">
        <f t="shared" si="64"/>
        <v>54000</v>
      </c>
      <c r="X158" s="9">
        <f t="shared" si="46"/>
        <v>1498.4692846395471</v>
      </c>
      <c r="Y158" s="2">
        <f t="shared" si="47"/>
        <v>-5704097.9301936543</v>
      </c>
      <c r="Z158" s="2">
        <f t="shared" si="54"/>
        <v>0.33944747894803273</v>
      </c>
      <c r="AA158" s="2">
        <f t="shared" si="55"/>
        <v>0.28224446863433084</v>
      </c>
      <c r="AB158" s="2">
        <f t="shared" si="56"/>
        <v>0.2822257544325294</v>
      </c>
      <c r="AC158" s="2">
        <f t="shared" si="57"/>
        <v>0.23564186038350329</v>
      </c>
      <c r="AD158" s="2">
        <f t="shared" si="58"/>
        <v>1600.7110717674625</v>
      </c>
      <c r="AE158" s="10">
        <f t="shared" si="59"/>
        <v>-5146245.4660403924</v>
      </c>
    </row>
    <row r="159" spans="1:31" x14ac:dyDescent="0.25">
      <c r="A159" s="1">
        <f t="shared" si="60"/>
        <v>0.62916666666666665</v>
      </c>
      <c r="B159" s="7">
        <f t="shared" si="61"/>
        <v>19917057.477345206</v>
      </c>
      <c r="C159" s="7">
        <f t="shared" si="62"/>
        <v>-5146245.4660403924</v>
      </c>
      <c r="D159" s="7"/>
      <c r="E159" s="7"/>
      <c r="F159" s="7"/>
      <c r="G159" s="7"/>
      <c r="H159" s="7"/>
      <c r="I159" s="7"/>
      <c r="J159" s="7"/>
      <c r="K159" s="7"/>
      <c r="L159" s="1">
        <f t="shared" si="65"/>
        <v>0.62916666666666665</v>
      </c>
      <c r="M159">
        <f t="shared" si="63"/>
        <v>54360</v>
      </c>
      <c r="N159" s="9">
        <f t="shared" si="44"/>
        <v>5240.4725696441246</v>
      </c>
      <c r="O159" s="7">
        <f t="shared" si="45"/>
        <v>19917057.477345206</v>
      </c>
      <c r="P159" s="2">
        <f t="shared" si="48"/>
        <v>-0.91198211675209995</v>
      </c>
      <c r="Q159" s="2">
        <f t="shared" si="49"/>
        <v>-0.84743936022967958</v>
      </c>
      <c r="R159" s="2">
        <f t="shared" si="50"/>
        <v>-0.84734419951700379</v>
      </c>
      <c r="S159" s="2">
        <f t="shared" si="51"/>
        <v>-0.79009312971311862</v>
      </c>
      <c r="T159" s="9">
        <f t="shared" si="52"/>
        <v>4934.9740276866096</v>
      </c>
      <c r="U159" s="7">
        <f t="shared" si="53"/>
        <v>21748637.864864737</v>
      </c>
      <c r="W159">
        <f t="shared" si="64"/>
        <v>54360</v>
      </c>
      <c r="X159" s="9">
        <f t="shared" si="46"/>
        <v>1600.7110717674625</v>
      </c>
      <c r="Y159" s="2">
        <f t="shared" si="47"/>
        <v>-5146245.4660403924</v>
      </c>
      <c r="Z159" s="2">
        <f t="shared" si="54"/>
        <v>0.2356414263896067</v>
      </c>
      <c r="AA159" s="2">
        <f t="shared" si="55"/>
        <v>0.1973429014306039</v>
      </c>
      <c r="AB159" s="2">
        <f t="shared" si="56"/>
        <v>0.19733606310139643</v>
      </c>
      <c r="AC159" s="2">
        <f t="shared" si="57"/>
        <v>0.16555521991608632</v>
      </c>
      <c r="AD159" s="2">
        <f t="shared" si="58"/>
        <v>1672.1443462896441</v>
      </c>
      <c r="AE159" s="10">
        <f t="shared" si="59"/>
        <v>-4557131.4907901129</v>
      </c>
    </row>
    <row r="160" spans="1:31" x14ac:dyDescent="0.25">
      <c r="A160" s="1">
        <f t="shared" si="60"/>
        <v>0.6333333333333333</v>
      </c>
      <c r="B160" s="7">
        <f t="shared" si="61"/>
        <v>21748637.864864737</v>
      </c>
      <c r="C160" s="7">
        <f t="shared" si="62"/>
        <v>-4557131.4907901129</v>
      </c>
      <c r="D160" s="7"/>
      <c r="E160" s="7"/>
      <c r="F160" s="7"/>
      <c r="G160" s="7"/>
      <c r="H160" s="7"/>
      <c r="I160" s="7"/>
      <c r="J160" s="7"/>
      <c r="K160" s="7"/>
      <c r="L160" s="1">
        <f t="shared" si="65"/>
        <v>0.6333333333333333</v>
      </c>
      <c r="M160">
        <f t="shared" si="63"/>
        <v>54720</v>
      </c>
      <c r="N160" s="9">
        <f t="shared" si="44"/>
        <v>4934.9740276866096</v>
      </c>
      <c r="O160" s="7">
        <f t="shared" si="45"/>
        <v>21748637.864864737</v>
      </c>
      <c r="P160" s="2">
        <f t="shared" si="48"/>
        <v>-0.7901002450942104</v>
      </c>
      <c r="Q160" s="2">
        <f t="shared" si="49"/>
        <v>-0.73920664580557405</v>
      </c>
      <c r="R160" s="2">
        <f t="shared" si="50"/>
        <v>-0.73914786710242819</v>
      </c>
      <c r="S160" s="2">
        <f t="shared" si="51"/>
        <v>-0.6935714823108472</v>
      </c>
      <c r="T160" s="9">
        <f t="shared" si="52"/>
        <v>4668.5511824933456</v>
      </c>
      <c r="U160" s="7">
        <f t="shared" si="53"/>
        <v>23477272.402697127</v>
      </c>
      <c r="W160">
        <f t="shared" si="64"/>
        <v>54720</v>
      </c>
      <c r="X160" s="9">
        <f t="shared" si="46"/>
        <v>1672.1443462896441</v>
      </c>
      <c r="Y160" s="2">
        <f t="shared" si="47"/>
        <v>-4557131.4907901129</v>
      </c>
      <c r="Z160" s="2">
        <f t="shared" si="54"/>
        <v>0.16555476854100445</v>
      </c>
      <c r="AA160" s="2">
        <f t="shared" si="55"/>
        <v>0.13897497967879605</v>
      </c>
      <c r="AB160" s="2">
        <f t="shared" si="56"/>
        <v>0.13897293224688537</v>
      </c>
      <c r="AC160" s="2">
        <f t="shared" si="57"/>
        <v>0.11657798108807509</v>
      </c>
      <c r="AD160" s="2">
        <f t="shared" si="58"/>
        <v>1722.4260606984706</v>
      </c>
      <c r="AE160" s="10">
        <f t="shared" si="59"/>
        <v>-3946108.8175322521</v>
      </c>
    </row>
    <row r="161" spans="1:31" x14ac:dyDescent="0.25">
      <c r="A161" s="1">
        <f t="shared" si="60"/>
        <v>0.63749999999999996</v>
      </c>
      <c r="B161" s="7">
        <f t="shared" si="61"/>
        <v>23477272.402697127</v>
      </c>
      <c r="C161" s="7">
        <f t="shared" si="62"/>
        <v>-3946108.8175322521</v>
      </c>
      <c r="D161" s="7"/>
      <c r="E161" s="7"/>
      <c r="F161" s="7"/>
      <c r="G161" s="7"/>
      <c r="H161" s="7"/>
      <c r="I161" s="7"/>
      <c r="J161" s="7"/>
      <c r="K161" s="7"/>
      <c r="L161" s="1">
        <f t="shared" si="65"/>
        <v>0.63749999999999996</v>
      </c>
      <c r="M161">
        <f t="shared" si="63"/>
        <v>55080</v>
      </c>
      <c r="N161" s="9">
        <f t="shared" si="44"/>
        <v>4668.5511824933456</v>
      </c>
      <c r="O161" s="7">
        <f t="shared" si="45"/>
        <v>23477272.402697127</v>
      </c>
      <c r="P161" s="2">
        <f t="shared" si="48"/>
        <v>-0.69357549908219973</v>
      </c>
      <c r="Q161" s="2">
        <f t="shared" si="49"/>
        <v>-0.65267224930029</v>
      </c>
      <c r="R161" s="2">
        <f t="shared" si="50"/>
        <v>-0.65263420736857636</v>
      </c>
      <c r="S161" s="2">
        <f t="shared" si="51"/>
        <v>-0.61569553928131193</v>
      </c>
      <c r="T161" s="9">
        <f t="shared" si="52"/>
        <v>4433.3581453912711</v>
      </c>
      <c r="U161" s="7">
        <f t="shared" si="53"/>
        <v>25115616.081716359</v>
      </c>
      <c r="W161">
        <f t="shared" si="64"/>
        <v>55080</v>
      </c>
      <c r="X161" s="9">
        <f t="shared" si="46"/>
        <v>1722.4260606984706</v>
      </c>
      <c r="Y161" s="2">
        <f t="shared" si="47"/>
        <v>-3946108.8175322521</v>
      </c>
      <c r="Z161" s="2">
        <f t="shared" si="54"/>
        <v>0.11657761368557364</v>
      </c>
      <c r="AA161" s="2">
        <f t="shared" si="55"/>
        <v>9.7584715818325118E-2</v>
      </c>
      <c r="AB161" s="2">
        <f t="shared" si="56"/>
        <v>9.7584629075500487E-2</v>
      </c>
      <c r="AC161" s="2">
        <f t="shared" si="57"/>
        <v>8.1380773176907867E-2</v>
      </c>
      <c r="AD161" s="2">
        <f t="shared" si="58"/>
        <v>1757.7238852974785</v>
      </c>
      <c r="AE161" s="10">
        <f t="shared" si="59"/>
        <v>-3319681.8272529813</v>
      </c>
    </row>
    <row r="162" spans="1:31" x14ac:dyDescent="0.25">
      <c r="A162" s="1">
        <f t="shared" si="60"/>
        <v>0.64166666666666672</v>
      </c>
      <c r="B162" s="7">
        <f t="shared" si="61"/>
        <v>25115616.081716359</v>
      </c>
      <c r="C162" s="7">
        <f t="shared" si="62"/>
        <v>-3319681.8272529813</v>
      </c>
      <c r="D162" s="7"/>
      <c r="E162" s="7"/>
      <c r="F162" s="7"/>
      <c r="G162" s="7"/>
      <c r="H162" s="7"/>
      <c r="I162" s="7"/>
      <c r="J162" s="7"/>
      <c r="K162" s="7"/>
      <c r="L162" s="1">
        <f t="shared" si="65"/>
        <v>0.64166666666666672</v>
      </c>
      <c r="M162">
        <f t="shared" si="63"/>
        <v>55440</v>
      </c>
      <c r="N162" s="9">
        <f t="shared" si="44"/>
        <v>4433.3581453912711</v>
      </c>
      <c r="O162" s="7">
        <f t="shared" si="45"/>
        <v>25115616.081716359</v>
      </c>
      <c r="P162" s="2">
        <f t="shared" si="48"/>
        <v>-0.61569793118604077</v>
      </c>
      <c r="Q162" s="2">
        <f t="shared" si="49"/>
        <v>-0.58227125922275913</v>
      </c>
      <c r="R162" s="2">
        <f t="shared" si="50"/>
        <v>-0.58224566276906375</v>
      </c>
      <c r="S162" s="2">
        <f t="shared" si="51"/>
        <v>-0.5518356255641963</v>
      </c>
      <c r="T162" s="9">
        <f t="shared" si="52"/>
        <v>4223.5641013472377</v>
      </c>
      <c r="U162" s="7">
        <f t="shared" si="53"/>
        <v>26673862.086129289</v>
      </c>
      <c r="W162">
        <f t="shared" si="64"/>
        <v>55440</v>
      </c>
      <c r="X162" s="9">
        <f t="shared" si="46"/>
        <v>1757.7238852974785</v>
      </c>
      <c r="Y162" s="2">
        <f t="shared" si="47"/>
        <v>-3319681.8272529813</v>
      </c>
      <c r="Z162" s="2">
        <f t="shared" si="54"/>
        <v>8.1380493577599508E-2</v>
      </c>
      <c r="AA162" s="2">
        <f t="shared" si="55"/>
        <v>6.7479407262181615E-2</v>
      </c>
      <c r="AB162" s="2">
        <f t="shared" si="56"/>
        <v>6.7480092075902415E-2</v>
      </c>
      <c r="AC162" s="2">
        <f t="shared" si="57"/>
        <v>5.5496760996737109E-2</v>
      </c>
      <c r="AD162" s="2">
        <f t="shared" si="58"/>
        <v>1782.1316604925089</v>
      </c>
      <c r="AE162" s="10">
        <f t="shared" si="59"/>
        <v>-2682507.8290107837</v>
      </c>
    </row>
    <row r="163" spans="1:31" x14ac:dyDescent="0.25">
      <c r="A163" s="1">
        <f t="shared" si="60"/>
        <v>0.64583333333333337</v>
      </c>
      <c r="B163" s="7">
        <f t="shared" si="61"/>
        <v>26673862.086129289</v>
      </c>
      <c r="C163" s="7">
        <f t="shared" si="62"/>
        <v>-2682507.8290107837</v>
      </c>
      <c r="D163" s="7"/>
      <c r="E163" s="7"/>
      <c r="F163" s="7"/>
      <c r="G163" s="7"/>
      <c r="H163" s="7"/>
      <c r="I163" s="7"/>
      <c r="J163" s="7"/>
      <c r="K163" s="7"/>
      <c r="L163" s="1">
        <f t="shared" si="65"/>
        <v>0.64583333333333337</v>
      </c>
      <c r="M163">
        <f t="shared" si="63"/>
        <v>55800</v>
      </c>
      <c r="N163" s="9">
        <f t="shared" si="44"/>
        <v>4223.5641013472377</v>
      </c>
      <c r="O163" s="7">
        <f t="shared" si="45"/>
        <v>26673862.086129289</v>
      </c>
      <c r="P163" s="2">
        <f t="shared" si="48"/>
        <v>-0.55183711499577048</v>
      </c>
      <c r="Q163" s="2">
        <f t="shared" si="49"/>
        <v>-0.52411927776231992</v>
      </c>
      <c r="R163" s="2">
        <f t="shared" si="50"/>
        <v>-0.52410148114797994</v>
      </c>
      <c r="S163" s="2">
        <f t="shared" si="51"/>
        <v>-0.4987212147779177</v>
      </c>
      <c r="T163" s="9">
        <f t="shared" si="52"/>
        <v>4034.7441104915806</v>
      </c>
      <c r="U163" s="7">
        <f t="shared" si="53"/>
        <v>28160357.564260278</v>
      </c>
      <c r="W163">
        <f t="shared" si="64"/>
        <v>55800</v>
      </c>
      <c r="X163" s="9">
        <f t="shared" si="46"/>
        <v>1782.1316604925089</v>
      </c>
      <c r="Y163" s="2">
        <f t="shared" si="47"/>
        <v>-2682507.8290107837</v>
      </c>
      <c r="Z163" s="2">
        <f t="shared" si="54"/>
        <v>5.5496552262848553E-2</v>
      </c>
      <c r="AA163" s="2">
        <f t="shared" si="55"/>
        <v>4.5117467489376617E-2</v>
      </c>
      <c r="AB163" s="2">
        <f t="shared" si="56"/>
        <v>4.511841001324484E-2</v>
      </c>
      <c r="AC163" s="2">
        <f t="shared" si="57"/>
        <v>3.6093336495618578E-2</v>
      </c>
      <c r="AD163" s="2">
        <f t="shared" si="58"/>
        <v>1798.4553591183314</v>
      </c>
      <c r="AE163" s="10">
        <f t="shared" si="59"/>
        <v>-2038002.1654808326</v>
      </c>
    </row>
    <row r="164" spans="1:31" x14ac:dyDescent="0.25">
      <c r="A164" s="1">
        <f t="shared" si="60"/>
        <v>0.65</v>
      </c>
      <c r="B164" s="7">
        <f t="shared" si="61"/>
        <v>28160357.564260278</v>
      </c>
      <c r="C164" s="7">
        <f t="shared" si="62"/>
        <v>-2038002.1654808326</v>
      </c>
      <c r="D164" s="7"/>
      <c r="E164" s="7"/>
      <c r="F164" s="7"/>
      <c r="G164" s="7"/>
      <c r="H164" s="7"/>
      <c r="I164" s="7"/>
      <c r="J164" s="7"/>
      <c r="K164" s="7"/>
      <c r="L164" s="1">
        <f t="shared" si="65"/>
        <v>0.65</v>
      </c>
      <c r="M164">
        <f t="shared" si="63"/>
        <v>56160</v>
      </c>
      <c r="N164" s="9">
        <f t="shared" si="44"/>
        <v>4034.7441104915806</v>
      </c>
      <c r="O164" s="7">
        <f t="shared" si="45"/>
        <v>28160357.564260278</v>
      </c>
      <c r="P164" s="2">
        <f t="shared" si="48"/>
        <v>-0.49872217807948288</v>
      </c>
      <c r="Q164" s="2">
        <f t="shared" si="49"/>
        <v>-0.47544239544496197</v>
      </c>
      <c r="R164" s="2">
        <f t="shared" si="50"/>
        <v>-0.4754296703726128</v>
      </c>
      <c r="S164" s="2">
        <f t="shared" si="51"/>
        <v>-0.45399101412731629</v>
      </c>
      <c r="T164" s="9">
        <f t="shared" si="52"/>
        <v>3863.4766710610638</v>
      </c>
      <c r="U164" s="7">
        <f t="shared" si="53"/>
        <v>29582037.304939754</v>
      </c>
      <c r="W164">
        <f t="shared" si="64"/>
        <v>56160</v>
      </c>
      <c r="X164" s="9">
        <f t="shared" si="46"/>
        <v>1798.4553591183314</v>
      </c>
      <c r="Y164" s="2">
        <f t="shared" si="47"/>
        <v>-2038002.1654808326</v>
      </c>
      <c r="Z164" s="2">
        <f t="shared" si="54"/>
        <v>3.6093180868885348E-2</v>
      </c>
      <c r="AA164" s="2">
        <f t="shared" si="55"/>
        <v>2.8213466102481901E-2</v>
      </c>
      <c r="AB164" s="2">
        <f t="shared" si="56"/>
        <v>2.8214444052837555E-2</v>
      </c>
      <c r="AC164" s="2">
        <f t="shared" si="57"/>
        <v>2.1312611935462779E-2</v>
      </c>
      <c r="AD164" s="2">
        <f t="shared" si="58"/>
        <v>1808.6710559052306</v>
      </c>
      <c r="AE164" s="10">
        <f t="shared" si="59"/>
        <v>-1388719.4107765914</v>
      </c>
    </row>
    <row r="165" spans="1:31" x14ac:dyDescent="0.25">
      <c r="A165" s="1">
        <f t="shared" si="60"/>
        <v>0.65416666666666667</v>
      </c>
      <c r="B165" s="7">
        <f t="shared" si="61"/>
        <v>29582037.304939754</v>
      </c>
      <c r="C165" s="7">
        <f t="shared" si="62"/>
        <v>-1388719.4107765914</v>
      </c>
      <c r="D165" s="7"/>
      <c r="E165" s="7"/>
      <c r="F165" s="7"/>
      <c r="G165" s="7"/>
      <c r="H165" s="7"/>
      <c r="I165" s="7"/>
      <c r="J165" s="7"/>
      <c r="K165" s="7"/>
      <c r="L165" s="1">
        <f t="shared" si="65"/>
        <v>0.65416666666666667</v>
      </c>
      <c r="M165">
        <f t="shared" si="63"/>
        <v>56520</v>
      </c>
      <c r="N165" s="9">
        <f t="shared" si="44"/>
        <v>3863.4766710610638</v>
      </c>
      <c r="O165" s="7">
        <f t="shared" si="45"/>
        <v>29582037.304939754</v>
      </c>
      <c r="P165" s="2">
        <f t="shared" si="48"/>
        <v>-0.45399165775391664</v>
      </c>
      <c r="Q165" s="2">
        <f t="shared" si="49"/>
        <v>-0.43421773650333939</v>
      </c>
      <c r="R165" s="2">
        <f t="shared" si="50"/>
        <v>-0.43420841496920565</v>
      </c>
      <c r="S165" s="2">
        <f t="shared" si="51"/>
        <v>-0.41590588113746696</v>
      </c>
      <c r="T165" s="9">
        <f t="shared" si="52"/>
        <v>3707.0716805508755</v>
      </c>
      <c r="U165" s="7">
        <f t="shared" si="53"/>
        <v>30944736.008229904</v>
      </c>
      <c r="W165">
        <f t="shared" si="64"/>
        <v>56520</v>
      </c>
      <c r="X165" s="9">
        <f t="shared" si="46"/>
        <v>1808.6710559052306</v>
      </c>
      <c r="Y165" s="2">
        <f t="shared" si="47"/>
        <v>-1388719.4107765914</v>
      </c>
      <c r="Z165" s="2">
        <f t="shared" si="54"/>
        <v>2.1312495179235662E-2</v>
      </c>
      <c r="AA165" s="2">
        <f t="shared" si="55"/>
        <v>1.5245812933388092E-2</v>
      </c>
      <c r="AB165" s="2">
        <f t="shared" si="56"/>
        <v>1.5246734071831634E-2</v>
      </c>
      <c r="AC165" s="2">
        <f t="shared" si="57"/>
        <v>9.9002365091487368E-3</v>
      </c>
      <c r="AD165" s="2">
        <f t="shared" si="58"/>
        <v>1814.2029254471599</v>
      </c>
      <c r="AE165" s="10">
        <f t="shared" si="59"/>
        <v>-736602.09413316101</v>
      </c>
    </row>
    <row r="166" spans="1:31" x14ac:dyDescent="0.25">
      <c r="A166" s="1">
        <f t="shared" si="60"/>
        <v>0.65833333333333333</v>
      </c>
      <c r="B166" s="7">
        <f t="shared" si="61"/>
        <v>30944736.008229904</v>
      </c>
      <c r="C166" s="7">
        <f t="shared" si="62"/>
        <v>-736602.09413316101</v>
      </c>
      <c r="D166" s="7"/>
      <c r="E166" s="7"/>
      <c r="F166" s="7"/>
      <c r="G166" s="7"/>
      <c r="H166" s="7"/>
      <c r="I166" s="7"/>
      <c r="J166" s="7"/>
      <c r="K166" s="7"/>
      <c r="L166" s="1">
        <f t="shared" si="65"/>
        <v>0.65833333333333333</v>
      </c>
      <c r="M166">
        <f t="shared" si="63"/>
        <v>56880</v>
      </c>
      <c r="N166" s="9">
        <f t="shared" si="44"/>
        <v>3707.0716805508755</v>
      </c>
      <c r="O166" s="7">
        <f t="shared" si="45"/>
        <v>30944736.008229904</v>
      </c>
      <c r="P166" s="2">
        <f t="shared" si="48"/>
        <v>-0.41590632347717066</v>
      </c>
      <c r="Q166" s="2">
        <f t="shared" si="49"/>
        <v>-0.39894176233755013</v>
      </c>
      <c r="R166" s="2">
        <f t="shared" si="50"/>
        <v>-0.39893478852702519</v>
      </c>
      <c r="S166" s="2">
        <f t="shared" si="51"/>
        <v>-0.38316156420926933</v>
      </c>
      <c r="T166" s="9">
        <f t="shared" si="52"/>
        <v>3563.3824211859401</v>
      </c>
      <c r="U166" s="7">
        <f t="shared" si="53"/>
        <v>32253417.746542532</v>
      </c>
      <c r="W166">
        <f t="shared" si="64"/>
        <v>56880</v>
      </c>
      <c r="X166" s="9">
        <f t="shared" si="46"/>
        <v>1814.2029254471599</v>
      </c>
      <c r="Y166" s="2">
        <f t="shared" si="47"/>
        <v>-736602.09413316101</v>
      </c>
      <c r="Z166" s="2">
        <f t="shared" si="54"/>
        <v>9.9001480818923324E-3</v>
      </c>
      <c r="AA166" s="2">
        <f t="shared" si="55"/>
        <v>5.1738305594729922E-3</v>
      </c>
      <c r="AB166" s="2">
        <f t="shared" si="56"/>
        <v>5.1746615722916773E-3</v>
      </c>
      <c r="AC166" s="2">
        <f t="shared" si="57"/>
        <v>9.8784252429177824E-4</v>
      </c>
      <c r="AD166" s="2">
        <f t="shared" si="58"/>
        <v>1816.0980239393427</v>
      </c>
      <c r="AE166" s="10">
        <f t="shared" si="59"/>
        <v>-83147.923243590514</v>
      </c>
    </row>
    <row r="167" spans="1:31" x14ac:dyDescent="0.25">
      <c r="A167" s="1">
        <f t="shared" si="60"/>
        <v>0.66249999999999998</v>
      </c>
      <c r="B167" s="7">
        <f t="shared" si="61"/>
        <v>32253417.746542532</v>
      </c>
      <c r="C167" s="7">
        <f t="shared" si="62"/>
        <v>-83147.923243590514</v>
      </c>
      <c r="D167" s="7"/>
      <c r="E167" s="7"/>
      <c r="F167" s="7"/>
      <c r="G167" s="7"/>
      <c r="H167" s="7"/>
      <c r="I167" s="7"/>
      <c r="J167" s="7"/>
      <c r="K167" s="7"/>
      <c r="L167" s="1">
        <f t="shared" si="65"/>
        <v>0.66249999999999998</v>
      </c>
      <c r="M167">
        <f t="shared" si="63"/>
        <v>57240</v>
      </c>
      <c r="N167" s="9">
        <f t="shared" si="44"/>
        <v>3563.3824211859401</v>
      </c>
      <c r="O167" s="7">
        <f t="shared" si="45"/>
        <v>32253417.746542532</v>
      </c>
      <c r="P167" s="2">
        <f t="shared" si="48"/>
        <v>-0.38316187580692512</v>
      </c>
      <c r="Q167" s="2">
        <f t="shared" si="49"/>
        <v>-0.36847754908018482</v>
      </c>
      <c r="R167" s="2">
        <f t="shared" si="50"/>
        <v>-0.36847223412579916</v>
      </c>
      <c r="S167" s="2">
        <f t="shared" si="51"/>
        <v>-0.35476386421510009</v>
      </c>
      <c r="T167" s="9">
        <f t="shared" si="52"/>
        <v>3430.6729027999004</v>
      </c>
      <c r="U167" s="7">
        <f t="shared" si="53"/>
        <v>33512347.704859983</v>
      </c>
      <c r="W167">
        <f t="shared" si="64"/>
        <v>57240</v>
      </c>
      <c r="X167" s="9">
        <f t="shared" si="46"/>
        <v>1816.0980239393427</v>
      </c>
      <c r="Y167" s="2">
        <f t="shared" si="47"/>
        <v>-83147.923243590514</v>
      </c>
      <c r="Z167" s="2">
        <f t="shared" si="54"/>
        <v>9.8777483025822271E-4</v>
      </c>
      <c r="AA167" s="2">
        <f t="shared" si="55"/>
        <v>-2.7311026706286897E-3</v>
      </c>
      <c r="AB167" s="2">
        <f t="shared" si="56"/>
        <v>-2.730368555580379E-3</v>
      </c>
      <c r="AC167" s="2">
        <f t="shared" si="57"/>
        <v>-6.0390347436780111E-3</v>
      </c>
      <c r="AD167" s="2">
        <f t="shared" si="58"/>
        <v>1815.1395717973924</v>
      </c>
      <c r="AE167" s="10">
        <f t="shared" si="59"/>
        <v>570474.84398902173</v>
      </c>
    </row>
    <row r="168" spans="1:31" x14ac:dyDescent="0.25">
      <c r="A168" s="1">
        <f t="shared" si="60"/>
        <v>0.66666666666666663</v>
      </c>
      <c r="B168" s="7">
        <f t="shared" si="61"/>
        <v>33512347.704859983</v>
      </c>
      <c r="C168" s="7">
        <f t="shared" si="62"/>
        <v>570474.84398902173</v>
      </c>
      <c r="D168" s="7"/>
      <c r="E168" s="7"/>
      <c r="F168" s="7"/>
      <c r="G168" s="7"/>
      <c r="H168" s="7"/>
      <c r="I168" s="7"/>
      <c r="J168" s="7"/>
      <c r="K168" s="7"/>
      <c r="L168" s="1">
        <f t="shared" si="65"/>
        <v>0.66666666666666663</v>
      </c>
      <c r="M168">
        <f t="shared" si="63"/>
        <v>57600</v>
      </c>
      <c r="N168" s="9">
        <f t="shared" si="44"/>
        <v>3430.6729027999004</v>
      </c>
      <c r="O168" s="7">
        <f t="shared" si="45"/>
        <v>33512347.704859983</v>
      </c>
      <c r="P168" s="2">
        <f t="shared" si="48"/>
        <v>-0.3547640885422973</v>
      </c>
      <c r="Q168" s="2">
        <f t="shared" si="49"/>
        <v>-0.34195193355677533</v>
      </c>
      <c r="R168" s="2">
        <f t="shared" si="50"/>
        <v>-0.34194781586963241</v>
      </c>
      <c r="S168" s="2">
        <f t="shared" si="51"/>
        <v>-0.32994366692136123</v>
      </c>
      <c r="T168" s="9">
        <f t="shared" si="52"/>
        <v>3307.5224675409117</v>
      </c>
      <c r="U168" s="7">
        <f t="shared" si="53"/>
        <v>34725222.871521331</v>
      </c>
      <c r="W168">
        <f t="shared" si="64"/>
        <v>57600</v>
      </c>
      <c r="X168" s="9">
        <f t="shared" si="46"/>
        <v>1815.1395717973924</v>
      </c>
      <c r="Y168" s="2">
        <f t="shared" si="47"/>
        <v>570474.84398902173</v>
      </c>
      <c r="Z168" s="2">
        <f t="shared" si="54"/>
        <v>-6.0390871402518729E-3</v>
      </c>
      <c r="AA168" s="2">
        <f t="shared" si="55"/>
        <v>-8.9897056507766294E-3</v>
      </c>
      <c r="AB168" s="2">
        <f t="shared" si="56"/>
        <v>-8.9890637341622417E-3</v>
      </c>
      <c r="AC168" s="2">
        <f t="shared" si="57"/>
        <v>-1.1623655846975261E-2</v>
      </c>
      <c r="AD168" s="2">
        <f t="shared" si="58"/>
        <v>1811.9223548919661</v>
      </c>
      <c r="AE168" s="10">
        <f t="shared" si="59"/>
        <v>1223345.9907931061</v>
      </c>
    </row>
    <row r="169" spans="1:31" x14ac:dyDescent="0.25">
      <c r="A169" s="1">
        <f t="shared" si="60"/>
        <v>0.67083333333333328</v>
      </c>
      <c r="B169" s="7">
        <f t="shared" si="61"/>
        <v>34725222.871521331</v>
      </c>
      <c r="C169" s="7">
        <f t="shared" si="62"/>
        <v>1223345.9907931061</v>
      </c>
      <c r="D169" s="7"/>
      <c r="E169" s="7"/>
      <c r="F169" s="7"/>
      <c r="G169" s="7"/>
      <c r="H169" s="7"/>
      <c r="I169" s="7"/>
      <c r="J169" s="7"/>
      <c r="K169" s="7"/>
      <c r="L169" s="1">
        <f t="shared" si="65"/>
        <v>0.67083333333333328</v>
      </c>
      <c r="M169">
        <f t="shared" si="63"/>
        <v>57960</v>
      </c>
      <c r="N169" s="9">
        <f t="shared" si="44"/>
        <v>3307.5224675409117</v>
      </c>
      <c r="O169" s="7">
        <f t="shared" si="45"/>
        <v>34725222.871521331</v>
      </c>
      <c r="P169" s="2">
        <f t="shared" si="48"/>
        <v>-0.32994383157129281</v>
      </c>
      <c r="Q169" s="2">
        <f t="shared" si="49"/>
        <v>-0.31868483383828117</v>
      </c>
      <c r="R169" s="2">
        <f t="shared" si="50"/>
        <v>-0.31868159673324159</v>
      </c>
      <c r="S169" s="2">
        <f t="shared" si="51"/>
        <v>-0.30809798318868253</v>
      </c>
      <c r="T169" s="9">
        <f t="shared" si="52"/>
        <v>3192.7559869867305</v>
      </c>
      <c r="U169" s="7">
        <f t="shared" si="53"/>
        <v>35895272.993336305</v>
      </c>
      <c r="W169">
        <f t="shared" si="64"/>
        <v>57960</v>
      </c>
      <c r="X169" s="9">
        <f t="shared" si="46"/>
        <v>1811.9223548919661</v>
      </c>
      <c r="Y169" s="2">
        <f t="shared" si="47"/>
        <v>1223345.9907931061</v>
      </c>
      <c r="Z169" s="2">
        <f t="shared" si="54"/>
        <v>-1.1623696845172485E-2</v>
      </c>
      <c r="AA169" s="2">
        <f t="shared" si="55"/>
        <v>-1.3980924663745046E-2</v>
      </c>
      <c r="AB169" s="2">
        <f t="shared" si="56"/>
        <v>-1.398036584704232E-2</v>
      </c>
      <c r="AC169" s="2">
        <f t="shared" si="57"/>
        <v>-1.6091284872479131E-2</v>
      </c>
      <c r="AD169" s="2">
        <f t="shared" si="58"/>
        <v>1806.9041011276124</v>
      </c>
      <c r="AE169" s="10">
        <f t="shared" si="59"/>
        <v>1874734.7528766303</v>
      </c>
    </row>
    <row r="170" spans="1:31" x14ac:dyDescent="0.25">
      <c r="A170" s="1">
        <f t="shared" si="60"/>
        <v>0.67500000000000004</v>
      </c>
      <c r="B170" s="7">
        <f t="shared" si="61"/>
        <v>35895272.993336305</v>
      </c>
      <c r="C170" s="7">
        <f t="shared" si="62"/>
        <v>1874734.7528766303</v>
      </c>
      <c r="D170" s="7"/>
      <c r="E170" s="7"/>
      <c r="F170" s="7"/>
      <c r="G170" s="7"/>
      <c r="H170" s="7"/>
      <c r="I170" s="7"/>
      <c r="J170" s="7"/>
      <c r="K170" s="7"/>
      <c r="L170" s="1">
        <f t="shared" si="65"/>
        <v>0.67500000000000004</v>
      </c>
      <c r="M170">
        <f t="shared" si="63"/>
        <v>58320</v>
      </c>
      <c r="N170" s="9">
        <f t="shared" si="44"/>
        <v>3192.7559869867305</v>
      </c>
      <c r="O170" s="7">
        <f t="shared" si="45"/>
        <v>35895272.993336305</v>
      </c>
      <c r="P170" s="2">
        <f t="shared" si="48"/>
        <v>-0.30809810614235561</v>
      </c>
      <c r="Q170" s="2">
        <f t="shared" si="49"/>
        <v>-0.29813976379968399</v>
      </c>
      <c r="R170" s="2">
        <f t="shared" si="50"/>
        <v>-0.29813718538337675</v>
      </c>
      <c r="S170" s="2">
        <f t="shared" si="51"/>
        <v>-0.28874829784780121</v>
      </c>
      <c r="T170" s="9">
        <f t="shared" si="52"/>
        <v>3085.3919688453539</v>
      </c>
      <c r="U170" s="7">
        <f t="shared" si="53"/>
        <v>37025339.625386082</v>
      </c>
      <c r="W170">
        <f t="shared" si="64"/>
        <v>58320</v>
      </c>
      <c r="X170" s="9">
        <f t="shared" si="46"/>
        <v>1806.9041011276124</v>
      </c>
      <c r="Y170" s="2">
        <f t="shared" si="47"/>
        <v>1874734.7528766303</v>
      </c>
      <c r="Z170" s="2">
        <f t="shared" si="54"/>
        <v>-1.6091317288150629E-2</v>
      </c>
      <c r="AA170" s="2">
        <f t="shared" si="55"/>
        <v>-1.7985011613232592E-2</v>
      </c>
      <c r="AB170" s="2">
        <f t="shared" si="56"/>
        <v>-1.7984525685359101E-2</v>
      </c>
      <c r="AC170" s="2">
        <f t="shared" si="57"/>
        <v>-1.9684260052410061E-2</v>
      </c>
      <c r="AD170" s="2">
        <f t="shared" si="58"/>
        <v>1800.4412220113477</v>
      </c>
      <c r="AE170" s="10">
        <f t="shared" si="59"/>
        <v>2524056.911041643</v>
      </c>
    </row>
    <row r="171" spans="1:31" x14ac:dyDescent="0.25">
      <c r="A171" s="1">
        <f t="shared" si="60"/>
        <v>0.6791666666666667</v>
      </c>
      <c r="B171" s="7">
        <f t="shared" si="61"/>
        <v>37025339.625386082</v>
      </c>
      <c r="C171" s="7">
        <f t="shared" si="62"/>
        <v>2524056.911041643</v>
      </c>
      <c r="D171" s="7"/>
      <c r="E171" s="7"/>
      <c r="F171" s="7"/>
      <c r="G171" s="7"/>
      <c r="H171" s="7"/>
      <c r="I171" s="7"/>
      <c r="J171" s="7"/>
      <c r="K171" s="7"/>
      <c r="L171" s="1">
        <f t="shared" si="65"/>
        <v>0.6791666666666667</v>
      </c>
      <c r="M171">
        <f t="shared" si="63"/>
        <v>58680</v>
      </c>
      <c r="N171" s="9">
        <f t="shared" si="44"/>
        <v>3085.3919688453539</v>
      </c>
      <c r="O171" s="7">
        <f t="shared" si="45"/>
        <v>37025339.625386082</v>
      </c>
      <c r="P171" s="2">
        <f t="shared" si="48"/>
        <v>-0.2887483911009765</v>
      </c>
      <c r="Q171" s="2">
        <f t="shared" si="49"/>
        <v>-0.27988858455252075</v>
      </c>
      <c r="R171" s="2">
        <f t="shared" si="50"/>
        <v>-0.2798865063847264</v>
      </c>
      <c r="S171" s="2">
        <f t="shared" si="51"/>
        <v>-0.27151065693857851</v>
      </c>
      <c r="T171" s="9">
        <f t="shared" si="52"/>
        <v>2984.6034150505111</v>
      </c>
      <c r="U171" s="7">
        <f t="shared" si="53"/>
        <v>38117938.794487335</v>
      </c>
      <c r="W171">
        <f t="shared" si="64"/>
        <v>58680</v>
      </c>
      <c r="X171" s="9">
        <f t="shared" si="46"/>
        <v>1800.4412220113477</v>
      </c>
      <c r="Y171" s="2">
        <f t="shared" si="47"/>
        <v>2524056.911041643</v>
      </c>
      <c r="Z171" s="2">
        <f t="shared" si="54"/>
        <v>-1.9684285937268928E-2</v>
      </c>
      <c r="AA171" s="2">
        <f t="shared" si="55"/>
        <v>-2.1212234017566948E-2</v>
      </c>
      <c r="AB171" s="2">
        <f t="shared" si="56"/>
        <v>-2.1211811122654724E-2</v>
      </c>
      <c r="AC171" s="2">
        <f t="shared" si="57"/>
        <v>-2.2585614329351623E-2</v>
      </c>
      <c r="AD171" s="2">
        <f t="shared" si="58"/>
        <v>1792.8141425785238</v>
      </c>
      <c r="AE171" s="10">
        <f t="shared" si="59"/>
        <v>3170842.8766678199</v>
      </c>
    </row>
    <row r="172" spans="1:31" x14ac:dyDescent="0.25">
      <c r="A172" s="1">
        <f t="shared" si="60"/>
        <v>0.68333333333333335</v>
      </c>
      <c r="B172" s="7">
        <f t="shared" si="61"/>
        <v>38117938.794487335</v>
      </c>
      <c r="C172" s="7">
        <f t="shared" si="62"/>
        <v>3170842.8766678199</v>
      </c>
      <c r="D172" s="7"/>
      <c r="E172" s="7"/>
      <c r="F172" s="7"/>
      <c r="G172" s="7"/>
      <c r="H172" s="7"/>
      <c r="I172" s="7"/>
      <c r="J172" s="7"/>
      <c r="K172" s="7"/>
      <c r="L172" s="1">
        <f t="shared" si="65"/>
        <v>0.68333333333333335</v>
      </c>
      <c r="M172">
        <f t="shared" si="63"/>
        <v>59040</v>
      </c>
      <c r="N172" s="9">
        <f t="shared" si="44"/>
        <v>2984.6034150505111</v>
      </c>
      <c r="O172" s="7">
        <f t="shared" si="45"/>
        <v>38117938.794487335</v>
      </c>
      <c r="P172" s="2">
        <f t="shared" si="48"/>
        <v>-0.27151072866481829</v>
      </c>
      <c r="Q172" s="2">
        <f t="shared" si="49"/>
        <v>-0.26358599569858199</v>
      </c>
      <c r="R172" s="2">
        <f t="shared" si="50"/>
        <v>-0.26358430270259181</v>
      </c>
      <c r="S172" s="2">
        <f t="shared" si="51"/>
        <v>-0.25607385662562315</v>
      </c>
      <c r="T172" s="9">
        <f t="shared" si="52"/>
        <v>2889.687904124944</v>
      </c>
      <c r="U172" s="7">
        <f t="shared" si="53"/>
        <v>39175311.231938913</v>
      </c>
      <c r="W172">
        <f t="shared" si="64"/>
        <v>59040</v>
      </c>
      <c r="X172" s="9">
        <f t="shared" si="46"/>
        <v>1792.8141425785238</v>
      </c>
      <c r="Y172" s="2">
        <f t="shared" si="47"/>
        <v>3170842.8766678199</v>
      </c>
      <c r="Z172" s="2">
        <f t="shared" si="54"/>
        <v>-2.2585635193113515E-2</v>
      </c>
      <c r="AA172" s="2">
        <f t="shared" si="55"/>
        <v>-2.3822404718027795E-2</v>
      </c>
      <c r="AB172" s="2">
        <f t="shared" si="56"/>
        <v>-2.3822035946013773E-2</v>
      </c>
      <c r="AC172" s="2">
        <f t="shared" si="57"/>
        <v>-2.4935295902975836E-2</v>
      </c>
      <c r="AD172" s="2">
        <f t="shared" si="58"/>
        <v>1784.2455538330735</v>
      </c>
      <c r="AE172" s="10">
        <f t="shared" si="59"/>
        <v>3814713.6220219075</v>
      </c>
    </row>
    <row r="173" spans="1:31" x14ac:dyDescent="0.25">
      <c r="A173" s="1">
        <f t="shared" si="60"/>
        <v>0.6875</v>
      </c>
      <c r="B173" s="7">
        <f t="shared" si="61"/>
        <v>39175311.231938913</v>
      </c>
      <c r="C173" s="7">
        <f t="shared" si="62"/>
        <v>3814713.6220219075</v>
      </c>
      <c r="D173" s="7"/>
      <c r="E173" s="7"/>
      <c r="F173" s="7"/>
      <c r="G173" s="7"/>
      <c r="H173" s="7"/>
      <c r="I173" s="7"/>
      <c r="J173" s="7"/>
      <c r="K173" s="7"/>
      <c r="L173" s="1">
        <f t="shared" si="65"/>
        <v>0.6875</v>
      </c>
      <c r="M173">
        <f t="shared" si="63"/>
        <v>59400</v>
      </c>
      <c r="N173" s="9">
        <f t="shared" si="44"/>
        <v>2889.687904124944</v>
      </c>
      <c r="O173" s="7">
        <f t="shared" si="45"/>
        <v>39175311.231938913</v>
      </c>
      <c r="P173" s="2">
        <f t="shared" si="48"/>
        <v>-0.25607391250142386</v>
      </c>
      <c r="Q173" s="2">
        <f t="shared" si="49"/>
        <v>-0.24895080386627691</v>
      </c>
      <c r="R173" s="2">
        <f t="shared" si="50"/>
        <v>-0.24894941115960581</v>
      </c>
      <c r="S173" s="2">
        <f t="shared" si="51"/>
        <v>-0.24218331564350928</v>
      </c>
      <c r="T173" s="9">
        <f t="shared" si="52"/>
        <v>2800.0444446331421</v>
      </c>
      <c r="U173" s="7">
        <f t="shared" si="53"/>
        <v>40199463.054715373</v>
      </c>
      <c r="W173">
        <f t="shared" si="64"/>
        <v>59400</v>
      </c>
      <c r="X173" s="9">
        <f t="shared" si="46"/>
        <v>1784.2455538330735</v>
      </c>
      <c r="Y173" s="2">
        <f t="shared" si="47"/>
        <v>3814713.6220219075</v>
      </c>
      <c r="Z173" s="2">
        <f t="shared" si="54"/>
        <v>-2.4935312867845724E-2</v>
      </c>
      <c r="AA173" s="2">
        <f t="shared" si="55"/>
        <v>-2.5938413998431102E-2</v>
      </c>
      <c r="AB173" s="2">
        <f t="shared" si="56"/>
        <v>-2.59380915575778E-2</v>
      </c>
      <c r="AC173" s="2">
        <f t="shared" si="57"/>
        <v>-2.6841504067863543E-2</v>
      </c>
      <c r="AD173" s="2">
        <f t="shared" si="58"/>
        <v>1774.9137641502098</v>
      </c>
      <c r="AE173" s="10">
        <f t="shared" si="59"/>
        <v>4455362.2992588989</v>
      </c>
    </row>
    <row r="174" spans="1:31" x14ac:dyDescent="0.25">
      <c r="A174" s="1">
        <f t="shared" si="60"/>
        <v>0.69166666666666665</v>
      </c>
      <c r="B174" s="7">
        <f t="shared" si="61"/>
        <v>40199463.054715373</v>
      </c>
      <c r="C174" s="7">
        <f t="shared" si="62"/>
        <v>4455362.2992588989</v>
      </c>
      <c r="D174" s="7"/>
      <c r="E174" s="7"/>
      <c r="F174" s="7"/>
      <c r="G174" s="7"/>
      <c r="H174" s="7"/>
      <c r="I174" s="7"/>
      <c r="J174" s="7"/>
      <c r="K174" s="7"/>
      <c r="L174" s="1">
        <f t="shared" si="65"/>
        <v>0.69166666666666665</v>
      </c>
      <c r="M174">
        <f t="shared" si="63"/>
        <v>59760</v>
      </c>
      <c r="N174" s="9">
        <f t="shared" si="44"/>
        <v>2800.0444446331421</v>
      </c>
      <c r="O174" s="7">
        <f t="shared" si="45"/>
        <v>40199463.054715373</v>
      </c>
      <c r="P174" s="2">
        <f t="shared" si="48"/>
        <v>-0.24218335968004451</v>
      </c>
      <c r="Q174" s="2">
        <f t="shared" si="49"/>
        <v>-0.23575198182912652</v>
      </c>
      <c r="R174" s="2">
        <f t="shared" si="50"/>
        <v>-0.23575082591422031</v>
      </c>
      <c r="S174" s="2">
        <f t="shared" si="51"/>
        <v>-0.22962899554967373</v>
      </c>
      <c r="T174" s="9">
        <f t="shared" si="52"/>
        <v>2715.1553663901573</v>
      </c>
      <c r="U174" s="7">
        <f t="shared" si="53"/>
        <v>41192199.020699568</v>
      </c>
      <c r="W174">
        <f t="shared" si="64"/>
        <v>59760</v>
      </c>
      <c r="X174" s="9">
        <f t="shared" si="46"/>
        <v>1774.9137641502098</v>
      </c>
      <c r="Y174" s="2">
        <f t="shared" si="47"/>
        <v>4455362.2992588989</v>
      </c>
      <c r="Z174" s="2">
        <f t="shared" si="54"/>
        <v>-2.6841517976438693E-2</v>
      </c>
      <c r="AA174" s="2">
        <f t="shared" si="55"/>
        <v>-2.765576380965162E-2</v>
      </c>
      <c r="AB174" s="2">
        <f t="shared" si="56"/>
        <v>-2.7655481007247417E-2</v>
      </c>
      <c r="AC174" s="2">
        <f t="shared" si="57"/>
        <v>-2.8388738361740062E-2</v>
      </c>
      <c r="AD174" s="2">
        <f t="shared" si="58"/>
        <v>1764.9625993918912</v>
      </c>
      <c r="AE174" s="10">
        <f t="shared" si="59"/>
        <v>5092540.0446964772</v>
      </c>
    </row>
    <row r="175" spans="1:31" x14ac:dyDescent="0.25">
      <c r="A175" s="1">
        <f t="shared" si="60"/>
        <v>0.6958333333333333</v>
      </c>
      <c r="B175" s="7">
        <f t="shared" si="61"/>
        <v>41192199.020699568</v>
      </c>
      <c r="C175" s="7">
        <f t="shared" si="62"/>
        <v>5092540.0446964772</v>
      </c>
      <c r="D175" s="7"/>
      <c r="E175" s="7"/>
      <c r="F175" s="7"/>
      <c r="G175" s="7"/>
      <c r="H175" s="7"/>
      <c r="I175" s="7"/>
      <c r="J175" s="7"/>
      <c r="K175" s="7"/>
      <c r="L175" s="1">
        <f t="shared" si="65"/>
        <v>0.6958333333333333</v>
      </c>
      <c r="M175">
        <f t="shared" si="63"/>
        <v>60120</v>
      </c>
      <c r="N175" s="9">
        <f t="shared" si="44"/>
        <v>2715.1553663901573</v>
      </c>
      <c r="O175" s="7">
        <f t="shared" si="45"/>
        <v>41192199.020699568</v>
      </c>
      <c r="P175" s="2">
        <f t="shared" si="48"/>
        <v>-0.22962903062647094</v>
      </c>
      <c r="Q175" s="2">
        <f t="shared" si="49"/>
        <v>-0.22379816356799179</v>
      </c>
      <c r="R175" s="2">
        <f t="shared" si="50"/>
        <v>-0.22379719632988698</v>
      </c>
      <c r="S175" s="2">
        <f t="shared" si="51"/>
        <v>-0.21823624446131509</v>
      </c>
      <c r="T175" s="9">
        <f t="shared" si="52"/>
        <v>2634.5720066971448</v>
      </c>
      <c r="U175" s="7">
        <f t="shared" si="53"/>
        <v>42155149.947855279</v>
      </c>
      <c r="W175">
        <f t="shared" si="64"/>
        <v>60120</v>
      </c>
      <c r="X175" s="9">
        <f t="shared" si="46"/>
        <v>1764.9625993918912</v>
      </c>
      <c r="Y175" s="2">
        <f t="shared" si="47"/>
        <v>5092540.0446964772</v>
      </c>
      <c r="Z175" s="2">
        <f t="shared" si="54"/>
        <v>-2.8388749852915292E-2</v>
      </c>
      <c r="AA175" s="2">
        <f t="shared" si="55"/>
        <v>-2.9049387970406026E-2</v>
      </c>
      <c r="AB175" s="2">
        <f t="shared" si="56"/>
        <v>-2.9049139113156059E-2</v>
      </c>
      <c r="AC175" s="2">
        <f t="shared" si="57"/>
        <v>-2.9643597406607526E-2</v>
      </c>
      <c r="AD175" s="2">
        <f t="shared" si="58"/>
        <v>1754.5088353062924</v>
      </c>
      <c r="AE175" s="10">
        <f t="shared" si="59"/>
        <v>5726044.9029421499</v>
      </c>
    </row>
    <row r="176" spans="1:31" x14ac:dyDescent="0.25">
      <c r="A176" s="1">
        <f t="shared" si="60"/>
        <v>0.7</v>
      </c>
      <c r="B176" s="7">
        <f t="shared" si="61"/>
        <v>42155149.947855279</v>
      </c>
      <c r="C176" s="7">
        <f t="shared" si="62"/>
        <v>5726044.9029421499</v>
      </c>
      <c r="D176" s="7"/>
      <c r="E176" s="7"/>
      <c r="F176" s="7"/>
      <c r="G176" s="7"/>
      <c r="H176" s="7"/>
      <c r="I176" s="7"/>
      <c r="J176" s="7"/>
      <c r="K176" s="7"/>
      <c r="L176" s="1">
        <f t="shared" si="65"/>
        <v>0.7</v>
      </c>
      <c r="M176">
        <f t="shared" si="63"/>
        <v>60480</v>
      </c>
      <c r="N176" s="9">
        <f t="shared" si="44"/>
        <v>2634.5720066971448</v>
      </c>
      <c r="O176" s="7">
        <f t="shared" si="45"/>
        <v>42155149.947855279</v>
      </c>
      <c r="P176" s="2">
        <f t="shared" si="48"/>
        <v>-0.21823627267562093</v>
      </c>
      <c r="Q176" s="2">
        <f t="shared" si="49"/>
        <v>-0.21292963718365873</v>
      </c>
      <c r="R176" s="2">
        <f t="shared" si="50"/>
        <v>-0.21292882173074645</v>
      </c>
      <c r="S176" s="2">
        <f t="shared" si="51"/>
        <v>-0.20785877984219195</v>
      </c>
      <c r="T176" s="9">
        <f t="shared" si="52"/>
        <v>2557.9032884763474</v>
      </c>
      <c r="U176" s="7">
        <f t="shared" si="53"/>
        <v>43089795.500986509</v>
      </c>
      <c r="W176">
        <f t="shared" si="64"/>
        <v>60480</v>
      </c>
      <c r="X176" s="9">
        <f t="shared" si="46"/>
        <v>1754.5088353062924</v>
      </c>
      <c r="Y176" s="2">
        <f t="shared" si="47"/>
        <v>5726044.9029421499</v>
      </c>
      <c r="Z176" s="2">
        <f t="shared" si="54"/>
        <v>-2.9643606969423676E-2</v>
      </c>
      <c r="AA176" s="2">
        <f t="shared" si="55"/>
        <v>-3.0178599004732888E-2</v>
      </c>
      <c r="AB176" s="2">
        <f t="shared" si="56"/>
        <v>-3.0178379273116805E-2</v>
      </c>
      <c r="AC176" s="2">
        <f t="shared" si="57"/>
        <v>-3.0659012322912182E-2</v>
      </c>
      <c r="AD176" s="2">
        <f t="shared" si="58"/>
        <v>1743.6478407554102</v>
      </c>
      <c r="AE176" s="10">
        <f t="shared" si="59"/>
        <v>6355713.1046332568</v>
      </c>
    </row>
    <row r="177" spans="1:31" x14ac:dyDescent="0.25">
      <c r="A177" s="1">
        <f t="shared" si="60"/>
        <v>0.70416666666666672</v>
      </c>
      <c r="B177" s="7">
        <f t="shared" si="61"/>
        <v>43089795.500986509</v>
      </c>
      <c r="C177" s="7">
        <f t="shared" si="62"/>
        <v>6355713.1046332568</v>
      </c>
      <c r="D177" s="7"/>
      <c r="E177" s="7"/>
      <c r="F177" s="7"/>
      <c r="G177" s="7"/>
      <c r="H177" s="7"/>
      <c r="I177" s="7"/>
      <c r="J177" s="7"/>
      <c r="K177" s="7"/>
      <c r="L177" s="1">
        <f t="shared" si="65"/>
        <v>0.70416666666666672</v>
      </c>
      <c r="M177">
        <f t="shared" si="63"/>
        <v>60840</v>
      </c>
      <c r="N177" s="9">
        <f t="shared" si="44"/>
        <v>2557.9032884763474</v>
      </c>
      <c r="O177" s="7">
        <f t="shared" si="45"/>
        <v>43089795.500986509</v>
      </c>
      <c r="P177" s="2">
        <f t="shared" si="48"/>
        <v>-0.20785880274191912</v>
      </c>
      <c r="Q177" s="2">
        <f t="shared" si="49"/>
        <v>-0.20301217657828285</v>
      </c>
      <c r="R177" s="2">
        <f t="shared" si="50"/>
        <v>-0.2030114843153453</v>
      </c>
      <c r="S177" s="2">
        <f t="shared" si="51"/>
        <v>-0.1983732553771661</v>
      </c>
      <c r="T177" s="9">
        <f t="shared" si="52"/>
        <v>2484.8065256819668</v>
      </c>
      <c r="U177" s="7">
        <f t="shared" si="53"/>
        <v>43997483.267535008</v>
      </c>
      <c r="W177">
        <f t="shared" si="64"/>
        <v>60840</v>
      </c>
      <c r="X177" s="9">
        <f t="shared" si="46"/>
        <v>1743.6478407554102</v>
      </c>
      <c r="Y177" s="2">
        <f t="shared" si="47"/>
        <v>6355713.1046332568</v>
      </c>
      <c r="Z177" s="2">
        <f t="shared" si="54"/>
        <v>-3.0659020335103523E-2</v>
      </c>
      <c r="AA177" s="2">
        <f t="shared" si="55"/>
        <v>-3.109072204572956E-2</v>
      </c>
      <c r="AB177" s="2">
        <f t="shared" si="56"/>
        <v>-3.1090527367815032E-2</v>
      </c>
      <c r="AC177" s="2">
        <f t="shared" si="57"/>
        <v>-3.147737515743091E-2</v>
      </c>
      <c r="AD177" s="2">
        <f t="shared" si="58"/>
        <v>1732.4579070962329</v>
      </c>
      <c r="AE177" s="10">
        <f t="shared" si="59"/>
        <v>6981412.1392465523</v>
      </c>
    </row>
    <row r="178" spans="1:31" x14ac:dyDescent="0.25">
      <c r="A178" s="1">
        <f t="shared" si="60"/>
        <v>0.70833333333333337</v>
      </c>
      <c r="B178" s="7">
        <f t="shared" si="61"/>
        <v>43997483.267535008</v>
      </c>
      <c r="C178" s="7">
        <f t="shared" si="62"/>
        <v>6981412.1392465523</v>
      </c>
      <c r="D178" s="7"/>
      <c r="E178" s="7"/>
      <c r="F178" s="7"/>
      <c r="G178" s="7"/>
      <c r="H178" s="7"/>
      <c r="I178" s="7"/>
      <c r="J178" s="7"/>
      <c r="K178" s="7"/>
      <c r="L178" s="1">
        <f t="shared" si="65"/>
        <v>0.70833333333333337</v>
      </c>
      <c r="M178">
        <f t="shared" si="63"/>
        <v>61200</v>
      </c>
      <c r="N178" s="9">
        <f t="shared" si="44"/>
        <v>2484.8065256819668</v>
      </c>
      <c r="O178" s="7">
        <f t="shared" si="45"/>
        <v>43997483.267535008</v>
      </c>
      <c r="P178" s="2">
        <f t="shared" si="48"/>
        <v>-0.19837327411885647</v>
      </c>
      <c r="Q178" s="2">
        <f t="shared" si="49"/>
        <v>-0.19393224257976513</v>
      </c>
      <c r="R178" s="2">
        <f t="shared" si="50"/>
        <v>-0.19393165111868038</v>
      </c>
      <c r="S178" s="2">
        <f t="shared" si="51"/>
        <v>-0.18967501419054014</v>
      </c>
      <c r="T178" s="9">
        <f t="shared" si="52"/>
        <v>2414.9799611395897</v>
      </c>
      <c r="U178" s="7">
        <f t="shared" si="53"/>
        <v>44879444.835162885</v>
      </c>
      <c r="W178">
        <f t="shared" si="64"/>
        <v>61200</v>
      </c>
      <c r="X178" s="9">
        <f t="shared" si="46"/>
        <v>1732.4579070962329</v>
      </c>
      <c r="Y178" s="2">
        <f t="shared" si="47"/>
        <v>6981412.1392465523</v>
      </c>
      <c r="Z178" s="2">
        <f t="shared" si="54"/>
        <v>-3.1477381913282761E-2</v>
      </c>
      <c r="AA178" s="2">
        <f t="shared" si="55"/>
        <v>-3.1823795622077988E-2</v>
      </c>
      <c r="AB178" s="2">
        <f t="shared" si="56"/>
        <v>-3.1823622557816192E-2</v>
      </c>
      <c r="AC178" s="2">
        <f t="shared" si="57"/>
        <v>-3.2132876801998993E-2</v>
      </c>
      <c r="AD178" s="2">
        <f t="shared" si="58"/>
        <v>1721.0036013917288</v>
      </c>
      <c r="AE178" s="10">
        <f t="shared" si="59"/>
        <v>7603035.2107743854</v>
      </c>
    </row>
    <row r="179" spans="1:31" x14ac:dyDescent="0.25">
      <c r="A179" s="1">
        <f t="shared" si="60"/>
        <v>0.71250000000000002</v>
      </c>
      <c r="B179" s="7">
        <f t="shared" si="61"/>
        <v>44879444.835162885</v>
      </c>
      <c r="C179" s="7">
        <f t="shared" si="62"/>
        <v>7603035.2107743854</v>
      </c>
      <c r="D179" s="7"/>
      <c r="E179" s="7"/>
      <c r="F179" s="7"/>
      <c r="G179" s="7"/>
      <c r="H179" s="7"/>
      <c r="I179" s="7"/>
      <c r="J179" s="7"/>
      <c r="K179" s="7"/>
      <c r="L179" s="1">
        <f t="shared" si="65"/>
        <v>0.71250000000000002</v>
      </c>
      <c r="M179">
        <f t="shared" si="63"/>
        <v>61560</v>
      </c>
      <c r="N179" s="9">
        <f t="shared" si="44"/>
        <v>2414.9799611395897</v>
      </c>
      <c r="O179" s="7">
        <f t="shared" si="45"/>
        <v>44879444.835162885</v>
      </c>
      <c r="P179" s="2">
        <f t="shared" si="48"/>
        <v>-0.18967502964815838</v>
      </c>
      <c r="Q179" s="2">
        <f t="shared" si="49"/>
        <v>-0.18559321508732141</v>
      </c>
      <c r="R179" s="2">
        <f t="shared" si="50"/>
        <v>-0.18559270673597439</v>
      </c>
      <c r="S179" s="2">
        <f t="shared" si="51"/>
        <v>-0.18167473987130492</v>
      </c>
      <c r="T179" s="9">
        <f t="shared" si="52"/>
        <v>2348.1566643496262</v>
      </c>
      <c r="U179" s="7">
        <f t="shared" si="53"/>
        <v>45736809.427750945</v>
      </c>
      <c r="W179">
        <f t="shared" si="64"/>
        <v>61560</v>
      </c>
      <c r="X179" s="9">
        <f t="shared" si="46"/>
        <v>1721.0036013917288</v>
      </c>
      <c r="Y179" s="2">
        <f t="shared" si="47"/>
        <v>7603035.2107743854</v>
      </c>
      <c r="Z179" s="2">
        <f t="shared" si="54"/>
        <v>-3.2132882532667592E-2</v>
      </c>
      <c r="AA179" s="2">
        <f t="shared" si="55"/>
        <v>-3.2408600668039592E-2</v>
      </c>
      <c r="AB179" s="2">
        <f t="shared" si="56"/>
        <v>-3.2408446307919787E-2</v>
      </c>
      <c r="AC179" s="2">
        <f t="shared" si="57"/>
        <v>-3.2653272335957891E-2</v>
      </c>
      <c r="AD179" s="2">
        <f t="shared" si="58"/>
        <v>1709.3383864624961</v>
      </c>
      <c r="AE179" s="10">
        <f t="shared" si="59"/>
        <v>8220496.7685881462</v>
      </c>
    </row>
    <row r="180" spans="1:31" x14ac:dyDescent="0.25">
      <c r="A180" s="1">
        <f t="shared" si="60"/>
        <v>0.71666666666666667</v>
      </c>
      <c r="B180" s="7">
        <f t="shared" si="61"/>
        <v>45736809.427750945</v>
      </c>
      <c r="C180" s="7">
        <f t="shared" si="62"/>
        <v>8220496.7685881462</v>
      </c>
      <c r="D180" s="7"/>
      <c r="E180" s="7"/>
      <c r="F180" s="7"/>
      <c r="G180" s="7"/>
      <c r="H180" s="7"/>
      <c r="I180" s="7"/>
      <c r="J180" s="7"/>
      <c r="K180" s="7"/>
      <c r="L180" s="1">
        <f t="shared" si="65"/>
        <v>0.71666666666666667</v>
      </c>
      <c r="M180">
        <f t="shared" si="63"/>
        <v>61920</v>
      </c>
      <c r="N180" s="9">
        <f t="shared" si="44"/>
        <v>2348.1566643496262</v>
      </c>
      <c r="O180" s="7">
        <f t="shared" si="45"/>
        <v>45736809.427750945</v>
      </c>
      <c r="P180" s="2">
        <f t="shared" si="48"/>
        <v>-0.18167475271225225</v>
      </c>
      <c r="Q180" s="2">
        <f t="shared" si="49"/>
        <v>-0.17791240933385957</v>
      </c>
      <c r="R180" s="2">
        <f t="shared" si="50"/>
        <v>-0.17791196998985559</v>
      </c>
      <c r="S180" s="2">
        <f t="shared" si="51"/>
        <v>-0.17429579360956729</v>
      </c>
      <c r="T180" s="9">
        <f t="shared" si="52"/>
        <v>2284.0995060514711</v>
      </c>
      <c r="U180" s="7">
        <f t="shared" si="53"/>
        <v>46570615.538423143</v>
      </c>
      <c r="W180">
        <f t="shared" si="64"/>
        <v>61920</v>
      </c>
      <c r="X180" s="9">
        <f t="shared" si="46"/>
        <v>1709.3383864624961</v>
      </c>
      <c r="Y180" s="2">
        <f t="shared" si="47"/>
        <v>8220496.7685881462</v>
      </c>
      <c r="Z180" s="2">
        <f t="shared" si="54"/>
        <v>-3.2653277224426694E-2</v>
      </c>
      <c r="AA180" s="2">
        <f t="shared" si="55"/>
        <v>-3.2870200110262614E-2</v>
      </c>
      <c r="AB180" s="2">
        <f t="shared" si="56"/>
        <v>-3.2870061988760954E-2</v>
      </c>
      <c r="AC180" s="2">
        <f t="shared" si="57"/>
        <v>-3.3061226864796643E-2</v>
      </c>
      <c r="AD180" s="2">
        <f t="shared" si="58"/>
        <v>1697.5066847652599</v>
      </c>
      <c r="AE180" s="10">
        <f t="shared" si="59"/>
        <v>8833728.8814091422</v>
      </c>
    </row>
    <row r="181" spans="1:31" x14ac:dyDescent="0.25">
      <c r="A181" s="1">
        <f t="shared" si="60"/>
        <v>0.72083333333333333</v>
      </c>
      <c r="B181" s="7">
        <f t="shared" si="61"/>
        <v>46570615.538423143</v>
      </c>
      <c r="C181" s="7">
        <f t="shared" si="62"/>
        <v>8833728.8814091422</v>
      </c>
      <c r="D181" s="7"/>
      <c r="E181" s="7"/>
      <c r="F181" s="7"/>
      <c r="G181" s="7"/>
      <c r="H181" s="7"/>
      <c r="I181" s="7"/>
      <c r="J181" s="7"/>
      <c r="K181" s="7"/>
      <c r="L181" s="1">
        <f t="shared" si="65"/>
        <v>0.72083333333333333</v>
      </c>
      <c r="M181">
        <f t="shared" si="63"/>
        <v>62280</v>
      </c>
      <c r="N181" s="9">
        <f t="shared" si="44"/>
        <v>2284.0995060514711</v>
      </c>
      <c r="O181" s="7">
        <f t="shared" si="45"/>
        <v>46570615.538423143</v>
      </c>
      <c r="P181" s="2">
        <f t="shared" si="48"/>
        <v>-0.17429580434850472</v>
      </c>
      <c r="Q181" s="2">
        <f t="shared" si="49"/>
        <v>-0.17081869414613732</v>
      </c>
      <c r="R181" s="2">
        <f t="shared" si="50"/>
        <v>-0.17081831247766099</v>
      </c>
      <c r="S181" s="2">
        <f t="shared" si="51"/>
        <v>-0.16747208047281067</v>
      </c>
      <c r="T181" s="9">
        <f t="shared" si="52"/>
        <v>2222.5969921673363</v>
      </c>
      <c r="U181" s="7">
        <f t="shared" si="53"/>
        <v>47381820.908102527</v>
      </c>
      <c r="W181">
        <f t="shared" si="64"/>
        <v>62280</v>
      </c>
      <c r="X181" s="9">
        <f t="shared" si="46"/>
        <v>1697.5066847652599</v>
      </c>
      <c r="Y181" s="2">
        <f t="shared" si="47"/>
        <v>8833728.8814091422</v>
      </c>
      <c r="Z181" s="2">
        <f t="shared" si="54"/>
        <v>-3.3061231056984865E-2</v>
      </c>
      <c r="AA181" s="2">
        <f t="shared" si="55"/>
        <v>-3.3229117928356949E-2</v>
      </c>
      <c r="AB181" s="2">
        <f t="shared" si="56"/>
        <v>-3.3228993951098858E-2</v>
      </c>
      <c r="AC181" s="2">
        <f t="shared" si="57"/>
        <v>-3.3375350719410883E-2</v>
      </c>
      <c r="AD181" s="2">
        <f t="shared" si="58"/>
        <v>1685.5455164331415</v>
      </c>
      <c r="AE181" s="10">
        <f t="shared" si="59"/>
        <v>9442678.2776248548</v>
      </c>
    </row>
    <row r="182" spans="1:31" x14ac:dyDescent="0.25">
      <c r="A182" s="1">
        <f t="shared" si="60"/>
        <v>0.72499999999999998</v>
      </c>
      <c r="B182" s="7">
        <f t="shared" si="61"/>
        <v>47381820.908102527</v>
      </c>
      <c r="C182" s="7">
        <f t="shared" si="62"/>
        <v>9442678.2776248548</v>
      </c>
      <c r="D182" s="7"/>
      <c r="E182" s="7"/>
      <c r="F182" s="7"/>
      <c r="G182" s="7"/>
      <c r="H182" s="7"/>
      <c r="I182" s="7"/>
      <c r="J182" s="7"/>
      <c r="K182" s="7"/>
      <c r="L182" s="1">
        <f t="shared" si="65"/>
        <v>0.72499999999999998</v>
      </c>
      <c r="M182">
        <f t="shared" si="63"/>
        <v>62640</v>
      </c>
      <c r="N182" s="9">
        <f t="shared" si="44"/>
        <v>2222.5969921673363</v>
      </c>
      <c r="O182" s="7">
        <f t="shared" si="45"/>
        <v>47381820.908102527</v>
      </c>
      <c r="P182" s="2">
        <f t="shared" si="48"/>
        <v>-0.16747208951024389</v>
      </c>
      <c r="Q182" s="2">
        <f t="shared" si="49"/>
        <v>-0.16425057648540986</v>
      </c>
      <c r="R182" s="2">
        <f t="shared" si="50"/>
        <v>-0.16425024331827676</v>
      </c>
      <c r="S182" s="2">
        <f t="shared" si="51"/>
        <v>-0.16114632726798067</v>
      </c>
      <c r="T182" s="9">
        <f t="shared" si="52"/>
        <v>2163.4597887842006</v>
      </c>
      <c r="U182" s="7">
        <f t="shared" si="53"/>
        <v>48171311.128673807</v>
      </c>
      <c r="W182">
        <f t="shared" si="64"/>
        <v>62640</v>
      </c>
      <c r="X182" s="9">
        <f t="shared" si="46"/>
        <v>1685.5455164331415</v>
      </c>
      <c r="Y182" s="2">
        <f t="shared" si="47"/>
        <v>9442678.2776248548</v>
      </c>
      <c r="Z182" s="2">
        <f t="shared" si="54"/>
        <v>-3.3375354332496866E-2</v>
      </c>
      <c r="AA182" s="2">
        <f t="shared" si="55"/>
        <v>-3.3502249901947959E-2</v>
      </c>
      <c r="AB182" s="2">
        <f t="shared" si="56"/>
        <v>-3.3502138284920782E-2</v>
      </c>
      <c r="AC182" s="2">
        <f t="shared" si="57"/>
        <v>-3.3611002342269179E-2</v>
      </c>
      <c r="AD182" s="2">
        <f t="shared" si="58"/>
        <v>1673.4858084502314</v>
      </c>
      <c r="AE182" s="10">
        <f t="shared" si="59"/>
        <v>10047303.916103862</v>
      </c>
    </row>
    <row r="183" spans="1:31" x14ac:dyDescent="0.25">
      <c r="A183" s="1">
        <f t="shared" si="60"/>
        <v>0.72916666666666663</v>
      </c>
      <c r="B183" s="7">
        <f t="shared" si="61"/>
        <v>48171311.128673807</v>
      </c>
      <c r="C183" s="7">
        <f t="shared" si="62"/>
        <v>10047303.916103862</v>
      </c>
      <c r="D183" s="7"/>
      <c r="E183" s="7"/>
      <c r="F183" s="7"/>
      <c r="G183" s="7"/>
      <c r="H183" s="7"/>
      <c r="I183" s="7"/>
      <c r="J183" s="7"/>
      <c r="K183" s="7"/>
      <c r="L183" s="1">
        <f t="shared" si="65"/>
        <v>0.72916666666666663</v>
      </c>
      <c r="M183">
        <f t="shared" si="63"/>
        <v>63000</v>
      </c>
      <c r="N183" s="9">
        <f t="shared" si="44"/>
        <v>2163.4597887842006</v>
      </c>
      <c r="O183" s="7">
        <f t="shared" si="45"/>
        <v>48171311.128673807</v>
      </c>
      <c r="P183" s="2">
        <f t="shared" si="48"/>
        <v>-0.16114633491824307</v>
      </c>
      <c r="Q183" s="2">
        <f t="shared" si="49"/>
        <v>-0.15815465015314695</v>
      </c>
      <c r="R183" s="2">
        <f t="shared" si="50"/>
        <v>-0.15815435800761027</v>
      </c>
      <c r="S183" s="2">
        <f t="shared" si="51"/>
        <v>-0.15526868313092843</v>
      </c>
      <c r="T183" s="9">
        <f t="shared" si="52"/>
        <v>2106.5178067219595</v>
      </c>
      <c r="U183" s="7">
        <f t="shared" si="53"/>
        <v>48939907.095864914</v>
      </c>
      <c r="W183">
        <f t="shared" si="64"/>
        <v>63000</v>
      </c>
      <c r="X183" s="9">
        <f t="shared" si="46"/>
        <v>1673.4858084502314</v>
      </c>
      <c r="Y183" s="2">
        <f t="shared" si="47"/>
        <v>10047303.916103862</v>
      </c>
      <c r="Z183" s="2">
        <f t="shared" si="54"/>
        <v>-3.3611005470973905E-2</v>
      </c>
      <c r="AA183" s="2">
        <f t="shared" si="55"/>
        <v>-3.3703572754947321E-2</v>
      </c>
      <c r="AB183" s="2">
        <f t="shared" si="56"/>
        <v>-3.3703471974002946E-2</v>
      </c>
      <c r="AC183" s="2">
        <f t="shared" si="57"/>
        <v>-3.3780915826852068E-2</v>
      </c>
      <c r="AD183" s="2">
        <f t="shared" si="58"/>
        <v>1661.3534478048878</v>
      </c>
      <c r="AE183" s="10">
        <f t="shared" si="59"/>
        <v>10647574.982229784</v>
      </c>
    </row>
    <row r="184" spans="1:31" x14ac:dyDescent="0.25">
      <c r="A184" s="1">
        <f t="shared" si="60"/>
        <v>0.73333333333333328</v>
      </c>
      <c r="B184" s="7">
        <f t="shared" si="61"/>
        <v>48939907.095864914</v>
      </c>
      <c r="C184" s="7">
        <f t="shared" si="62"/>
        <v>10647574.982229784</v>
      </c>
      <c r="D184" s="7"/>
      <c r="E184" s="7"/>
      <c r="F184" s="7"/>
      <c r="G184" s="7"/>
      <c r="H184" s="7"/>
      <c r="I184" s="7"/>
      <c r="J184" s="7"/>
      <c r="K184" s="7"/>
      <c r="L184" s="1">
        <f t="shared" si="65"/>
        <v>0.73333333333333328</v>
      </c>
      <c r="M184">
        <f t="shared" si="63"/>
        <v>63360</v>
      </c>
      <c r="N184" s="9">
        <f t="shared" ref="N184:N247" si="66">T183</f>
        <v>2106.5178067219595</v>
      </c>
      <c r="O184" s="7">
        <f t="shared" ref="O184:O247" si="67">U183</f>
        <v>48939907.095864914</v>
      </c>
      <c r="P184" s="2">
        <f t="shared" si="48"/>
        <v>-0.15526868964269475</v>
      </c>
      <c r="Q184" s="2">
        <f t="shared" si="49"/>
        <v>-0.15248433113173671</v>
      </c>
      <c r="R184" s="2">
        <f t="shared" si="50"/>
        <v>-0.15248407386922502</v>
      </c>
      <c r="S184" s="2">
        <f t="shared" si="51"/>
        <v>-0.14979557508496474</v>
      </c>
      <c r="T184" s="9">
        <f t="shared" si="52"/>
        <v>2051.6177422381843</v>
      </c>
      <c r="U184" s="7">
        <f t="shared" si="53"/>
        <v>49688371.494677737</v>
      </c>
      <c r="W184">
        <f t="shared" si="64"/>
        <v>63360</v>
      </c>
      <c r="X184" s="9">
        <f t="shared" ref="X184:X247" si="68">AD183</f>
        <v>1661.3534478048878</v>
      </c>
      <c r="Y184" s="2">
        <f t="shared" ref="Y184:Y247" si="69">AE183</f>
        <v>10647574.982229784</v>
      </c>
      <c r="Z184" s="2">
        <f t="shared" si="54"/>
        <v>-3.3780918548225791E-2</v>
      </c>
      <c r="AA184" s="2">
        <f t="shared" si="55"/>
        <v>-3.3844700464695322E-2</v>
      </c>
      <c r="AB184" s="2">
        <f t="shared" si="56"/>
        <v>-3.3844609213690813E-2</v>
      </c>
      <c r="AC184" s="2">
        <f t="shared" si="57"/>
        <v>-3.389569496167831E-2</v>
      </c>
      <c r="AD184" s="2">
        <f t="shared" si="58"/>
        <v>1649.1701338328871</v>
      </c>
      <c r="AE184" s="10">
        <f t="shared" si="59"/>
        <v>11243469.226924583</v>
      </c>
    </row>
    <row r="185" spans="1:31" x14ac:dyDescent="0.25">
      <c r="A185" s="1">
        <f t="shared" si="60"/>
        <v>0.73750000000000004</v>
      </c>
      <c r="B185" s="7">
        <f t="shared" si="61"/>
        <v>49688371.494677737</v>
      </c>
      <c r="C185" s="7">
        <f t="shared" si="62"/>
        <v>11243469.226924583</v>
      </c>
      <c r="D185" s="7"/>
      <c r="E185" s="7"/>
      <c r="F185" s="7"/>
      <c r="G185" s="7"/>
      <c r="H185" s="7"/>
      <c r="I185" s="7"/>
      <c r="J185" s="7"/>
      <c r="K185" s="7"/>
      <c r="L185" s="1">
        <f t="shared" si="65"/>
        <v>0.73750000000000004</v>
      </c>
      <c r="M185">
        <f t="shared" si="63"/>
        <v>63720</v>
      </c>
      <c r="N185" s="9">
        <f t="shared" si="66"/>
        <v>2051.6177422381843</v>
      </c>
      <c r="O185" s="7">
        <f t="shared" si="67"/>
        <v>49688371.494677737</v>
      </c>
      <c r="P185" s="2">
        <f t="shared" si="48"/>
        <v>-0.14979558065644188</v>
      </c>
      <c r="Q185" s="2">
        <f t="shared" si="49"/>
        <v>-0.14719882019396779</v>
      </c>
      <c r="R185" s="2">
        <f t="shared" si="50"/>
        <v>-0.14719859274532823</v>
      </c>
      <c r="S185" s="2">
        <f t="shared" si="51"/>
        <v>-0.14468876647243886</v>
      </c>
      <c r="T185" s="9">
        <f t="shared" si="52"/>
        <v>1998.6209918577358</v>
      </c>
      <c r="U185" s="7">
        <f t="shared" si="53"/>
        <v>50417414.466815002</v>
      </c>
      <c r="W185">
        <f t="shared" si="64"/>
        <v>63720</v>
      </c>
      <c r="X185" s="9">
        <f t="shared" si="68"/>
        <v>1649.1701338328871</v>
      </c>
      <c r="Y185" s="2">
        <f t="shared" si="69"/>
        <v>11243469.226924583</v>
      </c>
      <c r="Z185" s="2">
        <f t="shared" si="54"/>
        <v>-3.3895697338770715E-2</v>
      </c>
      <c r="AA185" s="2">
        <f t="shared" si="55"/>
        <v>-3.393532373609779E-2</v>
      </c>
      <c r="AB185" s="2">
        <f t="shared" si="56"/>
        <v>-3.3935240892210082E-2</v>
      </c>
      <c r="AC185" s="2">
        <f t="shared" si="57"/>
        <v>-3.396420481727086E-2</v>
      </c>
      <c r="AD185" s="2">
        <f t="shared" si="58"/>
        <v>1636.9540719481276</v>
      </c>
      <c r="AE185" s="10">
        <f t="shared" si="59"/>
        <v>11834971.583965166</v>
      </c>
    </row>
    <row r="186" spans="1:31" x14ac:dyDescent="0.25">
      <c r="A186" s="1">
        <f t="shared" si="60"/>
        <v>0.7416666666666667</v>
      </c>
      <c r="B186" s="7">
        <f t="shared" si="61"/>
        <v>50417414.466815002</v>
      </c>
      <c r="C186" s="7">
        <f t="shared" si="62"/>
        <v>11834971.583965166</v>
      </c>
      <c r="D186" s="7"/>
      <c r="E186" s="7"/>
      <c r="F186" s="7"/>
      <c r="G186" s="7"/>
      <c r="H186" s="7"/>
      <c r="I186" s="7"/>
      <c r="J186" s="7"/>
      <c r="K186" s="7"/>
      <c r="L186" s="1">
        <f t="shared" si="65"/>
        <v>0.7416666666666667</v>
      </c>
      <c r="M186">
        <f t="shared" si="63"/>
        <v>64080</v>
      </c>
      <c r="N186" s="9">
        <f t="shared" si="66"/>
        <v>1998.6209918577358</v>
      </c>
      <c r="O186" s="7">
        <f t="shared" si="67"/>
        <v>50417414.466815002</v>
      </c>
      <c r="P186" s="2">
        <f t="shared" si="48"/>
        <v>-0.14468877126272231</v>
      </c>
      <c r="Q186" s="2">
        <f t="shared" si="49"/>
        <v>-0.14226224695812023</v>
      </c>
      <c r="R186" s="2">
        <f t="shared" si="50"/>
        <v>-0.14226204511285936</v>
      </c>
      <c r="S186" s="2">
        <f t="shared" si="51"/>
        <v>-0.13991457789264586</v>
      </c>
      <c r="T186" s="9">
        <f t="shared" si="52"/>
        <v>1947.4018758598961</v>
      </c>
      <c r="U186" s="7">
        <f t="shared" si="53"/>
        <v>51127698.583004177</v>
      </c>
      <c r="W186">
        <f t="shared" si="64"/>
        <v>64080</v>
      </c>
      <c r="X186" s="9">
        <f t="shared" si="68"/>
        <v>1636.9540719481276</v>
      </c>
      <c r="Y186" s="2">
        <f t="shared" si="69"/>
        <v>11834971.583965166</v>
      </c>
      <c r="Z186" s="2">
        <f t="shared" si="54"/>
        <v>-3.396420690196747E-2</v>
      </c>
      <c r="AA186" s="2">
        <f t="shared" si="55"/>
        <v>-3.3983559459902876E-2</v>
      </c>
      <c r="AB186" s="2">
        <f t="shared" si="56"/>
        <v>-3.3983484054871893E-2</v>
      </c>
      <c r="AC186" s="2">
        <f t="shared" si="57"/>
        <v>-3.3993884099808261E-2</v>
      </c>
      <c r="AD186" s="2">
        <f t="shared" si="58"/>
        <v>1624.7205412662481</v>
      </c>
      <c r="AE186" s="10">
        <f t="shared" si="59"/>
        <v>12422073.014343753</v>
      </c>
    </row>
    <row r="187" spans="1:31" x14ac:dyDescent="0.25">
      <c r="A187" s="1">
        <f t="shared" si="60"/>
        <v>0.74583333333333335</v>
      </c>
      <c r="B187" s="7">
        <f t="shared" si="61"/>
        <v>51127698.583004177</v>
      </c>
      <c r="C187" s="7">
        <f t="shared" si="62"/>
        <v>12422073.014343753</v>
      </c>
      <c r="D187" s="7"/>
      <c r="E187" s="7"/>
      <c r="F187" s="7"/>
      <c r="G187" s="7"/>
      <c r="H187" s="7"/>
      <c r="I187" s="7"/>
      <c r="J187" s="7"/>
      <c r="K187" s="7"/>
      <c r="L187" s="1">
        <f t="shared" si="65"/>
        <v>0.74583333333333335</v>
      </c>
      <c r="M187">
        <f t="shared" si="63"/>
        <v>64440</v>
      </c>
      <c r="N187" s="9">
        <f t="shared" si="66"/>
        <v>1947.4018758598961</v>
      </c>
      <c r="O187" s="7">
        <f t="shared" si="67"/>
        <v>51127698.583004177</v>
      </c>
      <c r="P187" s="2">
        <f t="shared" si="48"/>
        <v>-0.13991458203028551</v>
      </c>
      <c r="Q187" s="2">
        <f t="shared" si="49"/>
        <v>-0.13764295975082316</v>
      </c>
      <c r="R187" s="2">
        <f t="shared" si="50"/>
        <v>-0.13764277999240263</v>
      </c>
      <c r="S187" s="2">
        <f t="shared" si="51"/>
        <v>-0.13544323913751058</v>
      </c>
      <c r="T187" s="9">
        <f t="shared" si="52"/>
        <v>1897.8461178206412</v>
      </c>
      <c r="U187" s="7">
        <f t="shared" si="53"/>
        <v>51819843.221866675</v>
      </c>
      <c r="W187">
        <f t="shared" si="64"/>
        <v>64440</v>
      </c>
      <c r="X187" s="9">
        <f t="shared" si="68"/>
        <v>1624.7205412662481</v>
      </c>
      <c r="Y187" s="2">
        <f t="shared" si="69"/>
        <v>12422073.014343753</v>
      </c>
      <c r="Z187" s="2">
        <f t="shared" si="54"/>
        <v>-3.3993885935037084E-2</v>
      </c>
      <c r="AA187" s="2">
        <f t="shared" si="55"/>
        <v>-3.3996230306805951E-2</v>
      </c>
      <c r="AB187" s="2">
        <f t="shared" si="56"/>
        <v>-3.399616150305676E-2</v>
      </c>
      <c r="AC187" s="2">
        <f t="shared" si="57"/>
        <v>-3.3990995793222498E-2</v>
      </c>
      <c r="AD187" s="2">
        <f t="shared" si="58"/>
        <v>1612.4823613453691</v>
      </c>
      <c r="AE187" s="10">
        <f t="shared" si="59"/>
        <v>13004769.536813844</v>
      </c>
    </row>
    <row r="188" spans="1:31" x14ac:dyDescent="0.25">
      <c r="A188" s="1">
        <f t="shared" si="60"/>
        <v>0.75</v>
      </c>
      <c r="B188" s="7">
        <f t="shared" si="61"/>
        <v>51819843.221866675</v>
      </c>
      <c r="C188" s="7">
        <f t="shared" si="62"/>
        <v>13004769.536813844</v>
      </c>
      <c r="D188" s="7"/>
      <c r="E188" s="7"/>
      <c r="F188" s="7"/>
      <c r="G188" s="7"/>
      <c r="H188" s="7"/>
      <c r="I188" s="7"/>
      <c r="J188" s="7"/>
      <c r="K188" s="7"/>
      <c r="L188" s="1">
        <f t="shared" si="65"/>
        <v>0.75</v>
      </c>
      <c r="M188">
        <f t="shared" si="63"/>
        <v>64800</v>
      </c>
      <c r="N188" s="9">
        <f t="shared" si="66"/>
        <v>1897.8461178206412</v>
      </c>
      <c r="O188" s="7">
        <f t="shared" si="67"/>
        <v>51819843.221866675</v>
      </c>
      <c r="P188" s="2">
        <f t="shared" si="48"/>
        <v>-0.13544324272702593</v>
      </c>
      <c r="Q188" s="2">
        <f t="shared" si="49"/>
        <v>-0.13331293336269628</v>
      </c>
      <c r="R188" s="2">
        <f t="shared" si="50"/>
        <v>-0.13331277273888859</v>
      </c>
      <c r="S188" s="2">
        <f t="shared" si="51"/>
        <v>-0.13124834735952542</v>
      </c>
      <c r="T188" s="9">
        <f t="shared" si="52"/>
        <v>1849.8495376832579</v>
      </c>
      <c r="U188" s="7">
        <f t="shared" si="53"/>
        <v>52494428.439857379</v>
      </c>
      <c r="W188">
        <f t="shared" si="64"/>
        <v>64800</v>
      </c>
      <c r="X188" s="9">
        <f t="shared" si="68"/>
        <v>1612.4823613453691</v>
      </c>
      <c r="Y188" s="2">
        <f t="shared" si="69"/>
        <v>13004769.536813844</v>
      </c>
      <c r="Z188" s="2">
        <f t="shared" si="54"/>
        <v>-3.3990997414682284E-2</v>
      </c>
      <c r="AA188" s="2">
        <f t="shared" si="55"/>
        <v>-3.3979089721836782E-2</v>
      </c>
      <c r="AB188" s="2">
        <f t="shared" si="56"/>
        <v>-3.3979026792616718E-2</v>
      </c>
      <c r="AC188" s="2">
        <f t="shared" si="57"/>
        <v>-3.3960829413384234E-2</v>
      </c>
      <c r="AD188" s="2">
        <f t="shared" si="58"/>
        <v>1600.2502777539507</v>
      </c>
      <c r="AE188" s="10">
        <f t="shared" si="59"/>
        <v>13583061.411851721</v>
      </c>
    </row>
    <row r="189" spans="1:31" x14ac:dyDescent="0.25">
      <c r="A189" s="1">
        <f t="shared" si="60"/>
        <v>0.75416666666666665</v>
      </c>
      <c r="B189" s="7">
        <f t="shared" si="61"/>
        <v>52494428.439857379</v>
      </c>
      <c r="C189" s="7">
        <f t="shared" si="62"/>
        <v>13583061.411851721</v>
      </c>
      <c r="D189" s="7"/>
      <c r="E189" s="7"/>
      <c r="F189" s="7"/>
      <c r="G189" s="7"/>
      <c r="H189" s="7"/>
      <c r="I189" s="7"/>
      <c r="J189" s="7"/>
      <c r="K189" s="7"/>
      <c r="L189" s="1">
        <f t="shared" si="65"/>
        <v>0.75416666666666665</v>
      </c>
      <c r="M189">
        <f t="shared" si="63"/>
        <v>65160</v>
      </c>
      <c r="N189" s="9">
        <f t="shared" si="66"/>
        <v>1849.8495376832579</v>
      </c>
      <c r="O189" s="7">
        <f t="shared" si="67"/>
        <v>52494428.439857379</v>
      </c>
      <c r="P189" s="2">
        <f t="shared" si="48"/>
        <v>-0.13124835048640093</v>
      </c>
      <c r="Q189" s="2">
        <f t="shared" si="49"/>
        <v>-0.12924727268290326</v>
      </c>
      <c r="R189" s="2">
        <f t="shared" si="50"/>
        <v>-0.12924712870305008</v>
      </c>
      <c r="S189" s="2">
        <f t="shared" si="51"/>
        <v>-0.12730641187807745</v>
      </c>
      <c r="T189" s="9">
        <f t="shared" si="52"/>
        <v>1803.3169237750749</v>
      </c>
      <c r="U189" s="7">
        <f t="shared" si="53"/>
        <v>53151998.402919881</v>
      </c>
      <c r="W189">
        <f t="shared" si="64"/>
        <v>65160</v>
      </c>
      <c r="X189" s="9">
        <f t="shared" si="68"/>
        <v>1600.2502777539507</v>
      </c>
      <c r="Y189" s="2">
        <f t="shared" si="69"/>
        <v>13583061.411851721</v>
      </c>
      <c r="Z189" s="2">
        <f t="shared" si="54"/>
        <v>-3.3960830850906676E-2</v>
      </c>
      <c r="AA189" s="2">
        <f t="shared" si="55"/>
        <v>-3.3937003969725738E-2</v>
      </c>
      <c r="AB189" s="2">
        <f t="shared" si="56"/>
        <v>-3.3936946282539848E-2</v>
      </c>
      <c r="AC189" s="2">
        <f t="shared" si="57"/>
        <v>-3.3907865080785381E-2</v>
      </c>
      <c r="AD189" s="2">
        <f t="shared" si="58"/>
        <v>1588.0332819677774</v>
      </c>
      <c r="AE189" s="10">
        <f t="shared" si="59"/>
        <v>14156952.452601632</v>
      </c>
    </row>
    <row r="190" spans="1:31" x14ac:dyDescent="0.25">
      <c r="A190" s="1">
        <f t="shared" si="60"/>
        <v>0.7583333333333333</v>
      </c>
      <c r="B190" s="7">
        <f t="shared" si="61"/>
        <v>53151998.402919881</v>
      </c>
      <c r="C190" s="7">
        <f t="shared" si="62"/>
        <v>14156952.452601632</v>
      </c>
      <c r="D190" s="7"/>
      <c r="E190" s="7"/>
      <c r="F190" s="7"/>
      <c r="G190" s="7"/>
      <c r="H190" s="7"/>
      <c r="I190" s="7"/>
      <c r="J190" s="7"/>
      <c r="K190" s="7"/>
      <c r="L190" s="1">
        <f t="shared" si="65"/>
        <v>0.7583333333333333</v>
      </c>
      <c r="M190">
        <f t="shared" si="63"/>
        <v>65520</v>
      </c>
      <c r="N190" s="9">
        <f t="shared" si="66"/>
        <v>1803.3169237750749</v>
      </c>
      <c r="O190" s="7">
        <f t="shared" si="67"/>
        <v>53151998.402919881</v>
      </c>
      <c r="P190" s="2">
        <f t="shared" si="48"/>
        <v>-0.12730641461262043</v>
      </c>
      <c r="Q190" s="2">
        <f t="shared" si="49"/>
        <v>-0.12542379474095083</v>
      </c>
      <c r="R190" s="2">
        <f t="shared" si="50"/>
        <v>-0.12542366529401414</v>
      </c>
      <c r="S190" s="2">
        <f t="shared" si="51"/>
        <v>-0.12359647002509622</v>
      </c>
      <c r="T190" s="9">
        <f t="shared" si="52"/>
        <v>1758.161055492616</v>
      </c>
      <c r="U190" s="7">
        <f t="shared" si="53"/>
        <v>53793064.439188063</v>
      </c>
      <c r="W190">
        <f t="shared" si="64"/>
        <v>65520</v>
      </c>
      <c r="X190" s="9">
        <f t="shared" si="68"/>
        <v>1588.0332819677774</v>
      </c>
      <c r="Y190" s="2">
        <f t="shared" si="69"/>
        <v>14156952.452601632</v>
      </c>
      <c r="Z190" s="2">
        <f t="shared" si="54"/>
        <v>-3.3907866359415242E-2</v>
      </c>
      <c r="AA190" s="2">
        <f t="shared" si="55"/>
        <v>-3.3874100187701199E-2</v>
      </c>
      <c r="AB190" s="2">
        <f t="shared" si="56"/>
        <v>-3.3874047190467528E-2</v>
      </c>
      <c r="AC190" s="2">
        <f t="shared" si="57"/>
        <v>-3.3835907284898298E-2</v>
      </c>
      <c r="AD190" s="2">
        <f t="shared" si="58"/>
        <v>1575.8388778637384</v>
      </c>
      <c r="AE190" s="10">
        <f t="shared" si="59"/>
        <v>14726449.441371305</v>
      </c>
    </row>
    <row r="191" spans="1:31" x14ac:dyDescent="0.25">
      <c r="A191" s="1">
        <f t="shared" si="60"/>
        <v>0.76249999999999996</v>
      </c>
      <c r="B191" s="7">
        <f t="shared" si="61"/>
        <v>53793064.439188063</v>
      </c>
      <c r="C191" s="7">
        <f t="shared" si="62"/>
        <v>14726449.441371305</v>
      </c>
      <c r="D191" s="7"/>
      <c r="E191" s="7"/>
      <c r="F191" s="7"/>
      <c r="G191" s="7"/>
      <c r="H191" s="7"/>
      <c r="I191" s="7"/>
      <c r="J191" s="7"/>
      <c r="K191" s="7"/>
      <c r="L191" s="1">
        <f t="shared" si="65"/>
        <v>0.76249999999999996</v>
      </c>
      <c r="M191">
        <f t="shared" si="63"/>
        <v>65880</v>
      </c>
      <c r="N191" s="9">
        <f t="shared" si="66"/>
        <v>1758.161055492616</v>
      </c>
      <c r="O191" s="7">
        <f t="shared" si="67"/>
        <v>53793064.439188063</v>
      </c>
      <c r="P191" s="2">
        <f t="shared" si="48"/>
        <v>-0.12359647242543879</v>
      </c>
      <c r="Q191" s="2">
        <f t="shared" si="49"/>
        <v>-0.12182267520461709</v>
      </c>
      <c r="R191" s="2">
        <f t="shared" si="50"/>
        <v>-0.12182255849341728</v>
      </c>
      <c r="S191" s="2">
        <f t="shared" si="51"/>
        <v>-0.12009976153763538</v>
      </c>
      <c r="T191" s="9">
        <f t="shared" si="52"/>
        <v>1714.3018534110674</v>
      </c>
      <c r="U191" s="7">
        <f t="shared" si="53"/>
        <v>54418107.762790725</v>
      </c>
      <c r="W191">
        <f t="shared" si="64"/>
        <v>65880</v>
      </c>
      <c r="X191" s="9">
        <f t="shared" si="68"/>
        <v>1575.8388778637384</v>
      </c>
      <c r="Y191" s="2">
        <f t="shared" si="69"/>
        <v>14726449.441371305</v>
      </c>
      <c r="Z191" s="2">
        <f t="shared" si="54"/>
        <v>-3.3835908425754326E-2</v>
      </c>
      <c r="AA191" s="2">
        <f t="shared" si="55"/>
        <v>-3.3793887377804858E-2</v>
      </c>
      <c r="AB191" s="2">
        <f t="shared" si="56"/>
        <v>-3.3793838587247424E-2</v>
      </c>
      <c r="AC191" s="2">
        <f t="shared" si="57"/>
        <v>-3.3748194453697498E-2</v>
      </c>
      <c r="AD191" s="2">
        <f t="shared" si="58"/>
        <v>1563.673304575165</v>
      </c>
      <c r="AE191" s="10">
        <f t="shared" si="59"/>
        <v>15291561.634210307</v>
      </c>
    </row>
    <row r="192" spans="1:31" x14ac:dyDescent="0.25">
      <c r="A192" s="1">
        <f t="shared" si="60"/>
        <v>0.76666666666666672</v>
      </c>
      <c r="B192" s="7">
        <f t="shared" si="61"/>
        <v>54418107.762790725</v>
      </c>
      <c r="C192" s="7">
        <f t="shared" si="62"/>
        <v>15291561.634210307</v>
      </c>
      <c r="D192" s="7"/>
      <c r="E192" s="7"/>
      <c r="F192" s="7"/>
      <c r="G192" s="7"/>
      <c r="H192" s="7"/>
      <c r="I192" s="7"/>
      <c r="J192" s="7"/>
      <c r="K192" s="7"/>
      <c r="L192" s="1">
        <f t="shared" si="65"/>
        <v>0.76666666666666672</v>
      </c>
      <c r="M192">
        <f t="shared" si="63"/>
        <v>66240</v>
      </c>
      <c r="N192" s="9">
        <f t="shared" si="66"/>
        <v>1714.3018534110674</v>
      </c>
      <c r="O192" s="7">
        <f t="shared" si="67"/>
        <v>54418107.762790725</v>
      </c>
      <c r="P192" s="2">
        <f t="shared" si="48"/>
        <v>-0.12009976365208486</v>
      </c>
      <c r="Q192" s="2">
        <f t="shared" si="49"/>
        <v>-0.11842614812963519</v>
      </c>
      <c r="R192" s="2">
        <f t="shared" si="50"/>
        <v>-0.11842604261777213</v>
      </c>
      <c r="S192" s="2">
        <f t="shared" si="51"/>
        <v>-0.116799451436554</v>
      </c>
      <c r="T192" s="9">
        <f t="shared" si="52"/>
        <v>1671.6656376160602</v>
      </c>
      <c r="U192" s="7">
        <f t="shared" si="53"/>
        <v>55027581.911175609</v>
      </c>
      <c r="W192">
        <f t="shared" si="64"/>
        <v>66240</v>
      </c>
      <c r="X192" s="9">
        <f t="shared" si="68"/>
        <v>1563.673304575165</v>
      </c>
      <c r="Y192" s="2">
        <f t="shared" si="69"/>
        <v>15291561.634210307</v>
      </c>
      <c r="Z192" s="2">
        <f t="shared" si="54"/>
        <v>-3.3748195474663213E-2</v>
      </c>
      <c r="AA192" s="2">
        <f t="shared" si="55"/>
        <v>-3.3699355738496209E-2</v>
      </c>
      <c r="AB192" s="2">
        <f t="shared" si="56"/>
        <v>-3.3699310730388947E-2</v>
      </c>
      <c r="AC192" s="2">
        <f t="shared" si="57"/>
        <v>-3.3647489105159425E-2</v>
      </c>
      <c r="AD192" s="2">
        <f t="shared" si="58"/>
        <v>1551.5417235241096</v>
      </c>
      <c r="AE192" s="10">
        <f t="shared" si="59"/>
        <v>15852300.339268176</v>
      </c>
    </row>
    <row r="193" spans="1:31" x14ac:dyDescent="0.25">
      <c r="A193" s="1">
        <f t="shared" si="60"/>
        <v>0.77083333333333337</v>
      </c>
      <c r="B193" s="7">
        <f t="shared" si="61"/>
        <v>55027581.911175609</v>
      </c>
      <c r="C193" s="7">
        <f t="shared" si="62"/>
        <v>15852300.339268176</v>
      </c>
      <c r="D193" s="7"/>
      <c r="E193" s="7"/>
      <c r="F193" s="7"/>
      <c r="G193" s="7"/>
      <c r="H193" s="7"/>
      <c r="I193" s="7"/>
      <c r="J193" s="7"/>
      <c r="K193" s="7"/>
      <c r="L193" s="1">
        <f t="shared" si="65"/>
        <v>0.77083333333333337</v>
      </c>
      <c r="M193">
        <f t="shared" si="63"/>
        <v>66600</v>
      </c>
      <c r="N193" s="9">
        <f t="shared" si="66"/>
        <v>1671.6656376160602</v>
      </c>
      <c r="O193" s="7">
        <f t="shared" si="67"/>
        <v>55027581.911175609</v>
      </c>
      <c r="P193" s="2">
        <f t="shared" si="48"/>
        <v>-0.1167994533054454</v>
      </c>
      <c r="Q193" s="2">
        <f t="shared" si="49"/>
        <v>-0.11521824991322316</v>
      </c>
      <c r="R193" s="2">
        <f t="shared" si="50"/>
        <v>-0.11521815428199852</v>
      </c>
      <c r="S193" s="2">
        <f t="shared" si="51"/>
        <v>-0.11368039324527716</v>
      </c>
      <c r="T193" s="9">
        <f t="shared" si="52"/>
        <v>1630.1844783195902</v>
      </c>
      <c r="U193" s="7">
        <f t="shared" si="53"/>
        <v>55621914.932044029</v>
      </c>
      <c r="W193">
        <f t="shared" si="64"/>
        <v>66600</v>
      </c>
      <c r="X193" s="9">
        <f t="shared" si="68"/>
        <v>1551.5417235241096</v>
      </c>
      <c r="Y193" s="2">
        <f t="shared" si="69"/>
        <v>15852300.339268176</v>
      </c>
      <c r="Z193" s="2">
        <f t="shared" si="54"/>
        <v>-3.3647490021440025E-2</v>
      </c>
      <c r="AA193" s="2">
        <f t="shared" si="55"/>
        <v>-3.3593058567366239E-2</v>
      </c>
      <c r="AB193" s="2">
        <f t="shared" si="56"/>
        <v>-3.359301696830818E-2</v>
      </c>
      <c r="AC193" s="2">
        <f t="shared" si="57"/>
        <v>-3.3536152335293404E-2</v>
      </c>
      <c r="AD193" s="2">
        <f t="shared" si="58"/>
        <v>1539.4483759184245</v>
      </c>
      <c r="AE193" s="10">
        <f t="shared" si="59"/>
        <v>16408678.557167832</v>
      </c>
    </row>
    <row r="194" spans="1:31" x14ac:dyDescent="0.25">
      <c r="A194" s="1">
        <f t="shared" si="60"/>
        <v>0.77500000000000002</v>
      </c>
      <c r="B194" s="7">
        <f t="shared" si="61"/>
        <v>55621914.932044029</v>
      </c>
      <c r="C194" s="7">
        <f t="shared" si="62"/>
        <v>16408678.557167832</v>
      </c>
      <c r="D194" s="7"/>
      <c r="E194" s="7"/>
      <c r="F194" s="7"/>
      <c r="G194" s="7"/>
      <c r="H194" s="7"/>
      <c r="I194" s="7"/>
      <c r="J194" s="7"/>
      <c r="K194" s="7"/>
      <c r="L194" s="1">
        <f t="shared" si="65"/>
        <v>0.77500000000000002</v>
      </c>
      <c r="M194">
        <f t="shared" si="63"/>
        <v>66960</v>
      </c>
      <c r="N194" s="9">
        <f t="shared" si="66"/>
        <v>1630.1844783195902</v>
      </c>
      <c r="O194" s="7">
        <f t="shared" si="67"/>
        <v>55621914.932044029</v>
      </c>
      <c r="P194" s="2">
        <f t="shared" si="48"/>
        <v>-0.11368039490244268</v>
      </c>
      <c r="Q194" s="2">
        <f t="shared" si="49"/>
        <v>-0.11218460010672171</v>
      </c>
      <c r="R194" s="2">
        <f t="shared" si="50"/>
        <v>-0.11218451321999487</v>
      </c>
      <c r="S194" s="2">
        <f t="shared" si="51"/>
        <v>-0.11072892591929702</v>
      </c>
      <c r="T194" s="9">
        <f t="shared" si="52"/>
        <v>1589.7956254710798</v>
      </c>
      <c r="U194" s="7">
        <f t="shared" si="53"/>
        <v>56201511.350726351</v>
      </c>
      <c r="W194">
        <f t="shared" si="64"/>
        <v>66960</v>
      </c>
      <c r="X194" s="9">
        <f t="shared" si="68"/>
        <v>1539.4483759184245</v>
      </c>
      <c r="Y194" s="2">
        <f t="shared" si="69"/>
        <v>16408678.557167832</v>
      </c>
      <c r="Z194" s="2">
        <f t="shared" si="54"/>
        <v>-3.3536153159866321E-2</v>
      </c>
      <c r="AA194" s="2">
        <f t="shared" si="55"/>
        <v>-3.3477180070621775E-2</v>
      </c>
      <c r="AB194" s="2">
        <f t="shared" si="56"/>
        <v>-3.3477141551084048E-2</v>
      </c>
      <c r="AC194" s="2">
        <f t="shared" si="57"/>
        <v>-3.3416205610385691E-2</v>
      </c>
      <c r="AD194" s="2">
        <f t="shared" si="58"/>
        <v>1527.3967157976047</v>
      </c>
      <c r="AE194" s="10">
        <f t="shared" si="59"/>
        <v>16960710.673676718</v>
      </c>
    </row>
    <row r="195" spans="1:31" x14ac:dyDescent="0.25">
      <c r="A195" s="1">
        <f t="shared" si="60"/>
        <v>0.77916666666666667</v>
      </c>
      <c r="B195" s="7">
        <f t="shared" si="61"/>
        <v>56201511.350726351</v>
      </c>
      <c r="C195" s="7">
        <f t="shared" si="62"/>
        <v>16960710.673676718</v>
      </c>
      <c r="D195" s="7"/>
      <c r="E195" s="7"/>
      <c r="F195" s="7"/>
      <c r="G195" s="7"/>
      <c r="H195" s="7"/>
      <c r="I195" s="7"/>
      <c r="J195" s="7"/>
      <c r="K195" s="7"/>
      <c r="L195" s="1">
        <f t="shared" si="65"/>
        <v>0.77916666666666667</v>
      </c>
      <c r="M195">
        <f t="shared" si="63"/>
        <v>67320</v>
      </c>
      <c r="N195" s="9">
        <f t="shared" si="66"/>
        <v>1589.7956254710798</v>
      </c>
      <c r="O195" s="7">
        <f t="shared" si="67"/>
        <v>56201511.350726351</v>
      </c>
      <c r="P195" s="2">
        <f t="shared" si="48"/>
        <v>-0.11072892739323718</v>
      </c>
      <c r="Q195" s="2">
        <f t="shared" si="49"/>
        <v>-0.10931221309542084</v>
      </c>
      <c r="R195" s="2">
        <f t="shared" si="50"/>
        <v>-0.10931213397079488</v>
      </c>
      <c r="S195" s="2">
        <f t="shared" si="51"/>
        <v>-0.10793269906508204</v>
      </c>
      <c r="T195" s="9">
        <f t="shared" si="52"/>
        <v>1550.4410062356349</v>
      </c>
      <c r="U195" s="7">
        <f t="shared" si="53"/>
        <v>56766753.944433562</v>
      </c>
      <c r="W195">
        <f t="shared" si="64"/>
        <v>67320</v>
      </c>
      <c r="X195" s="9">
        <f t="shared" si="68"/>
        <v>1527.3967157976047</v>
      </c>
      <c r="Y195" s="2">
        <f t="shared" si="69"/>
        <v>16960710.673676718</v>
      </c>
      <c r="Z195" s="2">
        <f t="shared" si="54"/>
        <v>-3.3416206354368434E-2</v>
      </c>
      <c r="AA195" s="2">
        <f t="shared" si="55"/>
        <v>-3.3353591723062709E-2</v>
      </c>
      <c r="AB195" s="2">
        <f t="shared" si="56"/>
        <v>-3.3353555991492499E-2</v>
      </c>
      <c r="AC195" s="2">
        <f t="shared" si="57"/>
        <v>-3.3289382221747016E-2</v>
      </c>
      <c r="AD195" s="2">
        <f t="shared" si="58"/>
        <v>1515.3895227572912</v>
      </c>
      <c r="AE195" s="10">
        <f t="shared" si="59"/>
        <v>17508412.196616597</v>
      </c>
    </row>
    <row r="196" spans="1:31" x14ac:dyDescent="0.25">
      <c r="A196" s="1">
        <f t="shared" si="60"/>
        <v>0.78333333333333333</v>
      </c>
      <c r="B196" s="7">
        <f t="shared" si="61"/>
        <v>56766753.944433562</v>
      </c>
      <c r="C196" s="7">
        <f t="shared" si="62"/>
        <v>17508412.196616597</v>
      </c>
      <c r="D196" s="7"/>
      <c r="E196" s="7"/>
      <c r="F196" s="7"/>
      <c r="G196" s="7"/>
      <c r="H196" s="7"/>
      <c r="I196" s="7"/>
      <c r="J196" s="7"/>
      <c r="K196" s="7"/>
      <c r="L196" s="1">
        <f t="shared" si="65"/>
        <v>0.78333333333333333</v>
      </c>
      <c r="M196">
        <f t="shared" si="63"/>
        <v>67680</v>
      </c>
      <c r="N196" s="9">
        <f t="shared" si="66"/>
        <v>1550.4410062356349</v>
      </c>
      <c r="O196" s="7">
        <f t="shared" si="67"/>
        <v>56766753.944433562</v>
      </c>
      <c r="P196" s="2">
        <f t="shared" si="48"/>
        <v>-0.10793270037990559</v>
      </c>
      <c r="Q196" s="2">
        <f t="shared" si="49"/>
        <v>-0.10658933573403348</v>
      </c>
      <c r="R196" s="2">
        <f t="shared" si="50"/>
        <v>-0.10658926351911815</v>
      </c>
      <c r="S196" s="2">
        <f t="shared" si="51"/>
        <v>-0.10528052199433238</v>
      </c>
      <c r="T196" s="9">
        <f t="shared" si="52"/>
        <v>1512.0667809828024</v>
      </c>
      <c r="U196" s="7">
        <f t="shared" si="53"/>
        <v>57318005.346132882</v>
      </c>
      <c r="W196">
        <f t="shared" si="64"/>
        <v>67680</v>
      </c>
      <c r="X196" s="9">
        <f t="shared" si="68"/>
        <v>1515.3895227572912</v>
      </c>
      <c r="Y196" s="2">
        <f t="shared" si="69"/>
        <v>17508412.196616597</v>
      </c>
      <c r="Z196" s="2">
        <f t="shared" si="54"/>
        <v>-3.3289382894697114E-2</v>
      </c>
      <c r="AA196" s="2">
        <f t="shared" si="55"/>
        <v>-3.3223899284810281E-2</v>
      </c>
      <c r="AB196" s="2">
        <f t="shared" si="56"/>
        <v>-3.3223866082617605E-2</v>
      </c>
      <c r="AC196" s="2">
        <f t="shared" si="57"/>
        <v>-3.3157170286535372E-2</v>
      </c>
      <c r="AD196" s="2">
        <f t="shared" si="58"/>
        <v>1503.4289977223259</v>
      </c>
      <c r="AE196" s="10">
        <f t="shared" si="59"/>
        <v>18051799.530302927</v>
      </c>
    </row>
    <row r="197" spans="1:31" x14ac:dyDescent="0.25">
      <c r="A197" s="1">
        <f t="shared" si="60"/>
        <v>0.78749999999999998</v>
      </c>
      <c r="B197" s="7">
        <f t="shared" si="61"/>
        <v>57318005.346132882</v>
      </c>
      <c r="C197" s="7">
        <f t="shared" si="62"/>
        <v>18051799.530302927</v>
      </c>
      <c r="D197" s="7"/>
      <c r="E197" s="7"/>
      <c r="F197" s="7"/>
      <c r="G197" s="7"/>
      <c r="H197" s="7"/>
      <c r="I197" s="7"/>
      <c r="J197" s="7"/>
      <c r="K197" s="7"/>
      <c r="L197" s="1">
        <f t="shared" si="65"/>
        <v>0.78749999999999998</v>
      </c>
      <c r="M197">
        <f t="shared" si="63"/>
        <v>68040</v>
      </c>
      <c r="N197" s="9">
        <f t="shared" si="66"/>
        <v>1512.0667809828024</v>
      </c>
      <c r="O197" s="7">
        <f t="shared" si="67"/>
        <v>57318005.346132882</v>
      </c>
      <c r="P197" s="2">
        <f t="shared" si="48"/>
        <v>-0.10528052317051344</v>
      </c>
      <c r="Q197" s="2">
        <f t="shared" si="49"/>
        <v>-0.10400530689354991</v>
      </c>
      <c r="R197" s="2">
        <f t="shared" si="50"/>
        <v>-0.10400524084631864</v>
      </c>
      <c r="S197" s="2">
        <f t="shared" si="51"/>
        <v>-0.10276223293794153</v>
      </c>
      <c r="T197" s="9">
        <f t="shared" si="52"/>
        <v>1474.6229498875109</v>
      </c>
      <c r="U197" s="7">
        <f t="shared" si="53"/>
        <v>57855609.497689538</v>
      </c>
      <c r="W197">
        <f t="shared" si="64"/>
        <v>68040</v>
      </c>
      <c r="X197" s="9">
        <f t="shared" si="68"/>
        <v>1503.4289977223259</v>
      </c>
      <c r="Y197" s="2">
        <f t="shared" si="69"/>
        <v>18051799.530302927</v>
      </c>
      <c r="Z197" s="2">
        <f t="shared" si="54"/>
        <v>-3.315717089669707E-2</v>
      </c>
      <c r="AA197" s="2">
        <f t="shared" si="55"/>
        <v>-3.3089482161190238E-2</v>
      </c>
      <c r="AB197" s="2">
        <f t="shared" si="56"/>
        <v>-3.308945125847336E-2</v>
      </c>
      <c r="AC197" s="2">
        <f t="shared" si="57"/>
        <v>-3.3020848806375395E-2</v>
      </c>
      <c r="AD197" s="2">
        <f t="shared" si="58"/>
        <v>1491.516844529782</v>
      </c>
      <c r="AE197" s="10">
        <f t="shared" si="59"/>
        <v>18590889.781908307</v>
      </c>
    </row>
    <row r="198" spans="1:31" x14ac:dyDescent="0.25">
      <c r="A198" s="1">
        <f t="shared" si="60"/>
        <v>0.79166666666666663</v>
      </c>
      <c r="B198" s="7">
        <f t="shared" si="61"/>
        <v>57855609.497689538</v>
      </c>
      <c r="C198" s="7">
        <f t="shared" si="62"/>
        <v>18590889.781908307</v>
      </c>
      <c r="D198" s="7"/>
      <c r="E198" s="7"/>
      <c r="F198" s="7"/>
      <c r="G198" s="7"/>
      <c r="H198" s="7"/>
      <c r="I198" s="7"/>
      <c r="J198" s="7"/>
      <c r="K198" s="7"/>
      <c r="L198" s="1">
        <f t="shared" si="65"/>
        <v>0.79166666666666663</v>
      </c>
      <c r="M198">
        <f t="shared" si="63"/>
        <v>68400</v>
      </c>
      <c r="N198" s="9">
        <f t="shared" si="66"/>
        <v>1474.6229498875109</v>
      </c>
      <c r="O198" s="7">
        <f t="shared" si="67"/>
        <v>57855609.497689538</v>
      </c>
      <c r="P198" s="2">
        <f t="shared" si="48"/>
        <v>-0.10276223399293329</v>
      </c>
      <c r="Q198" s="2">
        <f t="shared" si="49"/>
        <v>-0.10155043557486597</v>
      </c>
      <c r="R198" s="2">
        <f t="shared" si="50"/>
        <v>-0.10155037504733072</v>
      </c>
      <c r="S198" s="2">
        <f t="shared" si="51"/>
        <v>-0.1003685853735172</v>
      </c>
      <c r="T198" s="9">
        <f t="shared" si="52"/>
        <v>1438.0630034508604</v>
      </c>
      <c r="U198" s="7">
        <f t="shared" si="53"/>
        <v>58379892.969290443</v>
      </c>
      <c r="W198">
        <f t="shared" si="64"/>
        <v>68400</v>
      </c>
      <c r="X198" s="9">
        <f t="shared" si="68"/>
        <v>1491.516844529782</v>
      </c>
      <c r="Y198" s="2">
        <f t="shared" si="69"/>
        <v>18590889.781908307</v>
      </c>
      <c r="Z198" s="2">
        <f t="shared" si="54"/>
        <v>-3.302084936088328E-2</v>
      </c>
      <c r="AA198" s="2">
        <f t="shared" si="55"/>
        <v>-3.2951526462410202E-2</v>
      </c>
      <c r="AB198" s="2">
        <f t="shared" si="56"/>
        <v>-3.2951497654299694E-2</v>
      </c>
      <c r="AC198" s="2">
        <f t="shared" si="57"/>
        <v>-3.2881518002662528E-2</v>
      </c>
      <c r="AD198" s="2">
        <f t="shared" si="58"/>
        <v>1479.6543395939641</v>
      </c>
      <c r="AE198" s="10">
        <f t="shared" si="59"/>
        <v>19125700.595050581</v>
      </c>
    </row>
    <row r="199" spans="1:31" x14ac:dyDescent="0.25">
      <c r="A199" s="1">
        <f t="shared" si="60"/>
        <v>0.79583333333333328</v>
      </c>
      <c r="B199" s="7">
        <f t="shared" si="61"/>
        <v>58379892.969290443</v>
      </c>
      <c r="C199" s="7">
        <f t="shared" si="62"/>
        <v>19125700.595050581</v>
      </c>
      <c r="D199" s="7"/>
      <c r="E199" s="7"/>
      <c r="F199" s="7"/>
      <c r="G199" s="7"/>
      <c r="H199" s="7"/>
      <c r="I199" s="7"/>
      <c r="J199" s="7"/>
      <c r="K199" s="7"/>
      <c r="L199" s="1">
        <f t="shared" si="65"/>
        <v>0.79583333333333328</v>
      </c>
      <c r="M199">
        <f t="shared" si="63"/>
        <v>68760</v>
      </c>
      <c r="N199" s="9">
        <f t="shared" si="66"/>
        <v>1438.0630034508604</v>
      </c>
      <c r="O199" s="7">
        <f t="shared" si="67"/>
        <v>58379892.969290443</v>
      </c>
      <c r="P199" s="2">
        <f t="shared" si="48"/>
        <v>-0.10036858632225144</v>
      </c>
      <c r="Q199" s="2">
        <f t="shared" si="49"/>
        <v>-9.9215894811696667E-2</v>
      </c>
      <c r="R199" s="2">
        <f t="shared" si="50"/>
        <v>-9.9215839236283326E-2</v>
      </c>
      <c r="S199" s="2">
        <f t="shared" si="51"/>
        <v>-9.8091148931724867E-2</v>
      </c>
      <c r="T199" s="9">
        <f t="shared" si="52"/>
        <v>1402.3436112498641</v>
      </c>
      <c r="U199" s="7">
        <f t="shared" si="53"/>
        <v>58891166.15993657</v>
      </c>
      <c r="W199">
        <f t="shared" si="64"/>
        <v>68760</v>
      </c>
      <c r="X199" s="9">
        <f t="shared" si="68"/>
        <v>1479.6543395939641</v>
      </c>
      <c r="Y199" s="2">
        <f t="shared" si="69"/>
        <v>19125700.595050581</v>
      </c>
      <c r="Z199" s="2">
        <f t="shared" si="54"/>
        <v>-3.2881518507710254E-2</v>
      </c>
      <c r="AA199" s="2">
        <f t="shared" si="55"/>
        <v>-3.2811052859317458E-2</v>
      </c>
      <c r="AB199" s="2">
        <f t="shared" si="56"/>
        <v>-3.281102596284214E-2</v>
      </c>
      <c r="AC199" s="2">
        <f t="shared" si="57"/>
        <v>-3.2740124915674011E-2</v>
      </c>
      <c r="AD199" s="2">
        <f t="shared" si="58"/>
        <v>1467.842391529902</v>
      </c>
      <c r="AE199" s="10">
        <f t="shared" si="59"/>
        <v>19656250.006652877</v>
      </c>
    </row>
    <row r="200" spans="1:31" x14ac:dyDescent="0.25">
      <c r="A200" s="1">
        <f t="shared" si="60"/>
        <v>0.8</v>
      </c>
      <c r="B200" s="7">
        <f t="shared" si="61"/>
        <v>58891166.15993657</v>
      </c>
      <c r="C200" s="7">
        <f t="shared" si="62"/>
        <v>19656250.006652877</v>
      </c>
      <c r="D200" s="7"/>
      <c r="E200" s="7"/>
      <c r="F200" s="7"/>
      <c r="G200" s="7"/>
      <c r="H200" s="7"/>
      <c r="I200" s="7"/>
      <c r="J200" s="7"/>
      <c r="K200" s="7"/>
      <c r="L200" s="1">
        <f t="shared" si="65"/>
        <v>0.8</v>
      </c>
      <c r="M200">
        <f t="shared" si="63"/>
        <v>69120</v>
      </c>
      <c r="N200" s="9">
        <f t="shared" si="66"/>
        <v>1402.3436112498641</v>
      </c>
      <c r="O200" s="7">
        <f t="shared" si="67"/>
        <v>58891166.15993657</v>
      </c>
      <c r="P200" s="2">
        <f t="shared" ref="P200:P263" si="70">dvdt_x($O200,$Y200)</f>
        <v>-9.8091149787020326E-2</v>
      </c>
      <c r="Q200" s="2">
        <f t="shared" ref="Q200:Q263" si="71">dvdt_x($O200+h/4*($N200+($N200+h/2*P200)),$Y200+h/4*($X200+($X200+h/2*Z200)))</f>
        <v>-9.6993629047051513E-2</v>
      </c>
      <c r="R200" s="2">
        <f t="shared" ref="R200:R263" si="72">dvdt_x($O200+h/4*($N200+($N200+h/2*Q200)),$Y200+h/4*($X200+($X200+h/2*AA200)))</f>
        <v>-9.6993577925184496E-2</v>
      </c>
      <c r="S200" s="2">
        <f t="shared" ref="S200:S263" si="73">dvdt_x($O200+h/2*($N200+($N200+h*R200)),$Y200+h/2*($X200+($X200+h*AB200)))</f>
        <v>-9.5922222764045439E-2</v>
      </c>
      <c r="T200" s="9">
        <f t="shared" ref="T200:T263" si="74">N200+h/6*(P200+2*Q200+2*R200+S200)</f>
        <v>1367.4243440601319</v>
      </c>
      <c r="U200" s="7">
        <f t="shared" ref="U200:U263" si="75">O200+h/2*(N200+T200)</f>
        <v>59389724.391892366</v>
      </c>
      <c r="W200">
        <f t="shared" si="64"/>
        <v>69120</v>
      </c>
      <c r="X200" s="9">
        <f t="shared" si="68"/>
        <v>1467.842391529902</v>
      </c>
      <c r="Y200" s="2">
        <f t="shared" si="69"/>
        <v>19656250.006652877</v>
      </c>
      <c r="Z200" s="2">
        <f t="shared" ref="Z200:Z263" si="76">dvdt_y($O200,$Y200)</f>
        <v>-3.274012537665439E-2</v>
      </c>
      <c r="AA200" s="2">
        <f t="shared" ref="AA200:AA263" si="77">dvdt_y($O200+h/4*($N200+($N200+h/2*P200)),$Y200+h/4*($X200+($X200+h/2*Z200)))</f>
        <v>-3.266894012496243E-2</v>
      </c>
      <c r="AB200" s="2">
        <f t="shared" ref="AB200:AB263" si="78">dvdt_y($O200+h/4*($N200+($N200+h/2*Q200)),$Y200+h/4*($X200+($X200+h/2*AA200)))</f>
        <v>-3.2668914976354803E-2</v>
      </c>
      <c r="AC200" s="2">
        <f t="shared" ref="AC200:AC263" si="79">dvdt_y($O200+h/2*($N200+($N200+h*R200)),$Y200+h/2*($X200+($X200+h*AB200)))</f>
        <v>-3.2597485070280555E-2</v>
      </c>
      <c r="AD200" s="2">
        <f t="shared" ref="AD200:AD263" si="80">X200+h/6*(Z200+2*AA200+2*AB200+AC200)</f>
        <v>1456.0815922909278</v>
      </c>
      <c r="AE200" s="10">
        <f t="shared" ref="AE200:AE263" si="81">Y200+h/2*(X200+AD200)</f>
        <v>20182556.323740628</v>
      </c>
    </row>
    <row r="201" spans="1:31" x14ac:dyDescent="0.25">
      <c r="A201" s="1">
        <f t="shared" ref="A201:A264" si="82">L201</f>
        <v>0.8041666666666667</v>
      </c>
      <c r="B201" s="7">
        <f t="shared" ref="B201:B264" si="83">O201</f>
        <v>59389724.391892366</v>
      </c>
      <c r="C201" s="7">
        <f t="shared" ref="C201:C264" si="84">Y201</f>
        <v>20182556.323740628</v>
      </c>
      <c r="D201" s="7"/>
      <c r="E201" s="7"/>
      <c r="F201" s="7"/>
      <c r="G201" s="7"/>
      <c r="H201" s="7"/>
      <c r="I201" s="7"/>
      <c r="J201" s="7"/>
      <c r="K201" s="7"/>
      <c r="L201" s="1">
        <f t="shared" si="65"/>
        <v>0.8041666666666667</v>
      </c>
      <c r="M201">
        <f t="shared" ref="M201:M264" si="85">M200+h</f>
        <v>69480</v>
      </c>
      <c r="N201" s="9">
        <f t="shared" si="66"/>
        <v>1367.4243440601319</v>
      </c>
      <c r="O201" s="7">
        <f t="shared" si="67"/>
        <v>59389724.391892366</v>
      </c>
      <c r="P201" s="2">
        <f t="shared" si="70"/>
        <v>-9.5922223536943449E-2</v>
      </c>
      <c r="Q201" s="2">
        <f t="shared" si="71"/>
        <v>-9.4876273045176193E-2</v>
      </c>
      <c r="R201" s="2">
        <f t="shared" si="72"/>
        <v>-9.4876225937677652E-2</v>
      </c>
      <c r="S201" s="2">
        <f t="shared" si="73"/>
        <v>-9.3854759596543269E-2</v>
      </c>
      <c r="T201" s="9">
        <f t="shared" si="74"/>
        <v>1333.2674251941803</v>
      </c>
      <c r="U201" s="7">
        <f t="shared" si="75"/>
        <v>59875848.910358146</v>
      </c>
      <c r="W201">
        <f t="shared" ref="W201:W264" si="86">W200+h</f>
        <v>69480</v>
      </c>
      <c r="X201" s="9">
        <f t="shared" si="68"/>
        <v>1456.0815922909278</v>
      </c>
      <c r="Y201" s="2">
        <f t="shared" si="69"/>
        <v>20182556.323740628</v>
      </c>
      <c r="Z201" s="2">
        <f t="shared" si="76"/>
        <v>-3.2597485491902486E-2</v>
      </c>
      <c r="AA201" s="2">
        <f t="shared" si="77"/>
        <v>-3.2525945087025242E-2</v>
      </c>
      <c r="AB201" s="2">
        <f t="shared" si="78"/>
        <v>-3.2525921539398227E-2</v>
      </c>
      <c r="AC201" s="2">
        <f t="shared" si="79"/>
        <v>-3.2454300863780428E-2</v>
      </c>
      <c r="AD201" s="2">
        <f t="shared" si="80"/>
        <v>1444.372261114416</v>
      </c>
      <c r="AE201" s="10">
        <f t="shared" si="81"/>
        <v>20704638.017353591</v>
      </c>
    </row>
    <row r="202" spans="1:31" x14ac:dyDescent="0.25">
      <c r="A202" s="1">
        <f t="shared" si="82"/>
        <v>0.80833333333333335</v>
      </c>
      <c r="B202" s="7">
        <f t="shared" si="83"/>
        <v>59875848.910358146</v>
      </c>
      <c r="C202" s="7">
        <f t="shared" si="84"/>
        <v>20704638.017353591</v>
      </c>
      <c r="D202" s="7"/>
      <c r="E202" s="7"/>
      <c r="F202" s="7"/>
      <c r="G202" s="7"/>
      <c r="H202" s="7"/>
      <c r="I202" s="7"/>
      <c r="J202" s="7"/>
      <c r="K202" s="7"/>
      <c r="L202" s="1">
        <f t="shared" ref="L202:L265" si="87">M202/(24*3600)</f>
        <v>0.80833333333333335</v>
      </c>
      <c r="M202">
        <f t="shared" si="85"/>
        <v>69840</v>
      </c>
      <c r="N202" s="9">
        <f t="shared" si="66"/>
        <v>1333.2674251941803</v>
      </c>
      <c r="O202" s="7">
        <f t="shared" si="67"/>
        <v>59875848.910358146</v>
      </c>
      <c r="P202" s="2">
        <f t="shared" si="70"/>
        <v>-9.3854760296584336E-2</v>
      </c>
      <c r="Q202" s="2">
        <f t="shared" si="71"/>
        <v>-9.2857080710967543E-2</v>
      </c>
      <c r="R202" s="2">
        <f t="shared" si="72"/>
        <v>-9.2857037229953157E-2</v>
      </c>
      <c r="S202" s="2">
        <f t="shared" si="73"/>
        <v>-9.1882298975661372E-2</v>
      </c>
      <c r="T202" s="9">
        <f t="shared" si="74"/>
        <v>1299.837507484935</v>
      </c>
      <c r="U202" s="7">
        <f t="shared" si="75"/>
        <v>60349807.798240386</v>
      </c>
      <c r="W202">
        <f t="shared" si="86"/>
        <v>69840</v>
      </c>
      <c r="X202" s="9">
        <f t="shared" si="68"/>
        <v>1444.372261114416</v>
      </c>
      <c r="Y202" s="2">
        <f t="shared" si="69"/>
        <v>20704638.017353591</v>
      </c>
      <c r="Z202" s="2">
        <f t="shared" si="76"/>
        <v>-3.2454301250167371E-2</v>
      </c>
      <c r="AA202" s="2">
        <f t="shared" si="77"/>
        <v>-3.2382719584302964E-2</v>
      </c>
      <c r="AB202" s="2">
        <f t="shared" si="78"/>
        <v>-3.2382697505642884E-2</v>
      </c>
      <c r="AC202" s="2">
        <f t="shared" si="79"/>
        <v>-3.2311177213182614E-2</v>
      </c>
      <c r="AD202" s="2">
        <f t="shared" si="80"/>
        <v>1432.7144823558215</v>
      </c>
      <c r="AE202" s="10">
        <f t="shared" si="81"/>
        <v>21222513.631178234</v>
      </c>
    </row>
    <row r="203" spans="1:31" x14ac:dyDescent="0.25">
      <c r="A203" s="1">
        <f t="shared" si="82"/>
        <v>0.8125</v>
      </c>
      <c r="B203" s="7">
        <f t="shared" si="83"/>
        <v>60349807.798240386</v>
      </c>
      <c r="C203" s="7">
        <f t="shared" si="84"/>
        <v>21222513.631178234</v>
      </c>
      <c r="D203" s="7"/>
      <c r="E203" s="7"/>
      <c r="F203" s="7"/>
      <c r="G203" s="7"/>
      <c r="H203" s="7"/>
      <c r="I203" s="7"/>
      <c r="J203" s="7"/>
      <c r="K203" s="7"/>
      <c r="L203" s="1">
        <f t="shared" si="87"/>
        <v>0.8125</v>
      </c>
      <c r="M203">
        <f t="shared" si="85"/>
        <v>70200</v>
      </c>
      <c r="N203" s="9">
        <f t="shared" si="66"/>
        <v>1299.837507484935</v>
      </c>
      <c r="O203" s="7">
        <f t="shared" si="67"/>
        <v>60349807.798240386</v>
      </c>
      <c r="P203" s="2">
        <f t="shared" si="70"/>
        <v>-9.188229961111459E-2</v>
      </c>
      <c r="Q203" s="2">
        <f t="shared" si="71"/>
        <v>-9.0929862444546691E-2</v>
      </c>
      <c r="R203" s="2">
        <f t="shared" si="72"/>
        <v>-9.0929822246560724E-2</v>
      </c>
      <c r="S203" s="2">
        <f t="shared" si="73"/>
        <v>-8.9998908444539991E-2</v>
      </c>
      <c r="T203" s="9">
        <f t="shared" si="74"/>
        <v>1267.1014728386629</v>
      </c>
      <c r="U203" s="7">
        <f t="shared" si="75"/>
        <v>60811856.814698637</v>
      </c>
      <c r="W203">
        <f t="shared" si="86"/>
        <v>70200</v>
      </c>
      <c r="X203" s="9">
        <f t="shared" si="68"/>
        <v>1432.7144823558215</v>
      </c>
      <c r="Y203" s="2">
        <f t="shared" si="69"/>
        <v>21222513.631178234</v>
      </c>
      <c r="Z203" s="2">
        <f t="shared" si="76"/>
        <v>-3.2311177567954701E-2</v>
      </c>
      <c r="AA203" s="2">
        <f t="shared" si="77"/>
        <v>-3.2239824914406315E-2</v>
      </c>
      <c r="AB203" s="2">
        <f t="shared" si="78"/>
        <v>-3.2239804185833956E-2</v>
      </c>
      <c r="AC203" s="2">
        <f t="shared" si="79"/>
        <v>-3.2168634904012686E-2</v>
      </c>
      <c r="AD203" s="2">
        <f t="shared" si="80"/>
        <v>1421.1081381154745</v>
      </c>
      <c r="AE203" s="10">
        <f t="shared" si="81"/>
        <v>21736201.702863067</v>
      </c>
    </row>
    <row r="204" spans="1:31" x14ac:dyDescent="0.25">
      <c r="A204" s="1">
        <f t="shared" si="82"/>
        <v>0.81666666666666665</v>
      </c>
      <c r="B204" s="7">
        <f t="shared" si="83"/>
        <v>60811856.814698637</v>
      </c>
      <c r="C204" s="7">
        <f t="shared" si="84"/>
        <v>21736201.702863067</v>
      </c>
      <c r="D204" s="7"/>
      <c r="E204" s="7"/>
      <c r="F204" s="7"/>
      <c r="G204" s="7"/>
      <c r="H204" s="7"/>
      <c r="I204" s="7"/>
      <c r="J204" s="7"/>
      <c r="K204" s="7"/>
      <c r="L204" s="1">
        <f t="shared" si="87"/>
        <v>0.81666666666666665</v>
      </c>
      <c r="M204">
        <f t="shared" si="85"/>
        <v>70560</v>
      </c>
      <c r="N204" s="9">
        <f t="shared" si="66"/>
        <v>1267.1014728386629</v>
      </c>
      <c r="O204" s="7">
        <f t="shared" si="67"/>
        <v>60811856.814698637</v>
      </c>
      <c r="P204" s="2">
        <f t="shared" si="70"/>
        <v>-8.9998909022593263E-2</v>
      </c>
      <c r="Q204" s="2">
        <f t="shared" si="71"/>
        <v>-8.9088929870285521E-2</v>
      </c>
      <c r="R204" s="2">
        <f t="shared" si="72"/>
        <v>-8.9088892650466656E-2</v>
      </c>
      <c r="S204" s="2">
        <f t="shared" si="73"/>
        <v>-8.8199131581126605E-2</v>
      </c>
      <c r="T204" s="9">
        <f t="shared" si="74"/>
        <v>1235.0282516999494</v>
      </c>
      <c r="U204" s="7">
        <f t="shared" si="75"/>
        <v>61262240.165115587</v>
      </c>
      <c r="W204">
        <f t="shared" si="86"/>
        <v>70560</v>
      </c>
      <c r="X204" s="9">
        <f t="shared" si="68"/>
        <v>1421.1081381154745</v>
      </c>
      <c r="Y204" s="2">
        <f t="shared" si="69"/>
        <v>21736201.702863067</v>
      </c>
      <c r="Z204" s="2">
        <f t="shared" si="76"/>
        <v>-3.2168635230356492E-2</v>
      </c>
      <c r="AA204" s="2">
        <f t="shared" si="77"/>
        <v>-3.209774417417266E-2</v>
      </c>
      <c r="AB204" s="2">
        <f t="shared" si="78"/>
        <v>-3.2097724688432423E-2</v>
      </c>
      <c r="AC204" s="2">
        <f t="shared" si="79"/>
        <v>-3.2027122005633346E-2</v>
      </c>
      <c r="AD204" s="2">
        <f t="shared" si="80"/>
        <v>1409.5529364178026</v>
      </c>
      <c r="AE204" s="10">
        <f t="shared" si="81"/>
        <v>22245720.696279056</v>
      </c>
    </row>
    <row r="205" spans="1:31" x14ac:dyDescent="0.25">
      <c r="A205" s="1">
        <f t="shared" si="82"/>
        <v>0.8208333333333333</v>
      </c>
      <c r="B205" s="7">
        <f t="shared" si="83"/>
        <v>61262240.165115587</v>
      </c>
      <c r="C205" s="7">
        <f t="shared" si="84"/>
        <v>22245720.696279056</v>
      </c>
      <c r="D205" s="7"/>
      <c r="E205" s="7"/>
      <c r="F205" s="7"/>
      <c r="G205" s="7"/>
      <c r="H205" s="7"/>
      <c r="I205" s="7"/>
      <c r="J205" s="7"/>
      <c r="K205" s="7"/>
      <c r="L205" s="1">
        <f t="shared" si="87"/>
        <v>0.8208333333333333</v>
      </c>
      <c r="M205">
        <f t="shared" si="85"/>
        <v>70920</v>
      </c>
      <c r="N205" s="9">
        <f t="shared" si="66"/>
        <v>1235.0282516999494</v>
      </c>
      <c r="O205" s="7">
        <f t="shared" si="67"/>
        <v>61262240.165115587</v>
      </c>
      <c r="P205" s="2">
        <f t="shared" si="70"/>
        <v>-8.8199132108045808E-2</v>
      </c>
      <c r="Q205" s="2">
        <f t="shared" si="71"/>
        <v>-8.7329046955374731E-2</v>
      </c>
      <c r="R205" s="2">
        <f t="shared" si="72"/>
        <v>-8.7329012442481216E-2</v>
      </c>
      <c r="S205" s="2">
        <f t="shared" si="73"/>
        <v>-8.6477941989775015E-2</v>
      </c>
      <c r="T205" s="9">
        <f t="shared" si="74"/>
        <v>1203.5886601263373</v>
      </c>
      <c r="U205" s="7">
        <f t="shared" si="75"/>
        <v>61701191.209244318</v>
      </c>
      <c r="W205">
        <f t="shared" si="86"/>
        <v>70920</v>
      </c>
      <c r="X205" s="9">
        <f t="shared" si="68"/>
        <v>1409.5529364178026</v>
      </c>
      <c r="Y205" s="2">
        <f t="shared" si="69"/>
        <v>22245720.696279056</v>
      </c>
      <c r="Z205" s="2">
        <f t="shared" si="76"/>
        <v>-3.202712230636081E-2</v>
      </c>
      <c r="AA205" s="2">
        <f t="shared" si="77"/>
        <v>-3.19568928248593E-2</v>
      </c>
      <c r="AB205" s="2">
        <f t="shared" si="78"/>
        <v>-3.1956874485005032E-2</v>
      </c>
      <c r="AC205" s="2">
        <f t="shared" si="79"/>
        <v>-3.1887023655452054E-2</v>
      </c>
      <c r="AD205" s="2">
        <f t="shared" si="80"/>
        <v>1398.0484355829101</v>
      </c>
      <c r="AE205" s="10">
        <f t="shared" si="81"/>
        <v>22751088.943239186</v>
      </c>
    </row>
    <row r="206" spans="1:31" x14ac:dyDescent="0.25">
      <c r="A206" s="1">
        <f t="shared" si="82"/>
        <v>0.82499999999999996</v>
      </c>
      <c r="B206" s="7">
        <f t="shared" si="83"/>
        <v>61701191.209244318</v>
      </c>
      <c r="C206" s="7">
        <f t="shared" si="84"/>
        <v>22751088.943239186</v>
      </c>
      <c r="D206" s="7"/>
      <c r="E206" s="7"/>
      <c r="F206" s="7"/>
      <c r="G206" s="7"/>
      <c r="H206" s="7"/>
      <c r="I206" s="7"/>
      <c r="J206" s="7"/>
      <c r="K206" s="7"/>
      <c r="L206" s="1">
        <f t="shared" si="87"/>
        <v>0.82499999999999996</v>
      </c>
      <c r="M206">
        <f t="shared" si="85"/>
        <v>71280</v>
      </c>
      <c r="N206" s="9">
        <f t="shared" si="66"/>
        <v>1203.5886601263373</v>
      </c>
      <c r="O206" s="7">
        <f t="shared" si="67"/>
        <v>61701191.209244318</v>
      </c>
      <c r="P206" s="2">
        <f t="shared" si="70"/>
        <v>-8.6477942471037073E-2</v>
      </c>
      <c r="Q206" s="2">
        <f t="shared" si="71"/>
        <v>-8.5645386679571986E-2</v>
      </c>
      <c r="R206" s="2">
        <f t="shared" si="72"/>
        <v>-8.5645354631726789E-2</v>
      </c>
      <c r="S206" s="2">
        <f t="shared" si="73"/>
        <v>-8.4830702472006705E-2</v>
      </c>
      <c r="T206" s="9">
        <f t="shared" si="74"/>
        <v>1172.7552524723988</v>
      </c>
      <c r="U206" s="7">
        <f t="shared" si="75"/>
        <v>62128933.113512091</v>
      </c>
      <c r="W206">
        <f t="shared" si="86"/>
        <v>71280</v>
      </c>
      <c r="X206" s="9">
        <f t="shared" si="68"/>
        <v>1398.0484355829101</v>
      </c>
      <c r="Y206" s="2">
        <f t="shared" si="69"/>
        <v>22751088.943239186</v>
      </c>
      <c r="Z206" s="2">
        <f t="shared" si="76"/>
        <v>-3.1887023933050276E-2</v>
      </c>
      <c r="AA206" s="2">
        <f t="shared" si="77"/>
        <v>-3.1817627757666597E-2</v>
      </c>
      <c r="AB206" s="2">
        <f t="shared" si="78"/>
        <v>-3.1817610475914027E-2</v>
      </c>
      <c r="AC206" s="2">
        <f t="shared" si="79"/>
        <v>-3.1748670463329104E-2</v>
      </c>
      <c r="AD206" s="2">
        <f t="shared" si="80"/>
        <v>1386.5940653310977</v>
      </c>
      <c r="AE206" s="10">
        <f t="shared" si="81"/>
        <v>23252324.593403708</v>
      </c>
    </row>
    <row r="207" spans="1:31" x14ac:dyDescent="0.25">
      <c r="A207" s="1">
        <f t="shared" si="82"/>
        <v>0.82916666666666672</v>
      </c>
      <c r="B207" s="7">
        <f t="shared" si="83"/>
        <v>62128933.113512091</v>
      </c>
      <c r="C207" s="7">
        <f t="shared" si="84"/>
        <v>23252324.593403708</v>
      </c>
      <c r="D207" s="7"/>
      <c r="E207" s="7"/>
      <c r="F207" s="7"/>
      <c r="G207" s="7"/>
      <c r="H207" s="7"/>
      <c r="I207" s="7"/>
      <c r="J207" s="7"/>
      <c r="K207" s="7"/>
      <c r="L207" s="1">
        <f t="shared" si="87"/>
        <v>0.82916666666666672</v>
      </c>
      <c r="M207">
        <f t="shared" si="85"/>
        <v>71640</v>
      </c>
      <c r="N207" s="9">
        <f t="shared" si="66"/>
        <v>1172.7552524723988</v>
      </c>
      <c r="O207" s="7">
        <f t="shared" si="67"/>
        <v>62128933.113512091</v>
      </c>
      <c r="P207" s="2">
        <f t="shared" si="70"/>
        <v>-8.4830702912411474E-2</v>
      </c>
      <c r="Q207" s="2">
        <f t="shared" si="71"/>
        <v>-8.40334925403666E-2</v>
      </c>
      <c r="R207" s="2">
        <f t="shared" si="72"/>
        <v>-8.4033462741407342E-2</v>
      </c>
      <c r="S207" s="2">
        <f t="shared" si="73"/>
        <v>-8.3253128714372251E-2</v>
      </c>
      <c r="T207" s="9">
        <f t="shared" si="74"/>
        <v>1142.502187940979</v>
      </c>
      <c r="U207" s="7">
        <f t="shared" si="75"/>
        <v>62545679.452786498</v>
      </c>
      <c r="W207">
        <f t="shared" si="86"/>
        <v>71640</v>
      </c>
      <c r="X207" s="9">
        <f t="shared" si="68"/>
        <v>1386.5940653310977</v>
      </c>
      <c r="Y207" s="2">
        <f t="shared" si="69"/>
        <v>23252324.593403708</v>
      </c>
      <c r="Z207" s="2">
        <f t="shared" si="76"/>
        <v>-3.1748670720003064E-2</v>
      </c>
      <c r="AA207" s="2">
        <f t="shared" si="77"/>
        <v>-3.1680255088968462E-2</v>
      </c>
      <c r="AB207" s="2">
        <f t="shared" si="78"/>
        <v>-3.1680238785692372E-2</v>
      </c>
      <c r="AC207" s="2">
        <f t="shared" si="79"/>
        <v>-3.161234574571356E-2</v>
      </c>
      <c r="AD207" s="2">
        <f t="shared" si="80"/>
        <v>1375.1891450781955</v>
      </c>
      <c r="AE207" s="10">
        <f t="shared" si="81"/>
        <v>23749445.57127738</v>
      </c>
    </row>
    <row r="208" spans="1:31" x14ac:dyDescent="0.25">
      <c r="A208" s="1">
        <f t="shared" si="82"/>
        <v>0.83333333333333337</v>
      </c>
      <c r="B208" s="7">
        <f t="shared" si="83"/>
        <v>62545679.452786498</v>
      </c>
      <c r="C208" s="7">
        <f t="shared" si="84"/>
        <v>23749445.57127738</v>
      </c>
      <c r="D208" s="7"/>
      <c r="E208" s="7"/>
      <c r="F208" s="7"/>
      <c r="G208" s="7"/>
      <c r="H208" s="7"/>
      <c r="I208" s="7"/>
      <c r="J208" s="7"/>
      <c r="K208" s="7"/>
      <c r="L208" s="1">
        <f t="shared" si="87"/>
        <v>0.83333333333333337</v>
      </c>
      <c r="M208">
        <f t="shared" si="85"/>
        <v>72000</v>
      </c>
      <c r="N208" s="9">
        <f t="shared" si="66"/>
        <v>1142.502187940979</v>
      </c>
      <c r="O208" s="7">
        <f t="shared" si="67"/>
        <v>62545679.452786498</v>
      </c>
      <c r="P208" s="2">
        <f t="shared" si="70"/>
        <v>-8.3253129118136773E-2</v>
      </c>
      <c r="Q208" s="2">
        <f t="shared" si="71"/>
        <v>-8.2489244280690807E-2</v>
      </c>
      <c r="R208" s="2">
        <f t="shared" si="72"/>
        <v>-8.2489216537029481E-2</v>
      </c>
      <c r="S208" s="2">
        <f t="shared" si="73"/>
        <v>-8.1741256925722566E-2</v>
      </c>
      <c r="T208" s="9">
        <f t="shared" si="74"/>
        <v>1112.8051094802211</v>
      </c>
      <c r="U208" s="7">
        <f t="shared" si="75"/>
        <v>62951634.766322315</v>
      </c>
      <c r="W208">
        <f t="shared" si="86"/>
        <v>72000</v>
      </c>
      <c r="X208" s="9">
        <f t="shared" si="68"/>
        <v>1375.1891450781955</v>
      </c>
      <c r="Y208" s="2">
        <f t="shared" si="69"/>
        <v>23749445.57127738</v>
      </c>
      <c r="Z208" s="2">
        <f t="shared" si="76"/>
        <v>-3.1612345983422399E-2</v>
      </c>
      <c r="AA208" s="2">
        <f t="shared" si="77"/>
        <v>-3.1545036876782277E-2</v>
      </c>
      <c r="AB208" s="2">
        <f t="shared" si="78"/>
        <v>-3.1545021479637114E-2</v>
      </c>
      <c r="AC208" s="2">
        <f t="shared" si="79"/>
        <v>-3.1478291764722756E-2</v>
      </c>
      <c r="AD208" s="2">
        <f t="shared" si="80"/>
        <v>1363.8328998105364</v>
      </c>
      <c r="AE208" s="10">
        <f t="shared" si="81"/>
        <v>24242469.539357353</v>
      </c>
    </row>
    <row r="209" spans="1:31" x14ac:dyDescent="0.25">
      <c r="A209" s="1">
        <f t="shared" si="82"/>
        <v>0.83750000000000002</v>
      </c>
      <c r="B209" s="7">
        <f t="shared" si="83"/>
        <v>62951634.766322315</v>
      </c>
      <c r="C209" s="7">
        <f t="shared" si="84"/>
        <v>24242469.539357353</v>
      </c>
      <c r="D209" s="7"/>
      <c r="E209" s="7"/>
      <c r="F209" s="7"/>
      <c r="G209" s="7"/>
      <c r="H209" s="7"/>
      <c r="I209" s="7"/>
      <c r="J209" s="7"/>
      <c r="K209" s="7"/>
      <c r="L209" s="1">
        <f t="shared" si="87"/>
        <v>0.83750000000000002</v>
      </c>
      <c r="M209">
        <f t="shared" si="85"/>
        <v>72360</v>
      </c>
      <c r="N209" s="9">
        <f t="shared" si="66"/>
        <v>1112.8051094802211</v>
      </c>
      <c r="O209" s="7">
        <f t="shared" si="67"/>
        <v>62951634.766322315</v>
      </c>
      <c r="P209" s="2">
        <f t="shared" si="70"/>
        <v>-8.1741257296560982E-2</v>
      </c>
      <c r="Q209" s="2">
        <f t="shared" si="71"/>
        <v>-8.1008827312941845E-2</v>
      </c>
      <c r="R209" s="2">
        <f t="shared" si="72"/>
        <v>-8.1008801450855775E-2</v>
      </c>
      <c r="S209" s="2">
        <f t="shared" si="73"/>
        <v>-8.0291414935784289E-2</v>
      </c>
      <c r="T209" s="9">
        <f t="shared" si="74"/>
        <v>1083.6410336946246</v>
      </c>
      <c r="U209" s="7">
        <f t="shared" si="75"/>
        <v>63346995.072093785</v>
      </c>
      <c r="W209">
        <f t="shared" si="86"/>
        <v>72360</v>
      </c>
      <c r="X209" s="9">
        <f t="shared" si="68"/>
        <v>1363.8328998105364</v>
      </c>
      <c r="Y209" s="2">
        <f t="shared" si="69"/>
        <v>24242469.539357353</v>
      </c>
      <c r="Z209" s="2">
        <f t="shared" si="76"/>
        <v>-3.1478291985210953E-2</v>
      </c>
      <c r="AA209" s="2">
        <f t="shared" si="77"/>
        <v>-3.1412196918875146E-2</v>
      </c>
      <c r="AB209" s="2">
        <f t="shared" si="78"/>
        <v>-3.1412182362022791E-2</v>
      </c>
      <c r="AC209" s="2">
        <f t="shared" si="79"/>
        <v>-3.1346715119109012E-2</v>
      </c>
      <c r="AD209" s="2">
        <f t="shared" si="80"/>
        <v>1352.5244738705694</v>
      </c>
      <c r="AE209" s="10">
        <f t="shared" si="81"/>
        <v>24731413.866619952</v>
      </c>
    </row>
    <row r="210" spans="1:31" x14ac:dyDescent="0.25">
      <c r="A210" s="1">
        <f t="shared" si="82"/>
        <v>0.84166666666666667</v>
      </c>
      <c r="B210" s="7">
        <f t="shared" si="83"/>
        <v>63346995.072093785</v>
      </c>
      <c r="C210" s="7">
        <f t="shared" si="84"/>
        <v>24731413.866619952</v>
      </c>
      <c r="D210" s="7"/>
      <c r="E210" s="7"/>
      <c r="F210" s="7"/>
      <c r="G210" s="7"/>
      <c r="H210" s="7"/>
      <c r="I210" s="7"/>
      <c r="J210" s="7"/>
      <c r="K210" s="7"/>
      <c r="L210" s="1">
        <f t="shared" si="87"/>
        <v>0.84166666666666667</v>
      </c>
      <c r="M210">
        <f t="shared" si="85"/>
        <v>72720</v>
      </c>
      <c r="N210" s="9">
        <f t="shared" si="66"/>
        <v>1083.6410336946246</v>
      </c>
      <c r="O210" s="7">
        <f t="shared" si="67"/>
        <v>63346995.072093785</v>
      </c>
      <c r="P210" s="2">
        <f t="shared" si="70"/>
        <v>-8.0291415276975364E-2</v>
      </c>
      <c r="Q210" s="2">
        <f t="shared" si="71"/>
        <v>-7.9588705386246669E-2</v>
      </c>
      <c r="R210" s="2">
        <f t="shared" si="72"/>
        <v>-7.9588681249534915E-2</v>
      </c>
      <c r="S210" s="2">
        <f t="shared" si="73"/>
        <v>-7.890019633424436E-2</v>
      </c>
      <c r="T210" s="9">
        <f t="shared" si="74"/>
        <v>1054.9882506016577</v>
      </c>
      <c r="U210" s="7">
        <f t="shared" si="75"/>
        <v>63731948.343267113</v>
      </c>
      <c r="W210">
        <f t="shared" si="86"/>
        <v>72720</v>
      </c>
      <c r="X210" s="9">
        <f t="shared" si="68"/>
        <v>1352.5244738705694</v>
      </c>
      <c r="Y210" s="2">
        <f t="shared" si="69"/>
        <v>24731413.866619952</v>
      </c>
      <c r="Z210" s="2">
        <f t="shared" si="76"/>
        <v>-3.1346715323933336E-2</v>
      </c>
      <c r="AA210" s="2">
        <f t="shared" si="77"/>
        <v>-3.1281925767213205E-2</v>
      </c>
      <c r="AB210" s="2">
        <f t="shared" si="78"/>
        <v>-3.1281911990643681E-2</v>
      </c>
      <c r="AC210" s="2">
        <f t="shared" si="79"/>
        <v>-3.121779141069039E-2</v>
      </c>
      <c r="AD210" s="2">
        <f t="shared" si="80"/>
        <v>1341.2629429355491</v>
      </c>
      <c r="AE210" s="10">
        <f t="shared" si="81"/>
        <v>25216295.601645052</v>
      </c>
    </row>
    <row r="211" spans="1:31" x14ac:dyDescent="0.25">
      <c r="A211" s="1">
        <f t="shared" si="82"/>
        <v>0.84583333333333333</v>
      </c>
      <c r="B211" s="7">
        <f t="shared" si="83"/>
        <v>63731948.343267113</v>
      </c>
      <c r="C211" s="7">
        <f t="shared" si="84"/>
        <v>25216295.601645052</v>
      </c>
      <c r="D211" s="7"/>
      <c r="E211" s="7"/>
      <c r="F211" s="7"/>
      <c r="G211" s="7"/>
      <c r="H211" s="7"/>
      <c r="I211" s="7"/>
      <c r="J211" s="7"/>
      <c r="K211" s="7"/>
      <c r="L211" s="1">
        <f t="shared" si="87"/>
        <v>0.84583333333333333</v>
      </c>
      <c r="M211">
        <f t="shared" si="85"/>
        <v>73080</v>
      </c>
      <c r="N211" s="9">
        <f t="shared" si="66"/>
        <v>1054.9882506016577</v>
      </c>
      <c r="O211" s="7">
        <f t="shared" si="67"/>
        <v>63731948.343267113</v>
      </c>
      <c r="P211" s="2">
        <f t="shared" si="70"/>
        <v>-7.8900196648689178E-2</v>
      </c>
      <c r="Q211" s="2">
        <f t="shared" si="71"/>
        <v>-7.8225596105876163E-2</v>
      </c>
      <c r="R211" s="2">
        <f t="shared" si="72"/>
        <v>-7.8225573553827144E-2</v>
      </c>
      <c r="S211" s="2">
        <f t="shared" si="73"/>
        <v>-7.756443728664987E-2</v>
      </c>
      <c r="T211" s="9">
        <f t="shared" si="74"/>
        <v>1026.8262322063729</v>
      </c>
      <c r="U211" s="7">
        <f t="shared" si="75"/>
        <v>64106674.950172558</v>
      </c>
      <c r="W211">
        <f t="shared" si="86"/>
        <v>73080</v>
      </c>
      <c r="X211" s="9">
        <f t="shared" si="68"/>
        <v>1341.2629429355491</v>
      </c>
      <c r="Y211" s="2">
        <f t="shared" si="69"/>
        <v>25216295.601645052</v>
      </c>
      <c r="Z211" s="2">
        <f t="shared" si="76"/>
        <v>-3.1217791601242592E-2</v>
      </c>
      <c r="AA211" s="2">
        <f t="shared" si="77"/>
        <v>-3.1154385072192731E-2</v>
      </c>
      <c r="AB211" s="2">
        <f t="shared" si="78"/>
        <v>-3.1154372021124942E-2</v>
      </c>
      <c r="AC211" s="2">
        <f t="shared" si="79"/>
        <v>-3.1091669290448432E-2</v>
      </c>
      <c r="AD211" s="2">
        <f t="shared" si="80"/>
        <v>1330.0473244308496</v>
      </c>
      <c r="AE211" s="10">
        <f t="shared" si="81"/>
        <v>25697131.449771006</v>
      </c>
    </row>
    <row r="212" spans="1:31" x14ac:dyDescent="0.25">
      <c r="A212" s="1">
        <f t="shared" si="82"/>
        <v>0.85</v>
      </c>
      <c r="B212" s="7">
        <f t="shared" si="83"/>
        <v>64106674.950172558</v>
      </c>
      <c r="C212" s="7">
        <f t="shared" si="84"/>
        <v>25697131.449771006</v>
      </c>
      <c r="D212" s="7"/>
      <c r="E212" s="7"/>
      <c r="F212" s="7"/>
      <c r="G212" s="7"/>
      <c r="H212" s="7"/>
      <c r="I212" s="7"/>
      <c r="J212" s="7"/>
      <c r="K212" s="7"/>
      <c r="L212" s="1">
        <f t="shared" si="87"/>
        <v>0.85</v>
      </c>
      <c r="M212">
        <f t="shared" si="85"/>
        <v>73440</v>
      </c>
      <c r="N212" s="9">
        <f t="shared" si="66"/>
        <v>1026.8262322063729</v>
      </c>
      <c r="O212" s="7">
        <f t="shared" si="67"/>
        <v>64106674.950172558</v>
      </c>
      <c r="P212" s="2">
        <f t="shared" si="70"/>
        <v>-7.7564437576920886E-2</v>
      </c>
      <c r="Q212" s="2">
        <f t="shared" si="71"/>
        <v>-7.6916448966366097E-2</v>
      </c>
      <c r="R212" s="2">
        <f t="shared" si="72"/>
        <v>-7.6916427871990545E-2</v>
      </c>
      <c r="S212" s="2">
        <f t="shared" si="73"/>
        <v>-7.6281195712002176E-2</v>
      </c>
      <c r="T212" s="9">
        <f t="shared" si="74"/>
        <v>999.13554898843472</v>
      </c>
      <c r="U212" s="7">
        <f t="shared" si="75"/>
        <v>64471348.070787624</v>
      </c>
      <c r="W212">
        <f t="shared" si="86"/>
        <v>73440</v>
      </c>
      <c r="X212" s="9">
        <f t="shared" si="68"/>
        <v>1330.0473244308496</v>
      </c>
      <c r="Y212" s="2">
        <f t="shared" si="69"/>
        <v>25697131.449771006</v>
      </c>
      <c r="Z212" s="2">
        <f t="shared" si="76"/>
        <v>-3.1091669467975258E-2</v>
      </c>
      <c r="AA212" s="2">
        <f t="shared" si="77"/>
        <v>-3.1029711352428747E-2</v>
      </c>
      <c r="AB212" s="2">
        <f t="shared" si="78"/>
        <v>-3.1029698976780849E-2</v>
      </c>
      <c r="AC212" s="2">
        <f t="shared" si="79"/>
        <v>-3.0968473972384499E-2</v>
      </c>
      <c r="AD212" s="2">
        <f t="shared" si="80"/>
        <v>1318.8765865849227</v>
      </c>
      <c r="AE212" s="10">
        <f t="shared" si="81"/>
        <v>26173937.753753845</v>
      </c>
    </row>
    <row r="213" spans="1:31" x14ac:dyDescent="0.25">
      <c r="A213" s="1">
        <f t="shared" si="82"/>
        <v>0.85416666666666663</v>
      </c>
      <c r="B213" s="7">
        <f t="shared" si="83"/>
        <v>64471348.070787624</v>
      </c>
      <c r="C213" s="7">
        <f t="shared" si="84"/>
        <v>26173937.753753845</v>
      </c>
      <c r="D213" s="7"/>
      <c r="E213" s="7"/>
      <c r="F213" s="7"/>
      <c r="G213" s="7"/>
      <c r="H213" s="7"/>
      <c r="I213" s="7"/>
      <c r="J213" s="7"/>
      <c r="K213" s="7"/>
      <c r="L213" s="1">
        <f t="shared" si="87"/>
        <v>0.85416666666666663</v>
      </c>
      <c r="M213">
        <f t="shared" si="85"/>
        <v>73800</v>
      </c>
      <c r="N213" s="9">
        <f t="shared" si="66"/>
        <v>999.13554898843472</v>
      </c>
      <c r="O213" s="7">
        <f t="shared" si="67"/>
        <v>64471348.070787624</v>
      </c>
      <c r="P213" s="2">
        <f t="shared" si="70"/>
        <v>-7.6281195980385366E-2</v>
      </c>
      <c r="Q213" s="2">
        <f t="shared" si="71"/>
        <v>-7.5658425604746796E-2</v>
      </c>
      <c r="R213" s="2">
        <f t="shared" si="72"/>
        <v>-7.5658405853237784E-2</v>
      </c>
      <c r="S213" s="2">
        <f t="shared" si="73"/>
        <v>-7.5047732548355547E-2</v>
      </c>
      <c r="T213" s="9">
        <f t="shared" si="74"/>
        <v>971.89779350175206</v>
      </c>
      <c r="U213" s="7">
        <f t="shared" si="75"/>
        <v>64826134.072435856</v>
      </c>
      <c r="W213">
        <f t="shared" si="86"/>
        <v>73800</v>
      </c>
      <c r="X213" s="9">
        <f t="shared" si="68"/>
        <v>1318.8765865849227</v>
      </c>
      <c r="Y213" s="2">
        <f t="shared" si="69"/>
        <v>26173937.753753845</v>
      </c>
      <c r="Z213" s="2">
        <f t="shared" si="76"/>
        <v>-3.0968474138005016E-2</v>
      </c>
      <c r="AA213" s="2">
        <f t="shared" si="77"/>
        <v>-3.090801927117319E-2</v>
      </c>
      <c r="AB213" s="2">
        <f t="shared" si="78"/>
        <v>-3.0908007525093775E-2</v>
      </c>
      <c r="AC213" s="2">
        <f t="shared" si="79"/>
        <v>-3.0848310289792343E-2</v>
      </c>
      <c r="AD213" s="2">
        <f t="shared" si="80"/>
        <v>1307.7496563037027</v>
      </c>
      <c r="AE213" s="10">
        <f t="shared" si="81"/>
        <v>26646730.477473795</v>
      </c>
    </row>
    <row r="214" spans="1:31" x14ac:dyDescent="0.25">
      <c r="A214" s="1">
        <f t="shared" si="82"/>
        <v>0.85833333333333328</v>
      </c>
      <c r="B214" s="7">
        <f t="shared" si="83"/>
        <v>64826134.072435856</v>
      </c>
      <c r="C214" s="7">
        <f t="shared" si="84"/>
        <v>26646730.477473795</v>
      </c>
      <c r="D214" s="7"/>
      <c r="E214" s="7"/>
      <c r="F214" s="7"/>
      <c r="G214" s="7"/>
      <c r="H214" s="7"/>
      <c r="I214" s="7"/>
      <c r="J214" s="7"/>
      <c r="K214" s="7"/>
      <c r="L214" s="1">
        <f t="shared" si="87"/>
        <v>0.85833333333333328</v>
      </c>
      <c r="M214">
        <f t="shared" si="85"/>
        <v>74160</v>
      </c>
      <c r="N214" s="9">
        <f t="shared" si="66"/>
        <v>971.89779350175206</v>
      </c>
      <c r="O214" s="7">
        <f t="shared" si="67"/>
        <v>64826134.072435856</v>
      </c>
      <c r="P214" s="2">
        <f t="shared" si="70"/>
        <v>-7.5047732796886438E-2</v>
      </c>
      <c r="Q214" s="2">
        <f t="shared" si="71"/>
        <v>-7.4448882018590692E-2</v>
      </c>
      <c r="R214" s="2">
        <f t="shared" si="72"/>
        <v>-7.4448863505978249E-2</v>
      </c>
      <c r="S214" s="2">
        <f t="shared" si="73"/>
        <v>-7.3861494868165581E-2</v>
      </c>
      <c r="T214" s="9">
        <f t="shared" si="74"/>
        <v>945.09551037890071</v>
      </c>
      <c r="U214" s="7">
        <f t="shared" si="75"/>
        <v>65171192.86713437</v>
      </c>
      <c r="W214">
        <f t="shared" si="86"/>
        <v>74160</v>
      </c>
      <c r="X214" s="9">
        <f t="shared" si="68"/>
        <v>1307.7496563037027</v>
      </c>
      <c r="Y214" s="2">
        <f t="shared" si="69"/>
        <v>26646730.477473795</v>
      </c>
      <c r="Z214" s="2">
        <f t="shared" si="76"/>
        <v>-3.0848310444512708E-2</v>
      </c>
      <c r="AA214" s="2">
        <f t="shared" si="77"/>
        <v>-3.0789404488149194E-2</v>
      </c>
      <c r="AB214" s="2">
        <f t="shared" si="78"/>
        <v>-3.0789393329602049E-2</v>
      </c>
      <c r="AC214" s="2">
        <f t="shared" si="79"/>
        <v>-3.0731265357366828E-2</v>
      </c>
      <c r="AD214" s="2">
        <f t="shared" si="80"/>
        <v>1296.6654260174598</v>
      </c>
      <c r="AE214" s="10">
        <f t="shared" si="81"/>
        <v>27115525.192291606</v>
      </c>
    </row>
    <row r="215" spans="1:31" x14ac:dyDescent="0.25">
      <c r="A215" s="1">
        <f t="shared" si="82"/>
        <v>0.86250000000000004</v>
      </c>
      <c r="B215" s="7">
        <f t="shared" si="83"/>
        <v>65171192.86713437</v>
      </c>
      <c r="C215" s="7">
        <f t="shared" si="84"/>
        <v>27115525.192291606</v>
      </c>
      <c r="D215" s="7"/>
      <c r="E215" s="7"/>
      <c r="F215" s="7"/>
      <c r="G215" s="7"/>
      <c r="H215" s="7"/>
      <c r="I215" s="7"/>
      <c r="J215" s="7"/>
      <c r="K215" s="7"/>
      <c r="L215" s="1">
        <f t="shared" si="87"/>
        <v>0.86250000000000004</v>
      </c>
      <c r="M215">
        <f t="shared" si="85"/>
        <v>74520</v>
      </c>
      <c r="N215" s="9">
        <f t="shared" si="66"/>
        <v>945.09551037890071</v>
      </c>
      <c r="O215" s="7">
        <f t="shared" si="67"/>
        <v>65171192.86713437</v>
      </c>
      <c r="P215" s="2">
        <f t="shared" si="70"/>
        <v>-7.3861495098660246E-2</v>
      </c>
      <c r="Q215" s="2">
        <f t="shared" si="71"/>
        <v>-7.3285352526385655E-2</v>
      </c>
      <c r="R215" s="2">
        <f t="shared" si="72"/>
        <v>-7.3285335158359027E-2</v>
      </c>
      <c r="S215" s="2">
        <f t="shared" si="73"/>
        <v>-7.2720100635512666E-2</v>
      </c>
      <c r="T215" s="9">
        <f t="shared" si="74"/>
        <v>918.71213211268093</v>
      </c>
      <c r="U215" s="7">
        <f t="shared" si="75"/>
        <v>65506678.242782854</v>
      </c>
      <c r="W215">
        <f t="shared" si="86"/>
        <v>74520</v>
      </c>
      <c r="X215" s="9">
        <f t="shared" si="68"/>
        <v>1296.6654260174598</v>
      </c>
      <c r="Y215" s="2">
        <f t="shared" si="69"/>
        <v>27115525.192291606</v>
      </c>
      <c r="Z215" s="2">
        <f t="shared" si="76"/>
        <v>-3.0731265502093454E-2</v>
      </c>
      <c r="AA215" s="2">
        <f t="shared" si="77"/>
        <v>-3.0673946145308006E-2</v>
      </c>
      <c r="AB215" s="2">
        <f t="shared" si="78"/>
        <v>-3.0673935535702034E-2</v>
      </c>
      <c r="AC215" s="2">
        <f t="shared" si="79"/>
        <v>-3.0617410893150131E-2</v>
      </c>
      <c r="AD215" s="2">
        <f t="shared" si="80"/>
        <v>1285.6227596320241</v>
      </c>
      <c r="AE215" s="10">
        <f t="shared" si="81"/>
        <v>27580337.065708514</v>
      </c>
    </row>
    <row r="216" spans="1:31" x14ac:dyDescent="0.25">
      <c r="A216" s="1">
        <f t="shared" si="82"/>
        <v>0.8666666666666667</v>
      </c>
      <c r="B216" s="7">
        <f t="shared" si="83"/>
        <v>65506678.242782854</v>
      </c>
      <c r="C216" s="7">
        <f t="shared" si="84"/>
        <v>27580337.065708514</v>
      </c>
      <c r="D216" s="7"/>
      <c r="E216" s="7"/>
      <c r="F216" s="7"/>
      <c r="G216" s="7"/>
      <c r="H216" s="7"/>
      <c r="I216" s="7"/>
      <c r="J216" s="7"/>
      <c r="K216" s="7"/>
      <c r="L216" s="1">
        <f t="shared" si="87"/>
        <v>0.8666666666666667</v>
      </c>
      <c r="M216">
        <f t="shared" si="85"/>
        <v>74880</v>
      </c>
      <c r="N216" s="9">
        <f t="shared" si="66"/>
        <v>918.71213211268093</v>
      </c>
      <c r="O216" s="7">
        <f t="shared" si="67"/>
        <v>65506678.242782854</v>
      </c>
      <c r="P216" s="2">
        <f t="shared" si="70"/>
        <v>-7.2720100849594599E-2</v>
      </c>
      <c r="Q216" s="2">
        <f t="shared" si="71"/>
        <v>-7.21655352759034E-2</v>
      </c>
      <c r="R216" s="2">
        <f t="shared" si="72"/>
        <v>-7.2165518966777448E-2</v>
      </c>
      <c r="S216" s="2">
        <f t="shared" si="73"/>
        <v>-7.1621324923439769E-2</v>
      </c>
      <c r="T216" s="9">
        <f t="shared" si="74"/>
        <v>892.73192005717715</v>
      </c>
      <c r="U216" s="7">
        <f t="shared" si="75"/>
        <v>65832738.172173426</v>
      </c>
      <c r="W216">
        <f t="shared" si="86"/>
        <v>74880</v>
      </c>
      <c r="X216" s="9">
        <f t="shared" si="68"/>
        <v>1285.6227596320241</v>
      </c>
      <c r="Y216" s="2">
        <f t="shared" si="69"/>
        <v>27580337.065708514</v>
      </c>
      <c r="Z216" s="2">
        <f t="shared" si="76"/>
        <v>-3.061741102870081E-2</v>
      </c>
      <c r="AA216" s="2">
        <f t="shared" si="77"/>
        <v>-3.056170903637399E-2</v>
      </c>
      <c r="AB216" s="2">
        <f t="shared" si="78"/>
        <v>-3.0561698940234996E-2</v>
      </c>
      <c r="AC216" s="2">
        <f t="shared" si="79"/>
        <v>-3.0506805246395211E-2</v>
      </c>
      <c r="AD216" s="2">
        <f t="shared" si="80"/>
        <v>1274.6204976983252</v>
      </c>
      <c r="AE216" s="10">
        <f t="shared" si="81"/>
        <v>28041180.852027979</v>
      </c>
    </row>
    <row r="217" spans="1:31" x14ac:dyDescent="0.25">
      <c r="A217" s="1">
        <f t="shared" si="82"/>
        <v>0.87083333333333335</v>
      </c>
      <c r="B217" s="7">
        <f t="shared" si="83"/>
        <v>65832738.172173426</v>
      </c>
      <c r="C217" s="7">
        <f t="shared" si="84"/>
        <v>28041180.852027979</v>
      </c>
      <c r="D217" s="7"/>
      <c r="E217" s="7"/>
      <c r="F217" s="7"/>
      <c r="G217" s="7"/>
      <c r="H217" s="7"/>
      <c r="I217" s="7"/>
      <c r="J217" s="7"/>
      <c r="K217" s="7"/>
      <c r="L217" s="1">
        <f t="shared" si="87"/>
        <v>0.87083333333333335</v>
      </c>
      <c r="M217">
        <f t="shared" si="85"/>
        <v>75240</v>
      </c>
      <c r="N217" s="9">
        <f t="shared" si="66"/>
        <v>892.73192005717715</v>
      </c>
      <c r="O217" s="7">
        <f t="shared" si="67"/>
        <v>65832738.172173426</v>
      </c>
      <c r="P217" s="2">
        <f t="shared" si="70"/>
        <v>-7.1621325122562932E-2</v>
      </c>
      <c r="Q217" s="2">
        <f t="shared" si="71"/>
        <v>-7.108727913046145E-2</v>
      </c>
      <c r="R217" s="2">
        <f t="shared" si="72"/>
        <v>-7.1087263802268069E-2</v>
      </c>
      <c r="S217" s="2">
        <f t="shared" si="73"/>
        <v>-7.0563087432141694E-2</v>
      </c>
      <c r="T217" s="9">
        <f t="shared" si="74"/>
        <v>867.13991015196734</v>
      </c>
      <c r="U217" s="7">
        <f t="shared" si="75"/>
        <v>66149515.10161107</v>
      </c>
      <c r="W217">
        <f t="shared" si="86"/>
        <v>75240</v>
      </c>
      <c r="X217" s="9">
        <f t="shared" si="68"/>
        <v>1274.6204976983252</v>
      </c>
      <c r="Y217" s="2">
        <f t="shared" si="69"/>
        <v>28041180.852027979</v>
      </c>
      <c r="Z217" s="2">
        <f t="shared" si="76"/>
        <v>-3.0506805373509142E-2</v>
      </c>
      <c r="AA217" s="2">
        <f t="shared" si="77"/>
        <v>-3.0452745502783072E-2</v>
      </c>
      <c r="AB217" s="2">
        <f t="shared" si="78"/>
        <v>-3.0452735887460301E-2</v>
      </c>
      <c r="AC217" s="2">
        <f t="shared" si="79"/>
        <v>-3.0399495170754465E-2</v>
      </c>
      <c r="AD217" s="2">
        <f t="shared" si="80"/>
        <v>1263.6574618988402</v>
      </c>
      <c r="AE217" s="10">
        <f t="shared" si="81"/>
        <v>28498070.88475547</v>
      </c>
    </row>
    <row r="218" spans="1:31" x14ac:dyDescent="0.25">
      <c r="A218" s="1">
        <f t="shared" si="82"/>
        <v>0.875</v>
      </c>
      <c r="B218" s="7">
        <f t="shared" si="83"/>
        <v>66149515.10161107</v>
      </c>
      <c r="C218" s="7">
        <f t="shared" si="84"/>
        <v>28498070.88475547</v>
      </c>
      <c r="D218" s="7"/>
      <c r="E218" s="7"/>
      <c r="F218" s="7"/>
      <c r="G218" s="7"/>
      <c r="H218" s="7"/>
      <c r="I218" s="7"/>
      <c r="J218" s="7"/>
      <c r="K218" s="7"/>
      <c r="L218" s="1">
        <f t="shared" si="87"/>
        <v>0.875</v>
      </c>
      <c r="M218">
        <f t="shared" si="85"/>
        <v>75600</v>
      </c>
      <c r="N218" s="9">
        <f t="shared" si="66"/>
        <v>867.13991015196734</v>
      </c>
      <c r="O218" s="7">
        <f t="shared" si="67"/>
        <v>66149515.10161107</v>
      </c>
      <c r="P218" s="2">
        <f t="shared" si="70"/>
        <v>-7.0563087617610626E-2</v>
      </c>
      <c r="Q218" s="2">
        <f t="shared" si="71"/>
        <v>-7.0048571783882227E-2</v>
      </c>
      <c r="R218" s="2">
        <f t="shared" si="72"/>
        <v>-7.0048557365569405E-2</v>
      </c>
      <c r="S218" s="2">
        <f t="shared" si="73"/>
        <v>-6.9543441168172182E-2</v>
      </c>
      <c r="T218" s="9">
        <f t="shared" si="74"/>
        <v>841.92186292688621</v>
      </c>
      <c r="U218" s="7">
        <f t="shared" si="75"/>
        <v>66457146.220765263</v>
      </c>
      <c r="W218">
        <f t="shared" si="86"/>
        <v>75600</v>
      </c>
      <c r="X218" s="9">
        <f t="shared" si="68"/>
        <v>1263.6574618988402</v>
      </c>
      <c r="Y218" s="2">
        <f t="shared" si="69"/>
        <v>28498070.88475547</v>
      </c>
      <c r="Z218" s="2">
        <f t="shared" si="76"/>
        <v>-3.0399495290100765E-2</v>
      </c>
      <c r="AA218" s="2">
        <f t="shared" si="77"/>
        <v>-3.0347097092480221E-2</v>
      </c>
      <c r="AB218" s="2">
        <f t="shared" si="78"/>
        <v>-3.0347087927884923E-2</v>
      </c>
      <c r="AC218" s="2">
        <f t="shared" si="79"/>
        <v>-3.0295517376561325E-2</v>
      </c>
      <c r="AD218" s="2">
        <f t="shared" si="80"/>
        <v>1252.7324589363966</v>
      </c>
      <c r="AE218" s="10">
        <f t="shared" si="81"/>
        <v>28951021.070505813</v>
      </c>
    </row>
    <row r="219" spans="1:31" x14ac:dyDescent="0.25">
      <c r="A219" s="1">
        <f t="shared" si="82"/>
        <v>0.87916666666666665</v>
      </c>
      <c r="B219" s="7">
        <f t="shared" si="83"/>
        <v>66457146.220765263</v>
      </c>
      <c r="C219" s="7">
        <f t="shared" si="84"/>
        <v>28951021.070505813</v>
      </c>
      <c r="D219" s="7"/>
      <c r="E219" s="7"/>
      <c r="F219" s="7"/>
      <c r="G219" s="7"/>
      <c r="H219" s="7"/>
      <c r="I219" s="7"/>
      <c r="J219" s="7"/>
      <c r="K219" s="7"/>
      <c r="L219" s="1">
        <f t="shared" si="87"/>
        <v>0.87916666666666665</v>
      </c>
      <c r="M219">
        <f t="shared" si="85"/>
        <v>75960</v>
      </c>
      <c r="N219" s="9">
        <f t="shared" si="66"/>
        <v>841.92186292688621</v>
      </c>
      <c r="O219" s="7">
        <f t="shared" si="67"/>
        <v>66457146.220765263</v>
      </c>
      <c r="P219" s="2">
        <f t="shared" si="70"/>
        <v>-6.9543441341159404E-2</v>
      </c>
      <c r="Q219" s="2">
        <f t="shared" si="71"/>
        <v>-6.9047528973020703E-2</v>
      </c>
      <c r="R219" s="2">
        <f t="shared" si="72"/>
        <v>-6.9047515399745893E-2</v>
      </c>
      <c r="S219" s="2">
        <f t="shared" si="73"/>
        <v>-6.856056216165124E-2</v>
      </c>
      <c r="T219" s="9">
        <f t="shared" si="74"/>
        <v>817.06421739198561</v>
      </c>
      <c r="U219" s="7">
        <f t="shared" si="75"/>
        <v>66755763.715222657</v>
      </c>
      <c r="W219">
        <f t="shared" si="86"/>
        <v>75960</v>
      </c>
      <c r="X219" s="9">
        <f t="shared" si="68"/>
        <v>1252.7324589363966</v>
      </c>
      <c r="Y219" s="2">
        <f t="shared" si="69"/>
        <v>28951021.070505813</v>
      </c>
      <c r="Z219" s="2">
        <f t="shared" si="76"/>
        <v>-3.0295517488746711E-2</v>
      </c>
      <c r="AA219" s="2">
        <f t="shared" si="77"/>
        <v>-3.0244796012861713E-2</v>
      </c>
      <c r="AB219" s="2">
        <f t="shared" si="78"/>
        <v>-3.0244787271232594E-2</v>
      </c>
      <c r="AC219" s="2">
        <f t="shared" si="79"/>
        <v>-3.0194899891200416E-2</v>
      </c>
      <c r="AD219" s="2">
        <f t="shared" si="80"/>
        <v>1241.8442838995084</v>
      </c>
      <c r="AE219" s="10">
        <f t="shared" si="81"/>
        <v>29400044.884216275</v>
      </c>
    </row>
    <row r="220" spans="1:31" x14ac:dyDescent="0.25">
      <c r="A220" s="1">
        <f t="shared" si="82"/>
        <v>0.8833333333333333</v>
      </c>
      <c r="B220" s="7">
        <f t="shared" si="83"/>
        <v>66755763.715222657</v>
      </c>
      <c r="C220" s="7">
        <f t="shared" si="84"/>
        <v>29400044.884216275</v>
      </c>
      <c r="D220" s="7"/>
      <c r="E220" s="7"/>
      <c r="F220" s="7"/>
      <c r="G220" s="7"/>
      <c r="H220" s="7"/>
      <c r="I220" s="7"/>
      <c r="J220" s="7"/>
      <c r="K220" s="7"/>
      <c r="L220" s="1">
        <f t="shared" si="87"/>
        <v>0.8833333333333333</v>
      </c>
      <c r="M220">
        <f t="shared" si="85"/>
        <v>76320</v>
      </c>
      <c r="N220" s="9">
        <f t="shared" si="66"/>
        <v>817.06421739198561</v>
      </c>
      <c r="O220" s="7">
        <f t="shared" si="67"/>
        <v>66755763.715222657</v>
      </c>
      <c r="P220" s="2">
        <f t="shared" si="70"/>
        <v>-6.8560562323212365E-2</v>
      </c>
      <c r="Q220" s="2">
        <f t="shared" si="71"/>
        <v>-6.8082384672392193E-2</v>
      </c>
      <c r="R220" s="2">
        <f t="shared" si="72"/>
        <v>-6.8082371884896811E-2</v>
      </c>
      <c r="S220" s="2">
        <f t="shared" si="73"/>
        <v>-6.7612740113039888E-2</v>
      </c>
      <c r="T220" s="9">
        <f t="shared" si="74"/>
        <v>792.55404845893577</v>
      </c>
      <c r="U220" s="7">
        <f t="shared" si="75"/>
        <v>67045495.003075823</v>
      </c>
      <c r="W220">
        <f t="shared" si="86"/>
        <v>76320</v>
      </c>
      <c r="X220" s="9">
        <f t="shared" si="68"/>
        <v>1241.8442838995084</v>
      </c>
      <c r="Y220" s="2">
        <f t="shared" si="69"/>
        <v>29400044.884216275</v>
      </c>
      <c r="Z220" s="2">
        <f t="shared" si="76"/>
        <v>-3.019489999677594E-2</v>
      </c>
      <c r="AA220" s="2">
        <f t="shared" si="77"/>
        <v>-3.0145866404746143E-2</v>
      </c>
      <c r="AB220" s="2">
        <f t="shared" si="78"/>
        <v>-3.0145858060439804E-2</v>
      </c>
      <c r="AC220" s="2">
        <f t="shared" si="79"/>
        <v>-3.0097663252511252E-2</v>
      </c>
      <c r="AD220" s="2">
        <f t="shared" si="80"/>
        <v>1230.9917231687289</v>
      </c>
      <c r="AE220" s="10">
        <f t="shared" si="81"/>
        <v>29845155.365488559</v>
      </c>
    </row>
    <row r="221" spans="1:31" x14ac:dyDescent="0.25">
      <c r="A221" s="1">
        <f t="shared" si="82"/>
        <v>0.88749999999999996</v>
      </c>
      <c r="B221" s="7">
        <f t="shared" si="83"/>
        <v>67045495.003075823</v>
      </c>
      <c r="C221" s="7">
        <f t="shared" si="84"/>
        <v>29845155.365488559</v>
      </c>
      <c r="D221" s="7"/>
      <c r="E221" s="7"/>
      <c r="F221" s="7"/>
      <c r="G221" s="7"/>
      <c r="H221" s="7"/>
      <c r="I221" s="7"/>
      <c r="J221" s="7"/>
      <c r="K221" s="7"/>
      <c r="L221" s="1">
        <f t="shared" si="87"/>
        <v>0.88749999999999996</v>
      </c>
      <c r="M221">
        <f t="shared" si="85"/>
        <v>76680</v>
      </c>
      <c r="N221" s="9">
        <f t="shared" si="66"/>
        <v>792.55404845893577</v>
      </c>
      <c r="O221" s="7">
        <f t="shared" si="67"/>
        <v>67045495.003075823</v>
      </c>
      <c r="P221" s="2">
        <f t="shared" si="70"/>
        <v>-6.7612740264126947E-2</v>
      </c>
      <c r="Q221" s="2">
        <f t="shared" si="71"/>
        <v>-6.7151482169024779E-2</v>
      </c>
      <c r="R221" s="2">
        <f t="shared" si="72"/>
        <v>-6.7151470113080258E-2</v>
      </c>
      <c r="S221" s="2">
        <f t="shared" si="73"/>
        <v>-6.669836987373011E-2</v>
      </c>
      <c r="T221" s="9">
        <f t="shared" si="74"/>
        <v>768.37902757681172</v>
      </c>
      <c r="U221" s="7">
        <f t="shared" si="75"/>
        <v>67326462.956762254</v>
      </c>
      <c r="W221">
        <f t="shared" si="86"/>
        <v>76680</v>
      </c>
      <c r="X221" s="9">
        <f t="shared" si="68"/>
        <v>1230.9917231687289</v>
      </c>
      <c r="Y221" s="2">
        <f t="shared" si="69"/>
        <v>29845155.365488559</v>
      </c>
      <c r="Z221" s="2">
        <f t="shared" si="76"/>
        <v>-3.0097663351977895E-2</v>
      </c>
      <c r="AA221" s="2">
        <f t="shared" si="77"/>
        <v>-3.0050325460528552E-2</v>
      </c>
      <c r="AB221" s="2">
        <f t="shared" si="78"/>
        <v>-3.0050317489831176E-2</v>
      </c>
      <c r="AC221" s="2">
        <f t="shared" si="79"/>
        <v>-3.0003821556722182E-2</v>
      </c>
      <c r="AD221" s="2">
        <f t="shared" si="80"/>
        <v>1220.1735569201637</v>
      </c>
      <c r="AE221" s="10">
        <f t="shared" si="81"/>
        <v>30286365.115904558</v>
      </c>
    </row>
    <row r="222" spans="1:31" x14ac:dyDescent="0.25">
      <c r="A222" s="1">
        <f t="shared" si="82"/>
        <v>0.89166666666666672</v>
      </c>
      <c r="B222" s="7">
        <f t="shared" si="83"/>
        <v>67326462.956762254</v>
      </c>
      <c r="C222" s="7">
        <f t="shared" si="84"/>
        <v>30286365.115904558</v>
      </c>
      <c r="D222" s="7"/>
      <c r="E222" s="7"/>
      <c r="F222" s="7"/>
      <c r="G222" s="7"/>
      <c r="H222" s="7"/>
      <c r="I222" s="7"/>
      <c r="J222" s="7"/>
      <c r="K222" s="7"/>
      <c r="L222" s="1">
        <f t="shared" si="87"/>
        <v>0.89166666666666672</v>
      </c>
      <c r="M222">
        <f t="shared" si="85"/>
        <v>77040</v>
      </c>
      <c r="N222" s="9">
        <f t="shared" si="66"/>
        <v>768.37902757681172</v>
      </c>
      <c r="O222" s="7">
        <f t="shared" si="67"/>
        <v>67326462.956762254</v>
      </c>
      <c r="P222" s="2">
        <f t="shared" si="70"/>
        <v>-6.6698370015203026E-2</v>
      </c>
      <c r="Q222" s="2">
        <f t="shared" si="71"/>
        <v>-6.6253265927493324E-2</v>
      </c>
      <c r="R222" s="2">
        <f t="shared" si="72"/>
        <v>-6.6253254553409052E-2</v>
      </c>
      <c r="S222" s="2">
        <f t="shared" si="73"/>
        <v>-6.581594367573855E-2</v>
      </c>
      <c r="T222" s="9">
        <f t="shared" si="74"/>
        <v>744.5273862976469</v>
      </c>
      <c r="U222" s="7">
        <f t="shared" si="75"/>
        <v>67598786.111259654</v>
      </c>
      <c r="W222">
        <f t="shared" si="86"/>
        <v>77040</v>
      </c>
      <c r="X222" s="9">
        <f t="shared" si="68"/>
        <v>1220.1735569201637</v>
      </c>
      <c r="Y222" s="2">
        <f t="shared" si="69"/>
        <v>30286365.115904558</v>
      </c>
      <c r="Z222" s="2">
        <f t="shared" si="76"/>
        <v>-3.0003821650536368E-2</v>
      </c>
      <c r="AA222" s="2">
        <f t="shared" si="77"/>
        <v>-2.9958184406487676E-2</v>
      </c>
      <c r="AB222" s="2">
        <f t="shared" si="78"/>
        <v>-2.9958176787445827E-2</v>
      </c>
      <c r="AC222" s="2">
        <f t="shared" si="79"/>
        <v>-2.9913383379479751E-2</v>
      </c>
      <c r="AD222" s="2">
        <f t="shared" si="80"/>
        <v>1209.3885612750908</v>
      </c>
      <c r="AE222" s="10">
        <f t="shared" si="81"/>
        <v>30723686.297179703</v>
      </c>
    </row>
    <row r="223" spans="1:31" x14ac:dyDescent="0.25">
      <c r="A223" s="1">
        <f t="shared" si="82"/>
        <v>0.89583333333333337</v>
      </c>
      <c r="B223" s="7">
        <f t="shared" si="83"/>
        <v>67598786.111259654</v>
      </c>
      <c r="C223" s="7">
        <f t="shared" si="84"/>
        <v>30723686.297179703</v>
      </c>
      <c r="D223" s="7"/>
      <c r="E223" s="7"/>
      <c r="F223" s="7"/>
      <c r="G223" s="7"/>
      <c r="H223" s="7"/>
      <c r="I223" s="7"/>
      <c r="J223" s="7"/>
      <c r="K223" s="7"/>
      <c r="L223" s="1">
        <f t="shared" si="87"/>
        <v>0.89583333333333337</v>
      </c>
      <c r="M223">
        <f t="shared" si="85"/>
        <v>77400</v>
      </c>
      <c r="N223" s="9">
        <f t="shared" si="66"/>
        <v>744.5273862976469</v>
      </c>
      <c r="O223" s="7">
        <f t="shared" si="67"/>
        <v>67598786.111259654</v>
      </c>
      <c r="P223" s="2">
        <f t="shared" si="70"/>
        <v>-6.581594380837523E-2</v>
      </c>
      <c r="Q223" s="2">
        <f t="shared" si="71"/>
        <v>-6.5386274165404115E-2</v>
      </c>
      <c r="R223" s="2">
        <f t="shared" si="72"/>
        <v>-6.5386263427589908E-2</v>
      </c>
      <c r="S223" s="2">
        <f t="shared" si="73"/>
        <v>-6.4964044035431698E-2</v>
      </c>
      <c r="T223" s="9">
        <f t="shared" si="74"/>
        <v>720.98788251585916</v>
      </c>
      <c r="U223" s="7">
        <f t="shared" si="75"/>
        <v>67862578.859646082</v>
      </c>
      <c r="W223">
        <f t="shared" si="86"/>
        <v>77400</v>
      </c>
      <c r="X223" s="9">
        <f t="shared" si="68"/>
        <v>1209.3885612750908</v>
      </c>
      <c r="Y223" s="2">
        <f t="shared" si="69"/>
        <v>30723686.297179703</v>
      </c>
      <c r="Z223" s="2">
        <f t="shared" si="76"/>
        <v>-2.9913383468057789E-2</v>
      </c>
      <c r="AA223" s="2">
        <f t="shared" si="77"/>
        <v>-2.9869449366506984E-2</v>
      </c>
      <c r="AB223" s="2">
        <f t="shared" si="78"/>
        <v>-2.9869442078775416E-2</v>
      </c>
      <c r="AC223" s="2">
        <f t="shared" si="79"/>
        <v>-2.982635258602714E-2</v>
      </c>
      <c r="AD223" s="2">
        <f t="shared" si="80"/>
        <v>1198.6355101384117</v>
      </c>
      <c r="AE223" s="10">
        <f t="shared" si="81"/>
        <v>31157130.630034134</v>
      </c>
    </row>
    <row r="224" spans="1:31" x14ac:dyDescent="0.25">
      <c r="A224" s="1">
        <f t="shared" si="82"/>
        <v>0.9</v>
      </c>
      <c r="B224" s="7">
        <f t="shared" si="83"/>
        <v>67862578.859646082</v>
      </c>
      <c r="C224" s="7">
        <f t="shared" si="84"/>
        <v>31157130.630034134</v>
      </c>
      <c r="D224" s="7"/>
      <c r="E224" s="7"/>
      <c r="F224" s="7"/>
      <c r="G224" s="7"/>
      <c r="H224" s="7"/>
      <c r="I224" s="7"/>
      <c r="J224" s="7"/>
      <c r="K224" s="7"/>
      <c r="L224" s="1">
        <f t="shared" si="87"/>
        <v>0.9</v>
      </c>
      <c r="M224">
        <f t="shared" si="85"/>
        <v>77760</v>
      </c>
      <c r="N224" s="9">
        <f t="shared" si="66"/>
        <v>720.98788251585916</v>
      </c>
      <c r="O224" s="7">
        <f t="shared" si="67"/>
        <v>67862578.859646082</v>
      </c>
      <c r="P224" s="2">
        <f t="shared" si="70"/>
        <v>-6.4964044159937104E-2</v>
      </c>
      <c r="Q224" s="2">
        <f t="shared" si="71"/>
        <v>-6.4549132068610654E-2</v>
      </c>
      <c r="R224" s="2">
        <f t="shared" si="72"/>
        <v>-6.4549121925186984E-2</v>
      </c>
      <c r="S224" s="2">
        <f t="shared" si="73"/>
        <v>-6.4141337264637902E-2</v>
      </c>
      <c r="T224" s="9">
        <f t="shared" si="74"/>
        <v>697.74976915112893</v>
      </c>
      <c r="U224" s="7">
        <f t="shared" si="75"/>
        <v>68117951.636946142</v>
      </c>
      <c r="W224">
        <f t="shared" si="86"/>
        <v>77760</v>
      </c>
      <c r="X224" s="9">
        <f t="shared" si="68"/>
        <v>1198.6355101384117</v>
      </c>
      <c r="Y224" s="2">
        <f t="shared" si="69"/>
        <v>31157130.630034134</v>
      </c>
      <c r="Z224" s="2">
        <f t="shared" si="76"/>
        <v>-2.9826352669749128E-2</v>
      </c>
      <c r="AA224" s="2">
        <f t="shared" si="77"/>
        <v>-2.9784122122150706E-2</v>
      </c>
      <c r="AB224" s="2">
        <f t="shared" si="78"/>
        <v>-2.9784115146855084E-2</v>
      </c>
      <c r="AC224" s="2">
        <f t="shared" si="79"/>
        <v>-2.9742729044442258E-2</v>
      </c>
      <c r="AD224" s="2">
        <f t="shared" si="80"/>
        <v>1187.9131767632796</v>
      </c>
      <c r="AE224" s="10">
        <f t="shared" si="81"/>
        <v>31586709.393676437</v>
      </c>
    </row>
    <row r="225" spans="1:31" x14ac:dyDescent="0.25">
      <c r="A225" s="1">
        <f t="shared" si="82"/>
        <v>0.90416666666666667</v>
      </c>
      <c r="B225" s="7">
        <f t="shared" si="83"/>
        <v>68117951.636946142</v>
      </c>
      <c r="C225" s="7">
        <f t="shared" si="84"/>
        <v>31586709.393676437</v>
      </c>
      <c r="D225" s="7"/>
      <c r="E225" s="7"/>
      <c r="F225" s="7"/>
      <c r="G225" s="7"/>
      <c r="H225" s="7"/>
      <c r="I225" s="7"/>
      <c r="J225" s="7"/>
      <c r="K225" s="7"/>
      <c r="L225" s="1">
        <f t="shared" si="87"/>
        <v>0.90416666666666667</v>
      </c>
      <c r="M225">
        <f t="shared" si="85"/>
        <v>78120</v>
      </c>
      <c r="N225" s="9">
        <f t="shared" si="66"/>
        <v>697.74976915112893</v>
      </c>
      <c r="O225" s="7">
        <f t="shared" si="67"/>
        <v>68117951.636946142</v>
      </c>
      <c r="P225" s="2">
        <f t="shared" si="70"/>
        <v>-6.4141337381651564E-2</v>
      </c>
      <c r="Q225" s="2">
        <f t="shared" si="71"/>
        <v>-6.3740545583327993E-2</v>
      </c>
      <c r="R225" s="2">
        <f t="shared" si="72"/>
        <v>-6.3740535995778239E-2</v>
      </c>
      <c r="S225" s="2">
        <f t="shared" si="73"/>
        <v>-6.3346567529883713E-2</v>
      </c>
      <c r="T225" s="9">
        <f t="shared" si="74"/>
        <v>674.80276506694406</v>
      </c>
      <c r="U225" s="7">
        <f t="shared" si="75"/>
        <v>68365011.093105391</v>
      </c>
      <c r="W225">
        <f t="shared" si="86"/>
        <v>78120</v>
      </c>
      <c r="X225" s="9">
        <f t="shared" si="68"/>
        <v>1187.9131767632796</v>
      </c>
      <c r="Y225" s="2">
        <f t="shared" si="69"/>
        <v>31586709.393676437</v>
      </c>
      <c r="Z225" s="2">
        <f t="shared" si="76"/>
        <v>-2.9742729123655928E-2</v>
      </c>
      <c r="AA225" s="2">
        <f t="shared" si="77"/>
        <v>-2.9702200782048258E-2</v>
      </c>
      <c r="AB225" s="2">
        <f t="shared" si="78"/>
        <v>-2.9702194101661247E-2</v>
      </c>
      <c r="AC225" s="2">
        <f t="shared" si="79"/>
        <v>-2.9662509254006302E-2</v>
      </c>
      <c r="AD225" s="2">
        <f t="shared" si="80"/>
        <v>1177.2203350745747</v>
      </c>
      <c r="AE225" s="10">
        <f t="shared" si="81"/>
        <v>32012433.425807253</v>
      </c>
    </row>
    <row r="226" spans="1:31" x14ac:dyDescent="0.25">
      <c r="A226" s="1">
        <f t="shared" si="82"/>
        <v>0.90833333333333333</v>
      </c>
      <c r="B226" s="7">
        <f t="shared" si="83"/>
        <v>68365011.093105391</v>
      </c>
      <c r="C226" s="7">
        <f t="shared" si="84"/>
        <v>32012433.425807253</v>
      </c>
      <c r="D226" s="7"/>
      <c r="E226" s="7"/>
      <c r="F226" s="7"/>
      <c r="G226" s="7"/>
      <c r="H226" s="7"/>
      <c r="I226" s="7"/>
      <c r="J226" s="7"/>
      <c r="K226" s="7"/>
      <c r="L226" s="1">
        <f t="shared" si="87"/>
        <v>0.90833333333333333</v>
      </c>
      <c r="M226">
        <f t="shared" si="85"/>
        <v>78480</v>
      </c>
      <c r="N226" s="9">
        <f t="shared" si="66"/>
        <v>674.80276506694406</v>
      </c>
      <c r="O226" s="7">
        <f t="shared" si="67"/>
        <v>68365011.093105391</v>
      </c>
      <c r="P226" s="2">
        <f t="shared" si="70"/>
        <v>-6.3346567639986986E-2</v>
      </c>
      <c r="Q226" s="2">
        <f t="shared" si="71"/>
        <v>-6.2959295729227802E-2</v>
      </c>
      <c r="R226" s="2">
        <f t="shared" si="72"/>
        <v>-6.2959286662087208E-2</v>
      </c>
      <c r="S226" s="2">
        <f t="shared" si="73"/>
        <v>-6.2578551406974436E-2</v>
      </c>
      <c r="T226" s="9">
        <f t="shared" si="74"/>
        <v>652.13702803716853</v>
      </c>
      <c r="U226" s="7">
        <f t="shared" si="75"/>
        <v>68603860.255864128</v>
      </c>
      <c r="W226">
        <f t="shared" si="86"/>
        <v>78480</v>
      </c>
      <c r="X226" s="9">
        <f t="shared" si="68"/>
        <v>1177.2203350745747</v>
      </c>
      <c r="Y226" s="2">
        <f t="shared" si="69"/>
        <v>32012433.425807253</v>
      </c>
      <c r="Z226" s="2">
        <f t="shared" si="76"/>
        <v>-2.9662509329030012E-2</v>
      </c>
      <c r="AA226" s="2">
        <f t="shared" si="77"/>
        <v>-2.9623680371839618E-2</v>
      </c>
      <c r="AB226" s="2">
        <f t="shared" si="78"/>
        <v>-2.9623673970069146E-2</v>
      </c>
      <c r="AC226" s="2">
        <f t="shared" si="79"/>
        <v>-2.958568689919365E-2</v>
      </c>
      <c r="AD226" s="2">
        <f t="shared" si="80"/>
        <v>1166.5557607798521</v>
      </c>
      <c r="AE226" s="10">
        <f t="shared" si="81"/>
        <v>32434313.12306105</v>
      </c>
    </row>
    <row r="227" spans="1:31" x14ac:dyDescent="0.25">
      <c r="A227" s="1">
        <f t="shared" si="82"/>
        <v>0.91249999999999998</v>
      </c>
      <c r="B227" s="7">
        <f t="shared" si="83"/>
        <v>68603860.255864128</v>
      </c>
      <c r="C227" s="7">
        <f t="shared" si="84"/>
        <v>32434313.12306105</v>
      </c>
      <c r="D227" s="7"/>
      <c r="E227" s="7"/>
      <c r="F227" s="7"/>
      <c r="G227" s="7"/>
      <c r="H227" s="7"/>
      <c r="I227" s="7"/>
      <c r="J227" s="7"/>
      <c r="K227" s="7"/>
      <c r="L227" s="1">
        <f t="shared" si="87"/>
        <v>0.91249999999999998</v>
      </c>
      <c r="M227">
        <f t="shared" si="85"/>
        <v>78840</v>
      </c>
      <c r="N227" s="9">
        <f t="shared" si="66"/>
        <v>652.13702803716853</v>
      </c>
      <c r="O227" s="7">
        <f t="shared" si="67"/>
        <v>68603860.255864128</v>
      </c>
      <c r="P227" s="2">
        <f t="shared" si="70"/>
        <v>-6.2578551510696176E-2</v>
      </c>
      <c r="Q227" s="2">
        <f t="shared" si="71"/>
        <v>-6.2204233383671724E-2</v>
      </c>
      <c r="R227" s="2">
        <f t="shared" si="72"/>
        <v>-6.2204224804249239E-2</v>
      </c>
      <c r="S227" s="2">
        <f t="shared" si="73"/>
        <v>-6.1836172883833869E-2</v>
      </c>
      <c r="T227" s="9">
        <f t="shared" si="74"/>
        <v>629.74312959094618</v>
      </c>
      <c r="U227" s="7">
        <f t="shared" si="75"/>
        <v>68834598.684237182</v>
      </c>
      <c r="W227">
        <f t="shared" si="86"/>
        <v>78840</v>
      </c>
      <c r="X227" s="9">
        <f t="shared" si="68"/>
        <v>1166.5557607798521</v>
      </c>
      <c r="Y227" s="2">
        <f t="shared" si="69"/>
        <v>32434313.12306105</v>
      </c>
      <c r="Z227" s="2">
        <f t="shared" si="76"/>
        <v>-2.9585686970319311E-2</v>
      </c>
      <c r="AA227" s="2">
        <f t="shared" si="77"/>
        <v>-2.9548553354466954E-2</v>
      </c>
      <c r="AB227" s="2">
        <f t="shared" si="78"/>
        <v>-2.9548547216154703E-2</v>
      </c>
      <c r="AC227" s="2">
        <f t="shared" si="79"/>
        <v>-2.9512253338415246E-2</v>
      </c>
      <c r="AD227" s="2">
        <f t="shared" si="80"/>
        <v>1155.9182322928534</v>
      </c>
      <c r="AE227" s="10">
        <f t="shared" si="81"/>
        <v>32852358.441814136</v>
      </c>
    </row>
    <row r="228" spans="1:31" x14ac:dyDescent="0.25">
      <c r="A228" s="1">
        <f t="shared" si="82"/>
        <v>0.91666666666666663</v>
      </c>
      <c r="B228" s="7">
        <f t="shared" si="83"/>
        <v>68834598.684237182</v>
      </c>
      <c r="C228" s="7">
        <f t="shared" si="84"/>
        <v>32852358.441814136</v>
      </c>
      <c r="D228" s="7"/>
      <c r="E228" s="7"/>
      <c r="F228" s="7"/>
      <c r="G228" s="7"/>
      <c r="H228" s="7"/>
      <c r="I228" s="7"/>
      <c r="J228" s="7"/>
      <c r="K228" s="7"/>
      <c r="L228" s="1">
        <f t="shared" si="87"/>
        <v>0.91666666666666663</v>
      </c>
      <c r="M228">
        <f t="shared" si="85"/>
        <v>79200</v>
      </c>
      <c r="N228" s="9">
        <f t="shared" si="66"/>
        <v>629.74312959094618</v>
      </c>
      <c r="O228" s="7">
        <f t="shared" si="67"/>
        <v>68834598.684237182</v>
      </c>
      <c r="P228" s="2">
        <f t="shared" si="70"/>
        <v>-6.1836172981656154E-2</v>
      </c>
      <c r="Q228" s="2">
        <f t="shared" si="71"/>
        <v>-6.1474274492588465E-2</v>
      </c>
      <c r="R228" s="2">
        <f t="shared" si="72"/>
        <v>-6.1474266370716985E-2</v>
      </c>
      <c r="S228" s="2">
        <f t="shared" si="73"/>
        <v>-6.1118378769539634E-2</v>
      </c>
      <c r="T228" s="9">
        <f t="shared" si="74"/>
        <v>607.61203158227772</v>
      </c>
      <c r="U228" s="7">
        <f t="shared" si="75"/>
        <v>69057322.613248363</v>
      </c>
      <c r="W228">
        <f t="shared" si="86"/>
        <v>79200</v>
      </c>
      <c r="X228" s="9">
        <f t="shared" si="68"/>
        <v>1155.9182322928534</v>
      </c>
      <c r="Y228" s="2">
        <f t="shared" si="69"/>
        <v>32852358.441814136</v>
      </c>
      <c r="Z228" s="2">
        <f t="shared" si="76"/>
        <v>-2.9512253405910932E-2</v>
      </c>
      <c r="AA228" s="2">
        <f t="shared" si="77"/>
        <v>-2.9476810089336666E-2</v>
      </c>
      <c r="AB228" s="2">
        <f t="shared" si="78"/>
        <v>-2.9476804200366639E-2</v>
      </c>
      <c r="AC228" s="2">
        <f t="shared" si="79"/>
        <v>-2.9442198035477124E-2</v>
      </c>
      <c r="AD228" s="2">
        <f t="shared" si="80"/>
        <v>1145.3065314916057</v>
      </c>
      <c r="AE228" s="10">
        <f t="shared" si="81"/>
        <v>33266578.899295337</v>
      </c>
    </row>
    <row r="229" spans="1:31" x14ac:dyDescent="0.25">
      <c r="A229" s="1">
        <f t="shared" si="82"/>
        <v>0.92083333333333328</v>
      </c>
      <c r="B229" s="7">
        <f t="shared" si="83"/>
        <v>69057322.613248363</v>
      </c>
      <c r="C229" s="7">
        <f t="shared" si="84"/>
        <v>33266578.899295337</v>
      </c>
      <c r="D229" s="7"/>
      <c r="E229" s="7"/>
      <c r="F229" s="7"/>
      <c r="G229" s="7"/>
      <c r="H229" s="7"/>
      <c r="I229" s="7"/>
      <c r="J229" s="7"/>
      <c r="K229" s="7"/>
      <c r="L229" s="1">
        <f t="shared" si="87"/>
        <v>0.92083333333333328</v>
      </c>
      <c r="M229">
        <f t="shared" si="85"/>
        <v>79560</v>
      </c>
      <c r="N229" s="9">
        <f t="shared" si="66"/>
        <v>607.61203158227772</v>
      </c>
      <c r="O229" s="7">
        <f t="shared" si="67"/>
        <v>69057322.613248363</v>
      </c>
      <c r="P229" s="2">
        <f t="shared" si="70"/>
        <v>-6.1118378861902287E-2</v>
      </c>
      <c r="Q229" s="2">
        <f t="shared" si="71"/>
        <v>-6.0768395668209844E-2</v>
      </c>
      <c r="R229" s="2">
        <f t="shared" si="72"/>
        <v>-6.0768387976022416E-2</v>
      </c>
      <c r="S229" s="2">
        <f t="shared" si="73"/>
        <v>-6.0424174471915781E-2</v>
      </c>
      <c r="T229" s="9">
        <f t="shared" si="74"/>
        <v>585.73506434494072</v>
      </c>
      <c r="U229" s="7">
        <f t="shared" si="75"/>
        <v>69272125.090515256</v>
      </c>
      <c r="W229">
        <f t="shared" si="86"/>
        <v>79560</v>
      </c>
      <c r="X229" s="9">
        <f t="shared" si="68"/>
        <v>1145.3065314916057</v>
      </c>
      <c r="Y229" s="2">
        <f t="shared" si="69"/>
        <v>33266578.899295337</v>
      </c>
      <c r="Z229" s="2">
        <f t="shared" si="76"/>
        <v>-2.9442198099589138E-2</v>
      </c>
      <c r="AA229" s="2">
        <f t="shared" si="77"/>
        <v>-2.9408439237790393E-2</v>
      </c>
      <c r="AB229" s="2">
        <f t="shared" si="78"/>
        <v>-2.9408433585005431E-2</v>
      </c>
      <c r="AC229" s="2">
        <f t="shared" si="79"/>
        <v>-2.937550894070249E-2</v>
      </c>
      <c r="AD229" s="2">
        <f t="shared" si="80"/>
        <v>1134.7194443304527</v>
      </c>
      <c r="AE229" s="10">
        <f t="shared" si="81"/>
        <v>33676983.574943312</v>
      </c>
    </row>
    <row r="230" spans="1:31" x14ac:dyDescent="0.25">
      <c r="A230" s="1">
        <f t="shared" si="82"/>
        <v>0.92500000000000004</v>
      </c>
      <c r="B230" s="7">
        <f t="shared" si="83"/>
        <v>69272125.090515256</v>
      </c>
      <c r="C230" s="7">
        <f t="shared" si="84"/>
        <v>33676983.574943312</v>
      </c>
      <c r="D230" s="7"/>
      <c r="E230" s="7"/>
      <c r="F230" s="7"/>
      <c r="G230" s="7"/>
      <c r="H230" s="7"/>
      <c r="I230" s="7"/>
      <c r="J230" s="7"/>
      <c r="K230" s="7"/>
      <c r="L230" s="1">
        <f t="shared" si="87"/>
        <v>0.92500000000000004</v>
      </c>
      <c r="M230">
        <f t="shared" si="85"/>
        <v>79920</v>
      </c>
      <c r="N230" s="9">
        <f t="shared" si="66"/>
        <v>585.73506434494072</v>
      </c>
      <c r="O230" s="7">
        <f t="shared" si="67"/>
        <v>69272125.090515256</v>
      </c>
      <c r="P230" s="2">
        <f t="shared" si="70"/>
        <v>-6.0424174559220709E-2</v>
      </c>
      <c r="Q230" s="2">
        <f t="shared" si="71"/>
        <v>-6.0085630138046686E-2</v>
      </c>
      <c r="R230" s="2">
        <f t="shared" si="72"/>
        <v>-6.0085622849774915E-2</v>
      </c>
      <c r="S230" s="2">
        <f t="shared" si="73"/>
        <v>-5.9752620109958764E-2</v>
      </c>
      <c r="T230" s="9">
        <f t="shared" si="74"/>
        <v>564.10390630625136</v>
      </c>
      <c r="U230" s="7">
        <f t="shared" si="75"/>
        <v>69479096.105232477</v>
      </c>
      <c r="W230">
        <f t="shared" si="86"/>
        <v>79920</v>
      </c>
      <c r="X230" s="9">
        <f t="shared" si="68"/>
        <v>1134.7194443304527</v>
      </c>
      <c r="Y230" s="2">
        <f t="shared" si="69"/>
        <v>33676983.574943312</v>
      </c>
      <c r="Z230" s="2">
        <f t="shared" si="76"/>
        <v>-2.9375509001657595E-2</v>
      </c>
      <c r="AA230" s="2">
        <f t="shared" si="77"/>
        <v>-2.9343428121379394E-2</v>
      </c>
      <c r="AB230" s="2">
        <f t="shared" si="78"/>
        <v>-2.9343422692505564E-2</v>
      </c>
      <c r="AC230" s="2">
        <f t="shared" si="79"/>
        <v>-2.9312172827794178E-2</v>
      </c>
      <c r="AD230" s="2">
        <f t="shared" si="80"/>
        <v>1124.1557613230193</v>
      </c>
      <c r="AE230" s="10">
        <f t="shared" si="81"/>
        <v>34083581.11196094</v>
      </c>
    </row>
    <row r="231" spans="1:31" x14ac:dyDescent="0.25">
      <c r="A231" s="1">
        <f t="shared" si="82"/>
        <v>0.9291666666666667</v>
      </c>
      <c r="B231" s="7">
        <f t="shared" si="83"/>
        <v>69479096.105232477</v>
      </c>
      <c r="C231" s="7">
        <f t="shared" si="84"/>
        <v>34083581.11196094</v>
      </c>
      <c r="D231" s="7"/>
      <c r="E231" s="7"/>
      <c r="F231" s="7"/>
      <c r="G231" s="7"/>
      <c r="H231" s="7"/>
      <c r="I231" s="7"/>
      <c r="J231" s="7"/>
      <c r="K231" s="7"/>
      <c r="L231" s="1">
        <f t="shared" si="87"/>
        <v>0.9291666666666667</v>
      </c>
      <c r="M231">
        <f t="shared" si="85"/>
        <v>80280</v>
      </c>
      <c r="N231" s="9">
        <f t="shared" si="66"/>
        <v>564.10390630625136</v>
      </c>
      <c r="O231" s="7">
        <f t="shared" si="67"/>
        <v>69479096.105232477</v>
      </c>
      <c r="P231" s="2">
        <f t="shared" si="70"/>
        <v>-5.9752620192573561E-2</v>
      </c>
      <c r="Q231" s="2">
        <f t="shared" si="71"/>
        <v>-5.9425064013161971E-2</v>
      </c>
      <c r="R231" s="2">
        <f t="shared" si="72"/>
        <v>-5.9425057104954576E-2</v>
      </c>
      <c r="S231" s="2">
        <f t="shared" si="73"/>
        <v>-5.9102826930835212E-2</v>
      </c>
      <c r="T231" s="9">
        <f t="shared" si="74"/>
        <v>542.7105649446728</v>
      </c>
      <c r="U231" s="7">
        <f t="shared" si="75"/>
        <v>69678322.710057646</v>
      </c>
      <c r="W231">
        <f t="shared" si="86"/>
        <v>80280</v>
      </c>
      <c r="X231" s="9">
        <f t="shared" si="68"/>
        <v>1124.1557613230193</v>
      </c>
      <c r="Y231" s="2">
        <f t="shared" si="69"/>
        <v>34083581.11196094</v>
      </c>
      <c r="Z231" s="2">
        <f t="shared" si="76"/>
        <v>-2.9312172885801274E-2</v>
      </c>
      <c r="AA231" s="2">
        <f t="shared" si="77"/>
        <v>-2.9281763038627753E-2</v>
      </c>
      <c r="AB231" s="2">
        <f t="shared" si="78"/>
        <v>-2.9281757822205681E-2</v>
      </c>
      <c r="AC231" s="2">
        <f t="shared" si="79"/>
        <v>-2.925217559175524E-2</v>
      </c>
      <c r="AD231" s="2">
        <f t="shared" si="80"/>
        <v>1113.614277911066</v>
      </c>
      <c r="AE231" s="10">
        <f t="shared" si="81"/>
        <v>34486379.719023079</v>
      </c>
    </row>
    <row r="232" spans="1:31" x14ac:dyDescent="0.25">
      <c r="A232" s="1">
        <f t="shared" si="82"/>
        <v>0.93333333333333335</v>
      </c>
      <c r="B232" s="7">
        <f t="shared" si="83"/>
        <v>69678322.710057646</v>
      </c>
      <c r="C232" s="7">
        <f t="shared" si="84"/>
        <v>34486379.719023079</v>
      </c>
      <c r="D232" s="7"/>
      <c r="E232" s="7"/>
      <c r="F232" s="7"/>
      <c r="G232" s="7"/>
      <c r="H232" s="7"/>
      <c r="I232" s="7"/>
      <c r="J232" s="7"/>
      <c r="K232" s="7"/>
      <c r="L232" s="1">
        <f t="shared" si="87"/>
        <v>0.93333333333333335</v>
      </c>
      <c r="M232">
        <f t="shared" si="85"/>
        <v>80640</v>
      </c>
      <c r="N232" s="9">
        <f t="shared" si="66"/>
        <v>542.7105649446728</v>
      </c>
      <c r="O232" s="7">
        <f t="shared" si="67"/>
        <v>69678322.710057646</v>
      </c>
      <c r="P232" s="2">
        <f t="shared" si="70"/>
        <v>-5.9102827009096706E-2</v>
      </c>
      <c r="Q232" s="2">
        <f t="shared" si="71"/>
        <v>-5.8785832847062451E-2</v>
      </c>
      <c r="R232" s="2">
        <f t="shared" si="72"/>
        <v>-5.8785826296821768E-2</v>
      </c>
      <c r="S232" s="2">
        <f t="shared" si="73"/>
        <v>-5.8473954004261509E-2</v>
      </c>
      <c r="T232" s="9">
        <f t="shared" si="74"/>
        <v>521.54735898660522</v>
      </c>
      <c r="U232" s="7">
        <f t="shared" si="75"/>
        <v>69869889.13636528</v>
      </c>
      <c r="W232">
        <f t="shared" si="86"/>
        <v>80640</v>
      </c>
      <c r="X232" s="9">
        <f t="shared" si="68"/>
        <v>1113.614277911066</v>
      </c>
      <c r="Y232" s="2">
        <f t="shared" si="69"/>
        <v>34486379.719023079</v>
      </c>
      <c r="Z232" s="2">
        <f t="shared" si="76"/>
        <v>-2.9252175647007002E-2</v>
      </c>
      <c r="AA232" s="2">
        <f t="shared" si="77"/>
        <v>-2.9223429545261002E-2</v>
      </c>
      <c r="AB232" s="2">
        <f t="shared" si="78"/>
        <v>-2.9223424530583221E-2</v>
      </c>
      <c r="AC232" s="2">
        <f t="shared" si="79"/>
        <v>-2.9195502512529545E-2</v>
      </c>
      <c r="AD232" s="2">
        <f t="shared" si="80"/>
        <v>1103.0937947323926</v>
      </c>
      <c r="AE232" s="10">
        <f t="shared" si="81"/>
        <v>34885387.172098905</v>
      </c>
    </row>
    <row r="233" spans="1:31" x14ac:dyDescent="0.25">
      <c r="A233" s="1">
        <f t="shared" si="82"/>
        <v>0.9375</v>
      </c>
      <c r="B233" s="7">
        <f t="shared" si="83"/>
        <v>69869889.13636528</v>
      </c>
      <c r="C233" s="7">
        <f t="shared" si="84"/>
        <v>34885387.172098905</v>
      </c>
      <c r="D233" s="7"/>
      <c r="E233" s="7"/>
      <c r="F233" s="7"/>
      <c r="G233" s="7"/>
      <c r="H233" s="7"/>
      <c r="I233" s="7"/>
      <c r="J233" s="7"/>
      <c r="K233" s="7"/>
      <c r="L233" s="1">
        <f t="shared" si="87"/>
        <v>0.9375</v>
      </c>
      <c r="M233">
        <f t="shared" si="85"/>
        <v>81000</v>
      </c>
      <c r="N233" s="9">
        <f t="shared" si="66"/>
        <v>521.54735898660522</v>
      </c>
      <c r="O233" s="7">
        <f t="shared" si="67"/>
        <v>69869889.13636528</v>
      </c>
      <c r="P233" s="2">
        <f t="shared" si="70"/>
        <v>-5.8473954078478649E-2</v>
      </c>
      <c r="Q233" s="2">
        <f t="shared" si="71"/>
        <v>-5.8167118459419971E-2</v>
      </c>
      <c r="R233" s="2">
        <f t="shared" si="72"/>
        <v>-5.8167112246654162E-2</v>
      </c>
      <c r="S233" s="2">
        <f t="shared" si="73"/>
        <v>-5.7865205169800198E-2</v>
      </c>
      <c r="T233" s="9">
        <f t="shared" si="74"/>
        <v>500.60690174697959</v>
      </c>
      <c r="U233" s="7">
        <f t="shared" si="75"/>
        <v>70053876.90329732</v>
      </c>
      <c r="W233">
        <f t="shared" si="86"/>
        <v>81000</v>
      </c>
      <c r="X233" s="9">
        <f t="shared" si="68"/>
        <v>1103.0937947323926</v>
      </c>
      <c r="Y233" s="2">
        <f t="shared" si="69"/>
        <v>34885387.172098905</v>
      </c>
      <c r="Z233" s="2">
        <f t="shared" si="76"/>
        <v>-2.9195502565203816E-2</v>
      </c>
      <c r="AA233" s="2">
        <f t="shared" si="77"/>
        <v>-2.9168412702268155E-2</v>
      </c>
      <c r="AB233" s="2">
        <f t="shared" si="78"/>
        <v>-2.9168407879322181E-2</v>
      </c>
      <c r="AC233" s="2">
        <f t="shared" si="79"/>
        <v>-2.9142138488453602E-2</v>
      </c>
      <c r="AD233" s="2">
        <f t="shared" si="80"/>
        <v>1092.5931177993823</v>
      </c>
      <c r="AE233" s="10">
        <f t="shared" si="81"/>
        <v>35280610.816354625</v>
      </c>
    </row>
    <row r="234" spans="1:31" x14ac:dyDescent="0.25">
      <c r="A234" s="1">
        <f t="shared" si="82"/>
        <v>0.94166666666666665</v>
      </c>
      <c r="B234" s="7">
        <f t="shared" si="83"/>
        <v>70053876.90329732</v>
      </c>
      <c r="C234" s="7">
        <f t="shared" si="84"/>
        <v>35280610.816354625</v>
      </c>
      <c r="D234" s="7"/>
      <c r="E234" s="7"/>
      <c r="F234" s="7"/>
      <c r="G234" s="7"/>
      <c r="H234" s="7"/>
      <c r="I234" s="7"/>
      <c r="J234" s="7"/>
      <c r="K234" s="7"/>
      <c r="L234" s="1">
        <f t="shared" si="87"/>
        <v>0.94166666666666665</v>
      </c>
      <c r="M234">
        <f t="shared" si="85"/>
        <v>81360</v>
      </c>
      <c r="N234" s="9">
        <f t="shared" si="66"/>
        <v>500.60690174697959</v>
      </c>
      <c r="O234" s="7">
        <f t="shared" si="67"/>
        <v>70053876.90329732</v>
      </c>
      <c r="P234" s="2">
        <f t="shared" si="70"/>
        <v>-5.7865205240256574E-2</v>
      </c>
      <c r="Q234" s="2">
        <f t="shared" si="71"/>
        <v>-5.7568146001405952E-2</v>
      </c>
      <c r="R234" s="2">
        <f t="shared" si="72"/>
        <v>-5.7568140107095614E-2</v>
      </c>
      <c r="S234" s="2">
        <f t="shared" si="73"/>
        <v>-5.727582621503248E-2</v>
      </c>
      <c r="T234" s="9">
        <f t="shared" si="74"/>
        <v>479.88208552664207</v>
      </c>
      <c r="U234" s="7">
        <f t="shared" si="75"/>
        <v>70230364.921006575</v>
      </c>
      <c r="W234">
        <f t="shared" si="86"/>
        <v>81360</v>
      </c>
      <c r="X234" s="9">
        <f t="shared" si="68"/>
        <v>1092.5931177993823</v>
      </c>
      <c r="Y234" s="2">
        <f t="shared" si="69"/>
        <v>35280610.816354625</v>
      </c>
      <c r="Z234" s="2">
        <f t="shared" si="76"/>
        <v>-2.9142138538714987E-2</v>
      </c>
      <c r="AA234" s="2">
        <f t="shared" si="77"/>
        <v>-2.9116697295630985E-2</v>
      </c>
      <c r="AB234" s="2">
        <f t="shared" si="78"/>
        <v>-2.9116692655047124E-2</v>
      </c>
      <c r="AC234" s="2">
        <f t="shared" si="79"/>
        <v>-2.9092068243115873E-2</v>
      </c>
      <c r="AD234" s="2">
        <f t="shared" si="80"/>
        <v>1082.1110585983911</v>
      </c>
      <c r="AE234" s="10">
        <f t="shared" si="81"/>
        <v>35672057.568106227</v>
      </c>
    </row>
    <row r="235" spans="1:31" x14ac:dyDescent="0.25">
      <c r="A235" s="1">
        <f t="shared" si="82"/>
        <v>0.9458333333333333</v>
      </c>
      <c r="B235" s="7">
        <f t="shared" si="83"/>
        <v>70230364.921006575</v>
      </c>
      <c r="C235" s="7">
        <f t="shared" si="84"/>
        <v>35672057.568106227</v>
      </c>
      <c r="D235" s="7"/>
      <c r="E235" s="7"/>
      <c r="F235" s="7"/>
      <c r="G235" s="7"/>
      <c r="H235" s="7"/>
      <c r="I235" s="7"/>
      <c r="J235" s="7"/>
      <c r="K235" s="7"/>
      <c r="L235" s="1">
        <f t="shared" si="87"/>
        <v>0.9458333333333333</v>
      </c>
      <c r="M235">
        <f t="shared" si="85"/>
        <v>81720</v>
      </c>
      <c r="N235" s="9">
        <f t="shared" si="66"/>
        <v>479.88208552664207</v>
      </c>
      <c r="O235" s="7">
        <f t="shared" si="67"/>
        <v>70230364.921006575</v>
      </c>
      <c r="P235" s="2">
        <f t="shared" si="70"/>
        <v>-5.7275826281988872E-2</v>
      </c>
      <c r="Q235" s="2">
        <f t="shared" si="71"/>
        <v>-5.6988181241708159E-2</v>
      </c>
      <c r="R235" s="2">
        <f t="shared" si="72"/>
        <v>-5.6988175648185341E-2</v>
      </c>
      <c r="S235" s="2">
        <f t="shared" si="73"/>
        <v>-5.6705102264725644E-2</v>
      </c>
      <c r="T235" s="9">
        <f t="shared" si="74"/>
        <v>459.36606698705197</v>
      </c>
      <c r="U235" s="7">
        <f t="shared" si="75"/>
        <v>70399429.588459045</v>
      </c>
      <c r="W235">
        <f t="shared" si="86"/>
        <v>81720</v>
      </c>
      <c r="X235" s="9">
        <f t="shared" si="68"/>
        <v>1082.1110585983911</v>
      </c>
      <c r="Y235" s="2">
        <f t="shared" si="69"/>
        <v>35672057.568106227</v>
      </c>
      <c r="Z235" s="2">
        <f t="shared" si="76"/>
        <v>-2.9092068291116546E-2</v>
      </c>
      <c r="AA235" s="2">
        <f t="shared" si="77"/>
        <v>-2.9068268031092533E-2</v>
      </c>
      <c r="AB235" s="2">
        <f t="shared" si="78"/>
        <v>-2.9068263564096426E-2</v>
      </c>
      <c r="AC235" s="2">
        <f t="shared" si="79"/>
        <v>-2.9045276508785373E-2</v>
      </c>
      <c r="AD235" s="2">
        <f t="shared" si="80"/>
        <v>1071.6464341189742</v>
      </c>
      <c r="AE235" s="10">
        <f t="shared" si="81"/>
        <v>36059733.916795351</v>
      </c>
    </row>
    <row r="236" spans="1:31" x14ac:dyDescent="0.25">
      <c r="A236" s="1">
        <f t="shared" si="82"/>
        <v>0.95</v>
      </c>
      <c r="B236" s="7">
        <f t="shared" si="83"/>
        <v>70399429.588459045</v>
      </c>
      <c r="C236" s="7">
        <f t="shared" si="84"/>
        <v>36059733.916795351</v>
      </c>
      <c r="D236" s="7"/>
      <c r="E236" s="7"/>
      <c r="F236" s="7"/>
      <c r="G236" s="7"/>
      <c r="H236" s="7"/>
      <c r="I236" s="7"/>
      <c r="J236" s="7"/>
      <c r="K236" s="7"/>
      <c r="L236" s="1">
        <f t="shared" si="87"/>
        <v>0.95</v>
      </c>
      <c r="M236">
        <f t="shared" si="85"/>
        <v>82080</v>
      </c>
      <c r="N236" s="9">
        <f t="shared" si="66"/>
        <v>459.36606698705197</v>
      </c>
      <c r="O236" s="7">
        <f t="shared" si="67"/>
        <v>70399429.588459045</v>
      </c>
      <c r="P236" s="2">
        <f t="shared" si="70"/>
        <v>-5.6705102328422116E-2</v>
      </c>
      <c r="Q236" s="2">
        <f t="shared" si="71"/>
        <v>-5.6426528054337871E-2</v>
      </c>
      <c r="R236" s="2">
        <f t="shared" si="72"/>
        <v>-5.6426522745176608E-2</v>
      </c>
      <c r="S236" s="2">
        <f t="shared" si="73"/>
        <v>-5.6152355363037948E-2</v>
      </c>
      <c r="T236" s="9">
        <f t="shared" si="74"/>
        <v>439.05225342962262</v>
      </c>
      <c r="U236" s="7">
        <f t="shared" si="75"/>
        <v>70561144.886134043</v>
      </c>
      <c r="W236">
        <f t="shared" si="86"/>
        <v>82080</v>
      </c>
      <c r="X236" s="9">
        <f t="shared" si="68"/>
        <v>1071.6464341189742</v>
      </c>
      <c r="Y236" s="2">
        <f t="shared" si="69"/>
        <v>36059733.916795351</v>
      </c>
      <c r="Z236" s="2">
        <f t="shared" si="76"/>
        <v>-2.904527655466637E-2</v>
      </c>
      <c r="AA236" s="2">
        <f t="shared" si="77"/>
        <v>-2.9023109706933763E-2</v>
      </c>
      <c r="AB236" s="2">
        <f t="shared" si="78"/>
        <v>-2.9023105405302851E-2</v>
      </c>
      <c r="AC236" s="2">
        <f t="shared" si="79"/>
        <v>-2.9001748189197724E-2</v>
      </c>
      <c r="AD236" s="2">
        <f t="shared" si="80"/>
        <v>1061.1980668208739</v>
      </c>
      <c r="AE236" s="10">
        <f t="shared" si="81"/>
        <v>36443645.926964521</v>
      </c>
    </row>
    <row r="237" spans="1:31" x14ac:dyDescent="0.25">
      <c r="A237" s="1">
        <f t="shared" si="82"/>
        <v>0.95416666666666672</v>
      </c>
      <c r="B237" s="7">
        <f t="shared" si="83"/>
        <v>70561144.886134043</v>
      </c>
      <c r="C237" s="7">
        <f t="shared" si="84"/>
        <v>36443645.926964521</v>
      </c>
      <c r="D237" s="7"/>
      <c r="E237" s="7"/>
      <c r="F237" s="7"/>
      <c r="G237" s="7"/>
      <c r="H237" s="7"/>
      <c r="I237" s="7"/>
      <c r="J237" s="7"/>
      <c r="K237" s="7"/>
      <c r="L237" s="1">
        <f t="shared" si="87"/>
        <v>0.95416666666666672</v>
      </c>
      <c r="M237">
        <f t="shared" si="85"/>
        <v>82440</v>
      </c>
      <c r="N237" s="9">
        <f t="shared" si="66"/>
        <v>439.05225342962262</v>
      </c>
      <c r="O237" s="7">
        <f t="shared" si="67"/>
        <v>70561144.886134043</v>
      </c>
      <c r="P237" s="2">
        <f t="shared" si="70"/>
        <v>-5.6152355423695663E-2</v>
      </c>
      <c r="Q237" s="2">
        <f t="shared" si="71"/>
        <v>-5.5882526091153725E-2</v>
      </c>
      <c r="R237" s="2">
        <f t="shared" si="72"/>
        <v>-5.5882521051070673E-2</v>
      </c>
      <c r="S237" s="2">
        <f t="shared" si="73"/>
        <v>-5.5616942232522663E-2</v>
      </c>
      <c r="T237" s="9">
        <f t="shared" si="74"/>
        <v>418.93428991318262</v>
      </c>
      <c r="U237" s="7">
        <f t="shared" si="75"/>
        <v>70715582.463935748</v>
      </c>
      <c r="W237">
        <f t="shared" si="86"/>
        <v>82440</v>
      </c>
      <c r="X237" s="9">
        <f t="shared" si="68"/>
        <v>1061.1980668208739</v>
      </c>
      <c r="Y237" s="2">
        <f t="shared" si="69"/>
        <v>36443645.926964521</v>
      </c>
      <c r="Z237" s="2">
        <f t="shared" si="76"/>
        <v>-2.9001748233089809E-2</v>
      </c>
      <c r="AA237" s="2">
        <f t="shared" si="77"/>
        <v>-2.8981207367374331E-2</v>
      </c>
      <c r="AB237" s="2">
        <f t="shared" si="78"/>
        <v>-2.8981203223397981E-2</v>
      </c>
      <c r="AC237" s="2">
        <f t="shared" si="79"/>
        <v>-2.8961468504155249E-2</v>
      </c>
      <c r="AD237" s="2">
        <f t="shared" si="80"/>
        <v>1050.7647845457466</v>
      </c>
      <c r="AE237" s="10">
        <f t="shared" si="81"/>
        <v>36823799.240210511</v>
      </c>
    </row>
    <row r="238" spans="1:31" x14ac:dyDescent="0.25">
      <c r="A238" s="1">
        <f t="shared" si="82"/>
        <v>0.95833333333333337</v>
      </c>
      <c r="B238" s="7">
        <f t="shared" si="83"/>
        <v>70715582.463935748</v>
      </c>
      <c r="C238" s="7">
        <f t="shared" si="84"/>
        <v>36823799.240210511</v>
      </c>
      <c r="D238" s="7"/>
      <c r="E238" s="7"/>
      <c r="F238" s="7"/>
      <c r="G238" s="7"/>
      <c r="H238" s="7"/>
      <c r="I238" s="7"/>
      <c r="J238" s="7"/>
      <c r="K238" s="7"/>
      <c r="L238" s="1">
        <f t="shared" si="87"/>
        <v>0.95833333333333337</v>
      </c>
      <c r="M238">
        <f t="shared" si="85"/>
        <v>82800</v>
      </c>
      <c r="N238" s="9">
        <f t="shared" si="66"/>
        <v>418.93428991318262</v>
      </c>
      <c r="O238" s="7">
        <f t="shared" si="67"/>
        <v>70715582.463935748</v>
      </c>
      <c r="P238" s="2">
        <f t="shared" si="70"/>
        <v>-5.561694229034566E-2</v>
      </c>
      <c r="Q238" s="2">
        <f t="shared" si="71"/>
        <v>-5.53555486236538E-2</v>
      </c>
      <c r="R238" s="2">
        <f t="shared" si="72"/>
        <v>-5.5355543838417932E-2</v>
      </c>
      <c r="S238" s="2">
        <f t="shared" si="73"/>
        <v>-5.5098252195230818E-2</v>
      </c>
      <c r="T238" s="9">
        <f t="shared" si="74"/>
        <v>399.00604714859941</v>
      </c>
      <c r="U238" s="7">
        <f t="shared" si="75"/>
        <v>70862811.724606872</v>
      </c>
      <c r="W238">
        <f t="shared" si="86"/>
        <v>82800</v>
      </c>
      <c r="X238" s="9">
        <f t="shared" si="68"/>
        <v>1050.7647845457466</v>
      </c>
      <c r="Y238" s="2">
        <f t="shared" si="69"/>
        <v>36823799.240210511</v>
      </c>
      <c r="Z238" s="2">
        <f t="shared" si="76"/>
        <v>-2.8961468546179883E-2</v>
      </c>
      <c r="AA238" s="2">
        <f t="shared" si="77"/>
        <v>-2.8942546438907021E-2</v>
      </c>
      <c r="AB238" s="2">
        <f t="shared" si="78"/>
        <v>-2.8942542445350262E-2</v>
      </c>
      <c r="AC238" s="2">
        <f t="shared" si="79"/>
        <v>-2.8924423118111952E-2</v>
      </c>
      <c r="AD238" s="2">
        <f t="shared" si="80"/>
        <v>1040.3454203797783</v>
      </c>
      <c r="AE238" s="10">
        <f t="shared" si="81"/>
        <v>37200199.077097103</v>
      </c>
    </row>
    <row r="239" spans="1:31" x14ac:dyDescent="0.25">
      <c r="A239" s="1">
        <f t="shared" si="82"/>
        <v>0.96250000000000002</v>
      </c>
      <c r="B239" s="7">
        <f t="shared" si="83"/>
        <v>70862811.724606872</v>
      </c>
      <c r="C239" s="7">
        <f t="shared" si="84"/>
        <v>37200199.077097103</v>
      </c>
      <c r="D239" s="7"/>
      <c r="E239" s="7"/>
      <c r="F239" s="7"/>
      <c r="G239" s="7"/>
      <c r="H239" s="7"/>
      <c r="I239" s="7"/>
      <c r="J239" s="7"/>
      <c r="K239" s="7"/>
      <c r="L239" s="1">
        <f t="shared" si="87"/>
        <v>0.96250000000000002</v>
      </c>
      <c r="M239">
        <f t="shared" si="85"/>
        <v>83160</v>
      </c>
      <c r="N239" s="9">
        <f t="shared" si="66"/>
        <v>399.00604714859941</v>
      </c>
      <c r="O239" s="7">
        <f t="shared" si="67"/>
        <v>70862811.724606872</v>
      </c>
      <c r="P239" s="2">
        <f t="shared" si="70"/>
        <v>-5.5098252250407598E-2</v>
      </c>
      <c r="Q239" s="2">
        <f t="shared" si="71"/>
        <v>-5.484500054004228E-2</v>
      </c>
      <c r="R239" s="2">
        <f t="shared" si="72"/>
        <v>-5.4844995996392677E-2</v>
      </c>
      <c r="S239" s="2">
        <f t="shared" si="73"/>
        <v>-5.4595705242587445E-2</v>
      </c>
      <c r="T239" s="9">
        <f t="shared" si="74"/>
        <v>379.26161011464751</v>
      </c>
      <c r="U239" s="7">
        <f t="shared" si="75"/>
        <v>71002899.902914256</v>
      </c>
      <c r="W239">
        <f t="shared" si="86"/>
        <v>83160</v>
      </c>
      <c r="X239" s="9">
        <f t="shared" si="68"/>
        <v>1040.3454203797783</v>
      </c>
      <c r="Y239" s="2">
        <f t="shared" si="69"/>
        <v>37200199.077097103</v>
      </c>
      <c r="Z239" s="2">
        <f t="shared" si="76"/>
        <v>-2.8924423158381903E-2</v>
      </c>
      <c r="AA239" s="2">
        <f t="shared" si="77"/>
        <v>-2.8907112851605309E-2</v>
      </c>
      <c r="AB239" s="2">
        <f t="shared" si="78"/>
        <v>-2.8907109001675393E-2</v>
      </c>
      <c r="AC239" s="2">
        <f t="shared" si="79"/>
        <v>-2.8890598254661139E-2</v>
      </c>
      <c r="AD239" s="2">
        <f t="shared" si="80"/>
        <v>1029.938812472602</v>
      </c>
      <c r="AE239" s="10">
        <f t="shared" si="81"/>
        <v>37572850.239010528</v>
      </c>
    </row>
    <row r="240" spans="1:31" x14ac:dyDescent="0.25">
      <c r="A240" s="1">
        <f t="shared" si="82"/>
        <v>0.96666666666666667</v>
      </c>
      <c r="B240" s="7">
        <f t="shared" si="83"/>
        <v>71002899.902914256</v>
      </c>
      <c r="C240" s="7">
        <f t="shared" si="84"/>
        <v>37572850.239010528</v>
      </c>
      <c r="D240" s="7"/>
      <c r="E240" s="7"/>
      <c r="F240" s="7"/>
      <c r="G240" s="7"/>
      <c r="H240" s="7"/>
      <c r="I240" s="7"/>
      <c r="J240" s="7"/>
      <c r="K240" s="7"/>
      <c r="L240" s="1">
        <f t="shared" si="87"/>
        <v>0.96666666666666667</v>
      </c>
      <c r="M240">
        <f t="shared" si="85"/>
        <v>83520</v>
      </c>
      <c r="N240" s="9">
        <f t="shared" si="66"/>
        <v>379.26161011464751</v>
      </c>
      <c r="O240" s="7">
        <f t="shared" si="67"/>
        <v>71002899.902914256</v>
      </c>
      <c r="P240" s="2">
        <f t="shared" si="70"/>
        <v>-5.4595705295292188E-2</v>
      </c>
      <c r="Q240" s="2">
        <f t="shared" si="71"/>
        <v>-5.4350316484878411E-2</v>
      </c>
      <c r="R240" s="2">
        <f t="shared" si="72"/>
        <v>-5.4350312170449736E-2</v>
      </c>
      <c r="S240" s="2">
        <f t="shared" si="73"/>
        <v>-5.410875024195004E-2</v>
      </c>
      <c r="T240" s="9">
        <f t="shared" si="74"/>
        <v>359.69526734377359</v>
      </c>
      <c r="U240" s="7">
        <f t="shared" si="75"/>
        <v>71135912.140856773</v>
      </c>
      <c r="W240">
        <f t="shared" si="86"/>
        <v>83520</v>
      </c>
      <c r="X240" s="9">
        <f t="shared" si="68"/>
        <v>1029.938812472602</v>
      </c>
      <c r="Y240" s="2">
        <f t="shared" si="69"/>
        <v>37572850.239010528</v>
      </c>
      <c r="Z240" s="2">
        <f t="shared" si="76"/>
        <v>-2.8890598293281444E-2</v>
      </c>
      <c r="AA240" s="2">
        <f t="shared" si="77"/>
        <v>-2.8874893147209844E-2</v>
      </c>
      <c r="AB240" s="2">
        <f t="shared" si="78"/>
        <v>-2.8874889434525378E-2</v>
      </c>
      <c r="AC240" s="2">
        <f t="shared" si="79"/>
        <v>-2.8859980798624493E-2</v>
      </c>
      <c r="AD240" s="2">
        <f t="shared" si="80"/>
        <v>1019.5438038172794</v>
      </c>
      <c r="AE240" s="10">
        <f t="shared" si="81"/>
        <v>37941757.109942704</v>
      </c>
    </row>
    <row r="241" spans="1:31" x14ac:dyDescent="0.25">
      <c r="A241" s="1">
        <f t="shared" si="82"/>
        <v>0.97083333333333333</v>
      </c>
      <c r="B241" s="7">
        <f t="shared" si="83"/>
        <v>71135912.140856773</v>
      </c>
      <c r="C241" s="7">
        <f t="shared" si="84"/>
        <v>37941757.109942704</v>
      </c>
      <c r="D241" s="7"/>
      <c r="E241" s="7"/>
      <c r="F241" s="7"/>
      <c r="G241" s="7"/>
      <c r="H241" s="7"/>
      <c r="I241" s="7"/>
      <c r="J241" s="7"/>
      <c r="K241" s="7"/>
      <c r="L241" s="1">
        <f t="shared" si="87"/>
        <v>0.97083333333333333</v>
      </c>
      <c r="M241">
        <f t="shared" si="85"/>
        <v>83880</v>
      </c>
      <c r="N241" s="9">
        <f t="shared" si="66"/>
        <v>359.69526734377359</v>
      </c>
      <c r="O241" s="7">
        <f t="shared" si="67"/>
        <v>71135912.140856773</v>
      </c>
      <c r="P241" s="2">
        <f t="shared" si="70"/>
        <v>-5.4108750292344E-2</v>
      </c>
      <c r="Q241" s="2">
        <f t="shared" si="71"/>
        <v>-5.3870959129786296E-2</v>
      </c>
      <c r="R241" s="2">
        <f t="shared" si="72"/>
        <v>-5.3870955033040402E-2</v>
      </c>
      <c r="S241" s="2">
        <f t="shared" si="73"/>
        <v>-5.3636863268866262E-2</v>
      </c>
      <c r="T241" s="9">
        <f t="shared" si="74"/>
        <v>340.30150083056179</v>
      </c>
      <c r="U241" s="7">
        <f t="shared" si="75"/>
        <v>71261911.55912815</v>
      </c>
      <c r="W241">
        <f t="shared" si="86"/>
        <v>83880</v>
      </c>
      <c r="X241" s="9">
        <f t="shared" si="68"/>
        <v>1019.5438038172794</v>
      </c>
      <c r="Y241" s="2">
        <f t="shared" si="69"/>
        <v>37941757.109942704</v>
      </c>
      <c r="Z241" s="2">
        <f t="shared" si="76"/>
        <v>-2.8859980835692883E-2</v>
      </c>
      <c r="AA241" s="2">
        <f t="shared" si="77"/>
        <v>-2.8845874575590211E-2</v>
      </c>
      <c r="AB241" s="2">
        <f t="shared" si="78"/>
        <v>-2.8845870994153186E-2</v>
      </c>
      <c r="AC241" s="2">
        <f t="shared" si="79"/>
        <v>-2.8832558387246569E-2</v>
      </c>
      <c r="AD241" s="2">
        <f t="shared" si="80"/>
        <v>1009.1592419955338</v>
      </c>
      <c r="AE241" s="10">
        <f t="shared" si="81"/>
        <v>38306923.658189014</v>
      </c>
    </row>
    <row r="242" spans="1:31" x14ac:dyDescent="0.25">
      <c r="A242" s="1">
        <f t="shared" si="82"/>
        <v>0.97499999999999998</v>
      </c>
      <c r="B242" s="7">
        <f t="shared" si="83"/>
        <v>71261911.55912815</v>
      </c>
      <c r="C242" s="7">
        <f t="shared" si="84"/>
        <v>38306923.658189014</v>
      </c>
      <c r="D242" s="7"/>
      <c r="E242" s="7"/>
      <c r="F242" s="7"/>
      <c r="G242" s="7"/>
      <c r="H242" s="7"/>
      <c r="I242" s="7"/>
      <c r="J242" s="7"/>
      <c r="K242" s="7"/>
      <c r="L242" s="1">
        <f t="shared" si="87"/>
        <v>0.97499999999999998</v>
      </c>
      <c r="M242">
        <f t="shared" si="85"/>
        <v>84240</v>
      </c>
      <c r="N242" s="9">
        <f t="shared" si="66"/>
        <v>340.30150083056179</v>
      </c>
      <c r="O242" s="7">
        <f t="shared" si="67"/>
        <v>71261911.55912815</v>
      </c>
      <c r="P242" s="2">
        <f t="shared" si="70"/>
        <v>-5.3636863317098882E-2</v>
      </c>
      <c r="Q242" s="2">
        <f t="shared" si="71"/>
        <v>-5.3406417564752076E-2</v>
      </c>
      <c r="R242" s="2">
        <f t="shared" si="72"/>
        <v>-5.3406413674916053E-2</v>
      </c>
      <c r="S242" s="2">
        <f t="shared" si="73"/>
        <v>-5.3179546055042375E-2</v>
      </c>
      <c r="T242" s="9">
        <f t="shared" si="74"/>
        <v>321.07497651947313</v>
      </c>
      <c r="U242" s="7">
        <f t="shared" si="75"/>
        <v>71380959.325051159</v>
      </c>
      <c r="W242">
        <f t="shared" si="86"/>
        <v>84240</v>
      </c>
      <c r="X242" s="9">
        <f t="shared" si="68"/>
        <v>1009.1592419955338</v>
      </c>
      <c r="Y242" s="2">
        <f t="shared" si="69"/>
        <v>38306923.658189014</v>
      </c>
      <c r="Z242" s="2">
        <f t="shared" si="76"/>
        <v>-2.8832558422854131E-2</v>
      </c>
      <c r="AA242" s="2">
        <f t="shared" si="77"/>
        <v>-2.8820045181000752E-2</v>
      </c>
      <c r="AB242" s="2">
        <f t="shared" si="78"/>
        <v>-2.882004172517047E-2</v>
      </c>
      <c r="AC242" s="2">
        <f t="shared" si="79"/>
        <v>-2.8808319491830311E-2</v>
      </c>
      <c r="AD242" s="2">
        <f t="shared" si="80"/>
        <v>998.78397889191217</v>
      </c>
      <c r="AE242" s="10">
        <f t="shared" si="81"/>
        <v>38668353.437948756</v>
      </c>
    </row>
    <row r="243" spans="1:31" x14ac:dyDescent="0.25">
      <c r="A243" s="1">
        <f t="shared" si="82"/>
        <v>0.97916666666666663</v>
      </c>
      <c r="B243" s="7">
        <f t="shared" si="83"/>
        <v>71380959.325051159</v>
      </c>
      <c r="C243" s="7">
        <f t="shared" si="84"/>
        <v>38668353.437948756</v>
      </c>
      <c r="D243" s="7"/>
      <c r="E243" s="7"/>
      <c r="F243" s="7"/>
      <c r="G243" s="7"/>
      <c r="H243" s="7"/>
      <c r="I243" s="7"/>
      <c r="J243" s="7"/>
      <c r="K243" s="7"/>
      <c r="L243" s="1">
        <f t="shared" si="87"/>
        <v>0.97916666666666663</v>
      </c>
      <c r="M243">
        <f t="shared" si="85"/>
        <v>84600</v>
      </c>
      <c r="N243" s="9">
        <f t="shared" si="66"/>
        <v>321.07497651947313</v>
      </c>
      <c r="O243" s="7">
        <f t="shared" si="67"/>
        <v>71380959.325051159</v>
      </c>
      <c r="P243" s="2">
        <f t="shared" si="70"/>
        <v>-5.3179546101252251E-2</v>
      </c>
      <c r="Q243" s="2">
        <f t="shared" si="71"/>
        <v>-5.2956205800480223E-2</v>
      </c>
      <c r="R243" s="2">
        <f t="shared" si="72"/>
        <v>-5.2956202107489525E-2</v>
      </c>
      <c r="S243" s="2">
        <f t="shared" si="73"/>
        <v>-5.273632454293007E-2</v>
      </c>
      <c r="T243" s="9">
        <f t="shared" si="74"/>
        <v>302.01053533186581</v>
      </c>
      <c r="U243" s="7">
        <f t="shared" si="75"/>
        <v>71493114.717184395</v>
      </c>
      <c r="W243">
        <f t="shared" si="86"/>
        <v>84600</v>
      </c>
      <c r="X243" s="9">
        <f t="shared" si="68"/>
        <v>998.78397889191217</v>
      </c>
      <c r="Y243" s="2">
        <f t="shared" si="69"/>
        <v>38668353.437948756</v>
      </c>
      <c r="Z243" s="2">
        <f t="shared" si="76"/>
        <v>-2.8808319526062054E-2</v>
      </c>
      <c r="AA243" s="2">
        <f t="shared" si="77"/>
        <v>-2.879739387938747E-2</v>
      </c>
      <c r="AB243" s="2">
        <f t="shared" si="78"/>
        <v>-2.8797390543856802E-2</v>
      </c>
      <c r="AC243" s="2">
        <f t="shared" si="79"/>
        <v>-2.8787253490999188E-2</v>
      </c>
      <c r="AD243" s="2">
        <f t="shared" si="80"/>
        <v>988.41687038009923</v>
      </c>
      <c r="AE243" s="10">
        <f t="shared" si="81"/>
        <v>39026049.59081772</v>
      </c>
    </row>
    <row r="244" spans="1:31" x14ac:dyDescent="0.25">
      <c r="A244" s="1">
        <f t="shared" si="82"/>
        <v>0.98333333333333328</v>
      </c>
      <c r="B244" s="7">
        <f t="shared" si="83"/>
        <v>71493114.717184395</v>
      </c>
      <c r="C244" s="7">
        <f t="shared" si="84"/>
        <v>39026049.59081772</v>
      </c>
      <c r="D244" s="7"/>
      <c r="E244" s="7"/>
      <c r="F244" s="7"/>
      <c r="G244" s="7"/>
      <c r="H244" s="7"/>
      <c r="I244" s="7"/>
      <c r="J244" s="7"/>
      <c r="K244" s="7"/>
      <c r="L244" s="1">
        <f t="shared" si="87"/>
        <v>0.98333333333333328</v>
      </c>
      <c r="M244">
        <f t="shared" si="85"/>
        <v>84960</v>
      </c>
      <c r="N244" s="9">
        <f t="shared" si="66"/>
        <v>302.01053533186581</v>
      </c>
      <c r="O244" s="7">
        <f t="shared" si="67"/>
        <v>71493114.717184395</v>
      </c>
      <c r="P244" s="2">
        <f t="shared" si="70"/>
        <v>-5.2736324587245913E-2</v>
      </c>
      <c r="Q244" s="2">
        <f t="shared" si="71"/>
        <v>-5.2519861373130472E-2</v>
      </c>
      <c r="R244" s="2">
        <f t="shared" si="72"/>
        <v>-5.2519857867577076E-2</v>
      </c>
      <c r="S244" s="2">
        <f t="shared" si="73"/>
        <v>-5.2306747538646434E-2</v>
      </c>
      <c r="T244" s="9">
        <f t="shared" si="74"/>
        <v>283.10318469542739</v>
      </c>
      <c r="U244" s="7">
        <f t="shared" si="75"/>
        <v>71598435.186789304</v>
      </c>
      <c r="W244">
        <f t="shared" si="86"/>
        <v>84960</v>
      </c>
      <c r="X244" s="9">
        <f t="shared" si="68"/>
        <v>988.41687038009923</v>
      </c>
      <c r="Y244" s="2">
        <f t="shared" si="69"/>
        <v>39026049.59081772</v>
      </c>
      <c r="Z244" s="2">
        <f t="shared" si="76"/>
        <v>-2.8787253523934506E-2</v>
      </c>
      <c r="AA244" s="2">
        <f t="shared" si="77"/>
        <v>-2.8777910527864822E-2</v>
      </c>
      <c r="AB244" s="2">
        <f t="shared" si="78"/>
        <v>-2.8777907307638198E-2</v>
      </c>
      <c r="AC244" s="2">
        <f t="shared" si="79"/>
        <v>-2.876935073664099E-2</v>
      </c>
      <c r="AD244" s="2">
        <f t="shared" si="80"/>
        <v>978.05677598420436</v>
      </c>
      <c r="AE244" s="10">
        <f t="shared" si="81"/>
        <v>39380014.847163297</v>
      </c>
    </row>
    <row r="245" spans="1:31" x14ac:dyDescent="0.25">
      <c r="A245" s="1">
        <f t="shared" si="82"/>
        <v>0.98750000000000004</v>
      </c>
      <c r="B245" s="7">
        <f t="shared" si="83"/>
        <v>71598435.186789304</v>
      </c>
      <c r="C245" s="7">
        <f t="shared" si="84"/>
        <v>39380014.847163297</v>
      </c>
      <c r="D245" s="7"/>
      <c r="E245" s="7"/>
      <c r="F245" s="7"/>
      <c r="G245" s="7"/>
      <c r="H245" s="7"/>
      <c r="I245" s="7"/>
      <c r="J245" s="7"/>
      <c r="K245" s="7"/>
      <c r="L245" s="1">
        <f t="shared" si="87"/>
        <v>0.98750000000000004</v>
      </c>
      <c r="M245">
        <f t="shared" si="85"/>
        <v>85320</v>
      </c>
      <c r="N245" s="9">
        <f t="shared" si="66"/>
        <v>283.10318469542739</v>
      </c>
      <c r="O245" s="7">
        <f t="shared" si="67"/>
        <v>71598435.186789304</v>
      </c>
      <c r="P245" s="2">
        <f t="shared" si="70"/>
        <v>-5.2306747581187862E-2</v>
      </c>
      <c r="Q245" s="2">
        <f t="shared" si="71"/>
        <v>-5.2096944043522844E-2</v>
      </c>
      <c r="R245" s="2">
        <f t="shared" si="72"/>
        <v>-5.2096940716607733E-2</v>
      </c>
      <c r="S245" s="2">
        <f t="shared" si="73"/>
        <v>-5.1890385455669284E-2</v>
      </c>
      <c r="T245" s="9">
        <f t="shared" si="74"/>
        <v>264.34809054200031</v>
      </c>
      <c r="U245" s="7">
        <f t="shared" si="75"/>
        <v>71696976.416332036</v>
      </c>
      <c r="W245">
        <f t="shared" si="86"/>
        <v>85320</v>
      </c>
      <c r="X245" s="9">
        <f t="shared" si="68"/>
        <v>978.05677598420436</v>
      </c>
      <c r="Y245" s="2">
        <f t="shared" si="69"/>
        <v>39380014.847163297</v>
      </c>
      <c r="Z245" s="2">
        <f t="shared" si="76"/>
        <v>-2.8769350768354015E-2</v>
      </c>
      <c r="AA245" s="2">
        <f t="shared" si="77"/>
        <v>-2.8761585987357476E-2</v>
      </c>
      <c r="AB245" s="2">
        <f t="shared" si="78"/>
        <v>-2.8761582877730691E-2</v>
      </c>
      <c r="AC245" s="2">
        <f t="shared" si="79"/>
        <v>-2.8754602613472596E-2</v>
      </c>
      <c r="AD245" s="2">
        <f t="shared" si="80"/>
        <v>967.70255851748414</v>
      </c>
      <c r="AE245" s="10">
        <f t="shared" si="81"/>
        <v>39730251.527373604</v>
      </c>
    </row>
    <row r="246" spans="1:31" x14ac:dyDescent="0.25">
      <c r="A246" s="1">
        <f t="shared" si="82"/>
        <v>0.9916666666666667</v>
      </c>
      <c r="B246" s="7">
        <f t="shared" si="83"/>
        <v>71696976.416332036</v>
      </c>
      <c r="C246" s="7">
        <f t="shared" si="84"/>
        <v>39730251.527373604</v>
      </c>
      <c r="D246" s="7"/>
      <c r="E246" s="7"/>
      <c r="F246" s="7"/>
      <c r="G246" s="7"/>
      <c r="H246" s="7"/>
      <c r="I246" s="7"/>
      <c r="J246" s="7"/>
      <c r="K246" s="7"/>
      <c r="L246" s="1">
        <f t="shared" si="87"/>
        <v>0.9916666666666667</v>
      </c>
      <c r="M246">
        <f t="shared" si="85"/>
        <v>85680</v>
      </c>
      <c r="N246" s="9">
        <f t="shared" si="66"/>
        <v>264.34809054200031</v>
      </c>
      <c r="O246" s="7">
        <f t="shared" si="67"/>
        <v>71696976.416332036</v>
      </c>
      <c r="P246" s="2">
        <f t="shared" si="70"/>
        <v>-5.1890385496547634E-2</v>
      </c>
      <c r="Q246" s="2">
        <f t="shared" si="71"/>
        <v>-5.1687034583590676E-2</v>
      </c>
      <c r="R246" s="2">
        <f t="shared" si="72"/>
        <v>-5.1687031427080442E-2</v>
      </c>
      <c r="S246" s="2">
        <f t="shared" si="73"/>
        <v>-5.1486829142407764E-2</v>
      </c>
      <c r="T246" s="9">
        <f t="shared" si="74"/>
        <v>245.74056974238246</v>
      </c>
      <c r="U246" s="7">
        <f t="shared" si="75"/>
        <v>71788792.375183225</v>
      </c>
      <c r="W246">
        <f t="shared" si="86"/>
        <v>85680</v>
      </c>
      <c r="X246" s="9">
        <f t="shared" si="68"/>
        <v>967.70255851748414</v>
      </c>
      <c r="Y246" s="2">
        <f t="shared" si="69"/>
        <v>39730251.527373604</v>
      </c>
      <c r="Z246" s="2">
        <f t="shared" si="76"/>
        <v>-2.8754602644032772E-2</v>
      </c>
      <c r="AA246" s="2">
        <f t="shared" si="77"/>
        <v>-2.8748412179294285E-2</v>
      </c>
      <c r="AB246" s="2">
        <f t="shared" si="78"/>
        <v>-2.8748409175835751E-2</v>
      </c>
      <c r="AC246" s="2">
        <f t="shared" si="79"/>
        <v>-2.8743001593064262E-2</v>
      </c>
      <c r="AD246" s="2">
        <f t="shared" si="80"/>
        <v>957.35308370064274</v>
      </c>
      <c r="AE246" s="10">
        <f t="shared" si="81"/>
        <v>40076761.54297287</v>
      </c>
    </row>
    <row r="247" spans="1:31" x14ac:dyDescent="0.25">
      <c r="A247" s="1">
        <f t="shared" si="82"/>
        <v>0.99583333333333335</v>
      </c>
      <c r="B247" s="7">
        <f t="shared" si="83"/>
        <v>71788792.375183225</v>
      </c>
      <c r="C247" s="7">
        <f t="shared" si="84"/>
        <v>40076761.54297287</v>
      </c>
      <c r="D247" s="7"/>
      <c r="E247" s="7"/>
      <c r="F247" s="7"/>
      <c r="G247" s="7"/>
      <c r="H247" s="7"/>
      <c r="I247" s="7"/>
      <c r="J247" s="7"/>
      <c r="K247" s="7"/>
      <c r="L247" s="1">
        <f t="shared" si="87"/>
        <v>0.99583333333333335</v>
      </c>
      <c r="M247">
        <f t="shared" si="85"/>
        <v>86040</v>
      </c>
      <c r="N247" s="9">
        <f t="shared" si="66"/>
        <v>245.74056974238246</v>
      </c>
      <c r="O247" s="7">
        <f t="shared" si="67"/>
        <v>71788792.375183225</v>
      </c>
      <c r="P247" s="2">
        <f t="shared" si="70"/>
        <v>-5.1486829181726687E-2</v>
      </c>
      <c r="Q247" s="2">
        <f t="shared" si="71"/>
        <v>-5.128973364348547E-2</v>
      </c>
      <c r="R247" s="2">
        <f t="shared" si="72"/>
        <v>-5.1289730649672315E-2</v>
      </c>
      <c r="S247" s="2">
        <f t="shared" si="73"/>
        <v>-5.1095688787341928E-2</v>
      </c>
      <c r="T247" s="9">
        <f t="shared" si="74"/>
        <v>227.2760829490594</v>
      </c>
      <c r="U247" s="7">
        <f t="shared" si="75"/>
        <v>71873935.372667685</v>
      </c>
      <c r="W247">
        <f t="shared" si="86"/>
        <v>86040</v>
      </c>
      <c r="X247" s="9">
        <f t="shared" si="68"/>
        <v>957.35308370064274</v>
      </c>
      <c r="Y247" s="2">
        <f t="shared" si="69"/>
        <v>40076761.54297287</v>
      </c>
      <c r="Z247" s="2">
        <f t="shared" si="76"/>
        <v>-2.8743001622536634E-2</v>
      </c>
      <c r="AA247" s="2">
        <f t="shared" si="77"/>
        <v>-2.8738382137146388E-2</v>
      </c>
      <c r="AB247" s="2">
        <f t="shared" si="78"/>
        <v>-2.8738379235680043E-2</v>
      </c>
      <c r="AC247" s="2">
        <f t="shared" si="79"/>
        <v>-2.8734541283071478E-2</v>
      </c>
      <c r="AD247" s="2">
        <f t="shared" si="80"/>
        <v>947.00721976156706</v>
      </c>
      <c r="AE247" s="10">
        <f t="shared" si="81"/>
        <v>40419546.397596069</v>
      </c>
    </row>
    <row r="248" spans="1:31" x14ac:dyDescent="0.25">
      <c r="A248" s="1">
        <f t="shared" si="82"/>
        <v>1</v>
      </c>
      <c r="B248" s="7">
        <f t="shared" si="83"/>
        <v>71873935.372667685</v>
      </c>
      <c r="C248" s="7">
        <f t="shared" si="84"/>
        <v>40419546.397596069</v>
      </c>
      <c r="D248" s="7"/>
      <c r="E248" s="7"/>
      <c r="F248" s="7"/>
      <c r="G248" s="7"/>
      <c r="H248" s="7"/>
      <c r="I248" s="7"/>
      <c r="J248" s="7"/>
      <c r="K248" s="7"/>
      <c r="L248" s="1">
        <f t="shared" si="87"/>
        <v>1</v>
      </c>
      <c r="M248">
        <f t="shared" si="85"/>
        <v>86400</v>
      </c>
      <c r="N248" s="9">
        <f t="shared" ref="N248:N311" si="88">T247</f>
        <v>227.2760829490594</v>
      </c>
      <c r="O248" s="7">
        <f t="shared" ref="O248:O311" si="89">U247</f>
        <v>71873935.372667685</v>
      </c>
      <c r="P248" s="2">
        <f t="shared" si="70"/>
        <v>-5.1095688825198084E-2</v>
      </c>
      <c r="Q248" s="2">
        <f t="shared" si="71"/>
        <v>-5.0904660693302725E-2</v>
      </c>
      <c r="R248" s="2">
        <f t="shared" si="72"/>
        <v>-5.0904657854968095E-2</v>
      </c>
      <c r="S248" s="2">
        <f t="shared" si="73"/>
        <v>-5.0716592895962941E-2</v>
      </c>
      <c r="T248" s="9">
        <f t="shared" si="74"/>
        <v>208.95022781999725</v>
      </c>
      <c r="U248" s="7">
        <f t="shared" si="75"/>
        <v>71952456.108606115</v>
      </c>
      <c r="W248">
        <f t="shared" si="86"/>
        <v>86400</v>
      </c>
      <c r="X248" s="9">
        <f t="shared" ref="X248:X311" si="90">AD247</f>
        <v>947.00721976156706</v>
      </c>
      <c r="Y248" s="2">
        <f t="shared" ref="Y248:Y311" si="91">AE247</f>
        <v>40419546.397596069</v>
      </c>
      <c r="Z248" s="2">
        <f t="shared" si="76"/>
        <v>-2.873454131151703E-2</v>
      </c>
      <c r="AA248" s="2">
        <f t="shared" si="77"/>
        <v>-2.8731490053517546E-2</v>
      </c>
      <c r="AB248" s="2">
        <f t="shared" si="78"/>
        <v>-2.8731487250106807E-2</v>
      </c>
      <c r="AC248" s="2">
        <f t="shared" si="79"/>
        <v>-2.872921647234462E-2</v>
      </c>
      <c r="AD248" s="2">
        <f t="shared" si="80"/>
        <v>936.66383701810048</v>
      </c>
      <c r="AE248" s="10">
        <f t="shared" si="81"/>
        <v>40758607.187816411</v>
      </c>
    </row>
    <row r="249" spans="1:31" x14ac:dyDescent="0.25">
      <c r="A249" s="1">
        <f t="shared" si="82"/>
        <v>1.0041666666666667</v>
      </c>
      <c r="B249" s="7">
        <f t="shared" si="83"/>
        <v>71952456.108606115</v>
      </c>
      <c r="C249" s="7">
        <f t="shared" si="84"/>
        <v>40758607.187816411</v>
      </c>
      <c r="D249" s="7"/>
      <c r="E249" s="7"/>
      <c r="F249" s="7"/>
      <c r="G249" s="7"/>
      <c r="H249" s="7"/>
      <c r="I249" s="7"/>
      <c r="J249" s="7"/>
      <c r="K249" s="7"/>
      <c r="L249" s="1">
        <f t="shared" si="87"/>
        <v>1.0041666666666667</v>
      </c>
      <c r="M249">
        <f t="shared" si="85"/>
        <v>86760</v>
      </c>
      <c r="N249" s="9">
        <f t="shared" si="88"/>
        <v>208.95022781999725</v>
      </c>
      <c r="O249" s="7">
        <f t="shared" si="89"/>
        <v>71952456.108606115</v>
      </c>
      <c r="P249" s="2">
        <f t="shared" si="70"/>
        <v>-5.0716592932446583E-2</v>
      </c>
      <c r="Q249" s="2">
        <f t="shared" si="71"/>
        <v>-5.0531453033910517E-2</v>
      </c>
      <c r="R249" s="2">
        <f t="shared" si="72"/>
        <v>-5.0531450344291351E-2</v>
      </c>
      <c r="S249" s="2">
        <f t="shared" si="73"/>
        <v>-5.0349187334232673E-2</v>
      </c>
      <c r="T249" s="9">
        <f t="shared" si="74"/>
        <v>190.75873259861228</v>
      </c>
      <c r="U249" s="7">
        <f t="shared" si="75"/>
        <v>72024403.721481457</v>
      </c>
      <c r="W249">
        <f t="shared" si="86"/>
        <v>86760</v>
      </c>
      <c r="X249" s="9">
        <f t="shared" si="90"/>
        <v>936.66383701810048</v>
      </c>
      <c r="Y249" s="2">
        <f t="shared" si="91"/>
        <v>40758607.187816411</v>
      </c>
      <c r="Z249" s="2">
        <f t="shared" si="76"/>
        <v>-2.8729216499820506E-2</v>
      </c>
      <c r="AA249" s="2">
        <f t="shared" si="77"/>
        <v>-2.8727731323420207E-2</v>
      </c>
      <c r="AB249" s="2">
        <f t="shared" si="78"/>
        <v>-2.8727728614353378E-2</v>
      </c>
      <c r="AC249" s="2">
        <f t="shared" si="79"/>
        <v>-2.8727023172516152E-2</v>
      </c>
      <c r="AD249" s="2">
        <f t="shared" si="80"/>
        <v>926.32180744522748</v>
      </c>
      <c r="AE249" s="10">
        <f t="shared" si="81"/>
        <v>41093944.60381981</v>
      </c>
    </row>
    <row r="250" spans="1:31" x14ac:dyDescent="0.25">
      <c r="A250" s="1">
        <f t="shared" si="82"/>
        <v>1.0083333333333333</v>
      </c>
      <c r="B250" s="7">
        <f t="shared" si="83"/>
        <v>72024403.721481457</v>
      </c>
      <c r="C250" s="7">
        <f t="shared" si="84"/>
        <v>41093944.60381981</v>
      </c>
      <c r="D250" s="7"/>
      <c r="E250" s="7"/>
      <c r="F250" s="7"/>
      <c r="G250" s="7"/>
      <c r="H250" s="7"/>
      <c r="I250" s="7"/>
      <c r="J250" s="7"/>
      <c r="K250" s="7"/>
      <c r="L250" s="1">
        <f t="shared" si="87"/>
        <v>1.0083333333333333</v>
      </c>
      <c r="M250">
        <f t="shared" si="85"/>
        <v>87120</v>
      </c>
      <c r="N250" s="9">
        <f t="shared" si="88"/>
        <v>190.75873259861228</v>
      </c>
      <c r="O250" s="7">
        <f t="shared" si="89"/>
        <v>72024403.721481457</v>
      </c>
      <c r="P250" s="2">
        <f t="shared" si="70"/>
        <v>-5.0349187369428137E-2</v>
      </c>
      <c r="Q250" s="2">
        <f t="shared" si="71"/>
        <v>-5.0169764871825027E-2</v>
      </c>
      <c r="R250" s="2">
        <f t="shared" si="72"/>
        <v>-5.0169762324583034E-2</v>
      </c>
      <c r="S250" s="2">
        <f t="shared" si="73"/>
        <v>-4.9993134433723045E-2</v>
      </c>
      <c r="T250" s="9">
        <f t="shared" si="74"/>
        <v>172.69745002685426</v>
      </c>
      <c r="U250" s="7">
        <f t="shared" si="75"/>
        <v>72089825.834354043</v>
      </c>
      <c r="W250">
        <f t="shared" si="86"/>
        <v>87120</v>
      </c>
      <c r="X250" s="9">
        <f t="shared" si="90"/>
        <v>926.32180744522748</v>
      </c>
      <c r="Y250" s="2">
        <f t="shared" si="91"/>
        <v>41093944.60381981</v>
      </c>
      <c r="Z250" s="2">
        <f t="shared" si="76"/>
        <v>-2.8727023199076121E-2</v>
      </c>
      <c r="AA250" s="2">
        <f t="shared" si="77"/>
        <v>-2.872710258430685E-2</v>
      </c>
      <c r="AB250" s="2">
        <f t="shared" si="78"/>
        <v>-2.8727099966083455E-2</v>
      </c>
      <c r="AC250" s="2">
        <f t="shared" si="79"/>
        <v>-2.8727958656605723E-2</v>
      </c>
      <c r="AD250" s="2">
        <f t="shared" si="80"/>
        <v>915.98000422783969</v>
      </c>
      <c r="AE250" s="10">
        <f t="shared" si="81"/>
        <v>41425558.929920964</v>
      </c>
    </row>
    <row r="251" spans="1:31" x14ac:dyDescent="0.25">
      <c r="A251" s="1">
        <f t="shared" si="82"/>
        <v>1.0125</v>
      </c>
      <c r="B251" s="7">
        <f t="shared" si="83"/>
        <v>72089825.834354043</v>
      </c>
      <c r="C251" s="7">
        <f t="shared" si="84"/>
        <v>41425558.929920964</v>
      </c>
      <c r="D251" s="7"/>
      <c r="E251" s="7"/>
      <c r="F251" s="7"/>
      <c r="G251" s="7"/>
      <c r="H251" s="7"/>
      <c r="I251" s="7"/>
      <c r="J251" s="7"/>
      <c r="K251" s="7"/>
      <c r="L251" s="1">
        <f t="shared" si="87"/>
        <v>1.0125</v>
      </c>
      <c r="M251">
        <f t="shared" si="85"/>
        <v>87480</v>
      </c>
      <c r="N251" s="9">
        <f t="shared" si="88"/>
        <v>172.69745002685426</v>
      </c>
      <c r="O251" s="7">
        <f t="shared" si="89"/>
        <v>72089825.834354043</v>
      </c>
      <c r="P251" s="2">
        <f t="shared" si="70"/>
        <v>-4.9993134467709158E-2</v>
      </c>
      <c r="Q251" s="2">
        <f t="shared" si="71"/>
        <v>-4.9819266453499295E-2</v>
      </c>
      <c r="R251" s="2">
        <f t="shared" si="72"/>
        <v>-4.9819264042692532E-2</v>
      </c>
      <c r="S251" s="2">
        <f t="shared" si="73"/>
        <v>-4.9648112153996754E-2</v>
      </c>
      <c r="T251" s="9">
        <f t="shared" si="74"/>
        <v>154.76235157000889</v>
      </c>
      <c r="U251" s="7">
        <f t="shared" si="75"/>
        <v>72148768.598641485</v>
      </c>
      <c r="W251">
        <f t="shared" si="86"/>
        <v>87480</v>
      </c>
      <c r="X251" s="9">
        <f t="shared" si="90"/>
        <v>915.98000422783969</v>
      </c>
      <c r="Y251" s="2">
        <f t="shared" si="91"/>
        <v>41425558.929920964</v>
      </c>
      <c r="Z251" s="2">
        <f t="shared" si="76"/>
        <v>-2.8727958682300287E-2</v>
      </c>
      <c r="AA251" s="2">
        <f t="shared" si="77"/>
        <v>-2.8729601753366876E-2</v>
      </c>
      <c r="AB251" s="2">
        <f t="shared" si="78"/>
        <v>-2.8729599222685132E-2</v>
      </c>
      <c r="AC251" s="2">
        <f t="shared" si="79"/>
        <v>-2.8732021495126794E-2</v>
      </c>
      <c r="AD251" s="2">
        <f t="shared" si="80"/>
        <v>905.63730130006786</v>
      </c>
      <c r="AE251" s="10">
        <f t="shared" si="81"/>
        <v>41753450.044915989</v>
      </c>
    </row>
    <row r="252" spans="1:31" x14ac:dyDescent="0.25">
      <c r="A252" s="1">
        <f t="shared" si="82"/>
        <v>1.0166666666666666</v>
      </c>
      <c r="B252" s="7">
        <f t="shared" si="83"/>
        <v>72148768.598641485</v>
      </c>
      <c r="C252" s="7">
        <f t="shared" si="84"/>
        <v>41753450.044915989</v>
      </c>
      <c r="D252" s="7"/>
      <c r="E252" s="7"/>
      <c r="F252" s="7"/>
      <c r="G252" s="7"/>
      <c r="H252" s="7"/>
      <c r="I252" s="7"/>
      <c r="J252" s="7"/>
      <c r="K252" s="7"/>
      <c r="L252" s="1">
        <f t="shared" si="87"/>
        <v>1.0166666666666666</v>
      </c>
      <c r="M252">
        <f t="shared" si="85"/>
        <v>87840</v>
      </c>
      <c r="N252" s="9">
        <f t="shared" si="88"/>
        <v>154.76235157000889</v>
      </c>
      <c r="O252" s="7">
        <f t="shared" si="89"/>
        <v>72148768.598641485</v>
      </c>
      <c r="P252" s="2">
        <f t="shared" si="70"/>
        <v>-4.9648112186847386E-2</v>
      </c>
      <c r="Q252" s="2">
        <f t="shared" si="71"/>
        <v>-4.9479643254773366E-2</v>
      </c>
      <c r="R252" s="2">
        <f t="shared" si="72"/>
        <v>-4.9479640974830139E-2</v>
      </c>
      <c r="S252" s="2">
        <f t="shared" si="73"/>
        <v>-4.9313813298155811E-2</v>
      </c>
      <c r="T252" s="9">
        <f t="shared" si="74"/>
        <v>136.94952193335627</v>
      </c>
      <c r="U252" s="7">
        <f t="shared" si="75"/>
        <v>72201276.73587209</v>
      </c>
      <c r="W252">
        <f t="shared" si="86"/>
        <v>87840</v>
      </c>
      <c r="X252" s="9">
        <f t="shared" si="90"/>
        <v>905.63730130006786</v>
      </c>
      <c r="Y252" s="2">
        <f t="shared" si="91"/>
        <v>41753450.044915989</v>
      </c>
      <c r="Z252" s="2">
        <f t="shared" si="76"/>
        <v>-2.8732021520003457E-2</v>
      </c>
      <c r="AA252" s="2">
        <f t="shared" si="77"/>
        <v>-2.8735228062550806E-2</v>
      </c>
      <c r="AB252" s="2">
        <f t="shared" si="78"/>
        <v>-2.8735225616295983E-2</v>
      </c>
      <c r="AC252" s="2">
        <f t="shared" si="79"/>
        <v>-2.8739211590133377E-2</v>
      </c>
      <c r="AD252" s="2">
        <f t="shared" si="80"/>
        <v>895.292572871998</v>
      </c>
      <c r="AE252" s="10">
        <f t="shared" si="81"/>
        <v>42077617.42226696</v>
      </c>
    </row>
    <row r="253" spans="1:31" x14ac:dyDescent="0.25">
      <c r="A253" s="1">
        <f t="shared" si="82"/>
        <v>1.0208333333333333</v>
      </c>
      <c r="B253" s="7">
        <f t="shared" si="83"/>
        <v>72201276.73587209</v>
      </c>
      <c r="C253" s="7">
        <f t="shared" si="84"/>
        <v>42077617.42226696</v>
      </c>
      <c r="D253" s="7"/>
      <c r="E253" s="7"/>
      <c r="F253" s="7"/>
      <c r="G253" s="7"/>
      <c r="H253" s="7"/>
      <c r="I253" s="7"/>
      <c r="J253" s="7"/>
      <c r="K253" s="7"/>
      <c r="L253" s="1">
        <f t="shared" si="87"/>
        <v>1.0208333333333333</v>
      </c>
      <c r="M253">
        <f t="shared" si="85"/>
        <v>88200</v>
      </c>
      <c r="N253" s="9">
        <f t="shared" si="88"/>
        <v>136.94952193335627</v>
      </c>
      <c r="O253" s="7">
        <f t="shared" si="89"/>
        <v>72201276.73587209</v>
      </c>
      <c r="P253" s="2">
        <f t="shared" si="70"/>
        <v>-4.9313813329940198E-2</v>
      </c>
      <c r="Q253" s="2">
        <f t="shared" si="71"/>
        <v>-4.9150595221581307E-2</v>
      </c>
      <c r="R253" s="2">
        <f t="shared" si="72"/>
        <v>-4.9150593067276267E-2</v>
      </c>
      <c r="S253" s="2">
        <f t="shared" si="73"/>
        <v>-4.8989944777815042E-2</v>
      </c>
      <c r="T253" s="9">
        <f t="shared" si="74"/>
        <v>119.25515385222803</v>
      </c>
      <c r="U253" s="7">
        <f t="shared" si="75"/>
        <v>72247393.577513501</v>
      </c>
      <c r="W253">
        <f t="shared" si="86"/>
        <v>88200</v>
      </c>
      <c r="X253" s="9">
        <f t="shared" si="90"/>
        <v>895.292572871998</v>
      </c>
      <c r="Y253" s="2">
        <f t="shared" si="91"/>
        <v>42077617.42226696</v>
      </c>
      <c r="Z253" s="2">
        <f t="shared" si="76"/>
        <v>-2.8739211614236954E-2</v>
      </c>
      <c r="AA253" s="2">
        <f t="shared" si="77"/>
        <v>-2.8743982091736807E-2</v>
      </c>
      <c r="AB253" s="2">
        <f t="shared" si="78"/>
        <v>-2.8743979726970518E-2</v>
      </c>
      <c r="AC253" s="2">
        <f t="shared" si="79"/>
        <v>-2.8749530207602698E-2</v>
      </c>
      <c r="AD253" s="2">
        <f t="shared" si="80"/>
        <v>884.94469294444275</v>
      </c>
      <c r="AE253" s="10">
        <f t="shared" si="81"/>
        <v>42398060.130113922</v>
      </c>
    </row>
    <row r="254" spans="1:31" x14ac:dyDescent="0.25">
      <c r="A254" s="1">
        <f t="shared" si="82"/>
        <v>1.0249999999999999</v>
      </c>
      <c r="B254" s="7">
        <f t="shared" si="83"/>
        <v>72247393.577513501</v>
      </c>
      <c r="C254" s="7">
        <f t="shared" si="84"/>
        <v>42398060.130113922</v>
      </c>
      <c r="D254" s="7"/>
      <c r="E254" s="7"/>
      <c r="F254" s="7"/>
      <c r="G254" s="7"/>
      <c r="H254" s="7"/>
      <c r="I254" s="7"/>
      <c r="J254" s="7"/>
      <c r="K254" s="7"/>
      <c r="L254" s="1">
        <f t="shared" si="87"/>
        <v>1.0249999999999999</v>
      </c>
      <c r="M254">
        <f t="shared" si="85"/>
        <v>88560</v>
      </c>
      <c r="N254" s="9">
        <f t="shared" si="88"/>
        <v>119.25515385222803</v>
      </c>
      <c r="O254" s="7">
        <f t="shared" si="89"/>
        <v>72247393.577513501</v>
      </c>
      <c r="P254" s="2">
        <f t="shared" si="70"/>
        <v>-4.898994480859812E-2</v>
      </c>
      <c r="Q254" s="2">
        <f t="shared" si="71"/>
        <v>-4.883183605832777E-2</v>
      </c>
      <c r="R254" s="2">
        <f t="shared" si="72"/>
        <v>-4.8831834024759629E-2</v>
      </c>
      <c r="S254" s="2">
        <f t="shared" si="73"/>
        <v>-4.8676226924060706E-2</v>
      </c>
      <c r="T254" s="9">
        <f t="shared" si="74"/>
        <v>101.67554313829802</v>
      </c>
      <c r="U254" s="7">
        <f t="shared" si="75"/>
        <v>72287161.102971792</v>
      </c>
      <c r="W254">
        <f t="shared" si="86"/>
        <v>88560</v>
      </c>
      <c r="X254" s="9">
        <f t="shared" si="90"/>
        <v>884.94469294444275</v>
      </c>
      <c r="Y254" s="2">
        <f t="shared" si="91"/>
        <v>42398060.130113922</v>
      </c>
      <c r="Z254" s="2">
        <f t="shared" si="76"/>
        <v>-2.8749530230975432E-2</v>
      </c>
      <c r="AA254" s="2">
        <f t="shared" si="77"/>
        <v>-2.875586580041694E-2</v>
      </c>
      <c r="AB254" s="2">
        <f t="shared" si="78"/>
        <v>-2.8755863514366976E-2</v>
      </c>
      <c r="AC254" s="2">
        <f t="shared" si="79"/>
        <v>-2.8762980008511956E-2</v>
      </c>
      <c r="AD254" s="2">
        <f t="shared" si="80"/>
        <v>874.59253481229939</v>
      </c>
      <c r="AE254" s="10">
        <f t="shared" si="81"/>
        <v>42714776.831110135</v>
      </c>
    </row>
    <row r="255" spans="1:31" x14ac:dyDescent="0.25">
      <c r="A255" s="1">
        <f t="shared" si="82"/>
        <v>1.0291666666666666</v>
      </c>
      <c r="B255" s="7">
        <f t="shared" si="83"/>
        <v>72287161.102971792</v>
      </c>
      <c r="C255" s="7">
        <f t="shared" si="84"/>
        <v>42714776.831110135</v>
      </c>
      <c r="D255" s="7"/>
      <c r="E255" s="7"/>
      <c r="F255" s="7"/>
      <c r="G255" s="7"/>
      <c r="H255" s="7"/>
      <c r="I255" s="7"/>
      <c r="J255" s="7"/>
      <c r="K255" s="7"/>
      <c r="L255" s="1">
        <f t="shared" si="87"/>
        <v>1.0291666666666666</v>
      </c>
      <c r="M255">
        <f t="shared" si="85"/>
        <v>88920</v>
      </c>
      <c r="N255" s="9">
        <f t="shared" si="88"/>
        <v>101.67554313829802</v>
      </c>
      <c r="O255" s="7">
        <f t="shared" si="89"/>
        <v>72287161.102971792</v>
      </c>
      <c r="P255" s="2">
        <f t="shared" si="70"/>
        <v>-4.8676226953903556E-2</v>
      </c>
      <c r="Q255" s="2">
        <f t="shared" si="71"/>
        <v>-4.8523092560634161E-2</v>
      </c>
      <c r="R255" s="2">
        <f t="shared" si="72"/>
        <v>-4.8523090643205362E-2</v>
      </c>
      <c r="S255" s="2">
        <f t="shared" si="73"/>
        <v>-4.8372392841229163E-2</v>
      </c>
      <c r="T255" s="9">
        <f t="shared" si="74"/>
        <v>84.207083966129318</v>
      </c>
      <c r="U255" s="7">
        <f t="shared" si="75"/>
        <v>72320619.975850582</v>
      </c>
      <c r="W255">
        <f t="shared" si="86"/>
        <v>88920</v>
      </c>
      <c r="X255" s="9">
        <f t="shared" si="90"/>
        <v>874.59253481229939</v>
      </c>
      <c r="Y255" s="2">
        <f t="shared" si="91"/>
        <v>42714776.831110135</v>
      </c>
      <c r="Z255" s="2">
        <f t="shared" si="76"/>
        <v>-2.876298003119367E-2</v>
      </c>
      <c r="AA255" s="2">
        <f t="shared" si="77"/>
        <v>-2.8770882558244545E-2</v>
      </c>
      <c r="AB255" s="2">
        <f t="shared" si="78"/>
        <v>-2.877088034829587E-2</v>
      </c>
      <c r="AC255" s="2">
        <f t="shared" si="79"/>
        <v>-2.8779565078935872E-2</v>
      </c>
      <c r="AD255" s="2">
        <f t="shared" si="80"/>
        <v>864.23497055690677</v>
      </c>
      <c r="AE255" s="10">
        <f t="shared" si="81"/>
        <v>43027765.78207659</v>
      </c>
    </row>
    <row r="256" spans="1:31" x14ac:dyDescent="0.25">
      <c r="A256" s="1">
        <f t="shared" si="82"/>
        <v>1.0333333333333334</v>
      </c>
      <c r="B256" s="7">
        <f t="shared" si="83"/>
        <v>72320619.975850582</v>
      </c>
      <c r="C256" s="7">
        <f t="shared" si="84"/>
        <v>43027765.78207659</v>
      </c>
      <c r="D256" s="7"/>
      <c r="E256" s="7"/>
      <c r="F256" s="7"/>
      <c r="G256" s="7"/>
      <c r="H256" s="7"/>
      <c r="I256" s="7"/>
      <c r="J256" s="7"/>
      <c r="K256" s="7"/>
      <c r="L256" s="1">
        <f t="shared" si="87"/>
        <v>1.0333333333333334</v>
      </c>
      <c r="M256">
        <f t="shared" si="85"/>
        <v>89280</v>
      </c>
      <c r="N256" s="9">
        <f t="shared" si="88"/>
        <v>84.207083966129318</v>
      </c>
      <c r="O256" s="7">
        <f t="shared" si="89"/>
        <v>72320619.975850582</v>
      </c>
      <c r="P256" s="2">
        <f t="shared" si="70"/>
        <v>-4.837239287018915E-2</v>
      </c>
      <c r="Q256" s="2">
        <f t="shared" si="71"/>
        <v>-4.8224103989417892E-2</v>
      </c>
      <c r="R256" s="2">
        <f t="shared" si="72"/>
        <v>-4.8224102183815815E-2</v>
      </c>
      <c r="S256" s="2">
        <f t="shared" si="73"/>
        <v>-4.8078187800591074E-2</v>
      </c>
      <c r="T256" s="9">
        <f t="shared" si="74"/>
        <v>66.846264385094457</v>
      </c>
      <c r="U256" s="7">
        <f t="shared" si="75"/>
        <v>72347809.578553796</v>
      </c>
      <c r="W256">
        <f t="shared" si="86"/>
        <v>89280</v>
      </c>
      <c r="X256" s="9">
        <f t="shared" si="90"/>
        <v>864.23497055690677</v>
      </c>
      <c r="Y256" s="2">
        <f t="shared" si="91"/>
        <v>43027765.78207659</v>
      </c>
      <c r="Z256" s="2">
        <f t="shared" si="76"/>
        <v>-2.8779565100964292E-2</v>
      </c>
      <c r="AA256" s="2">
        <f t="shared" si="77"/>
        <v>-2.8789037174755248E-2</v>
      </c>
      <c r="AB256" s="2">
        <f t="shared" si="78"/>
        <v>-2.87890350384413E-2</v>
      </c>
      <c r="AC256" s="2">
        <f t="shared" si="79"/>
        <v>-2.8799290959463677E-2</v>
      </c>
      <c r="AD256" s="2">
        <f t="shared" si="80"/>
        <v>853.87087052769755</v>
      </c>
      <c r="AE256" s="10">
        <f t="shared" si="81"/>
        <v>43337024.83347182</v>
      </c>
    </row>
    <row r="257" spans="1:31" x14ac:dyDescent="0.25">
      <c r="A257" s="1">
        <f t="shared" si="82"/>
        <v>1.0375000000000001</v>
      </c>
      <c r="B257" s="7">
        <f t="shared" si="83"/>
        <v>72347809.578553796</v>
      </c>
      <c r="C257" s="7">
        <f t="shared" si="84"/>
        <v>43337024.83347182</v>
      </c>
      <c r="D257" s="7"/>
      <c r="E257" s="7"/>
      <c r="F257" s="7"/>
      <c r="G257" s="7"/>
      <c r="H257" s="7"/>
      <c r="I257" s="7"/>
      <c r="J257" s="7"/>
      <c r="K257" s="7"/>
      <c r="L257" s="1">
        <f t="shared" si="87"/>
        <v>1.0375000000000001</v>
      </c>
      <c r="M257">
        <f t="shared" si="85"/>
        <v>89640</v>
      </c>
      <c r="N257" s="9">
        <f t="shared" si="88"/>
        <v>66.846264385094457</v>
      </c>
      <c r="O257" s="7">
        <f t="shared" si="89"/>
        <v>72347809.578553796</v>
      </c>
      <c r="P257" s="2">
        <f t="shared" si="70"/>
        <v>-4.8078187828722287E-2</v>
      </c>
      <c r="Q257" s="2">
        <f t="shared" si="71"/>
        <v>-4.7934621483508077E-2</v>
      </c>
      <c r="R257" s="2">
        <f t="shared" si="72"/>
        <v>-4.7934619785687617E-2</v>
      </c>
      <c r="S257" s="2">
        <f t="shared" si="73"/>
        <v>-4.7793368671257483E-2</v>
      </c>
      <c r="T257" s="9">
        <f t="shared" si="74"/>
        <v>49.589662042792185</v>
      </c>
      <c r="U257" s="7">
        <f t="shared" si="75"/>
        <v>72368768.04531081</v>
      </c>
      <c r="W257">
        <f t="shared" si="86"/>
        <v>89640</v>
      </c>
      <c r="X257" s="9">
        <f t="shared" si="90"/>
        <v>853.87087052769755</v>
      </c>
      <c r="Y257" s="2">
        <f t="shared" si="91"/>
        <v>43337024.83347182</v>
      </c>
      <c r="Z257" s="2">
        <f t="shared" si="76"/>
        <v>-2.8799290980874356E-2</v>
      </c>
      <c r="AA257" s="2">
        <f t="shared" si="77"/>
        <v>-2.8810335928546295E-2</v>
      </c>
      <c r="AB257" s="2">
        <f t="shared" si="78"/>
        <v>-2.881033386354102E-2</v>
      </c>
      <c r="AC257" s="2">
        <f t="shared" si="79"/>
        <v>-2.8822164674207288E-2</v>
      </c>
      <c r="AD257" s="2">
        <f t="shared" si="80"/>
        <v>843.49910281334212</v>
      </c>
      <c r="AE257" s="10">
        <f t="shared" si="81"/>
        <v>43642551.428673208</v>
      </c>
    </row>
    <row r="258" spans="1:31" x14ac:dyDescent="0.25">
      <c r="A258" s="1">
        <f t="shared" si="82"/>
        <v>1.0416666666666667</v>
      </c>
      <c r="B258" s="7">
        <f t="shared" si="83"/>
        <v>72368768.04531081</v>
      </c>
      <c r="C258" s="7">
        <f t="shared" si="84"/>
        <v>43642551.428673208</v>
      </c>
      <c r="D258" s="7"/>
      <c r="E258" s="7"/>
      <c r="F258" s="7"/>
      <c r="G258" s="7"/>
      <c r="H258" s="7"/>
      <c r="I258" s="7"/>
      <c r="J258" s="7"/>
      <c r="K258" s="7"/>
      <c r="L258" s="1">
        <f t="shared" si="87"/>
        <v>1.0416666666666667</v>
      </c>
      <c r="M258">
        <f t="shared" si="85"/>
        <v>90000</v>
      </c>
      <c r="N258" s="9">
        <f t="shared" si="88"/>
        <v>49.589662042792185</v>
      </c>
      <c r="O258" s="7">
        <f t="shared" si="89"/>
        <v>72368768.04531081</v>
      </c>
      <c r="P258" s="2">
        <f t="shared" si="70"/>
        <v>-4.7793368698610818E-2</v>
      </c>
      <c r="Q258" s="2">
        <f t="shared" si="71"/>
        <v>-4.7654407508220219E-2</v>
      </c>
      <c r="R258" s="2">
        <f t="shared" si="72"/>
        <v>-4.7654405914387826E-2</v>
      </c>
      <c r="S258" s="2">
        <f t="shared" si="73"/>
        <v>-4.7517703385831792E-2</v>
      </c>
      <c r="T258" s="9">
        <f t="shared" si="74"/>
        <v>32.43394010701266</v>
      </c>
      <c r="U258" s="7">
        <f t="shared" si="75"/>
        <v>72383532.293697774</v>
      </c>
      <c r="W258">
        <f t="shared" si="86"/>
        <v>90000</v>
      </c>
      <c r="X258" s="9">
        <f t="shared" si="90"/>
        <v>843.49910281334212</v>
      </c>
      <c r="Y258" s="2">
        <f t="shared" si="91"/>
        <v>43642551.428673208</v>
      </c>
      <c r="Z258" s="2">
        <f t="shared" si="76"/>
        <v>-2.8822164695034024E-2</v>
      </c>
      <c r="AA258" s="2">
        <f t="shared" si="77"/>
        <v>-2.883478659617579E-2</v>
      </c>
      <c r="AB258" s="2">
        <f t="shared" si="78"/>
        <v>-2.8834784600286437E-2</v>
      </c>
      <c r="AC258" s="2">
        <f t="shared" si="79"/>
        <v>-2.8848194759653521E-2</v>
      </c>
      <c r="AD258" s="2">
        <f t="shared" si="80"/>
        <v>833.11853270248537</v>
      </c>
      <c r="AE258" s="10">
        <f t="shared" si="81"/>
        <v>43944342.603066057</v>
      </c>
    </row>
    <row r="259" spans="1:31" x14ac:dyDescent="0.25">
      <c r="A259" s="1">
        <f t="shared" si="82"/>
        <v>1.0458333333333334</v>
      </c>
      <c r="B259" s="7">
        <f t="shared" si="83"/>
        <v>72383532.293697774</v>
      </c>
      <c r="C259" s="7">
        <f t="shared" si="84"/>
        <v>43944342.603066057</v>
      </c>
      <c r="D259" s="7"/>
      <c r="E259" s="7"/>
      <c r="F259" s="7"/>
      <c r="G259" s="7"/>
      <c r="H259" s="7"/>
      <c r="I259" s="7"/>
      <c r="J259" s="7"/>
      <c r="K259" s="7"/>
      <c r="L259" s="1">
        <f t="shared" si="87"/>
        <v>1.0458333333333334</v>
      </c>
      <c r="M259">
        <f t="shared" si="85"/>
        <v>90360</v>
      </c>
      <c r="N259" s="9">
        <f t="shared" si="88"/>
        <v>32.43394010701266</v>
      </c>
      <c r="O259" s="7">
        <f t="shared" si="89"/>
        <v>72383532.293697774</v>
      </c>
      <c r="P259" s="2">
        <f t="shared" si="70"/>
        <v>-4.7517703412455384E-2</v>
      </c>
      <c r="Q259" s="2">
        <f t="shared" si="71"/>
        <v>-4.7383235337512881E-2</v>
      </c>
      <c r="R259" s="2">
        <f t="shared" si="72"/>
        <v>-4.7383233844111673E-2</v>
      </c>
      <c r="S259" s="2">
        <f t="shared" si="73"/>
        <v>-4.7250970438525573E-2</v>
      </c>
      <c r="T259" s="9">
        <f t="shared" si="74"/>
        <v>15.375843374158855</v>
      </c>
      <c r="U259" s="7">
        <f t="shared" si="75"/>
        <v>72392138.05472438</v>
      </c>
      <c r="W259">
        <f t="shared" si="86"/>
        <v>90360</v>
      </c>
      <c r="X259" s="9">
        <f t="shared" si="90"/>
        <v>833.11853270248537</v>
      </c>
      <c r="Y259" s="2">
        <f t="shared" si="91"/>
        <v>43944342.603066057</v>
      </c>
      <c r="Z259" s="2">
        <f t="shared" si="76"/>
        <v>-2.8848194779928258E-2</v>
      </c>
      <c r="AA259" s="2">
        <f t="shared" si="77"/>
        <v>-2.8862398481024093E-2</v>
      </c>
      <c r="AB259" s="2">
        <f t="shared" si="78"/>
        <v>-2.886239655218422E-2</v>
      </c>
      <c r="AC259" s="2">
        <f t="shared" si="79"/>
        <v>-2.8877391293591358E-2</v>
      </c>
      <c r="AD259" s="2">
        <f t="shared" si="80"/>
        <v>822.7280221340892</v>
      </c>
      <c r="AE259" s="10">
        <f t="shared" si="81"/>
        <v>44242394.982936643</v>
      </c>
    </row>
    <row r="260" spans="1:31" x14ac:dyDescent="0.25">
      <c r="A260" s="1">
        <f t="shared" si="82"/>
        <v>1.05</v>
      </c>
      <c r="B260" s="7">
        <f t="shared" si="83"/>
        <v>72392138.05472438</v>
      </c>
      <c r="C260" s="7">
        <f t="shared" si="84"/>
        <v>44242394.982936643</v>
      </c>
      <c r="D260" s="7"/>
      <c r="E260" s="7"/>
      <c r="F260" s="7"/>
      <c r="G260" s="7"/>
      <c r="H260" s="7"/>
      <c r="I260" s="7"/>
      <c r="J260" s="7"/>
      <c r="K260" s="7"/>
      <c r="L260" s="1">
        <f t="shared" si="87"/>
        <v>1.05</v>
      </c>
      <c r="M260">
        <f t="shared" si="85"/>
        <v>90720</v>
      </c>
      <c r="N260" s="9">
        <f t="shared" si="88"/>
        <v>15.375843374158855</v>
      </c>
      <c r="O260" s="7">
        <f t="shared" si="89"/>
        <v>72392138.05472438</v>
      </c>
      <c r="P260" s="2">
        <f t="shared" si="70"/>
        <v>-4.725097046446488E-2</v>
      </c>
      <c r="Q260" s="2">
        <f t="shared" si="71"/>
        <v>-4.7120888567533201E-2</v>
      </c>
      <c r="R260" s="2">
        <f t="shared" si="72"/>
        <v>-4.7120887171229392E-2</v>
      </c>
      <c r="S260" s="2">
        <f t="shared" si="73"/>
        <v>-4.6992958413630062E-2</v>
      </c>
      <c r="T260" s="9">
        <f t="shared" si="74"/>
        <v>-1.5878054471783543</v>
      </c>
      <c r="U260" s="7">
        <f t="shared" si="75"/>
        <v>72394619.901551232</v>
      </c>
      <c r="W260">
        <f t="shared" si="86"/>
        <v>90720</v>
      </c>
      <c r="X260" s="9">
        <f t="shared" si="90"/>
        <v>822.7280221340892</v>
      </c>
      <c r="Y260" s="2">
        <f t="shared" si="91"/>
        <v>44242394.982936643</v>
      </c>
      <c r="Z260" s="2">
        <f t="shared" si="76"/>
        <v>-2.8877391313344446E-2</v>
      </c>
      <c r="AA260" s="2">
        <f t="shared" si="77"/>
        <v>-2.8893182442340262E-2</v>
      </c>
      <c r="AB260" s="2">
        <f t="shared" si="78"/>
        <v>-2.8893180578603576E-2</v>
      </c>
      <c r="AC260" s="2">
        <f t="shared" si="79"/>
        <v>-2.8909765924330973E-2</v>
      </c>
      <c r="AD260" s="2">
        <f t="shared" si="80"/>
        <v>812.32642913731547</v>
      </c>
      <c r="AE260" s="10">
        <f t="shared" si="81"/>
        <v>44536704.784165494</v>
      </c>
    </row>
    <row r="261" spans="1:31" x14ac:dyDescent="0.25">
      <c r="A261" s="1">
        <f t="shared" si="82"/>
        <v>1.0541666666666667</v>
      </c>
      <c r="B261" s="7">
        <f t="shared" si="83"/>
        <v>72394619.901551232</v>
      </c>
      <c r="C261" s="7">
        <f t="shared" si="84"/>
        <v>44536704.784165494</v>
      </c>
      <c r="D261" s="7"/>
      <c r="E261" s="7"/>
      <c r="F261" s="7"/>
      <c r="G261" s="7"/>
      <c r="H261" s="7"/>
      <c r="I261" s="7"/>
      <c r="J261" s="7"/>
      <c r="K261" s="7"/>
      <c r="L261" s="1">
        <f t="shared" si="87"/>
        <v>1.0541666666666667</v>
      </c>
      <c r="M261">
        <f t="shared" si="85"/>
        <v>91080</v>
      </c>
      <c r="N261" s="9">
        <f t="shared" si="88"/>
        <v>-1.5878054471783543</v>
      </c>
      <c r="O261" s="7">
        <f t="shared" si="89"/>
        <v>72394619.901551232</v>
      </c>
      <c r="P261" s="2">
        <f t="shared" si="70"/>
        <v>-4.6992958438928104E-2</v>
      </c>
      <c r="Q261" s="2">
        <f t="shared" si="71"/>
        <v>-4.686716065952589E-2</v>
      </c>
      <c r="R261" s="2">
        <f t="shared" si="72"/>
        <v>-4.6867159357196118E-2</v>
      </c>
      <c r="S261" s="2">
        <f t="shared" si="73"/>
        <v>-4.6743465542397424E-2</v>
      </c>
      <c r="T261" s="9">
        <f t="shared" si="74"/>
        <v>-18.46010928806453</v>
      </c>
      <c r="U261" s="7">
        <f t="shared" si="75"/>
        <v>72391011.276898891</v>
      </c>
      <c r="W261">
        <f t="shared" si="86"/>
        <v>91080</v>
      </c>
      <c r="X261" s="9">
        <f t="shared" si="90"/>
        <v>812.32642913731547</v>
      </c>
      <c r="Y261" s="2">
        <f t="shared" si="91"/>
        <v>44536704.784165494</v>
      </c>
      <c r="Z261" s="2">
        <f t="shared" si="76"/>
        <v>-2.8909765943591272E-2</v>
      </c>
      <c r="AA261" s="2">
        <f t="shared" si="77"/>
        <v>-2.8927150924683093E-2</v>
      </c>
      <c r="AB261" s="2">
        <f t="shared" si="78"/>
        <v>-2.8927149124217514E-2</v>
      </c>
      <c r="AC261" s="2">
        <f t="shared" si="79"/>
        <v>-2.894533190041625E-2</v>
      </c>
      <c r="AD261" s="2">
        <f t="shared" si="80"/>
        <v>801.91260726080691</v>
      </c>
      <c r="AE261" s="10">
        <f t="shared" si="81"/>
        <v>44827267.810717158</v>
      </c>
    </row>
    <row r="262" spans="1:31" x14ac:dyDescent="0.25">
      <c r="A262" s="1">
        <f t="shared" si="82"/>
        <v>1.0583333333333333</v>
      </c>
      <c r="B262" s="7">
        <f t="shared" si="83"/>
        <v>72391011.276898891</v>
      </c>
      <c r="C262" s="7">
        <f t="shared" si="84"/>
        <v>44827267.810717158</v>
      </c>
      <c r="D262" s="7"/>
      <c r="E262" s="7"/>
      <c r="F262" s="7"/>
      <c r="G262" s="7"/>
      <c r="H262" s="7"/>
      <c r="I262" s="7"/>
      <c r="J262" s="7"/>
      <c r="K262" s="7"/>
      <c r="L262" s="1">
        <f t="shared" si="87"/>
        <v>1.0583333333333333</v>
      </c>
      <c r="M262">
        <f t="shared" si="85"/>
        <v>91440</v>
      </c>
      <c r="N262" s="9">
        <f t="shared" si="88"/>
        <v>-18.46010928806453</v>
      </c>
      <c r="O262" s="7">
        <f t="shared" si="89"/>
        <v>72391011.276898891</v>
      </c>
      <c r="P262" s="2">
        <f t="shared" si="70"/>
        <v>-4.6743465567094945E-2</v>
      </c>
      <c r="Q262" s="2">
        <f t="shared" si="71"/>
        <v>-4.6621854510235317E-2</v>
      </c>
      <c r="R262" s="2">
        <f t="shared" si="72"/>
        <v>-4.6621853298954977E-2</v>
      </c>
      <c r="S262" s="2">
        <f t="shared" si="73"/>
        <v>-4.6502299286533141E-2</v>
      </c>
      <c r="T262" s="9">
        <f t="shared" si="74"/>
        <v>-35.244100116385049</v>
      </c>
      <c r="U262" s="7">
        <f t="shared" si="75"/>
        <v>72381344.519206092</v>
      </c>
      <c r="W262">
        <f t="shared" si="86"/>
        <v>91440</v>
      </c>
      <c r="X262" s="9">
        <f t="shared" si="90"/>
        <v>801.91260726080691</v>
      </c>
      <c r="Y262" s="2">
        <f t="shared" si="91"/>
        <v>44827267.810717158</v>
      </c>
      <c r="Z262" s="2">
        <f t="shared" si="76"/>
        <v>-2.8945331919211208E-2</v>
      </c>
      <c r="AA262" s="2">
        <f t="shared" si="77"/>
        <v>-2.896431798795145E-2</v>
      </c>
      <c r="AB262" s="2">
        <f t="shared" si="78"/>
        <v>-2.8964316249033704E-2</v>
      </c>
      <c r="AC262" s="2">
        <f t="shared" si="79"/>
        <v>-2.8984104101020262E-2</v>
      </c>
      <c r="AD262" s="2">
        <f t="shared" si="80"/>
        <v>791.48540499115484</v>
      </c>
      <c r="AE262" s="10">
        <f t="shared" si="81"/>
        <v>45114079.452922508</v>
      </c>
    </row>
    <row r="263" spans="1:31" x14ac:dyDescent="0.25">
      <c r="A263" s="1">
        <f t="shared" si="82"/>
        <v>1.0625</v>
      </c>
      <c r="B263" s="7">
        <f t="shared" si="83"/>
        <v>72381344.519206092</v>
      </c>
      <c r="C263" s="7">
        <f t="shared" si="84"/>
        <v>45114079.452922508</v>
      </c>
      <c r="D263" s="7"/>
      <c r="E263" s="7"/>
      <c r="F263" s="7"/>
      <c r="G263" s="7"/>
      <c r="H263" s="7"/>
      <c r="I263" s="7"/>
      <c r="J263" s="7"/>
      <c r="K263" s="7"/>
      <c r="L263" s="1">
        <f t="shared" si="87"/>
        <v>1.0625</v>
      </c>
      <c r="M263">
        <f t="shared" si="85"/>
        <v>91800</v>
      </c>
      <c r="N263" s="9">
        <f t="shared" si="88"/>
        <v>-35.244100116385049</v>
      </c>
      <c r="O263" s="7">
        <f t="shared" si="89"/>
        <v>72381344.519206092</v>
      </c>
      <c r="P263" s="2">
        <f t="shared" si="70"/>
        <v>-4.6502299310668807E-2</v>
      </c>
      <c r="Q263" s="2">
        <f t="shared" si="71"/>
        <v>-4.638478204807097E-2</v>
      </c>
      <c r="R263" s="2">
        <f t="shared" si="72"/>
        <v>-4.6384780925103446E-2</v>
      </c>
      <c r="S263" s="2">
        <f t="shared" si="73"/>
        <v>-4.6269275946637073E-2</v>
      </c>
      <c r="T263" s="9">
        <f t="shared" si="74"/>
        <v>-51.942742188604335</v>
      </c>
      <c r="U263" s="7">
        <f t="shared" si="75"/>
        <v>72365650.887591198</v>
      </c>
      <c r="W263">
        <f t="shared" si="86"/>
        <v>91800</v>
      </c>
      <c r="X263" s="9">
        <f t="shared" si="90"/>
        <v>791.48540499115484</v>
      </c>
      <c r="Y263" s="2">
        <f t="shared" si="91"/>
        <v>45114079.452922508</v>
      </c>
      <c r="Z263" s="2">
        <f t="shared" si="76"/>
        <v>-2.8984104119376013E-2</v>
      </c>
      <c r="AA263" s="2">
        <f t="shared" si="77"/>
        <v>-2.9004699338188781E-2</v>
      </c>
      <c r="AB263" s="2">
        <f t="shared" si="78"/>
        <v>-2.9004697659199375E-2</v>
      </c>
      <c r="AC263" s="2">
        <f t="shared" si="79"/>
        <v>-2.9026099067203093E-2</v>
      </c>
      <c r="AD263" s="2">
        <f t="shared" si="80"/>
        <v>781.04366516027346</v>
      </c>
      <c r="AE263" s="10">
        <f t="shared" si="81"/>
        <v>45397134.685549766</v>
      </c>
    </row>
    <row r="264" spans="1:31" x14ac:dyDescent="0.25">
      <c r="A264" s="1">
        <f t="shared" si="82"/>
        <v>1.0666666666666667</v>
      </c>
      <c r="B264" s="7">
        <f t="shared" si="83"/>
        <v>72365650.887591198</v>
      </c>
      <c r="C264" s="7">
        <f t="shared" si="84"/>
        <v>45397134.685549766</v>
      </c>
      <c r="D264" s="7"/>
      <c r="E264" s="7"/>
      <c r="F264" s="7"/>
      <c r="G264" s="7"/>
      <c r="H264" s="7"/>
      <c r="I264" s="7"/>
      <c r="J264" s="7"/>
      <c r="K264" s="7"/>
      <c r="L264" s="1">
        <f t="shared" si="87"/>
        <v>1.0666666666666667</v>
      </c>
      <c r="M264">
        <f t="shared" si="85"/>
        <v>92160</v>
      </c>
      <c r="N264" s="9">
        <f t="shared" si="88"/>
        <v>-51.942742188604335</v>
      </c>
      <c r="O264" s="7">
        <f t="shared" si="89"/>
        <v>72365650.887591198</v>
      </c>
      <c r="P264" s="2">
        <f t="shared" ref="P264:P327" si="92">dvdt_x($O264,$Y264)</f>
        <v>-4.6269275970247631E-2</v>
      </c>
      <c r="Q264" s="2">
        <f t="shared" ref="Q264:Q327" si="93">dvdt_x($O264+h/4*($N264+($N264+h/2*P264)),$Y264+h/4*($X264+($X264+h/2*Z264)))</f>
        <v>-4.6155763853437781E-2</v>
      </c>
      <c r="R264" s="2">
        <f t="shared" ref="R264:R327" si="94">dvdt_x($O264+h/4*($N264+($N264+h/2*Q264)),$Y264+h/4*($X264+($X264+h/2*AA264)))</f>
        <v>-4.6155762816224515E-2</v>
      </c>
      <c r="S264" s="2">
        <f t="shared" ref="S264:S327" si="95">dvdt_x($O264+h/2*($N264+($N264+h*R264)),$Y264+h/2*($X264+($X264+h*AB264)))</f>
        <v>-4.6044220294054923E-2</v>
      </c>
      <c r="T264" s="9">
        <f t="shared" ref="T264:T327" si="96">N264+h/6*(P264+2*Q264+2*R264+S264)</f>
        <v>-68.55893516482196</v>
      </c>
      <c r="U264" s="7">
        <f t="shared" ref="U264:U327" si="97">O264+h/2*(N264+T264)</f>
        <v>72343960.58566758</v>
      </c>
      <c r="W264">
        <f t="shared" si="86"/>
        <v>92160</v>
      </c>
      <c r="X264" s="9">
        <f t="shared" si="90"/>
        <v>781.04366516027346</v>
      </c>
      <c r="Y264" s="2">
        <f t="shared" si="91"/>
        <v>45397134.685549766</v>
      </c>
      <c r="Z264" s="2">
        <f t="shared" ref="Z264:Z327" si="98">dvdt_y($O264,$Y264)</f>
        <v>-2.9026099085144579E-2</v>
      </c>
      <c r="AA264" s="2">
        <f t="shared" ref="AA264:AA327" si="99">dvdt_y($O264+h/4*($N264+($N264+h/2*P264)),$Y264+h/4*($X264+($X264+h/2*Z264)))</f>
        <v>-2.9048312359336553E-2</v>
      </c>
      <c r="AB264" s="2">
        <f t="shared" ref="AB264:AB327" si="100">dvdt_y($O264+h/4*($N264+($N264+h/2*Q264)),$Y264+h/4*($X264+($X264+h/2*AA264)))</f>
        <v>-2.904831073875519E-2</v>
      </c>
      <c r="AC264" s="2">
        <f t="shared" ref="AC264:AC327" si="101">dvdt_y($O264+h/2*($N264+($N264+h*R264)),$Y264+h/2*($X264+($X264+h*AB264)))</f>
        <v>-2.9071335034203467E-2</v>
      </c>
      <c r="AD264" s="2">
        <f t="shared" ref="AD264:AD327" si="102">X264+h/6*(Z264+2*AA264+2*AB264+AC264)</f>
        <v>770.58622434134156</v>
      </c>
      <c r="AE264" s="10">
        <f t="shared" ref="AE264:AE327" si="103">Y264+h/2*(X264+AD264)</f>
        <v>45676428.065660059</v>
      </c>
    </row>
    <row r="265" spans="1:31" x14ac:dyDescent="0.25">
      <c r="A265" s="1">
        <f t="shared" ref="A265:A328" si="104">L265</f>
        <v>1.0708333333333333</v>
      </c>
      <c r="B265" s="7">
        <f t="shared" ref="B265:B328" si="105">O265</f>
        <v>72343960.58566758</v>
      </c>
      <c r="C265" s="7">
        <f t="shared" ref="C265:C328" si="106">Y265</f>
        <v>45676428.065660059</v>
      </c>
      <c r="D265" s="7"/>
      <c r="E265" s="7"/>
      <c r="F265" s="7"/>
      <c r="G265" s="7"/>
      <c r="H265" s="7"/>
      <c r="I265" s="7"/>
      <c r="J265" s="7"/>
      <c r="K265" s="7"/>
      <c r="L265" s="1">
        <f t="shared" si="87"/>
        <v>1.0708333333333333</v>
      </c>
      <c r="M265">
        <f t="shared" ref="M265:M328" si="107">M264+h</f>
        <v>92520</v>
      </c>
      <c r="N265" s="9">
        <f t="shared" si="88"/>
        <v>-68.55893516482196</v>
      </c>
      <c r="O265" s="7">
        <f t="shared" si="89"/>
        <v>72343960.58566758</v>
      </c>
      <c r="P265" s="2">
        <f t="shared" si="92"/>
        <v>-4.6044220317175359E-2</v>
      </c>
      <c r="Q265" s="2">
        <f t="shared" si="93"/>
        <v>-4.5934628801751774E-2</v>
      </c>
      <c r="R265" s="2">
        <f t="shared" si="94"/>
        <v>-4.5934627847902976E-2</v>
      </c>
      <c r="S265" s="2">
        <f t="shared" si="95"/>
        <v>-4.5826965224717395E-2</v>
      </c>
      <c r="T265" s="9">
        <f t="shared" si="96"/>
        <v>-85.095517095294099</v>
      </c>
      <c r="U265" s="7">
        <f t="shared" si="97"/>
        <v>72316302.784260765</v>
      </c>
      <c r="W265">
        <f t="shared" ref="W265:W328" si="108">W264+h</f>
        <v>92520</v>
      </c>
      <c r="X265" s="9">
        <f t="shared" si="90"/>
        <v>770.58622434134156</v>
      </c>
      <c r="Y265" s="2">
        <f t="shared" si="91"/>
        <v>45676428.065660059</v>
      </c>
      <c r="Z265" s="2">
        <f t="shared" si="98"/>
        <v>-2.9071335051754497E-2</v>
      </c>
      <c r="AA265" s="2">
        <f t="shared" si="99"/>
        <v>-2.9095176146103841E-2</v>
      </c>
      <c r="AB265" s="2">
        <f t="shared" si="100"/>
        <v>-2.9095174582505139E-2</v>
      </c>
      <c r="AC265" s="2">
        <f t="shared" si="101"/>
        <v>-2.9119831964927498E-2</v>
      </c>
      <c r="AD265" s="2">
        <f t="shared" si="102"/>
        <v>760.11191223290757</v>
      </c>
      <c r="AE265" s="10">
        <f t="shared" si="103"/>
        <v>45951953.730243422</v>
      </c>
    </row>
    <row r="266" spans="1:31" x14ac:dyDescent="0.25">
      <c r="A266" s="1">
        <f t="shared" si="104"/>
        <v>1.075</v>
      </c>
      <c r="B266" s="7">
        <f t="shared" si="105"/>
        <v>72316302.784260765</v>
      </c>
      <c r="C266" s="7">
        <f t="shared" si="106"/>
        <v>45951953.730243422</v>
      </c>
      <c r="D266" s="7"/>
      <c r="E266" s="7"/>
      <c r="F266" s="7"/>
      <c r="G266" s="7"/>
      <c r="H266" s="7"/>
      <c r="I266" s="7"/>
      <c r="J266" s="7"/>
      <c r="K266" s="7"/>
      <c r="L266" s="1">
        <f t="shared" ref="L266:L329" si="109">M266/(24*3600)</f>
        <v>1.075</v>
      </c>
      <c r="M266">
        <f t="shared" si="107"/>
        <v>92880</v>
      </c>
      <c r="N266" s="9">
        <f t="shared" si="88"/>
        <v>-85.095517095294099</v>
      </c>
      <c r="O266" s="7">
        <f t="shared" si="89"/>
        <v>72316302.784260765</v>
      </c>
      <c r="P266" s="2">
        <f t="shared" si="92"/>
        <v>-4.5826965247381016E-2</v>
      </c>
      <c r="Q266" s="2">
        <f t="shared" si="93"/>
        <v>-4.572121372777177E-2</v>
      </c>
      <c r="R266" s="2">
        <f t="shared" si="94"/>
        <v>-4.5721212855058056E-2</v>
      </c>
      <c r="S266" s="2">
        <f t="shared" si="95"/>
        <v>-4.5617351433649506E-2</v>
      </c>
      <c r="T266" s="9">
        <f t="shared" si="96"/>
        <v>-101.55526728609551</v>
      </c>
      <c r="U266" s="7">
        <f t="shared" si="97"/>
        <v>72282705.643072113</v>
      </c>
      <c r="W266">
        <f t="shared" si="108"/>
        <v>92880</v>
      </c>
      <c r="X266" s="9">
        <f t="shared" si="90"/>
        <v>760.11191223290757</v>
      </c>
      <c r="Y266" s="2">
        <f t="shared" si="91"/>
        <v>45951953.730243422</v>
      </c>
      <c r="Z266" s="2">
        <f t="shared" si="98"/>
        <v>-2.9119831982110822E-2</v>
      </c>
      <c r="AA266" s="2">
        <f t="shared" si="99"/>
        <v>-2.9145311538114307E-2</v>
      </c>
      <c r="AB266" s="2">
        <f t="shared" si="100"/>
        <v>-2.9145310030163789E-2</v>
      </c>
      <c r="AC266" s="2">
        <f t="shared" si="101"/>
        <v>-2.917161158479311E-2</v>
      </c>
      <c r="AD266" s="2">
        <f t="shared" si="102"/>
        <v>749.61955103069999</v>
      </c>
      <c r="AE266" s="10">
        <f t="shared" si="103"/>
        <v>46223705.39363087</v>
      </c>
    </row>
    <row r="267" spans="1:31" x14ac:dyDescent="0.25">
      <c r="A267" s="1">
        <f t="shared" si="104"/>
        <v>1.0791666666666666</v>
      </c>
      <c r="B267" s="7">
        <f t="shared" si="105"/>
        <v>72282705.643072113</v>
      </c>
      <c r="C267" s="7">
        <f t="shared" si="106"/>
        <v>46223705.39363087</v>
      </c>
      <c r="D267" s="7"/>
      <c r="E267" s="7"/>
      <c r="F267" s="7"/>
      <c r="G267" s="7"/>
      <c r="H267" s="7"/>
      <c r="I267" s="7"/>
      <c r="J267" s="7"/>
      <c r="K267" s="7"/>
      <c r="L267" s="1">
        <f t="shared" si="109"/>
        <v>1.0791666666666666</v>
      </c>
      <c r="M267">
        <f t="shared" si="107"/>
        <v>93240</v>
      </c>
      <c r="N267" s="9">
        <f t="shared" si="88"/>
        <v>-101.55526728609551</v>
      </c>
      <c r="O267" s="7">
        <f t="shared" si="89"/>
        <v>72282705.643072113</v>
      </c>
      <c r="P267" s="2">
        <f t="shared" si="92"/>
        <v>-4.5617351455888119E-2</v>
      </c>
      <c r="Q267" s="2">
        <f t="shared" si="93"/>
        <v>-4.5515363109980396E-2</v>
      </c>
      <c r="R267" s="2">
        <f t="shared" si="94"/>
        <v>-4.5515362316324852E-2</v>
      </c>
      <c r="S267" s="2">
        <f t="shared" si="95"/>
        <v>-4.5415227108930672E-2</v>
      </c>
      <c r="T267" s="9">
        <f t="shared" si="96"/>
        <v>-117.94090905114128</v>
      </c>
      <c r="U267" s="7">
        <f t="shared" si="97"/>
        <v>72243196.331331417</v>
      </c>
      <c r="W267">
        <f t="shared" si="108"/>
        <v>93240</v>
      </c>
      <c r="X267" s="9">
        <f t="shared" si="90"/>
        <v>749.61955103069999</v>
      </c>
      <c r="Y267" s="2">
        <f t="shared" si="91"/>
        <v>46223705.39363087</v>
      </c>
      <c r="Z267" s="2">
        <f t="shared" si="98"/>
        <v>-2.9171611601630575E-2</v>
      </c>
      <c r="AA267" s="2">
        <f t="shared" si="99"/>
        <v>-2.9198741155486079E-2</v>
      </c>
      <c r="AB267" s="2">
        <f t="shared" si="100"/>
        <v>-2.9198739701936573E-2</v>
      </c>
      <c r="AC267" s="2">
        <f t="shared" si="101"/>
        <v>-2.9226697418084549E-2</v>
      </c>
      <c r="AD267" s="2">
        <f t="shared" si="102"/>
        <v>739.10795478662635</v>
      </c>
      <c r="AE267" s="10">
        <f t="shared" si="103"/>
        <v>46491676.344677985</v>
      </c>
    </row>
    <row r="268" spans="1:31" x14ac:dyDescent="0.25">
      <c r="A268" s="1">
        <f t="shared" si="104"/>
        <v>1.0833333333333333</v>
      </c>
      <c r="B268" s="7">
        <f t="shared" si="105"/>
        <v>72243196.331331417</v>
      </c>
      <c r="C268" s="7">
        <f t="shared" si="106"/>
        <v>46491676.344677985</v>
      </c>
      <c r="D268" s="7"/>
      <c r="E268" s="7"/>
      <c r="F268" s="7"/>
      <c r="G268" s="7"/>
      <c r="H268" s="7"/>
      <c r="I268" s="7"/>
      <c r="J268" s="7"/>
      <c r="K268" s="7"/>
      <c r="L268" s="1">
        <f t="shared" si="109"/>
        <v>1.0833333333333333</v>
      </c>
      <c r="M268">
        <f t="shared" si="107"/>
        <v>93600</v>
      </c>
      <c r="N268" s="9">
        <f t="shared" si="88"/>
        <v>-117.94090905114128</v>
      </c>
      <c r="O268" s="7">
        <f t="shared" si="89"/>
        <v>72243196.331331417</v>
      </c>
      <c r="P268" s="2">
        <f t="shared" si="92"/>
        <v>-4.5415227130774685E-2</v>
      </c>
      <c r="Q268" s="2">
        <f t="shared" si="93"/>
        <v>-4.531692877383961E-2</v>
      </c>
      <c r="R268" s="2">
        <f t="shared" si="94"/>
        <v>-4.5316928057310579E-2</v>
      </c>
      <c r="S268" s="2">
        <f t="shared" si="95"/>
        <v>-4.5220447643975863E-2</v>
      </c>
      <c r="T268" s="9">
        <f t="shared" si="96"/>
        <v>-134.25511235736434</v>
      </c>
      <c r="U268" s="7">
        <f t="shared" si="97"/>
        <v>72197801.047477886</v>
      </c>
      <c r="W268">
        <f t="shared" si="108"/>
        <v>93600</v>
      </c>
      <c r="X268" s="9">
        <f t="shared" si="90"/>
        <v>739.10795478662635</v>
      </c>
      <c r="Y268" s="2">
        <f t="shared" si="91"/>
        <v>46491676.344677985</v>
      </c>
      <c r="Z268" s="2">
        <f t="shared" si="98"/>
        <v>-2.9226697434597063E-2</v>
      </c>
      <c r="AA268" s="2">
        <f t="shared" si="99"/>
        <v>-2.9255489435997494E-2</v>
      </c>
      <c r="AB268" s="2">
        <f t="shared" si="100"/>
        <v>-2.925548803568585E-2</v>
      </c>
      <c r="AC268" s="2">
        <f t="shared" si="101"/>
        <v>-2.9285114825967021E-2</v>
      </c>
      <c r="AD268" s="2">
        <f t="shared" si="102"/>
        <v>728.57592875439047</v>
      </c>
      <c r="AE268" s="10">
        <f t="shared" si="103"/>
        <v>46755859.443715371</v>
      </c>
    </row>
    <row r="269" spans="1:31" x14ac:dyDescent="0.25">
      <c r="A269" s="1">
        <f t="shared" si="104"/>
        <v>1.0874999999999999</v>
      </c>
      <c r="B269" s="7">
        <f t="shared" si="105"/>
        <v>72197801.047477886</v>
      </c>
      <c r="C269" s="7">
        <f t="shared" si="106"/>
        <v>46755859.443715371</v>
      </c>
      <c r="D269" s="7"/>
      <c r="E269" s="7"/>
      <c r="F269" s="7"/>
      <c r="G269" s="7"/>
      <c r="H269" s="7"/>
      <c r="I269" s="7"/>
      <c r="J269" s="7"/>
      <c r="K269" s="7"/>
      <c r="L269" s="1">
        <f t="shared" si="109"/>
        <v>1.0874999999999999</v>
      </c>
      <c r="M269">
        <f t="shared" si="107"/>
        <v>93960</v>
      </c>
      <c r="N269" s="9">
        <f t="shared" si="88"/>
        <v>-134.25511235736434</v>
      </c>
      <c r="O269" s="7">
        <f t="shared" si="89"/>
        <v>72197801.047477886</v>
      </c>
      <c r="P269" s="2">
        <f t="shared" si="92"/>
        <v>-4.5220447665454376E-2</v>
      </c>
      <c r="Q269" s="2">
        <f t="shared" si="93"/>
        <v>-4.5125769612834557E-2</v>
      </c>
      <c r="R269" s="2">
        <f t="shared" si="94"/>
        <v>-4.5125768971639051E-2</v>
      </c>
      <c r="S269" s="2">
        <f t="shared" si="95"/>
        <v>-4.5032875367091156E-2</v>
      </c>
      <c r="T269" s="9">
        <f t="shared" si="96"/>
        <v>-150.50049636945391</v>
      </c>
      <c r="U269" s="7">
        <f t="shared" si="97"/>
        <v>72146545.037907064</v>
      </c>
      <c r="W269">
        <f t="shared" si="108"/>
        <v>93960</v>
      </c>
      <c r="X269" s="9">
        <f t="shared" si="90"/>
        <v>728.57592875439047</v>
      </c>
      <c r="Y269" s="2">
        <f t="shared" si="91"/>
        <v>46755859.443715371</v>
      </c>
      <c r="Z269" s="2">
        <f t="shared" si="98"/>
        <v>-2.9285114842174713E-2</v>
      </c>
      <c r="AA269" s="2">
        <f t="shared" si="99"/>
        <v>-2.9315582673987959E-2</v>
      </c>
      <c r="AB269" s="2">
        <f t="shared" si="100"/>
        <v>-2.9315581325831834E-2</v>
      </c>
      <c r="AC269" s="2">
        <f t="shared" si="101"/>
        <v>-2.934689104631167E-2</v>
      </c>
      <c r="AD269" s="2">
        <f t="shared" si="102"/>
        <v>718.02226872110293</v>
      </c>
      <c r="AE269" s="10">
        <f t="shared" si="103"/>
        <v>47016247.119260959</v>
      </c>
    </row>
    <row r="270" spans="1:31" x14ac:dyDescent="0.25">
      <c r="A270" s="1">
        <f t="shared" si="104"/>
        <v>1.0916666666666666</v>
      </c>
      <c r="B270" s="7">
        <f t="shared" si="105"/>
        <v>72146545.037907064</v>
      </c>
      <c r="C270" s="7">
        <f t="shared" si="106"/>
        <v>47016247.119260959</v>
      </c>
      <c r="D270" s="7"/>
      <c r="E270" s="7"/>
      <c r="F270" s="7"/>
      <c r="G270" s="7"/>
      <c r="H270" s="7"/>
      <c r="I270" s="7"/>
      <c r="J270" s="7"/>
      <c r="K270" s="7"/>
      <c r="L270" s="1">
        <f t="shared" si="109"/>
        <v>1.0916666666666666</v>
      </c>
      <c r="M270">
        <f t="shared" si="107"/>
        <v>94320</v>
      </c>
      <c r="N270" s="9">
        <f t="shared" si="88"/>
        <v>-150.50049636945391</v>
      </c>
      <c r="O270" s="7">
        <f t="shared" si="89"/>
        <v>72146545.037907064</v>
      </c>
      <c r="P270" s="2">
        <f t="shared" si="92"/>
        <v>-4.5032875388232148E-2</v>
      </c>
      <c r="Q270" s="2">
        <f t="shared" si="93"/>
        <v>-4.4941751326297907E-2</v>
      </c>
      <c r="R270" s="2">
        <f t="shared" si="94"/>
        <v>-4.4941750758775358E-2</v>
      </c>
      <c r="S270" s="2">
        <f t="shared" si="95"/>
        <v>-4.4852379287334848E-2</v>
      </c>
      <c r="T270" s="9">
        <f t="shared" si="96"/>
        <v>-166.67963190019674</v>
      </c>
      <c r="U270" s="7">
        <f t="shared" si="97"/>
        <v>72089452.614818528</v>
      </c>
      <c r="W270">
        <f t="shared" si="108"/>
        <v>94320</v>
      </c>
      <c r="X270" s="9">
        <f t="shared" si="90"/>
        <v>718.02226872110293</v>
      </c>
      <c r="Y270" s="2">
        <f t="shared" si="91"/>
        <v>47016247.119260959</v>
      </c>
      <c r="Z270" s="2">
        <f t="shared" si="98"/>
        <v>-2.9346891062233878E-2</v>
      </c>
      <c r="AA270" s="2">
        <f t="shared" si="99"/>
        <v>-2.9379049061142845E-2</v>
      </c>
      <c r="AB270" s="2">
        <f t="shared" si="100"/>
        <v>-2.937904776413806E-2</v>
      </c>
      <c r="AC270" s="2">
        <f t="shared" si="101"/>
        <v>-2.9412055235477873E-2</v>
      </c>
      <c r="AD270" s="2">
        <f t="shared" si="102"/>
        <v>707.4457603242065</v>
      </c>
      <c r="AE270" s="10">
        <f t="shared" si="103"/>
        <v>47272831.364489116</v>
      </c>
    </row>
    <row r="271" spans="1:31" x14ac:dyDescent="0.25">
      <c r="A271" s="1">
        <f t="shared" si="104"/>
        <v>1.0958333333333334</v>
      </c>
      <c r="B271" s="7">
        <f t="shared" si="105"/>
        <v>72089452.614818528</v>
      </c>
      <c r="C271" s="7">
        <f t="shared" si="106"/>
        <v>47272831.364489116</v>
      </c>
      <c r="D271" s="7"/>
      <c r="E271" s="7"/>
      <c r="F271" s="7"/>
      <c r="G271" s="7"/>
      <c r="H271" s="7"/>
      <c r="I271" s="7"/>
      <c r="J271" s="7"/>
      <c r="K271" s="7"/>
      <c r="L271" s="1">
        <f t="shared" si="109"/>
        <v>1.0958333333333334</v>
      </c>
      <c r="M271">
        <f t="shared" si="107"/>
        <v>94680</v>
      </c>
      <c r="N271" s="9">
        <f t="shared" si="88"/>
        <v>-166.67963190019674</v>
      </c>
      <c r="O271" s="7">
        <f t="shared" si="89"/>
        <v>72089452.614818528</v>
      </c>
      <c r="P271" s="2">
        <f t="shared" si="92"/>
        <v>-4.4852379308165186E-2</v>
      </c>
      <c r="Q271" s="2">
        <f t="shared" si="93"/>
        <v>-4.4764746173081668E-2</v>
      </c>
      <c r="R271" s="2">
        <f t="shared" si="94"/>
        <v>-4.4764745677698441E-2</v>
      </c>
      <c r="S271" s="2">
        <f t="shared" si="95"/>
        <v>-4.4678834855785186E-2</v>
      </c>
      <c r="T271" s="9">
        <f t="shared" si="96"/>
        <v>-182.79504377212737</v>
      </c>
      <c r="U271" s="7">
        <f t="shared" si="97"/>
        <v>72026547.173197508</v>
      </c>
      <c r="W271">
        <f t="shared" si="108"/>
        <v>94680</v>
      </c>
      <c r="X271" s="9">
        <f t="shared" si="90"/>
        <v>707.4457603242065</v>
      </c>
      <c r="Y271" s="2">
        <f t="shared" si="91"/>
        <v>47272831.364489116</v>
      </c>
      <c r="Z271" s="2">
        <f t="shared" si="98"/>
        <v>-2.9412055251133235E-2</v>
      </c>
      <c r="AA271" s="2">
        <f t="shared" si="99"/>
        <v>-2.9445918729310256E-2</v>
      </c>
      <c r="AB271" s="2">
        <f t="shared" si="100"/>
        <v>-2.9445917482528117E-2</v>
      </c>
      <c r="AC271" s="2">
        <f t="shared" si="101"/>
        <v>-2.9480638512202062E-2</v>
      </c>
      <c r="AD271" s="2">
        <f t="shared" si="102"/>
        <v>696.84517835298573</v>
      </c>
      <c r="AE271" s="10">
        <f t="shared" si="103"/>
        <v>47525603.733451009</v>
      </c>
    </row>
    <row r="272" spans="1:31" x14ac:dyDescent="0.25">
      <c r="A272" s="1">
        <f t="shared" si="104"/>
        <v>1.1000000000000001</v>
      </c>
      <c r="B272" s="7">
        <f t="shared" si="105"/>
        <v>72026547.173197508</v>
      </c>
      <c r="C272" s="7">
        <f t="shared" si="106"/>
        <v>47525603.733451009</v>
      </c>
      <c r="D272" s="7"/>
      <c r="E272" s="7"/>
      <c r="F272" s="7"/>
      <c r="G272" s="7"/>
      <c r="H272" s="7"/>
      <c r="I272" s="7"/>
      <c r="J272" s="7"/>
      <c r="K272" s="7"/>
      <c r="L272" s="1">
        <f t="shared" si="109"/>
        <v>1.1000000000000001</v>
      </c>
      <c r="M272">
        <f t="shared" si="107"/>
        <v>95040</v>
      </c>
      <c r="N272" s="9">
        <f t="shared" si="88"/>
        <v>-182.79504377212737</v>
      </c>
      <c r="O272" s="7">
        <f t="shared" si="89"/>
        <v>72026547.173197508</v>
      </c>
      <c r="P272" s="2">
        <f t="shared" si="92"/>
        <v>-4.4678834876330731E-2</v>
      </c>
      <c r="Q272" s="2">
        <f t="shared" si="93"/>
        <v>-4.4594632740212276E-2</v>
      </c>
      <c r="R272" s="2">
        <f t="shared" si="94"/>
        <v>-4.4594632315556354E-2</v>
      </c>
      <c r="S272" s="2">
        <f t="shared" si="95"/>
        <v>-4.4512123741383171E-2</v>
      </c>
      <c r="T272" s="9">
        <f t="shared" si="96"/>
        <v>-198.84921309588245</v>
      </c>
      <c r="U272" s="7">
        <f t="shared" si="97"/>
        <v>71957851.206961259</v>
      </c>
      <c r="W272">
        <f t="shared" si="108"/>
        <v>95040</v>
      </c>
      <c r="X272" s="9">
        <f t="shared" si="90"/>
        <v>696.84517835298573</v>
      </c>
      <c r="Y272" s="2">
        <f t="shared" si="91"/>
        <v>47525603.733451009</v>
      </c>
      <c r="Z272" s="2">
        <f t="shared" si="98"/>
        <v>-2.9480638527608603E-2</v>
      </c>
      <c r="AA272" s="2">
        <f t="shared" si="99"/>
        <v>-2.9516223795498349E-2</v>
      </c>
      <c r="AB272" s="2">
        <f t="shared" si="100"/>
        <v>-2.9516222598083456E-2</v>
      </c>
      <c r="AC272" s="2">
        <f t="shared" si="101"/>
        <v>-2.9552674003741734E-2</v>
      </c>
      <c r="AD272" s="2">
        <f t="shared" si="102"/>
        <v>686.21928603387494</v>
      </c>
      <c r="AE272" s="10">
        <f t="shared" si="103"/>
        <v>47774555.33704064</v>
      </c>
    </row>
    <row r="273" spans="1:31" x14ac:dyDescent="0.25">
      <c r="A273" s="1">
        <f t="shared" si="104"/>
        <v>1.1041666666666667</v>
      </c>
      <c r="B273" s="7">
        <f t="shared" si="105"/>
        <v>71957851.206961259</v>
      </c>
      <c r="C273" s="7">
        <f t="shared" si="106"/>
        <v>47774555.33704064</v>
      </c>
      <c r="D273" s="7"/>
      <c r="E273" s="7"/>
      <c r="F273" s="7"/>
      <c r="G273" s="7"/>
      <c r="H273" s="7"/>
      <c r="I273" s="7"/>
      <c r="J273" s="7"/>
      <c r="K273" s="7"/>
      <c r="L273" s="1">
        <f t="shared" si="109"/>
        <v>1.1041666666666667</v>
      </c>
      <c r="M273">
        <f t="shared" si="107"/>
        <v>95400</v>
      </c>
      <c r="N273" s="9">
        <f t="shared" si="88"/>
        <v>-198.84921309588245</v>
      </c>
      <c r="O273" s="7">
        <f t="shared" si="89"/>
        <v>71957851.206961259</v>
      </c>
      <c r="P273" s="2">
        <f t="shared" si="92"/>
        <v>-4.4512123761668868E-2</v>
      </c>
      <c r="Q273" s="2">
        <f t="shared" si="93"/>
        <v>-4.4431295725727502E-2</v>
      </c>
      <c r="R273" s="2">
        <f t="shared" si="94"/>
        <v>-4.4431295370503832E-2</v>
      </c>
      <c r="S273" s="2">
        <f t="shared" si="95"/>
        <v>-4.4352133620579444E-2</v>
      </c>
      <c r="T273" s="9">
        <f t="shared" si="96"/>
        <v>-214.84457947036512</v>
      </c>
      <c r="U273" s="7">
        <f t="shared" si="97"/>
        <v>71883386.324299335</v>
      </c>
      <c r="W273">
        <f t="shared" si="108"/>
        <v>95400</v>
      </c>
      <c r="X273" s="9">
        <f t="shared" si="90"/>
        <v>686.21928603387494</v>
      </c>
      <c r="Y273" s="2">
        <f t="shared" si="91"/>
        <v>47774555.33704064</v>
      </c>
      <c r="Z273" s="2">
        <f t="shared" si="98"/>
        <v>-2.955267401891689E-2</v>
      </c>
      <c r="AA273" s="2">
        <f t="shared" si="99"/>
        <v>-2.9589998409203629E-2</v>
      </c>
      <c r="AB273" s="2">
        <f t="shared" si="100"/>
        <v>-2.9589997260371696E-2</v>
      </c>
      <c r="AC273" s="2">
        <f t="shared" si="101"/>
        <v>-2.9628196894426376E-2</v>
      </c>
      <c r="AD273" s="2">
        <f t="shared" si="102"/>
        <v>675.56683429872533</v>
      </c>
      <c r="AE273" s="10">
        <f t="shared" si="103"/>
        <v>48019676.838700511</v>
      </c>
    </row>
    <row r="274" spans="1:31" x14ac:dyDescent="0.25">
      <c r="A274" s="1">
        <f t="shared" si="104"/>
        <v>1.1083333333333334</v>
      </c>
      <c r="B274" s="7">
        <f t="shared" si="105"/>
        <v>71883386.324299335</v>
      </c>
      <c r="C274" s="7">
        <f t="shared" si="106"/>
        <v>48019676.838700511</v>
      </c>
      <c r="D274" s="7"/>
      <c r="E274" s="7"/>
      <c r="F274" s="7"/>
      <c r="G274" s="7"/>
      <c r="H274" s="7"/>
      <c r="I274" s="7"/>
      <c r="J274" s="7"/>
      <c r="K274" s="7"/>
      <c r="L274" s="1">
        <f t="shared" si="109"/>
        <v>1.1083333333333334</v>
      </c>
      <c r="M274">
        <f t="shared" si="107"/>
        <v>95760</v>
      </c>
      <c r="N274" s="9">
        <f t="shared" si="88"/>
        <v>-214.84457947036512</v>
      </c>
      <c r="O274" s="7">
        <f t="shared" si="89"/>
        <v>71883386.324299335</v>
      </c>
      <c r="P274" s="2">
        <f t="shared" si="92"/>
        <v>-4.4352133640629399E-2</v>
      </c>
      <c r="Q274" s="2">
        <f t="shared" si="93"/>
        <v>-4.4274625734953985E-2</v>
      </c>
      <c r="R274" s="2">
        <f t="shared" si="94"/>
        <v>-4.4274625447980179E-2</v>
      </c>
      <c r="S274" s="2">
        <f t="shared" si="95"/>
        <v>-4.4198757980071404E-2</v>
      </c>
      <c r="T274" s="9">
        <f t="shared" si="96"/>
        <v>-230.78354310955928</v>
      </c>
      <c r="U274" s="7">
        <f t="shared" si="97"/>
        <v>71803173.262234956</v>
      </c>
      <c r="W274">
        <f t="shared" si="108"/>
        <v>95760</v>
      </c>
      <c r="X274" s="9">
        <f t="shared" si="90"/>
        <v>675.56683429872533</v>
      </c>
      <c r="Y274" s="2">
        <f t="shared" si="91"/>
        <v>48019676.838700511</v>
      </c>
      <c r="Z274" s="2">
        <f t="shared" si="98"/>
        <v>-2.9628196909387075E-2</v>
      </c>
      <c r="AA274" s="2">
        <f t="shared" si="99"/>
        <v>-2.9667278802222617E-2</v>
      </c>
      <c r="AB274" s="2">
        <f t="shared" si="100"/>
        <v>-2.9667277701258508E-2</v>
      </c>
      <c r="AC274" s="2">
        <f t="shared" si="101"/>
        <v>-2.9707244476769493E-2</v>
      </c>
      <c r="AD274" s="2">
        <f t="shared" si="102"/>
        <v>664.88656103513824</v>
      </c>
      <c r="AE274" s="10">
        <f t="shared" si="103"/>
        <v>48260958.449860603</v>
      </c>
    </row>
    <row r="275" spans="1:31" x14ac:dyDescent="0.25">
      <c r="A275" s="1">
        <f t="shared" si="104"/>
        <v>1.1125</v>
      </c>
      <c r="B275" s="7">
        <f t="shared" si="105"/>
        <v>71803173.262234956</v>
      </c>
      <c r="C275" s="7">
        <f t="shared" si="106"/>
        <v>48260958.449860603</v>
      </c>
      <c r="D275" s="7"/>
      <c r="E275" s="7"/>
      <c r="F275" s="7"/>
      <c r="G275" s="7"/>
      <c r="H275" s="7"/>
      <c r="I275" s="7"/>
      <c r="J275" s="7"/>
      <c r="K275" s="7"/>
      <c r="L275" s="1">
        <f t="shared" si="109"/>
        <v>1.1125</v>
      </c>
      <c r="M275">
        <f t="shared" si="107"/>
        <v>96120</v>
      </c>
      <c r="N275" s="9">
        <f t="shared" si="88"/>
        <v>-230.78354310955928</v>
      </c>
      <c r="O275" s="7">
        <f t="shared" si="89"/>
        <v>71803173.262234956</v>
      </c>
      <c r="P275" s="2">
        <f t="shared" si="92"/>
        <v>-4.4198757999909043E-2</v>
      </c>
      <c r="Q275" s="2">
        <f t="shared" si="93"/>
        <v>-4.4124519089538211E-2</v>
      </c>
      <c r="R275" s="2">
        <f t="shared" si="94"/>
        <v>-4.4124518869740545E-2</v>
      </c>
      <c r="S275" s="2">
        <f t="shared" si="95"/>
        <v>-4.405189593197012E-2</v>
      </c>
      <c r="T275" s="9">
        <f t="shared" si="96"/>
        <v>-246.66846690058549</v>
      </c>
      <c r="U275" s="7">
        <f t="shared" si="97"/>
        <v>71717231.900433123</v>
      </c>
      <c r="W275">
        <f t="shared" si="108"/>
        <v>96120</v>
      </c>
      <c r="X275" s="9">
        <f t="shared" si="90"/>
        <v>664.88656103513824</v>
      </c>
      <c r="Y275" s="2">
        <f t="shared" si="91"/>
        <v>48260958.449860603</v>
      </c>
      <c r="Z275" s="2">
        <f t="shared" si="98"/>
        <v>-2.9707244491532121E-2</v>
      </c>
      <c r="AA275" s="2">
        <f t="shared" si="99"/>
        <v>-2.9748103341102974E-2</v>
      </c>
      <c r="AB275" s="2">
        <f t="shared" si="100"/>
        <v>-2.9748102287359256E-2</v>
      </c>
      <c r="AC275" s="2">
        <f t="shared" si="101"/>
        <v>-2.9789856205299451E-2</v>
      </c>
      <c r="AD275" s="2">
        <f t="shared" si="102"/>
        <v>654.17719031791285</v>
      </c>
      <c r="AE275" s="10">
        <f t="shared" si="103"/>
        <v>48498389.925104149</v>
      </c>
    </row>
    <row r="276" spans="1:31" x14ac:dyDescent="0.25">
      <c r="A276" s="1">
        <f t="shared" si="104"/>
        <v>1.1166666666666667</v>
      </c>
      <c r="B276" s="7">
        <f t="shared" si="105"/>
        <v>71717231.900433123</v>
      </c>
      <c r="C276" s="7">
        <f t="shared" si="106"/>
        <v>48498389.925104149</v>
      </c>
      <c r="D276" s="7"/>
      <c r="E276" s="7"/>
      <c r="F276" s="7"/>
      <c r="G276" s="7"/>
      <c r="H276" s="7"/>
      <c r="I276" s="7"/>
      <c r="J276" s="7"/>
      <c r="K276" s="7"/>
      <c r="L276" s="1">
        <f t="shared" si="109"/>
        <v>1.1166666666666667</v>
      </c>
      <c r="M276">
        <f t="shared" si="107"/>
        <v>96480</v>
      </c>
      <c r="N276" s="9">
        <f t="shared" si="88"/>
        <v>-246.66846690058549</v>
      </c>
      <c r="O276" s="7">
        <f t="shared" si="89"/>
        <v>71717231.900433123</v>
      </c>
      <c r="P276" s="2">
        <f t="shared" si="92"/>
        <v>-4.4051895951618153E-2</v>
      </c>
      <c r="Q276" s="2">
        <f t="shared" si="93"/>
        <v>-4.3980877648595464E-2</v>
      </c>
      <c r="R276" s="2">
        <f t="shared" si="94"/>
        <v>-4.3980877495005351E-2</v>
      </c>
      <c r="S276" s="2">
        <f t="shared" si="95"/>
        <v>-4.3911452040785108E-2</v>
      </c>
      <c r="T276" s="9">
        <f t="shared" si="96"/>
        <v>-262.50167839736179</v>
      </c>
      <c r="U276" s="7">
        <f t="shared" si="97"/>
        <v>71625581.27427949</v>
      </c>
      <c r="W276">
        <f t="shared" si="108"/>
        <v>96480</v>
      </c>
      <c r="X276" s="9">
        <f t="shared" si="90"/>
        <v>654.17719031791285</v>
      </c>
      <c r="Y276" s="2">
        <f t="shared" si="91"/>
        <v>48498389.925104149</v>
      </c>
      <c r="Z276" s="2">
        <f t="shared" si="98"/>
        <v>-2.9789856219879989E-2</v>
      </c>
      <c r="AA276" s="2">
        <f t="shared" si="99"/>
        <v>-2.9832512582394711E-2</v>
      </c>
      <c r="AB276" s="2">
        <f t="shared" si="100"/>
        <v>-2.9832511575289999E-2</v>
      </c>
      <c r="AC276" s="2">
        <f t="shared" si="101"/>
        <v>-2.9876073753272375E-2</v>
      </c>
      <c r="AD276" s="2">
        <f t="shared" si="102"/>
        <v>643.4374316206015</v>
      </c>
      <c r="AE276" s="10">
        <f t="shared" si="103"/>
        <v>48731960.557053082</v>
      </c>
    </row>
    <row r="277" spans="1:31" x14ac:dyDescent="0.25">
      <c r="A277" s="1">
        <f t="shared" si="104"/>
        <v>1.1208333333333333</v>
      </c>
      <c r="B277" s="7">
        <f t="shared" si="105"/>
        <v>71625581.27427949</v>
      </c>
      <c r="C277" s="7">
        <f t="shared" si="106"/>
        <v>48731960.557053082</v>
      </c>
      <c r="D277" s="7"/>
      <c r="E277" s="7"/>
      <c r="F277" s="7"/>
      <c r="G277" s="7"/>
      <c r="H277" s="7"/>
      <c r="I277" s="7"/>
      <c r="J277" s="7"/>
      <c r="K277" s="7"/>
      <c r="L277" s="1">
        <f t="shared" si="109"/>
        <v>1.1208333333333333</v>
      </c>
      <c r="M277">
        <f t="shared" si="107"/>
        <v>96840</v>
      </c>
      <c r="N277" s="9">
        <f t="shared" si="88"/>
        <v>-262.50167839736179</v>
      </c>
      <c r="O277" s="7">
        <f t="shared" si="89"/>
        <v>71625581.27427949</v>
      </c>
      <c r="P277" s="2">
        <f t="shared" si="92"/>
        <v>-4.3911452060265629E-2</v>
      </c>
      <c r="Q277" s="2">
        <f t="shared" si="93"/>
        <v>-4.3843608641388886E-2</v>
      </c>
      <c r="R277" s="2">
        <f t="shared" si="94"/>
        <v>-4.3843608553139624E-2</v>
      </c>
      <c r="S277" s="2">
        <f t="shared" si="95"/>
        <v>-4.3777336161662586E-2</v>
      </c>
      <c r="T277" s="9">
        <f t="shared" si="96"/>
        <v>-278.28547175402088</v>
      </c>
      <c r="U277" s="7">
        <f t="shared" si="97"/>
        <v>71528239.587252244</v>
      </c>
      <c r="W277">
        <f t="shared" si="108"/>
        <v>96840</v>
      </c>
      <c r="X277" s="9">
        <f t="shared" si="90"/>
        <v>643.4374316206015</v>
      </c>
      <c r="Y277" s="2">
        <f t="shared" si="91"/>
        <v>48731960.557053082</v>
      </c>
      <c r="Z277" s="2">
        <f t="shared" si="98"/>
        <v>-2.98760737676864E-2</v>
      </c>
      <c r="AA277" s="2">
        <f t="shared" si="99"/>
        <v>-2.9920549330866072E-2</v>
      </c>
      <c r="AB277" s="2">
        <f t="shared" si="100"/>
        <v>-2.9920548369883899E-2</v>
      </c>
      <c r="AC277" s="2">
        <f t="shared" si="101"/>
        <v>-2.9965941072434599E-2</v>
      </c>
      <c r="AD277" s="2">
        <f t="shared" si="102"/>
        <v>632.66597900610429</v>
      </c>
      <c r="AE277" s="10">
        <f t="shared" si="103"/>
        <v>48961659.170965888</v>
      </c>
    </row>
    <row r="278" spans="1:31" x14ac:dyDescent="0.25">
      <c r="A278" s="1">
        <f t="shared" si="104"/>
        <v>1.125</v>
      </c>
      <c r="B278" s="7">
        <f t="shared" si="105"/>
        <v>71528239.587252244</v>
      </c>
      <c r="C278" s="7">
        <f t="shared" si="106"/>
        <v>48961659.170965888</v>
      </c>
      <c r="D278" s="7"/>
      <c r="E278" s="7"/>
      <c r="F278" s="7"/>
      <c r="G278" s="7"/>
      <c r="H278" s="7"/>
      <c r="I278" s="7"/>
      <c r="J278" s="7"/>
      <c r="K278" s="7"/>
      <c r="L278" s="1">
        <f t="shared" si="109"/>
        <v>1.125</v>
      </c>
      <c r="M278">
        <f t="shared" si="107"/>
        <v>97200</v>
      </c>
      <c r="N278" s="9">
        <f t="shared" si="88"/>
        <v>-278.28547175402088</v>
      </c>
      <c r="O278" s="7">
        <f t="shared" si="89"/>
        <v>71528239.587252244</v>
      </c>
      <c r="P278" s="2">
        <f t="shared" si="92"/>
        <v>-4.3777336180997127E-2</v>
      </c>
      <c r="Q278" s="2">
        <f t="shared" si="93"/>
        <v>-4.3712624510995286E-2</v>
      </c>
      <c r="R278" s="2">
        <f t="shared" si="94"/>
        <v>-4.3712624487319232E-2</v>
      </c>
      <c r="S278" s="2">
        <f t="shared" si="95"/>
        <v>-4.3649463289354325E-2</v>
      </c>
      <c r="T278" s="9">
        <f t="shared" si="96"/>
        <v>-294.02210960203968</v>
      </c>
      <c r="U278" s="7">
        <f t="shared" si="97"/>
        <v>71425224.222608149</v>
      </c>
      <c r="W278">
        <f t="shared" si="108"/>
        <v>97200</v>
      </c>
      <c r="X278" s="9">
        <f t="shared" si="90"/>
        <v>632.66597900610429</v>
      </c>
      <c r="Y278" s="2">
        <f t="shared" si="91"/>
        <v>48961659.170965888</v>
      </c>
      <c r="Z278" s="2">
        <f t="shared" si="98"/>
        <v>-2.9965941086697395E-2</v>
      </c>
      <c r="AA278" s="2">
        <f t="shared" si="99"/>
        <v>-3.0012258700856147E-2</v>
      </c>
      <c r="AB278" s="2">
        <f t="shared" si="100"/>
        <v>-3.0012257785543686E-2</v>
      </c>
      <c r="AC278" s="2">
        <f t="shared" si="101"/>
        <v>-3.005950445600997E-2</v>
      </c>
      <c r="AD278" s="2">
        <f t="shared" si="102"/>
        <v>621.86151029517384</v>
      </c>
      <c r="AE278" s="10">
        <f t="shared" si="103"/>
        <v>49187474.119040117</v>
      </c>
    </row>
    <row r="279" spans="1:31" x14ac:dyDescent="0.25">
      <c r="A279" s="1">
        <f t="shared" si="104"/>
        <v>1.1291666666666667</v>
      </c>
      <c r="B279" s="7">
        <f t="shared" si="105"/>
        <v>71425224.222608149</v>
      </c>
      <c r="C279" s="7">
        <f t="shared" si="106"/>
        <v>49187474.119040117</v>
      </c>
      <c r="D279" s="7"/>
      <c r="E279" s="7"/>
      <c r="F279" s="7"/>
      <c r="G279" s="7"/>
      <c r="H279" s="7"/>
      <c r="I279" s="7"/>
      <c r="J279" s="7"/>
      <c r="K279" s="7"/>
      <c r="L279" s="1">
        <f t="shared" si="109"/>
        <v>1.1291666666666667</v>
      </c>
      <c r="M279">
        <f t="shared" si="107"/>
        <v>97560</v>
      </c>
      <c r="N279" s="9">
        <f t="shared" si="88"/>
        <v>-294.02210960203968</v>
      </c>
      <c r="O279" s="7">
        <f t="shared" si="89"/>
        <v>71425224.222608149</v>
      </c>
      <c r="P279" s="2">
        <f t="shared" si="92"/>
        <v>-4.3649463308564021E-2</v>
      </c>
      <c r="Q279" s="2">
        <f t="shared" si="93"/>
        <v>-4.3587842768456467E-2</v>
      </c>
      <c r="R279" s="2">
        <f t="shared" si="94"/>
        <v>-4.358784280868238E-2</v>
      </c>
      <c r="S279" s="2">
        <f t="shared" si="95"/>
        <v>-4.3527753417436199E-2</v>
      </c>
      <c r="T279" s="9">
        <f t="shared" si="96"/>
        <v>-309.71382487485636</v>
      </c>
      <c r="U279" s="7">
        <f t="shared" si="97"/>
        <v>71316551.75440231</v>
      </c>
      <c r="W279">
        <f t="shared" si="108"/>
        <v>97560</v>
      </c>
      <c r="X279" s="9">
        <f t="shared" si="90"/>
        <v>621.86151029517384</v>
      </c>
      <c r="Y279" s="2">
        <f t="shared" si="91"/>
        <v>49187474.119040117</v>
      </c>
      <c r="Z279" s="2">
        <f t="shared" si="98"/>
        <v>-3.0059504470136413E-2</v>
      </c>
      <c r="AA279" s="2">
        <f t="shared" si="99"/>
        <v>-3.0107688180941575E-2</v>
      </c>
      <c r="AB279" s="2">
        <f t="shared" si="100"/>
        <v>-3.0107687310908914E-2</v>
      </c>
      <c r="AC279" s="2">
        <f t="shared" si="101"/>
        <v>-3.0156812605093009E-2</v>
      </c>
      <c r="AD279" s="2">
        <f t="shared" si="102"/>
        <v>611.02268621163807</v>
      </c>
      <c r="AE279" s="10">
        <f t="shared" si="103"/>
        <v>49409393.274411343</v>
      </c>
    </row>
    <row r="280" spans="1:31" x14ac:dyDescent="0.25">
      <c r="A280" s="1">
        <f t="shared" si="104"/>
        <v>1.1333333333333333</v>
      </c>
      <c r="B280" s="7">
        <f t="shared" si="105"/>
        <v>71316551.75440231</v>
      </c>
      <c r="C280" s="7">
        <f t="shared" si="106"/>
        <v>49409393.274411343</v>
      </c>
      <c r="D280" s="7"/>
      <c r="E280" s="7"/>
      <c r="F280" s="7"/>
      <c r="G280" s="7"/>
      <c r="H280" s="7"/>
      <c r="I280" s="7"/>
      <c r="J280" s="7"/>
      <c r="K280" s="7"/>
      <c r="L280" s="1">
        <f t="shared" si="109"/>
        <v>1.1333333333333333</v>
      </c>
      <c r="M280">
        <f t="shared" si="107"/>
        <v>97920</v>
      </c>
      <c r="N280" s="9">
        <f t="shared" si="88"/>
        <v>-309.71382487485636</v>
      </c>
      <c r="O280" s="7">
        <f t="shared" si="89"/>
        <v>71316551.75440231</v>
      </c>
      <c r="P280" s="2">
        <f t="shared" si="92"/>
        <v>-4.3527753436541729E-2</v>
      </c>
      <c r="Q280" s="2">
        <f t="shared" si="93"/>
        <v>-4.346918585695312E-2</v>
      </c>
      <c r="R280" s="2">
        <f t="shared" si="94"/>
        <v>-4.3469185960503982E-2</v>
      </c>
      <c r="S280" s="2">
        <f t="shared" si="95"/>
        <v>-4.3412131407331966E-2</v>
      </c>
      <c r="T280" s="9">
        <f t="shared" si="96"/>
        <v>-325.36282258358364</v>
      </c>
      <c r="U280" s="7">
        <f t="shared" si="97"/>
        <v>71202237.957859784</v>
      </c>
      <c r="W280">
        <f t="shared" si="108"/>
        <v>97920</v>
      </c>
      <c r="X280" s="9">
        <f t="shared" si="90"/>
        <v>611.02268621163807</v>
      </c>
      <c r="Y280" s="2">
        <f t="shared" si="91"/>
        <v>49409393.274411343</v>
      </c>
      <c r="Z280" s="2">
        <f t="shared" si="98"/>
        <v>-3.0156812619097775E-2</v>
      </c>
      <c r="AA280" s="2">
        <f t="shared" si="99"/>
        <v>-3.0206887702103519E-2</v>
      </c>
      <c r="AB280" s="2">
        <f t="shared" si="100"/>
        <v>-3.0206886877022866E-2</v>
      </c>
      <c r="AC280" s="2">
        <f t="shared" si="101"/>
        <v>-3.0257916698638612E-2</v>
      </c>
      <c r="AD280" s="2">
        <f t="shared" si="102"/>
        <v>600.14814950307868</v>
      </c>
      <c r="AE280" s="10">
        <f t="shared" si="103"/>
        <v>49627404.02483999</v>
      </c>
    </row>
    <row r="281" spans="1:31" x14ac:dyDescent="0.25">
      <c r="A281" s="1">
        <f t="shared" si="104"/>
        <v>1.1375</v>
      </c>
      <c r="B281" s="7">
        <f t="shared" si="105"/>
        <v>71202237.957859784</v>
      </c>
      <c r="C281" s="7">
        <f t="shared" si="106"/>
        <v>49627404.02483999</v>
      </c>
      <c r="D281" s="7"/>
      <c r="E281" s="7"/>
      <c r="F281" s="7"/>
      <c r="G281" s="7"/>
      <c r="H281" s="7"/>
      <c r="I281" s="7"/>
      <c r="J281" s="7"/>
      <c r="K281" s="7"/>
      <c r="L281" s="1">
        <f t="shared" si="109"/>
        <v>1.1375</v>
      </c>
      <c r="M281">
        <f t="shared" si="107"/>
        <v>98280</v>
      </c>
      <c r="N281" s="9">
        <f t="shared" si="88"/>
        <v>-325.36282258358364</v>
      </c>
      <c r="O281" s="7">
        <f t="shared" si="89"/>
        <v>71202237.957859784</v>
      </c>
      <c r="P281" s="2">
        <f t="shared" si="92"/>
        <v>-4.3412131426353598E-2</v>
      </c>
      <c r="Q281" s="2">
        <f t="shared" si="93"/>
        <v>-4.3356581025576053E-2</v>
      </c>
      <c r="R281" s="2">
        <f t="shared" si="94"/>
        <v>-4.3356581191967003E-2</v>
      </c>
      <c r="S281" s="2">
        <f t="shared" si="95"/>
        <v>-4.3302526866734505E-2</v>
      </c>
      <c r="T281" s="9">
        <f t="shared" si="96"/>
        <v>-340.97128154727409</v>
      </c>
      <c r="U281" s="7">
        <f t="shared" si="97"/>
        <v>71082297.819116235</v>
      </c>
      <c r="W281">
        <f t="shared" si="108"/>
        <v>98280</v>
      </c>
      <c r="X281" s="9">
        <f t="shared" si="90"/>
        <v>600.14814950307868</v>
      </c>
      <c r="Y281" s="2">
        <f t="shared" si="91"/>
        <v>49627404.02483999</v>
      </c>
      <c r="Z281" s="2">
        <f t="shared" si="98"/>
        <v>-3.0257916712536196E-2</v>
      </c>
      <c r="AA281" s="2">
        <f t="shared" si="99"/>
        <v>-3.0309909709589321E-2</v>
      </c>
      <c r="AB281" s="2">
        <f t="shared" si="100"/>
        <v>-3.0309908929194454E-2</v>
      </c>
      <c r="AC281" s="2">
        <f t="shared" si="101"/>
        <v>-3.0362870467246807E-2</v>
      </c>
      <c r="AD281" s="2">
        <f t="shared" si="102"/>
        <v>589.23652403563767</v>
      </c>
      <c r="AE281" s="10">
        <f t="shared" si="103"/>
        <v>49841493.26607696</v>
      </c>
    </row>
    <row r="282" spans="1:31" x14ac:dyDescent="0.25">
      <c r="A282" s="1">
        <f t="shared" si="104"/>
        <v>1.1416666666666666</v>
      </c>
      <c r="B282" s="7">
        <f t="shared" si="105"/>
        <v>71082297.819116235</v>
      </c>
      <c r="C282" s="7">
        <f t="shared" si="106"/>
        <v>49841493.26607696</v>
      </c>
      <c r="D282" s="7"/>
      <c r="E282" s="7"/>
      <c r="F282" s="7"/>
      <c r="G282" s="7"/>
      <c r="H282" s="7"/>
      <c r="I282" s="7"/>
      <c r="J282" s="7"/>
      <c r="K282" s="7"/>
      <c r="L282" s="1">
        <f t="shared" si="109"/>
        <v>1.1416666666666666</v>
      </c>
      <c r="M282">
        <f t="shared" si="107"/>
        <v>98640</v>
      </c>
      <c r="N282" s="9">
        <f t="shared" si="88"/>
        <v>-340.97128154727409</v>
      </c>
      <c r="O282" s="7">
        <f t="shared" si="89"/>
        <v>71082297.819116235</v>
      </c>
      <c r="P282" s="2">
        <f t="shared" si="92"/>
        <v>-4.3302526885692298E-2</v>
      </c>
      <c r="Q282" s="2">
        <f t="shared" si="93"/>
        <v>-4.3249960212303248E-2</v>
      </c>
      <c r="R282" s="2">
        <f t="shared" si="94"/>
        <v>-4.3249960441139934E-2</v>
      </c>
      <c r="S282" s="2">
        <f t="shared" si="95"/>
        <v>-4.3198874037049827E-2</v>
      </c>
      <c r="T282" s="9">
        <f t="shared" si="96"/>
        <v>-356.54135608105179</v>
      </c>
      <c r="U282" s="7">
        <f t="shared" si="97"/>
        <v>70956745.544343129</v>
      </c>
      <c r="W282">
        <f t="shared" si="108"/>
        <v>98640</v>
      </c>
      <c r="X282" s="9">
        <f t="shared" si="90"/>
        <v>589.23652403563767</v>
      </c>
      <c r="Y282" s="2">
        <f t="shared" si="91"/>
        <v>49841493.26607696</v>
      </c>
      <c r="Z282" s="2">
        <f t="shared" si="98"/>
        <v>-3.03628704810514E-2</v>
      </c>
      <c r="AA282" s="2">
        <f t="shared" si="99"/>
        <v>-3.0416809238672304E-2</v>
      </c>
      <c r="AB282" s="2">
        <f t="shared" si="100"/>
        <v>-3.0416808502758165E-2</v>
      </c>
      <c r="AC282" s="2">
        <f t="shared" si="101"/>
        <v>-3.0471730270951729E-2</v>
      </c>
      <c r="AD282" s="2">
        <f t="shared" si="102"/>
        <v>578.28641386154584</v>
      </c>
      <c r="AE282" s="10">
        <f t="shared" si="103"/>
        <v>50051647.394898452</v>
      </c>
    </row>
    <row r="283" spans="1:31" x14ac:dyDescent="0.25">
      <c r="A283" s="1">
        <f t="shared" si="104"/>
        <v>1.1458333333333333</v>
      </c>
      <c r="B283" s="7">
        <f t="shared" si="105"/>
        <v>70956745.544343129</v>
      </c>
      <c r="C283" s="7">
        <f t="shared" si="106"/>
        <v>50051647.394898452</v>
      </c>
      <c r="D283" s="7"/>
      <c r="E283" s="7"/>
      <c r="F283" s="7"/>
      <c r="G283" s="7"/>
      <c r="H283" s="7"/>
      <c r="I283" s="7"/>
      <c r="J283" s="7"/>
      <c r="K283" s="7"/>
      <c r="L283" s="1">
        <f t="shared" si="109"/>
        <v>1.1458333333333333</v>
      </c>
      <c r="M283">
        <f t="shared" si="107"/>
        <v>99000</v>
      </c>
      <c r="N283" s="9">
        <f t="shared" si="88"/>
        <v>-356.54135608105179</v>
      </c>
      <c r="O283" s="7">
        <f t="shared" si="89"/>
        <v>70956745.544343129</v>
      </c>
      <c r="P283" s="2">
        <f t="shared" si="92"/>
        <v>-4.3198874055963545E-2</v>
      </c>
      <c r="Q283" s="2">
        <f t="shared" si="93"/>
        <v>-4.3149259935824393E-2</v>
      </c>
      <c r="R283" s="2">
        <f t="shared" si="94"/>
        <v>-4.3149260226801558E-2</v>
      </c>
      <c r="S283" s="2">
        <f t="shared" si="95"/>
        <v>-4.3101111689520709E-2</v>
      </c>
      <c r="T283" s="9">
        <f t="shared" si="96"/>
        <v>-372.07517764529598</v>
      </c>
      <c r="U283" s="7">
        <f t="shared" si="97"/>
        <v>70825594.568272382</v>
      </c>
      <c r="W283">
        <f t="shared" si="108"/>
        <v>99000</v>
      </c>
      <c r="X283" s="9">
        <f t="shared" si="90"/>
        <v>578.28641386154584</v>
      </c>
      <c r="Y283" s="2">
        <f t="shared" si="91"/>
        <v>50051647.394898452</v>
      </c>
      <c r="Z283" s="2">
        <f t="shared" si="98"/>
        <v>-3.0471730284677503E-2</v>
      </c>
      <c r="AA283" s="2">
        <f t="shared" si="99"/>
        <v>-3.0527643994524633E-2</v>
      </c>
      <c r="AB283" s="2">
        <f t="shared" si="100"/>
        <v>-3.0527643302947195E-2</v>
      </c>
      <c r="AC283" s="2">
        <f t="shared" si="101"/>
        <v>-3.058455518123504E-2</v>
      </c>
      <c r="AD283" s="2">
        <f t="shared" si="102"/>
        <v>567.29640225789444</v>
      </c>
      <c r="AE283" s="10">
        <f t="shared" si="103"/>
        <v>50257852.301799953</v>
      </c>
    </row>
    <row r="284" spans="1:31" x14ac:dyDescent="0.25">
      <c r="A284" s="1">
        <f t="shared" si="104"/>
        <v>1.1499999999999999</v>
      </c>
      <c r="B284" s="7">
        <f t="shared" si="105"/>
        <v>70825594.568272382</v>
      </c>
      <c r="C284" s="7">
        <f t="shared" si="106"/>
        <v>50257852.301799953</v>
      </c>
      <c r="D284" s="7"/>
      <c r="E284" s="7"/>
      <c r="F284" s="7"/>
      <c r="G284" s="7"/>
      <c r="H284" s="7"/>
      <c r="I284" s="7"/>
      <c r="J284" s="7"/>
      <c r="K284" s="7"/>
      <c r="L284" s="1">
        <f t="shared" si="109"/>
        <v>1.1499999999999999</v>
      </c>
      <c r="M284">
        <f t="shared" si="107"/>
        <v>99360</v>
      </c>
      <c r="N284" s="9">
        <f t="shared" si="88"/>
        <v>-372.07517764529598</v>
      </c>
      <c r="O284" s="7">
        <f t="shared" si="89"/>
        <v>70825594.568272382</v>
      </c>
      <c r="P284" s="2">
        <f t="shared" si="92"/>
        <v>-4.3101111708409953E-2</v>
      </c>
      <c r="Q284" s="2">
        <f t="shared" si="93"/>
        <v>-4.305442119588497E-2</v>
      </c>
      <c r="R284" s="2">
        <f t="shared" si="94"/>
        <v>-4.3054421548785263E-2</v>
      </c>
      <c r="S284" s="2">
        <f t="shared" si="95"/>
        <v>-4.3009183029717055E-2</v>
      </c>
      <c r="T284" s="9">
        <f t="shared" si="96"/>
        <v>-387.57485645894405</v>
      </c>
      <c r="U284" s="7">
        <f t="shared" si="97"/>
        <v>70688857.562133625</v>
      </c>
      <c r="W284">
        <f t="shared" si="108"/>
        <v>99360</v>
      </c>
      <c r="X284" s="9">
        <f t="shared" si="90"/>
        <v>567.29640225789444</v>
      </c>
      <c r="Y284" s="2">
        <f t="shared" si="91"/>
        <v>50257852.301799953</v>
      </c>
      <c r="Z284" s="2">
        <f t="shared" si="98"/>
        <v>-3.0584555194895929E-2</v>
      </c>
      <c r="AA284" s="2">
        <f t="shared" si="99"/>
        <v>-3.0642474436428774E-2</v>
      </c>
      <c r="AB284" s="2">
        <f t="shared" si="100"/>
        <v>-3.0642473789105017E-2</v>
      </c>
      <c r="AC284" s="2">
        <f t="shared" si="101"/>
        <v>-3.0701407067495492E-2</v>
      </c>
      <c r="AD284" s="2">
        <f t="shared" si="102"/>
        <v>556.2650507350869</v>
      </c>
      <c r="AE284" s="10">
        <f t="shared" si="103"/>
        <v>50460093.363338687</v>
      </c>
    </row>
    <row r="285" spans="1:31" x14ac:dyDescent="0.25">
      <c r="A285" s="1">
        <f t="shared" si="104"/>
        <v>1.1541666666666666</v>
      </c>
      <c r="B285" s="7">
        <f t="shared" si="105"/>
        <v>70688857.562133625</v>
      </c>
      <c r="C285" s="7">
        <f t="shared" si="106"/>
        <v>50460093.363338687</v>
      </c>
      <c r="D285" s="7"/>
      <c r="E285" s="7"/>
      <c r="F285" s="7"/>
      <c r="G285" s="7"/>
      <c r="H285" s="7"/>
      <c r="I285" s="7"/>
      <c r="J285" s="7"/>
      <c r="K285" s="7"/>
      <c r="L285" s="1">
        <f t="shared" si="109"/>
        <v>1.1541666666666666</v>
      </c>
      <c r="M285">
        <f t="shared" si="107"/>
        <v>99720</v>
      </c>
      <c r="N285" s="9">
        <f t="shared" si="88"/>
        <v>-387.57485645894405</v>
      </c>
      <c r="O285" s="7">
        <f t="shared" si="89"/>
        <v>70688857.562133625</v>
      </c>
      <c r="P285" s="2">
        <f t="shared" si="92"/>
        <v>-4.3009183048601275E-2</v>
      </c>
      <c r="Q285" s="2">
        <f t="shared" si="93"/>
        <v>-4.2965389381851293E-2</v>
      </c>
      <c r="R285" s="2">
        <f t="shared" si="94"/>
        <v>-4.2965389796544316E-2</v>
      </c>
      <c r="S285" s="2">
        <f t="shared" si="95"/>
        <v>-4.2923035610108434E-2</v>
      </c>
      <c r="T285" s="9">
        <f t="shared" si="96"/>
        <v>-403.0424830798741</v>
      </c>
      <c r="U285" s="7">
        <f t="shared" si="97"/>
        <v>70546546.441016644</v>
      </c>
      <c r="W285">
        <f t="shared" si="108"/>
        <v>99720</v>
      </c>
      <c r="X285" s="9">
        <f t="shared" si="90"/>
        <v>556.2650507350869</v>
      </c>
      <c r="Y285" s="2">
        <f t="shared" si="91"/>
        <v>50460093.363338687</v>
      </c>
      <c r="Z285" s="2">
        <f t="shared" si="98"/>
        <v>-3.0701407081105435E-2</v>
      </c>
      <c r="AA285" s="2">
        <f t="shared" si="99"/>
        <v>-3.076136386656628E-2</v>
      </c>
      <c r="AB285" s="2">
        <f t="shared" si="100"/>
        <v>-3.0761363263474274E-2</v>
      </c>
      <c r="AC285" s="2">
        <f t="shared" si="101"/>
        <v>-3.0822350688220222E-2</v>
      </c>
      <c r="AD285" s="2">
        <f t="shared" si="102"/>
        <v>545.19089801332245</v>
      </c>
      <c r="AE285" s="10">
        <f t="shared" si="103"/>
        <v>50658355.434113398</v>
      </c>
    </row>
    <row r="286" spans="1:31" x14ac:dyDescent="0.25">
      <c r="A286" s="1">
        <f t="shared" si="104"/>
        <v>1.1583333333333334</v>
      </c>
      <c r="B286" s="7">
        <f t="shared" si="105"/>
        <v>70546546.441016644</v>
      </c>
      <c r="C286" s="7">
        <f t="shared" si="106"/>
        <v>50658355.434113398</v>
      </c>
      <c r="D286" s="7"/>
      <c r="E286" s="7"/>
      <c r="F286" s="7"/>
      <c r="G286" s="7"/>
      <c r="H286" s="7"/>
      <c r="I286" s="7"/>
      <c r="J286" s="7"/>
      <c r="K286" s="7"/>
      <c r="L286" s="1">
        <f t="shared" si="109"/>
        <v>1.1583333333333334</v>
      </c>
      <c r="M286">
        <f t="shared" si="107"/>
        <v>100080</v>
      </c>
      <c r="N286" s="9">
        <f t="shared" si="88"/>
        <v>-403.0424830798741</v>
      </c>
      <c r="O286" s="7">
        <f t="shared" si="89"/>
        <v>70546546.441016644</v>
      </c>
      <c r="P286" s="2">
        <f t="shared" si="92"/>
        <v>-4.2923035629006991E-2</v>
      </c>
      <c r="Q286" s="2">
        <f t="shared" si="93"/>
        <v>-4.2882114189225488E-2</v>
      </c>
      <c r="R286" s="2">
        <f t="shared" si="94"/>
        <v>-4.2882114665667333E-2</v>
      </c>
      <c r="S286" s="2">
        <f t="shared" si="95"/>
        <v>-4.2842621250461226E-2</v>
      </c>
      <c r="T286" s="9">
        <f t="shared" si="96"/>
        <v>-418.48012995522936</v>
      </c>
      <c r="U286" s="7">
        <f t="shared" si="97"/>
        <v>70398672.370670319</v>
      </c>
      <c r="W286">
        <f t="shared" si="108"/>
        <v>100080</v>
      </c>
      <c r="X286" s="9">
        <f t="shared" si="90"/>
        <v>545.19089801332245</v>
      </c>
      <c r="Y286" s="2">
        <f t="shared" si="91"/>
        <v>50658355.434113398</v>
      </c>
      <c r="Z286" s="2">
        <f t="shared" si="98"/>
        <v>-3.0822350701793112E-2</v>
      </c>
      <c r="AA286" s="2">
        <f t="shared" si="99"/>
        <v>-3.0884378523635941E-2</v>
      </c>
      <c r="AB286" s="2">
        <f t="shared" si="100"/>
        <v>-3.0884377964815156E-2</v>
      </c>
      <c r="AC286" s="2">
        <f t="shared" si="101"/>
        <v>-3.0947453787116747E-2</v>
      </c>
      <c r="AD286" s="2">
        <f t="shared" si="102"/>
        <v>534.0724589653737</v>
      </c>
      <c r="AE286" s="10">
        <f t="shared" si="103"/>
        <v>50852622.838369563</v>
      </c>
    </row>
    <row r="287" spans="1:31" x14ac:dyDescent="0.25">
      <c r="A287" s="1">
        <f t="shared" si="104"/>
        <v>1.1625000000000001</v>
      </c>
      <c r="B287" s="7">
        <f t="shared" si="105"/>
        <v>70398672.370670319</v>
      </c>
      <c r="C287" s="7">
        <f t="shared" si="106"/>
        <v>50852622.838369563</v>
      </c>
      <c r="D287" s="7"/>
      <c r="E287" s="7"/>
      <c r="F287" s="7"/>
      <c r="G287" s="7"/>
      <c r="H287" s="7"/>
      <c r="I287" s="7"/>
      <c r="J287" s="7"/>
      <c r="K287" s="7"/>
      <c r="L287" s="1">
        <f t="shared" si="109"/>
        <v>1.1625000000000001</v>
      </c>
      <c r="M287">
        <f t="shared" si="107"/>
        <v>100440</v>
      </c>
      <c r="N287" s="9">
        <f t="shared" si="88"/>
        <v>-418.48012995522936</v>
      </c>
      <c r="O287" s="7">
        <f t="shared" si="89"/>
        <v>70398672.370670319</v>
      </c>
      <c r="P287" s="2">
        <f t="shared" si="92"/>
        <v>-4.2842621269393463E-2</v>
      </c>
      <c r="Q287" s="2">
        <f t="shared" si="93"/>
        <v>-4.2804549543866505E-2</v>
      </c>
      <c r="R287" s="2">
        <f t="shared" si="94"/>
        <v>-4.2804550082099095E-2</v>
      </c>
      <c r="S287" s="2">
        <f t="shared" si="95"/>
        <v>-4.276789596582857E-2</v>
      </c>
      <c r="T287" s="9">
        <f t="shared" si="96"/>
        <v>-433.88985294445854</v>
      </c>
      <c r="U287" s="7">
        <f t="shared" si="97"/>
        <v>70245245.773748368</v>
      </c>
      <c r="W287">
        <f t="shared" si="108"/>
        <v>100440</v>
      </c>
      <c r="X287" s="9">
        <f t="shared" si="90"/>
        <v>534.0724589653737</v>
      </c>
      <c r="Y287" s="2">
        <f t="shared" si="91"/>
        <v>50852622.838369563</v>
      </c>
      <c r="Z287" s="2">
        <f t="shared" si="98"/>
        <v>-3.0947453800666512E-2</v>
      </c>
      <c r="AA287" s="2">
        <f t="shared" si="99"/>
        <v>-3.1011587681568146E-2</v>
      </c>
      <c r="AB287" s="2">
        <f t="shared" si="100"/>
        <v>-3.1011587167120085E-2</v>
      </c>
      <c r="AC287" s="2">
        <f t="shared" si="101"/>
        <v>-3.1076787194481141E-2</v>
      </c>
      <c r="AD287" s="2">
        <f t="shared" si="102"/>
        <v>522.90822352382224</v>
      </c>
      <c r="AE287" s="10">
        <f t="shared" si="103"/>
        <v>51042879.361217618</v>
      </c>
    </row>
    <row r="288" spans="1:31" x14ac:dyDescent="0.25">
      <c r="A288" s="1">
        <f t="shared" si="104"/>
        <v>1.1666666666666667</v>
      </c>
      <c r="B288" s="7">
        <f t="shared" si="105"/>
        <v>70245245.773748368</v>
      </c>
      <c r="C288" s="7">
        <f t="shared" si="106"/>
        <v>51042879.361217618</v>
      </c>
      <c r="D288" s="7"/>
      <c r="E288" s="7"/>
      <c r="F288" s="7"/>
      <c r="G288" s="7"/>
      <c r="H288" s="7"/>
      <c r="I288" s="7"/>
      <c r="J288" s="7"/>
      <c r="K288" s="7"/>
      <c r="L288" s="1">
        <f t="shared" si="109"/>
        <v>1.1666666666666667</v>
      </c>
      <c r="M288">
        <f t="shared" si="107"/>
        <v>100800</v>
      </c>
      <c r="N288" s="9">
        <f t="shared" si="88"/>
        <v>-433.88985294445854</v>
      </c>
      <c r="O288" s="7">
        <f t="shared" si="89"/>
        <v>70245245.773748368</v>
      </c>
      <c r="P288" s="2">
        <f t="shared" si="92"/>
        <v>-4.2767895984813876E-2</v>
      </c>
      <c r="Q288" s="2">
        <f t="shared" si="93"/>
        <v>-4.2732653533696867E-2</v>
      </c>
      <c r="R288" s="2">
        <f t="shared" si="94"/>
        <v>-4.2732654133847997E-2</v>
      </c>
      <c r="S288" s="2">
        <f t="shared" si="95"/>
        <v>-4.2698819901926345E-2</v>
      </c>
      <c r="T288" s="9">
        <f t="shared" si="96"/>
        <v>-449.27369281776834</v>
      </c>
      <c r="U288" s="7">
        <f t="shared" si="97"/>
        <v>70086276.335511163</v>
      </c>
      <c r="W288">
        <f t="shared" si="108"/>
        <v>100800</v>
      </c>
      <c r="X288" s="9">
        <f t="shared" si="90"/>
        <v>522.90822352382224</v>
      </c>
      <c r="Y288" s="2">
        <f t="shared" si="91"/>
        <v>51042879.361217618</v>
      </c>
      <c r="Z288" s="2">
        <f t="shared" si="98"/>
        <v>-3.1076787208021636E-2</v>
      </c>
      <c r="AA288" s="2">
        <f t="shared" si="99"/>
        <v>-3.1143063753619062E-2</v>
      </c>
      <c r="AB288" s="2">
        <f t="shared" si="100"/>
        <v>-3.1143063283707795E-2</v>
      </c>
      <c r="AC288" s="2">
        <f t="shared" si="101"/>
        <v>-3.1210424934093317E-2</v>
      </c>
      <c r="AD288" s="2">
        <f t="shared" si="102"/>
        <v>511.6966555508161</v>
      </c>
      <c r="AE288" s="10">
        <f t="shared" si="103"/>
        <v>51229108.239451051</v>
      </c>
    </row>
    <row r="289" spans="1:31" x14ac:dyDescent="0.25">
      <c r="A289" s="1">
        <f t="shared" si="104"/>
        <v>1.1708333333333334</v>
      </c>
      <c r="B289" s="7">
        <f t="shared" si="105"/>
        <v>70086276.335511163</v>
      </c>
      <c r="C289" s="7">
        <f t="shared" si="106"/>
        <v>51229108.239451051</v>
      </c>
      <c r="D289" s="7"/>
      <c r="E289" s="7"/>
      <c r="F289" s="7"/>
      <c r="G289" s="7"/>
      <c r="H289" s="7"/>
      <c r="I289" s="7"/>
      <c r="J289" s="7"/>
      <c r="K289" s="7"/>
      <c r="L289" s="1">
        <f t="shared" si="109"/>
        <v>1.1708333333333334</v>
      </c>
      <c r="M289">
        <f t="shared" si="107"/>
        <v>101160</v>
      </c>
      <c r="N289" s="9">
        <f t="shared" si="88"/>
        <v>-449.27369281776834</v>
      </c>
      <c r="O289" s="7">
        <f t="shared" si="89"/>
        <v>70086276.335511163</v>
      </c>
      <c r="P289" s="2">
        <f t="shared" si="92"/>
        <v>-4.2698819920984163E-2</v>
      </c>
      <c r="Q289" s="2">
        <f t="shared" si="93"/>
        <v>-4.2666388347701326E-2</v>
      </c>
      <c r="R289" s="2">
        <f t="shared" si="94"/>
        <v>-4.2666389009984713E-2</v>
      </c>
      <c r="S289" s="2">
        <f t="shared" si="95"/>
        <v>-4.2635357277711707E-2</v>
      </c>
      <c r="T289" s="9">
        <f t="shared" si="96"/>
        <v>-464.6336767326124</v>
      </c>
      <c r="U289" s="7">
        <f t="shared" si="97"/>
        <v>69921773.008992091</v>
      </c>
      <c r="W289">
        <f t="shared" si="108"/>
        <v>101160</v>
      </c>
      <c r="X289" s="9">
        <f t="shared" si="90"/>
        <v>511.6966555508161</v>
      </c>
      <c r="Y289" s="2">
        <f t="shared" si="91"/>
        <v>51229108.239451051</v>
      </c>
      <c r="Z289" s="2">
        <f t="shared" si="98"/>
        <v>-3.1210424947638541E-2</v>
      </c>
      <c r="AA289" s="2">
        <f t="shared" si="99"/>
        <v>-3.1278882402144582E-2</v>
      </c>
      <c r="AB289" s="2">
        <f t="shared" si="100"/>
        <v>-3.1278881976997665E-2</v>
      </c>
      <c r="AC289" s="2">
        <f t="shared" si="101"/>
        <v>-3.1348444335949965E-2</v>
      </c>
      <c r="AD289" s="2">
        <f t="shared" si="102"/>
        <v>500.43619166830371</v>
      </c>
      <c r="AE289" s="10">
        <f t="shared" si="103"/>
        <v>51411292.151950493</v>
      </c>
    </row>
    <row r="290" spans="1:31" x14ac:dyDescent="0.25">
      <c r="A290" s="1">
        <f t="shared" si="104"/>
        <v>1.175</v>
      </c>
      <c r="B290" s="7">
        <f t="shared" si="105"/>
        <v>69921773.008992091</v>
      </c>
      <c r="C290" s="7">
        <f t="shared" si="106"/>
        <v>51411292.151950493</v>
      </c>
      <c r="D290" s="7"/>
      <c r="E290" s="7"/>
      <c r="F290" s="7"/>
      <c r="G290" s="7"/>
      <c r="H290" s="7"/>
      <c r="I290" s="7"/>
      <c r="J290" s="7"/>
      <c r="K290" s="7"/>
      <c r="L290" s="1">
        <f t="shared" si="109"/>
        <v>1.175</v>
      </c>
      <c r="M290">
        <f t="shared" si="107"/>
        <v>101520</v>
      </c>
      <c r="N290" s="9">
        <f t="shared" si="88"/>
        <v>-464.6336767326124</v>
      </c>
      <c r="O290" s="7">
        <f t="shared" si="89"/>
        <v>69921773.008992091</v>
      </c>
      <c r="P290" s="2">
        <f t="shared" si="92"/>
        <v>-4.2635357296861555E-2</v>
      </c>
      <c r="Q290" s="2">
        <f t="shared" si="93"/>
        <v>-4.2605720222044903E-2</v>
      </c>
      <c r="R290" s="2">
        <f t="shared" si="94"/>
        <v>-4.2605720946760531E-2</v>
      </c>
      <c r="S290" s="2">
        <f t="shared" si="95"/>
        <v>-4.2577476335003903E-2</v>
      </c>
      <c r="T290" s="9">
        <f t="shared" si="96"/>
        <v>-479.97181969078099</v>
      </c>
      <c r="U290" s="7">
        <f t="shared" si="97"/>
        <v>69751744.019635886</v>
      </c>
      <c r="W290">
        <f t="shared" si="108"/>
        <v>101520</v>
      </c>
      <c r="X290" s="9">
        <f t="shared" si="90"/>
        <v>500.43619166830371</v>
      </c>
      <c r="Y290" s="2">
        <f t="shared" si="91"/>
        <v>51411292.151950493</v>
      </c>
      <c r="Z290" s="2">
        <f t="shared" si="98"/>
        <v>-3.1348444349514094E-2</v>
      </c>
      <c r="AA290" s="2">
        <f t="shared" si="99"/>
        <v>-3.1419122654373917E-2</v>
      </c>
      <c r="AB290" s="2">
        <f t="shared" si="100"/>
        <v>-3.1419122274283402E-2</v>
      </c>
      <c r="AC290" s="2">
        <f t="shared" si="101"/>
        <v>-3.1490926155164148E-2</v>
      </c>
      <c r="AD290" s="2">
        <f t="shared" si="102"/>
        <v>489.12524004658411</v>
      </c>
      <c r="AE290" s="10">
        <f t="shared" si="103"/>
        <v>51589413.209659174</v>
      </c>
    </row>
    <row r="291" spans="1:31" x14ac:dyDescent="0.25">
      <c r="A291" s="1">
        <f t="shared" si="104"/>
        <v>1.1791666666666667</v>
      </c>
      <c r="B291" s="7">
        <f t="shared" si="105"/>
        <v>69751744.019635886</v>
      </c>
      <c r="C291" s="7">
        <f t="shared" si="106"/>
        <v>51589413.209659174</v>
      </c>
      <c r="D291" s="7"/>
      <c r="E291" s="7"/>
      <c r="F291" s="7"/>
      <c r="G291" s="7"/>
      <c r="H291" s="7"/>
      <c r="I291" s="7"/>
      <c r="J291" s="7"/>
      <c r="K291" s="7"/>
      <c r="L291" s="1">
        <f t="shared" si="109"/>
        <v>1.1791666666666667</v>
      </c>
      <c r="M291">
        <f t="shared" si="107"/>
        <v>101880</v>
      </c>
      <c r="N291" s="9">
        <f t="shared" si="88"/>
        <v>-479.97181969078099</v>
      </c>
      <c r="O291" s="7">
        <f t="shared" si="89"/>
        <v>69751744.019635886</v>
      </c>
      <c r="P291" s="2">
        <f t="shared" si="92"/>
        <v>-4.2577476354265544E-2</v>
      </c>
      <c r="Q291" s="2">
        <f t="shared" si="93"/>
        <v>-4.2550619393161467E-2</v>
      </c>
      <c r="R291" s="2">
        <f t="shared" si="94"/>
        <v>-4.2550620180696122E-2</v>
      </c>
      <c r="S291" s="2">
        <f t="shared" si="95"/>
        <v>-4.2525149295009189E-2</v>
      </c>
      <c r="T291" s="9">
        <f t="shared" si="96"/>
        <v>-495.29012597860037</v>
      </c>
      <c r="U291" s="7">
        <f t="shared" si="97"/>
        <v>69576196.869415402</v>
      </c>
      <c r="W291">
        <f t="shared" si="108"/>
        <v>101880</v>
      </c>
      <c r="X291" s="9">
        <f t="shared" si="90"/>
        <v>489.12524004658411</v>
      </c>
      <c r="Y291" s="2">
        <f t="shared" si="91"/>
        <v>51589413.209659174</v>
      </c>
      <c r="Z291" s="2">
        <f t="shared" si="98"/>
        <v>-3.1490926168761396E-2</v>
      </c>
      <c r="AA291" s="2">
        <f t="shared" si="99"/>
        <v>-3.156386702452222E-2</v>
      </c>
      <c r="AB291" s="2">
        <f t="shared" si="100"/>
        <v>-3.1563866689846024E-2</v>
      </c>
      <c r="AC291" s="2">
        <f t="shared" si="101"/>
        <v>-3.1637954697381884E-2</v>
      </c>
      <c r="AD291" s="2">
        <f t="shared" si="102"/>
        <v>477.76217914889133</v>
      </c>
      <c r="AE291" s="10">
        <f t="shared" si="103"/>
        <v>51763452.945114359</v>
      </c>
    </row>
    <row r="292" spans="1:31" x14ac:dyDescent="0.25">
      <c r="A292" s="1">
        <f t="shared" si="104"/>
        <v>1.1833333333333333</v>
      </c>
      <c r="B292" s="7">
        <f t="shared" si="105"/>
        <v>69576196.869415402</v>
      </c>
      <c r="C292" s="7">
        <f t="shared" si="106"/>
        <v>51763452.945114359</v>
      </c>
      <c r="D292" s="7"/>
      <c r="E292" s="7"/>
      <c r="F292" s="7"/>
      <c r="G292" s="7"/>
      <c r="H292" s="7"/>
      <c r="I292" s="7"/>
      <c r="J292" s="7"/>
      <c r="K292" s="7"/>
      <c r="L292" s="1">
        <f t="shared" si="109"/>
        <v>1.1833333333333333</v>
      </c>
      <c r="M292">
        <f t="shared" si="107"/>
        <v>102240</v>
      </c>
      <c r="N292" s="9">
        <f t="shared" si="88"/>
        <v>-495.29012597860037</v>
      </c>
      <c r="O292" s="7">
        <f t="shared" si="89"/>
        <v>69576196.869415402</v>
      </c>
      <c r="P292" s="2">
        <f t="shared" si="92"/>
        <v>-4.2525149314402627E-2</v>
      </c>
      <c r="Q292" s="2">
        <f t="shared" si="93"/>
        <v>-4.2501060057685301E-2</v>
      </c>
      <c r="R292" s="2">
        <f t="shared" si="94"/>
        <v>-4.2501060908513501E-2</v>
      </c>
      <c r="S292" s="2">
        <f t="shared" si="95"/>
        <v>-4.2478352321633335E-2</v>
      </c>
      <c r="T292" s="9">
        <f t="shared" si="96"/>
        <v>-510.59059059270641</v>
      </c>
      <c r="U292" s="7">
        <f t="shared" si="97"/>
        <v>69395138.340432569</v>
      </c>
      <c r="W292">
        <f t="shared" si="108"/>
        <v>102240</v>
      </c>
      <c r="X292" s="9">
        <f t="shared" si="90"/>
        <v>477.76217914889133</v>
      </c>
      <c r="Y292" s="2">
        <f t="shared" si="91"/>
        <v>51763452.945114359</v>
      </c>
      <c r="Z292" s="2">
        <f t="shared" si="98"/>
        <v>-3.163795471102672E-2</v>
      </c>
      <c r="AA292" s="2">
        <f t="shared" si="99"/>
        <v>-3.1713201642604445E-2</v>
      </c>
      <c r="AB292" s="2">
        <f t="shared" si="100"/>
        <v>-3.1713201353767637E-2</v>
      </c>
      <c r="AC292" s="2">
        <f t="shared" si="101"/>
        <v>-3.1789617951089533E-2</v>
      </c>
      <c r="AD292" s="2">
        <f t="shared" si="102"/>
        <v>466.34535642959969</v>
      </c>
      <c r="AE292" s="10">
        <f t="shared" si="103"/>
        <v>51933392.301518485</v>
      </c>
    </row>
    <row r="293" spans="1:31" x14ac:dyDescent="0.25">
      <c r="A293" s="1">
        <f t="shared" si="104"/>
        <v>1.1875</v>
      </c>
      <c r="B293" s="7">
        <f t="shared" si="105"/>
        <v>69395138.340432569</v>
      </c>
      <c r="C293" s="7">
        <f t="shared" si="106"/>
        <v>51933392.301518485</v>
      </c>
      <c r="D293" s="7"/>
      <c r="E293" s="7"/>
      <c r="F293" s="7"/>
      <c r="G293" s="7"/>
      <c r="H293" s="7"/>
      <c r="I293" s="7"/>
      <c r="J293" s="7"/>
      <c r="K293" s="7"/>
      <c r="L293" s="1">
        <f t="shared" si="109"/>
        <v>1.1875</v>
      </c>
      <c r="M293">
        <f t="shared" si="107"/>
        <v>102600</v>
      </c>
      <c r="N293" s="9">
        <f t="shared" si="88"/>
        <v>-510.59059059270641</v>
      </c>
      <c r="O293" s="7">
        <f t="shared" si="89"/>
        <v>69395138.340432569</v>
      </c>
      <c r="P293" s="2">
        <f t="shared" si="92"/>
        <v>-4.2478352341178811E-2</v>
      </c>
      <c r="Q293" s="2">
        <f t="shared" si="93"/>
        <v>-4.2457020339119855E-2</v>
      </c>
      <c r="R293" s="2">
        <f t="shared" si="94"/>
        <v>-4.2457021253804891E-2</v>
      </c>
      <c r="S293" s="2">
        <f t="shared" si="95"/>
        <v>-4.2437065491485432E-2</v>
      </c>
      <c r="T293" s="9">
        <f t="shared" si="96"/>
        <v>-525.87520065381727</v>
      </c>
      <c r="U293" s="7">
        <f t="shared" si="97"/>
        <v>69208574.498008192</v>
      </c>
      <c r="W293">
        <f t="shared" si="108"/>
        <v>102600</v>
      </c>
      <c r="X293" s="9">
        <f t="shared" si="90"/>
        <v>466.34535642959969</v>
      </c>
      <c r="Y293" s="2">
        <f t="shared" si="91"/>
        <v>51933392.301518485</v>
      </c>
      <c r="Z293" s="2">
        <f t="shared" si="98"/>
        <v>-3.1789617964796693E-2</v>
      </c>
      <c r="AA293" s="2">
        <f t="shared" si="99"/>
        <v>-3.1867216390335316E-2</v>
      </c>
      <c r="AB293" s="2">
        <f t="shared" si="100"/>
        <v>-3.1867216147831882E-2</v>
      </c>
      <c r="AC293" s="2">
        <f t="shared" si="101"/>
        <v>-3.1946007727210048E-2</v>
      </c>
      <c r="AD293" s="2">
        <f t="shared" si="102"/>
        <v>454.87308698349921</v>
      </c>
      <c r="AE293" s="10">
        <f t="shared" si="103"/>
        <v>52099211.621332839</v>
      </c>
    </row>
    <row r="294" spans="1:31" x14ac:dyDescent="0.25">
      <c r="A294" s="1">
        <f t="shared" si="104"/>
        <v>1.1916666666666667</v>
      </c>
      <c r="B294" s="7">
        <f t="shared" si="105"/>
        <v>69208574.498008192</v>
      </c>
      <c r="C294" s="7">
        <f t="shared" si="106"/>
        <v>52099211.621332839</v>
      </c>
      <c r="D294" s="7"/>
      <c r="E294" s="7"/>
      <c r="F294" s="7"/>
      <c r="G294" s="7"/>
      <c r="H294" s="7"/>
      <c r="I294" s="7"/>
      <c r="J294" s="7"/>
      <c r="K294" s="7"/>
      <c r="L294" s="1">
        <f t="shared" si="109"/>
        <v>1.1916666666666667</v>
      </c>
      <c r="M294">
        <f t="shared" si="107"/>
        <v>102960</v>
      </c>
      <c r="N294" s="9">
        <f t="shared" si="88"/>
        <v>-525.87520065381727</v>
      </c>
      <c r="O294" s="7">
        <f t="shared" si="89"/>
        <v>69208574.498008192</v>
      </c>
      <c r="P294" s="2">
        <f t="shared" si="92"/>
        <v>-4.2437065511203562E-2</v>
      </c>
      <c r="Q294" s="2">
        <f t="shared" si="93"/>
        <v>-4.2418482261157874E-2</v>
      </c>
      <c r="R294" s="2">
        <f t="shared" si="94"/>
        <v>-4.2418483240353189E-2</v>
      </c>
      <c r="S294" s="2">
        <f t="shared" si="95"/>
        <v>-4.2401272770498828E-2</v>
      </c>
      <c r="T294" s="9">
        <f t="shared" si="96"/>
        <v>-541.14593681090071</v>
      </c>
      <c r="U294" s="7">
        <f t="shared" si="97"/>
        <v>69016510.693264544</v>
      </c>
      <c r="W294">
        <f t="shared" si="108"/>
        <v>102960</v>
      </c>
      <c r="X294" s="9">
        <f t="shared" si="90"/>
        <v>454.87308698349921</v>
      </c>
      <c r="Y294" s="2">
        <f t="shared" si="91"/>
        <v>52099211.621332839</v>
      </c>
      <c r="Z294" s="2">
        <f t="shared" si="98"/>
        <v>-3.1946007740994459E-2</v>
      </c>
      <c r="AA294" s="2">
        <f t="shared" si="99"/>
        <v>-3.2026005044527121E-2</v>
      </c>
      <c r="AB294" s="2">
        <f t="shared" si="100"/>
        <v>-3.2026004848921798E-2</v>
      </c>
      <c r="AC294" s="2">
        <f t="shared" si="101"/>
        <v>-3.2107219806412159E-2</v>
      </c>
      <c r="AD294" s="2">
        <f t="shared" si="102"/>
        <v>443.34365214344092</v>
      </c>
      <c r="AE294" s="10">
        <f t="shared" si="103"/>
        <v>52260890.634375691</v>
      </c>
    </row>
    <row r="295" spans="1:31" x14ac:dyDescent="0.25">
      <c r="A295" s="1">
        <f t="shared" si="104"/>
        <v>1.1958333333333333</v>
      </c>
      <c r="B295" s="7">
        <f t="shared" si="105"/>
        <v>69016510.693264544</v>
      </c>
      <c r="C295" s="7">
        <f t="shared" si="106"/>
        <v>52260890.634375691</v>
      </c>
      <c r="D295" s="7"/>
      <c r="E295" s="7"/>
      <c r="F295" s="7"/>
      <c r="G295" s="7"/>
      <c r="H295" s="7"/>
      <c r="I295" s="7"/>
      <c r="J295" s="7"/>
      <c r="K295" s="7"/>
      <c r="L295" s="1">
        <f t="shared" si="109"/>
        <v>1.1958333333333333</v>
      </c>
      <c r="M295">
        <f t="shared" si="107"/>
        <v>103320</v>
      </c>
      <c r="N295" s="9">
        <f t="shared" si="88"/>
        <v>-541.14593681090071</v>
      </c>
      <c r="O295" s="7">
        <f t="shared" si="89"/>
        <v>69016510.693264544</v>
      </c>
      <c r="P295" s="2">
        <f t="shared" si="92"/>
        <v>-4.2401272790410616E-2</v>
      </c>
      <c r="Q295" s="2">
        <f t="shared" si="93"/>
        <v>-4.2385431727588366E-2</v>
      </c>
      <c r="R295" s="2">
        <f t="shared" si="94"/>
        <v>-4.2385432772039183E-2</v>
      </c>
      <c r="S295" s="2">
        <f t="shared" si="95"/>
        <v>-4.2370961997113557E-2</v>
      </c>
      <c r="T295" s="9">
        <f t="shared" si="96"/>
        <v>-556.40477463810748</v>
      </c>
      <c r="U295" s="7">
        <f t="shared" si="97"/>
        <v>68818951.565203726</v>
      </c>
      <c r="W295">
        <f t="shared" si="108"/>
        <v>103320</v>
      </c>
      <c r="X295" s="9">
        <f t="shared" si="90"/>
        <v>443.34365214344092</v>
      </c>
      <c r="Y295" s="2">
        <f t="shared" si="91"/>
        <v>52260890.634375691</v>
      </c>
      <c r="Z295" s="2">
        <f t="shared" si="98"/>
        <v>-3.2107219820289107E-2</v>
      </c>
      <c r="AA295" s="2">
        <f t="shared" si="99"/>
        <v>-3.2189665428423768E-2</v>
      </c>
      <c r="AB295" s="2">
        <f t="shared" si="100"/>
        <v>-3.2189665280354107E-2</v>
      </c>
      <c r="AC295" s="2">
        <f t="shared" si="101"/>
        <v>-3.2273354094586842E-2</v>
      </c>
      <c r="AD295" s="2">
        <f t="shared" si="102"/>
        <v>431.75529802349502</v>
      </c>
      <c r="AE295" s="10">
        <f t="shared" si="103"/>
        <v>52418408.445405737</v>
      </c>
    </row>
    <row r="296" spans="1:31" x14ac:dyDescent="0.25">
      <c r="A296" s="1">
        <f t="shared" si="104"/>
        <v>1.2</v>
      </c>
      <c r="B296" s="7">
        <f t="shared" si="105"/>
        <v>68818951.565203726</v>
      </c>
      <c r="C296" s="7">
        <f t="shared" si="106"/>
        <v>52418408.445405737</v>
      </c>
      <c r="D296" s="7"/>
      <c r="E296" s="7"/>
      <c r="F296" s="7"/>
      <c r="G296" s="7"/>
      <c r="H296" s="7"/>
      <c r="I296" s="7"/>
      <c r="J296" s="7"/>
      <c r="K296" s="7"/>
      <c r="L296" s="1">
        <f t="shared" si="109"/>
        <v>1.2</v>
      </c>
      <c r="M296">
        <f t="shared" si="107"/>
        <v>103680</v>
      </c>
      <c r="N296" s="9">
        <f t="shared" si="88"/>
        <v>-556.40477463810748</v>
      </c>
      <c r="O296" s="7">
        <f t="shared" si="89"/>
        <v>68818951.565203726</v>
      </c>
      <c r="P296" s="2">
        <f t="shared" si="92"/>
        <v>-4.2370962017240471E-2</v>
      </c>
      <c r="Q296" s="2">
        <f t="shared" si="93"/>
        <v>-4.235785850874569E-2</v>
      </c>
      <c r="R296" s="2">
        <f t="shared" si="94"/>
        <v>-4.2357859619290901E-2</v>
      </c>
      <c r="S296" s="2">
        <f t="shared" si="95"/>
        <v>-4.2346124871986128E-2</v>
      </c>
      <c r="T296" s="9">
        <f t="shared" si="96"/>
        <v>-571.65368602682543</v>
      </c>
      <c r="U296" s="7">
        <f t="shared" si="97"/>
        <v>68615901.042284042</v>
      </c>
      <c r="W296">
        <f t="shared" si="108"/>
        <v>103680</v>
      </c>
      <c r="X296" s="9">
        <f t="shared" si="90"/>
        <v>431.75529802349502</v>
      </c>
      <c r="Y296" s="2">
        <f t="shared" si="91"/>
        <v>52418408.445405737</v>
      </c>
      <c r="Z296" s="2">
        <f t="shared" si="98"/>
        <v>-3.2273354108571982E-2</v>
      </c>
      <c r="AA296" s="2">
        <f t="shared" si="99"/>
        <v>-3.2358299571439771E-2</v>
      </c>
      <c r="AB296" s="2">
        <f t="shared" si="100"/>
        <v>-3.2358299471618522E-2</v>
      </c>
      <c r="AC296" s="2">
        <f t="shared" si="101"/>
        <v>-3.2444514786974549E-2</v>
      </c>
      <c r="AD296" s="2">
        <f t="shared" si="102"/>
        <v>420.10623400459525</v>
      </c>
      <c r="AE296" s="10">
        <f t="shared" si="103"/>
        <v>52571743.521170795</v>
      </c>
    </row>
    <row r="297" spans="1:31" x14ac:dyDescent="0.25">
      <c r="A297" s="1">
        <f t="shared" si="104"/>
        <v>1.2041666666666666</v>
      </c>
      <c r="B297" s="7">
        <f t="shared" si="105"/>
        <v>68615901.042284042</v>
      </c>
      <c r="C297" s="7">
        <f t="shared" si="106"/>
        <v>52571743.521170795</v>
      </c>
      <c r="D297" s="7"/>
      <c r="E297" s="7"/>
      <c r="F297" s="7"/>
      <c r="G297" s="7"/>
      <c r="H297" s="7"/>
      <c r="I297" s="7"/>
      <c r="J297" s="7"/>
      <c r="K297" s="7"/>
      <c r="L297" s="1">
        <f t="shared" si="109"/>
        <v>1.2041666666666666</v>
      </c>
      <c r="M297">
        <f t="shared" si="107"/>
        <v>104040</v>
      </c>
      <c r="N297" s="9">
        <f t="shared" si="88"/>
        <v>-571.65368602682543</v>
      </c>
      <c r="O297" s="7">
        <f t="shared" si="89"/>
        <v>68615901.042284042</v>
      </c>
      <c r="P297" s="2">
        <f t="shared" si="92"/>
        <v>-4.2346124892350116E-2</v>
      </c>
      <c r="Q297" s="2">
        <f t="shared" si="93"/>
        <v>-4.2335756234475483E-2</v>
      </c>
      <c r="R297" s="2">
        <f t="shared" si="94"/>
        <v>-4.2335757412049847E-2</v>
      </c>
      <c r="S297" s="2">
        <f t="shared" si="95"/>
        <v>-4.2326756954211245E-2</v>
      </c>
      <c r="T297" s="9">
        <f t="shared" si="96"/>
        <v>-586.89464057520217</v>
      </c>
      <c r="U297" s="7">
        <f t="shared" si="97"/>
        <v>68407362.343495682</v>
      </c>
      <c r="W297">
        <f t="shared" si="108"/>
        <v>104040</v>
      </c>
      <c r="X297" s="9">
        <f t="shared" si="90"/>
        <v>420.10623400459525</v>
      </c>
      <c r="Y297" s="2">
        <f t="shared" si="91"/>
        <v>52571743.521170795</v>
      </c>
      <c r="Z297" s="2">
        <f t="shared" si="98"/>
        <v>-3.2444514801083957E-2</v>
      </c>
      <c r="AA297" s="2">
        <f t="shared" si="99"/>
        <v>-3.2532013877805091E-2</v>
      </c>
      <c r="AB297" s="2">
        <f t="shared" si="100"/>
        <v>-3.2532013827022775E-2</v>
      </c>
      <c r="AC297" s="2">
        <f t="shared" si="101"/>
        <v>-3.2620810541461993E-2</v>
      </c>
      <c r="AD297" s="2">
        <f t="shared" si="102"/>
        <v>408.39463115946313</v>
      </c>
      <c r="AE297" s="10">
        <f t="shared" si="103"/>
        <v>52720873.676900327</v>
      </c>
    </row>
    <row r="298" spans="1:31" x14ac:dyDescent="0.25">
      <c r="A298" s="1">
        <f t="shared" si="104"/>
        <v>1.2083333333333333</v>
      </c>
      <c r="B298" s="7">
        <f t="shared" si="105"/>
        <v>68407362.343495682</v>
      </c>
      <c r="C298" s="7">
        <f t="shared" si="106"/>
        <v>52720873.676900327</v>
      </c>
      <c r="D298" s="7"/>
      <c r="E298" s="7"/>
      <c r="F298" s="7"/>
      <c r="G298" s="7"/>
      <c r="H298" s="7"/>
      <c r="I298" s="7"/>
      <c r="J298" s="7"/>
      <c r="K298" s="7"/>
      <c r="L298" s="1">
        <f t="shared" si="109"/>
        <v>1.2083333333333333</v>
      </c>
      <c r="M298">
        <f t="shared" si="107"/>
        <v>104400</v>
      </c>
      <c r="N298" s="9">
        <f t="shared" si="88"/>
        <v>-586.89464057520217</v>
      </c>
      <c r="O298" s="7">
        <f t="shared" si="89"/>
        <v>68407362.343495682</v>
      </c>
      <c r="P298" s="2">
        <f t="shared" si="92"/>
        <v>-4.2326756974834907E-2</v>
      </c>
      <c r="Q298" s="2">
        <f t="shared" si="93"/>
        <v>-4.2319122393613143E-2</v>
      </c>
      <c r="R298" s="2">
        <f t="shared" si="94"/>
        <v>-4.2319123639249716E-2</v>
      </c>
      <c r="S298" s="2">
        <f t="shared" si="95"/>
        <v>-4.2312857664061142E-2</v>
      </c>
      <c r="T298" s="9">
        <f t="shared" si="96"/>
        <v>-602.12960697747951</v>
      </c>
      <c r="U298" s="7">
        <f t="shared" si="97"/>
        <v>68193337.978936195</v>
      </c>
      <c r="W298">
        <f t="shared" si="108"/>
        <v>104400</v>
      </c>
      <c r="X298" s="9">
        <f t="shared" si="90"/>
        <v>408.39463115946313</v>
      </c>
      <c r="Y298" s="2">
        <f t="shared" si="91"/>
        <v>52720873.676900327</v>
      </c>
      <c r="Z298" s="2">
        <f t="shared" si="98"/>
        <v>-3.2620810555712157E-2</v>
      </c>
      <c r="AA298" s="2">
        <f t="shared" si="99"/>
        <v>-3.2710919304651365E-2</v>
      </c>
      <c r="AB298" s="2">
        <f t="shared" si="100"/>
        <v>-3.2710919303779132E-2</v>
      </c>
      <c r="AC298" s="2">
        <f t="shared" si="101"/>
        <v>-3.2802354661601592E-2</v>
      </c>
      <c r="AD298" s="2">
        <f t="shared" si="102"/>
        <v>396.61862061341265</v>
      </c>
      <c r="AE298" s="10">
        <f t="shared" si="103"/>
        <v>52865776.062219448</v>
      </c>
    </row>
    <row r="299" spans="1:31" x14ac:dyDescent="0.25">
      <c r="A299" s="1">
        <f t="shared" si="104"/>
        <v>1.2124999999999999</v>
      </c>
      <c r="B299" s="7">
        <f t="shared" si="105"/>
        <v>68193337.978936195</v>
      </c>
      <c r="C299" s="7">
        <f t="shared" si="106"/>
        <v>52865776.062219448</v>
      </c>
      <c r="D299" s="7"/>
      <c r="E299" s="7"/>
      <c r="F299" s="7"/>
      <c r="G299" s="7"/>
      <c r="H299" s="7"/>
      <c r="I299" s="7"/>
      <c r="J299" s="7"/>
      <c r="K299" s="7"/>
      <c r="L299" s="1">
        <f t="shared" si="109"/>
        <v>1.2124999999999999</v>
      </c>
      <c r="M299">
        <f t="shared" si="107"/>
        <v>104760</v>
      </c>
      <c r="N299" s="9">
        <f t="shared" si="88"/>
        <v>-602.12960697747951</v>
      </c>
      <c r="O299" s="7">
        <f t="shared" si="89"/>
        <v>68193337.978936195</v>
      </c>
      <c r="P299" s="2">
        <f t="shared" si="92"/>
        <v>-4.2312857684967668E-2</v>
      </c>
      <c r="Q299" s="2">
        <f t="shared" si="93"/>
        <v>-4.230795833998937E-2</v>
      </c>
      <c r="R299" s="2">
        <f t="shared" si="94"/>
        <v>-4.23079596548223E-2</v>
      </c>
      <c r="S299" s="2">
        <f t="shared" si="95"/>
        <v>-4.2304430292266867E-2</v>
      </c>
      <c r="T299" s="9">
        <f t="shared" si="96"/>
        <v>-617.36055441549104</v>
      </c>
      <c r="U299" s="7">
        <f t="shared" si="97"/>
        <v>67973829.749885455</v>
      </c>
      <c r="W299">
        <f t="shared" si="108"/>
        <v>104760</v>
      </c>
      <c r="X299" s="9">
        <f t="shared" si="90"/>
        <v>396.61862061341265</v>
      </c>
      <c r="Y299" s="2">
        <f t="shared" si="91"/>
        <v>52865776.062219448</v>
      </c>
      <c r="Z299" s="2">
        <f t="shared" si="98"/>
        <v>-3.2802354676009608E-2</v>
      </c>
      <c r="AA299" s="2">
        <f t="shared" si="99"/>
        <v>-3.2895131550112804E-2</v>
      </c>
      <c r="AB299" s="2">
        <f t="shared" si="100"/>
        <v>-3.2895131600105591E-2</v>
      </c>
      <c r="AC299" s="2">
        <f t="shared" si="101"/>
        <v>-3.2989265289947722E-2</v>
      </c>
      <c r="AD299" s="2">
        <f t="shared" si="102"/>
        <v>384.77629183742897</v>
      </c>
      <c r="AE299" s="10">
        <f t="shared" si="103"/>
        <v>53006427.1464606</v>
      </c>
    </row>
    <row r="300" spans="1:31" x14ac:dyDescent="0.25">
      <c r="A300" s="1">
        <f t="shared" si="104"/>
        <v>1.2166666666666666</v>
      </c>
      <c r="B300" s="7">
        <f t="shared" si="105"/>
        <v>67973829.749885455</v>
      </c>
      <c r="C300" s="7">
        <f t="shared" si="106"/>
        <v>53006427.1464606</v>
      </c>
      <c r="D300" s="7"/>
      <c r="E300" s="7"/>
      <c r="F300" s="7"/>
      <c r="G300" s="7"/>
      <c r="H300" s="7"/>
      <c r="I300" s="7"/>
      <c r="J300" s="7"/>
      <c r="K300" s="7"/>
      <c r="L300" s="1">
        <f t="shared" si="109"/>
        <v>1.2166666666666666</v>
      </c>
      <c r="M300">
        <f t="shared" si="107"/>
        <v>105120</v>
      </c>
      <c r="N300" s="9">
        <f t="shared" si="88"/>
        <v>-617.36055441549104</v>
      </c>
      <c r="O300" s="7">
        <f t="shared" si="89"/>
        <v>67973829.749885455</v>
      </c>
      <c r="P300" s="2">
        <f t="shared" si="92"/>
        <v>-4.2304430313480204E-2</v>
      </c>
      <c r="Q300" s="2">
        <f t="shared" si="93"/>
        <v>-4.2302269304998107E-2</v>
      </c>
      <c r="R300" s="2">
        <f t="shared" si="94"/>
        <v>-4.2302270690265764E-2</v>
      </c>
      <c r="S300" s="2">
        <f t="shared" si="95"/>
        <v>-4.230148201588721E-2</v>
      </c>
      <c r="T300" s="9">
        <f t="shared" si="96"/>
        <v>-632.5894539546847</v>
      </c>
      <c r="U300" s="7">
        <f t="shared" si="97"/>
        <v>67748838.748378828</v>
      </c>
      <c r="W300">
        <f t="shared" si="108"/>
        <v>105120</v>
      </c>
      <c r="X300" s="9">
        <f t="shared" si="90"/>
        <v>384.77629183742897</v>
      </c>
      <c r="Y300" s="2">
        <f t="shared" si="91"/>
        <v>53006427.1464606</v>
      </c>
      <c r="Z300" s="2">
        <f t="shared" si="98"/>
        <v>-3.298926530453121E-2</v>
      </c>
      <c r="AA300" s="2">
        <f t="shared" si="99"/>
        <v>-3.308477125205548E-2</v>
      </c>
      <c r="AB300" s="2">
        <f t="shared" si="100"/>
        <v>-3.3084771353955336E-2</v>
      </c>
      <c r="AC300" s="2">
        <f t="shared" si="101"/>
        <v>-3.3181665612344105E-2</v>
      </c>
      <c r="AD300" s="2">
        <f t="shared" si="102"/>
        <v>372.86569086969513</v>
      </c>
      <c r="AE300" s="10">
        <f t="shared" si="103"/>
        <v>53142802.703347884</v>
      </c>
    </row>
    <row r="301" spans="1:31" x14ac:dyDescent="0.25">
      <c r="A301" s="1">
        <f t="shared" si="104"/>
        <v>1.2208333333333334</v>
      </c>
      <c r="B301" s="7">
        <f t="shared" si="105"/>
        <v>67748838.748378828</v>
      </c>
      <c r="C301" s="7">
        <f t="shared" si="106"/>
        <v>53142802.703347884</v>
      </c>
      <c r="D301" s="7"/>
      <c r="E301" s="7"/>
      <c r="F301" s="7"/>
      <c r="G301" s="7"/>
      <c r="H301" s="7"/>
      <c r="I301" s="7"/>
      <c r="J301" s="7"/>
      <c r="K301" s="7"/>
      <c r="L301" s="1">
        <f t="shared" si="109"/>
        <v>1.2208333333333334</v>
      </c>
      <c r="M301">
        <f t="shared" si="107"/>
        <v>105480</v>
      </c>
      <c r="N301" s="9">
        <f t="shared" si="88"/>
        <v>-632.5894539546847</v>
      </c>
      <c r="O301" s="7">
        <f t="shared" si="89"/>
        <v>67748838.748378828</v>
      </c>
      <c r="P301" s="2">
        <f t="shared" si="92"/>
        <v>-4.230148203743201E-2</v>
      </c>
      <c r="Q301" s="2">
        <f t="shared" si="93"/>
        <v>-4.2302064416781929E-2</v>
      </c>
      <c r="R301" s="2">
        <f t="shared" si="94"/>
        <v>-4.2302065873830286E-2</v>
      </c>
      <c r="S301" s="2">
        <f t="shared" si="95"/>
        <v>-4.23040239208302E-2</v>
      </c>
      <c r="T301" s="9">
        <f t="shared" si="96"/>
        <v>-647.81827994705395</v>
      </c>
      <c r="U301" s="7">
        <f t="shared" si="97"/>
        <v>67518365.356276512</v>
      </c>
      <c r="W301">
        <f t="shared" si="108"/>
        <v>105480</v>
      </c>
      <c r="X301" s="9">
        <f t="shared" si="90"/>
        <v>372.86569086969513</v>
      </c>
      <c r="Y301" s="2">
        <f t="shared" si="91"/>
        <v>53142802.703347884</v>
      </c>
      <c r="Z301" s="2">
        <f t="shared" si="98"/>
        <v>-3.3181665627121298E-2</v>
      </c>
      <c r="AA301" s="2">
        <f t="shared" si="99"/>
        <v>-3.3279964198092725E-2</v>
      </c>
      <c r="AB301" s="2">
        <f t="shared" si="100"/>
        <v>-3.3279964353032668E-2</v>
      </c>
      <c r="AC301" s="2">
        <f t="shared" si="101"/>
        <v>-3.3379684073844021E-2</v>
      </c>
      <c r="AD301" s="2">
        <f t="shared" si="102"/>
        <v>360.88481846150216</v>
      </c>
      <c r="AE301" s="10">
        <f t="shared" si="103"/>
        <v>53274877.795027502</v>
      </c>
    </row>
    <row r="302" spans="1:31" x14ac:dyDescent="0.25">
      <c r="A302" s="1">
        <f t="shared" si="104"/>
        <v>1.2250000000000001</v>
      </c>
      <c r="B302" s="7">
        <f t="shared" si="105"/>
        <v>67518365.356276512</v>
      </c>
      <c r="C302" s="7">
        <f t="shared" si="106"/>
        <v>53274877.795027502</v>
      </c>
      <c r="D302" s="7"/>
      <c r="E302" s="7"/>
      <c r="F302" s="7"/>
      <c r="G302" s="7"/>
      <c r="H302" s="7"/>
      <c r="I302" s="7"/>
      <c r="J302" s="7"/>
      <c r="K302" s="7"/>
      <c r="L302" s="1">
        <f t="shared" si="109"/>
        <v>1.2250000000000001</v>
      </c>
      <c r="M302">
        <f t="shared" si="107"/>
        <v>105840</v>
      </c>
      <c r="N302" s="9">
        <f t="shared" si="88"/>
        <v>-647.81827994705395</v>
      </c>
      <c r="O302" s="7">
        <f t="shared" si="89"/>
        <v>67518365.356276512</v>
      </c>
      <c r="P302" s="2">
        <f t="shared" si="92"/>
        <v>-4.2304023942732118E-2</v>
      </c>
      <c r="Q302" s="2">
        <f t="shared" si="93"/>
        <v>-4.230735672611096E-2</v>
      </c>
      <c r="R302" s="2">
        <f t="shared" si="94"/>
        <v>-4.2307358256397351E-2</v>
      </c>
      <c r="S302" s="2">
        <f t="shared" si="95"/>
        <v>-4.231207103111409E-2</v>
      </c>
      <c r="T302" s="9">
        <f t="shared" si="96"/>
        <v>-663.04901144338567</v>
      </c>
      <c r="U302" s="7">
        <f t="shared" si="97"/>
        <v>67282409.24382624</v>
      </c>
      <c r="W302">
        <f t="shared" si="108"/>
        <v>105840</v>
      </c>
      <c r="X302" s="9">
        <f t="shared" si="90"/>
        <v>360.88481846150216</v>
      </c>
      <c r="Y302" s="2">
        <f t="shared" si="91"/>
        <v>53274877.795027502</v>
      </c>
      <c r="Z302" s="2">
        <f t="shared" si="98"/>
        <v>-3.3379684088833822E-2</v>
      </c>
      <c r="AA302" s="2">
        <f t="shared" si="99"/>
        <v>-3.3480841547591816E-2</v>
      </c>
      <c r="AB302" s="2">
        <f t="shared" si="100"/>
        <v>-3.3480841756799884E-2</v>
      </c>
      <c r="AC302" s="2">
        <f t="shared" si="101"/>
        <v>-3.3583454606993184E-2</v>
      </c>
      <c r="AD302" s="2">
        <f t="shared" si="102"/>
        <v>348.83162814322554</v>
      </c>
      <c r="AE302" s="10">
        <f t="shared" si="103"/>
        <v>53402626.755416356</v>
      </c>
    </row>
    <row r="303" spans="1:31" x14ac:dyDescent="0.25">
      <c r="A303" s="1">
        <f t="shared" si="104"/>
        <v>1.2291666666666667</v>
      </c>
      <c r="B303" s="7">
        <f t="shared" si="105"/>
        <v>67282409.24382624</v>
      </c>
      <c r="C303" s="7">
        <f t="shared" si="106"/>
        <v>53402626.755416356</v>
      </c>
      <c r="D303" s="7"/>
      <c r="E303" s="7"/>
      <c r="F303" s="7"/>
      <c r="G303" s="7"/>
      <c r="H303" s="7"/>
      <c r="I303" s="7"/>
      <c r="J303" s="7"/>
      <c r="K303" s="7"/>
      <c r="L303" s="1">
        <f t="shared" si="109"/>
        <v>1.2291666666666667</v>
      </c>
      <c r="M303">
        <f t="shared" si="107"/>
        <v>106200</v>
      </c>
      <c r="N303" s="9">
        <f t="shared" si="88"/>
        <v>-663.04901144338567</v>
      </c>
      <c r="O303" s="7">
        <f t="shared" si="89"/>
        <v>67282409.24382624</v>
      </c>
      <c r="P303" s="2">
        <f t="shared" si="92"/>
        <v>-4.2312071053399597E-2</v>
      </c>
      <c r="Q303" s="2">
        <f t="shared" si="93"/>
        <v>-4.2318163239051403E-2</v>
      </c>
      <c r="R303" s="2">
        <f t="shared" si="94"/>
        <v>-4.2318164844148742E-2</v>
      </c>
      <c r="S303" s="2">
        <f t="shared" si="95"/>
        <v>-4.2325642344974233E-2</v>
      </c>
      <c r="T303" s="9">
        <f t="shared" si="96"/>
        <v>-678.28363361727213</v>
      </c>
      <c r="U303" s="7">
        <f t="shared" si="97"/>
        <v>67040969.367715321</v>
      </c>
      <c r="W303">
        <f t="shared" si="108"/>
        <v>106200</v>
      </c>
      <c r="X303" s="9">
        <f t="shared" si="90"/>
        <v>348.83162814322554</v>
      </c>
      <c r="Y303" s="2">
        <f t="shared" si="91"/>
        <v>53402626.755416356</v>
      </c>
      <c r="Z303" s="2">
        <f t="shared" si="98"/>
        <v>-3.3583454622215292E-2</v>
      </c>
      <c r="AA303" s="2">
        <f t="shared" si="99"/>
        <v>-3.368754006642842E-2</v>
      </c>
      <c r="AB303" s="2">
        <f t="shared" si="100"/>
        <v>-3.3687540331232085E-2</v>
      </c>
      <c r="AC303" s="2">
        <f t="shared" si="101"/>
        <v>-3.379311687325931E-2</v>
      </c>
      <c r="AD303" s="2">
        <f t="shared" si="102"/>
        <v>336.70402420577778</v>
      </c>
      <c r="AE303" s="10">
        <f t="shared" si="103"/>
        <v>53526023.17283918</v>
      </c>
    </row>
    <row r="304" spans="1:31" x14ac:dyDescent="0.25">
      <c r="A304" s="1">
        <f t="shared" si="104"/>
        <v>1.2333333333333334</v>
      </c>
      <c r="B304" s="7">
        <f t="shared" si="105"/>
        <v>67040969.367715321</v>
      </c>
      <c r="C304" s="7">
        <f t="shared" si="106"/>
        <v>53526023.17283918</v>
      </c>
      <c r="D304" s="7"/>
      <c r="E304" s="7"/>
      <c r="F304" s="7"/>
      <c r="G304" s="7"/>
      <c r="H304" s="7"/>
      <c r="I304" s="7"/>
      <c r="J304" s="7"/>
      <c r="K304" s="7"/>
      <c r="L304" s="1">
        <f t="shared" si="109"/>
        <v>1.2333333333333334</v>
      </c>
      <c r="M304">
        <f t="shared" si="107"/>
        <v>106560</v>
      </c>
      <c r="N304" s="9">
        <f t="shared" si="88"/>
        <v>-678.28363361727213</v>
      </c>
      <c r="O304" s="7">
        <f t="shared" si="89"/>
        <v>67040969.367715321</v>
      </c>
      <c r="P304" s="2">
        <f t="shared" si="92"/>
        <v>-4.2325642367670897E-2</v>
      </c>
      <c r="Q304" s="2">
        <f t="shared" si="93"/>
        <v>-4.2334504956542715E-2</v>
      </c>
      <c r="R304" s="2">
        <f t="shared" si="94"/>
        <v>-4.2334506638144025E-2</v>
      </c>
      <c r="S304" s="2">
        <f t="shared" si="95"/>
        <v>-4.2344760877945788E-2</v>
      </c>
      <c r="T304" s="9">
        <f t="shared" si="96"/>
        <v>-693.52413920337153</v>
      </c>
      <c r="U304" s="7">
        <f t="shared" si="97"/>
        <v>66794043.968607605</v>
      </c>
      <c r="W304">
        <f t="shared" si="108"/>
        <v>106560</v>
      </c>
      <c r="X304" s="9">
        <f t="shared" si="90"/>
        <v>336.70402420577778</v>
      </c>
      <c r="Y304" s="2">
        <f t="shared" si="91"/>
        <v>53526023.17283918</v>
      </c>
      <c r="Z304" s="2">
        <f t="shared" si="98"/>
        <v>-3.3793116888734251E-2</v>
      </c>
      <c r="AA304" s="2">
        <f t="shared" si="99"/>
        <v>-3.3900202375300857E-2</v>
      </c>
      <c r="AB304" s="2">
        <f t="shared" si="100"/>
        <v>-3.3900202697131836E-2</v>
      </c>
      <c r="AC304" s="2">
        <f t="shared" si="101"/>
        <v>-3.4008816518449891E-2</v>
      </c>
      <c r="AD304" s="2">
        <f t="shared" si="102"/>
        <v>324.49985959265479</v>
      </c>
      <c r="AE304" s="10">
        <f t="shared" si="103"/>
        <v>53645039.871922895</v>
      </c>
    </row>
    <row r="305" spans="1:31" x14ac:dyDescent="0.25">
      <c r="A305" s="1">
        <f t="shared" si="104"/>
        <v>1.2375</v>
      </c>
      <c r="B305" s="7">
        <f t="shared" si="105"/>
        <v>66794043.968607605</v>
      </c>
      <c r="C305" s="7">
        <f t="shared" si="106"/>
        <v>53645039.871922895</v>
      </c>
      <c r="D305" s="7"/>
      <c r="E305" s="7"/>
      <c r="F305" s="7"/>
      <c r="G305" s="7"/>
      <c r="H305" s="7"/>
      <c r="I305" s="7"/>
      <c r="J305" s="7"/>
      <c r="K305" s="7"/>
      <c r="L305" s="1">
        <f t="shared" si="109"/>
        <v>1.2375</v>
      </c>
      <c r="M305">
        <f t="shared" si="107"/>
        <v>106920</v>
      </c>
      <c r="N305" s="9">
        <f t="shared" si="88"/>
        <v>-693.52413920337153</v>
      </c>
      <c r="O305" s="7">
        <f t="shared" si="89"/>
        <v>66794043.968607605</v>
      </c>
      <c r="P305" s="2">
        <f t="shared" si="92"/>
        <v>-4.2344760901082287E-2</v>
      </c>
      <c r="Q305" s="2">
        <f t="shared" si="93"/>
        <v>-4.2356406921022993E-2</v>
      </c>
      <c r="R305" s="2">
        <f t="shared" si="94"/>
        <v>-4.2356408680946221E-2</v>
      </c>
      <c r="S305" s="2">
        <f t="shared" si="95"/>
        <v>-4.2369453713073463E-2</v>
      </c>
      <c r="T305" s="9">
        <f t="shared" si="96"/>
        <v>-708.77252995245715</v>
      </c>
      <c r="U305" s="7">
        <f t="shared" si="97"/>
        <v>66541630.568159558</v>
      </c>
      <c r="W305">
        <f t="shared" si="108"/>
        <v>106920</v>
      </c>
      <c r="X305" s="9">
        <f t="shared" si="90"/>
        <v>324.49985959265479</v>
      </c>
      <c r="Y305" s="2">
        <f t="shared" si="91"/>
        <v>53645039.871922895</v>
      </c>
      <c r="Z305" s="2">
        <f t="shared" si="98"/>
        <v>-3.4008816534199078E-2</v>
      </c>
      <c r="AA305" s="2">
        <f t="shared" si="99"/>
        <v>-3.4118977212476177E-2</v>
      </c>
      <c r="AB305" s="2">
        <f t="shared" si="100"/>
        <v>-3.4118977592875813E-2</v>
      </c>
      <c r="AC305" s="2">
        <f t="shared" si="101"/>
        <v>-3.4230705443022057E-2</v>
      </c>
      <c r="AD305" s="2">
        <f t="shared" si="102"/>
        <v>312.21693369737926</v>
      </c>
      <c r="AE305" s="10">
        <f t="shared" si="103"/>
        <v>53759648.894715101</v>
      </c>
    </row>
    <row r="306" spans="1:31" x14ac:dyDescent="0.25">
      <c r="A306" s="1">
        <f t="shared" si="104"/>
        <v>1.2416666666666667</v>
      </c>
      <c r="B306" s="7">
        <f t="shared" si="105"/>
        <v>66541630.568159558</v>
      </c>
      <c r="C306" s="7">
        <f t="shared" si="106"/>
        <v>53759648.894715101</v>
      </c>
      <c r="D306" s="7"/>
      <c r="E306" s="7"/>
      <c r="F306" s="7"/>
      <c r="G306" s="7"/>
      <c r="H306" s="7"/>
      <c r="I306" s="7"/>
      <c r="J306" s="7"/>
      <c r="K306" s="7"/>
      <c r="L306" s="1">
        <f t="shared" si="109"/>
        <v>1.2416666666666667</v>
      </c>
      <c r="M306">
        <f t="shared" si="107"/>
        <v>107280</v>
      </c>
      <c r="N306" s="9">
        <f t="shared" si="88"/>
        <v>-708.77252995245715</v>
      </c>
      <c r="O306" s="7">
        <f t="shared" si="89"/>
        <v>66541630.568159558</v>
      </c>
      <c r="P306" s="2">
        <f t="shared" si="92"/>
        <v>-4.2369453736679684E-2</v>
      </c>
      <c r="Q306" s="2">
        <f t="shared" si="93"/>
        <v>-4.2383898270265549E-2</v>
      </c>
      <c r="R306" s="2">
        <f t="shared" si="94"/>
        <v>-4.2383900110459158E-2</v>
      </c>
      <c r="S306" s="2">
        <f t="shared" si="95"/>
        <v>-4.2399752058422786E-2</v>
      </c>
      <c r="T306" s="9">
        <f t="shared" si="96"/>
        <v>-724.03081810585024</v>
      </c>
      <c r="U306" s="7">
        <f t="shared" si="97"/>
        <v>66283725.965509064</v>
      </c>
      <c r="W306">
        <f t="shared" si="108"/>
        <v>107280</v>
      </c>
      <c r="X306" s="9">
        <f t="shared" si="90"/>
        <v>312.21693369737926</v>
      </c>
      <c r="Y306" s="2">
        <f t="shared" si="91"/>
        <v>53759648.894715101</v>
      </c>
      <c r="Z306" s="2">
        <f t="shared" si="98"/>
        <v>-3.423070545906786E-2</v>
      </c>
      <c r="AA306" s="2">
        <f t="shared" si="99"/>
        <v>-3.4344019711906454E-2</v>
      </c>
      <c r="AB306" s="2">
        <f t="shared" si="100"/>
        <v>-3.4344020152531157E-2</v>
      </c>
      <c r="AC306" s="2">
        <f t="shared" si="101"/>
        <v>-3.4458942088257345E-2</v>
      </c>
      <c r="AD306" s="2">
        <f t="shared" si="102"/>
        <v>299.85299006080726</v>
      </c>
      <c r="AE306" s="10">
        <f t="shared" si="103"/>
        <v>53869821.480991572</v>
      </c>
    </row>
    <row r="307" spans="1:31" x14ac:dyDescent="0.25">
      <c r="A307" s="1">
        <f t="shared" si="104"/>
        <v>1.2458333333333333</v>
      </c>
      <c r="B307" s="7">
        <f t="shared" si="105"/>
        <v>66283725.965509064</v>
      </c>
      <c r="C307" s="7">
        <f t="shared" si="106"/>
        <v>53869821.480991572</v>
      </c>
      <c r="D307" s="7"/>
      <c r="E307" s="7"/>
      <c r="F307" s="7"/>
      <c r="G307" s="7"/>
      <c r="H307" s="7"/>
      <c r="I307" s="7"/>
      <c r="J307" s="7"/>
      <c r="K307" s="7"/>
      <c r="L307" s="1">
        <f t="shared" si="109"/>
        <v>1.2458333333333333</v>
      </c>
      <c r="M307">
        <f t="shared" si="107"/>
        <v>107640</v>
      </c>
      <c r="N307" s="9">
        <f t="shared" si="88"/>
        <v>-724.03081810585024</v>
      </c>
      <c r="O307" s="7">
        <f t="shared" si="89"/>
        <v>66283725.965509064</v>
      </c>
      <c r="P307" s="2">
        <f t="shared" si="92"/>
        <v>-4.2399752082529919E-2</v>
      </c>
      <c r="Q307" s="2">
        <f t="shared" si="93"/>
        <v>-4.2417012298613818E-2</v>
      </c>
      <c r="R307" s="2">
        <f t="shared" si="94"/>
        <v>-4.2417014221162466E-2</v>
      </c>
      <c r="S307" s="2">
        <f t="shared" si="95"/>
        <v>-4.2435691312091864E-2</v>
      </c>
      <c r="T307" s="9">
        <f t="shared" si="96"/>
        <v>-739.30102789190073</v>
      </c>
      <c r="U307" s="7">
        <f t="shared" si="97"/>
        <v>66020326.233229466</v>
      </c>
      <c r="W307">
        <f t="shared" si="108"/>
        <v>107640</v>
      </c>
      <c r="X307" s="9">
        <f t="shared" si="90"/>
        <v>299.85299006080726</v>
      </c>
      <c r="Y307" s="2">
        <f t="shared" si="91"/>
        <v>53869821.480991572</v>
      </c>
      <c r="Z307" s="2">
        <f t="shared" si="98"/>
        <v>-3.4458942104623233E-2</v>
      </c>
      <c r="AA307" s="2">
        <f t="shared" si="99"/>
        <v>-3.4575491697722345E-2</v>
      </c>
      <c r="AB307" s="2">
        <f t="shared" si="100"/>
        <v>-3.4575492200349958E-2</v>
      </c>
      <c r="AC307" s="2">
        <f t="shared" si="101"/>
        <v>-3.4693691739346867E-2</v>
      </c>
      <c r="AD307" s="2">
        <f t="shared" si="102"/>
        <v>287.4057139624004</v>
      </c>
      <c r="AE307" s="10">
        <f t="shared" si="103"/>
        <v>53975528.047715746</v>
      </c>
    </row>
    <row r="308" spans="1:31" x14ac:dyDescent="0.25">
      <c r="A308" s="1">
        <f t="shared" si="104"/>
        <v>1.25</v>
      </c>
      <c r="B308" s="7">
        <f t="shared" si="105"/>
        <v>66020326.233229466</v>
      </c>
      <c r="C308" s="7">
        <f t="shared" si="106"/>
        <v>53975528.047715746</v>
      </c>
      <c r="D308" s="7"/>
      <c r="E308" s="7"/>
      <c r="F308" s="7"/>
      <c r="G308" s="7"/>
      <c r="H308" s="7"/>
      <c r="I308" s="7"/>
      <c r="J308" s="7"/>
      <c r="K308" s="7"/>
      <c r="L308" s="1">
        <f t="shared" si="109"/>
        <v>1.25</v>
      </c>
      <c r="M308">
        <f t="shared" si="107"/>
        <v>108000</v>
      </c>
      <c r="N308" s="9">
        <f t="shared" si="88"/>
        <v>-739.30102789190073</v>
      </c>
      <c r="O308" s="7">
        <f t="shared" si="89"/>
        <v>66020326.233229466</v>
      </c>
      <c r="P308" s="2">
        <f t="shared" si="92"/>
        <v>-4.2435691336732556E-2</v>
      </c>
      <c r="Q308" s="2">
        <f t="shared" si="93"/>
        <v>-4.245578652582508E-2</v>
      </c>
      <c r="R308" s="2">
        <f t="shared" si="94"/>
        <v>-4.2455788532956083E-2</v>
      </c>
      <c r="S308" s="2">
        <f t="shared" si="95"/>
        <v>-4.2477311134947536E-2</v>
      </c>
      <c r="T308" s="9">
        <f t="shared" si="96"/>
        <v>-754.58519704725529</v>
      </c>
      <c r="U308" s="7">
        <f t="shared" si="97"/>
        <v>65751426.712740421</v>
      </c>
      <c r="W308">
        <f t="shared" si="108"/>
        <v>108000</v>
      </c>
      <c r="X308" s="9">
        <f t="shared" si="90"/>
        <v>287.4057139624004</v>
      </c>
      <c r="Y308" s="2">
        <f t="shared" si="91"/>
        <v>53975528.047715746</v>
      </c>
      <c r="Z308" s="2">
        <f t="shared" si="98"/>
        <v>-3.4693691756057458E-2</v>
      </c>
      <c r="AA308" s="2">
        <f t="shared" si="99"/>
        <v>-3.4813561996190033E-2</v>
      </c>
      <c r="AB308" s="2">
        <f t="shared" si="100"/>
        <v>-3.4813562562726413E-2</v>
      </c>
      <c r="AC308" s="2">
        <f t="shared" si="101"/>
        <v>-3.4935126846512822E-2</v>
      </c>
      <c r="AD308" s="2">
        <f t="shared" si="102"/>
        <v>274.87272989917619</v>
      </c>
      <c r="AE308" s="10">
        <f t="shared" si="103"/>
        <v>54076738.167610832</v>
      </c>
    </row>
    <row r="309" spans="1:31" x14ac:dyDescent="0.25">
      <c r="A309" s="1">
        <f t="shared" si="104"/>
        <v>1.2541666666666667</v>
      </c>
      <c r="B309" s="7">
        <f t="shared" si="105"/>
        <v>65751426.712740421</v>
      </c>
      <c r="C309" s="7">
        <f t="shared" si="106"/>
        <v>54076738.167610832</v>
      </c>
      <c r="D309" s="7"/>
      <c r="E309" s="7"/>
      <c r="F309" s="7"/>
      <c r="G309" s="7"/>
      <c r="H309" s="7"/>
      <c r="I309" s="7"/>
      <c r="J309" s="7"/>
      <c r="K309" s="7"/>
      <c r="L309" s="1">
        <f t="shared" si="109"/>
        <v>1.2541666666666667</v>
      </c>
      <c r="M309">
        <f t="shared" si="107"/>
        <v>108360</v>
      </c>
      <c r="N309" s="9">
        <f t="shared" si="88"/>
        <v>-754.58519704725529</v>
      </c>
      <c r="O309" s="7">
        <f t="shared" si="89"/>
        <v>65751426.712740421</v>
      </c>
      <c r="P309" s="2">
        <f t="shared" si="92"/>
        <v>-4.2477311160155948E-2</v>
      </c>
      <c r="Q309" s="2">
        <f t="shared" si="93"/>
        <v>-4.2500262773760351E-2</v>
      </c>
      <c r="R309" s="2">
        <f t="shared" si="94"/>
        <v>-4.2500264867850503E-2</v>
      </c>
      <c r="S309" s="2">
        <f t="shared" si="95"/>
        <v>-4.2524655531335769E-2</v>
      </c>
      <c r="T309" s="9">
        <f t="shared" si="96"/>
        <v>-769.88537836573812</v>
      </c>
      <c r="U309" s="7">
        <f t="shared" si="97"/>
        <v>65477022.009166084</v>
      </c>
      <c r="W309">
        <f t="shared" si="108"/>
        <v>108360</v>
      </c>
      <c r="X309" s="9">
        <f t="shared" si="90"/>
        <v>274.87272989917619</v>
      </c>
      <c r="Y309" s="2">
        <f t="shared" si="91"/>
        <v>54076738.167610832</v>
      </c>
      <c r="Z309" s="2">
        <f t="shared" si="98"/>
        <v>-3.4935126863593964E-2</v>
      </c>
      <c r="AA309" s="2">
        <f t="shared" si="99"/>
        <v>-3.5058406766299531E-2</v>
      </c>
      <c r="AB309" s="2">
        <f t="shared" si="100"/>
        <v>-3.5058407398785775E-2</v>
      </c>
      <c r="AC309" s="2">
        <f t="shared" si="101"/>
        <v>-3.5183427365379299E-2</v>
      </c>
      <c r="AD309" s="2">
        <f t="shared" si="102"/>
        <v>262.25159894562756</v>
      </c>
      <c r="AE309" s="10">
        <f t="shared" si="103"/>
        <v>54173420.546802893</v>
      </c>
    </row>
    <row r="310" spans="1:31" x14ac:dyDescent="0.25">
      <c r="A310" s="1">
        <f t="shared" si="104"/>
        <v>1.2583333333333333</v>
      </c>
      <c r="B310" s="7">
        <f t="shared" si="105"/>
        <v>65477022.009166084</v>
      </c>
      <c r="C310" s="7">
        <f t="shared" si="106"/>
        <v>54173420.546802893</v>
      </c>
      <c r="D310" s="7"/>
      <c r="E310" s="7"/>
      <c r="F310" s="7"/>
      <c r="G310" s="7"/>
      <c r="H310" s="7"/>
      <c r="I310" s="7"/>
      <c r="J310" s="7"/>
      <c r="K310" s="7"/>
      <c r="L310" s="1">
        <f t="shared" si="109"/>
        <v>1.2583333333333333</v>
      </c>
      <c r="M310">
        <f t="shared" si="107"/>
        <v>108720</v>
      </c>
      <c r="N310" s="9">
        <f t="shared" si="88"/>
        <v>-769.88537836573812</v>
      </c>
      <c r="O310" s="7">
        <f t="shared" si="89"/>
        <v>65477022.009166084</v>
      </c>
      <c r="P310" s="2">
        <f t="shared" si="92"/>
        <v>-4.2524655557147746E-2</v>
      </c>
      <c r="Q310" s="2">
        <f t="shared" si="93"/>
        <v>-4.2550487251183697E-2</v>
      </c>
      <c r="R310" s="2">
        <f t="shared" si="94"/>
        <v>-4.2550489434766782E-2</v>
      </c>
      <c r="S310" s="2">
        <f t="shared" si="95"/>
        <v>-4.257777293804417E-2</v>
      </c>
      <c r="T310" s="9">
        <f t="shared" si="96"/>
        <v>-785.20364127776372</v>
      </c>
      <c r="U310" s="7">
        <f t="shared" si="97"/>
        <v>65197105.985630251</v>
      </c>
      <c r="W310">
        <f t="shared" si="108"/>
        <v>108720</v>
      </c>
      <c r="X310" s="9">
        <f t="shared" si="90"/>
        <v>262.25159894562756</v>
      </c>
      <c r="Y310" s="2">
        <f t="shared" si="91"/>
        <v>54173420.546802893</v>
      </c>
      <c r="Z310" s="2">
        <f t="shared" si="98"/>
        <v>-3.5183427382858214E-2</v>
      </c>
      <c r="AA310" s="2">
        <f t="shared" si="99"/>
        <v>-3.5310209850243642E-2</v>
      </c>
      <c r="AB310" s="2">
        <f t="shared" si="100"/>
        <v>-3.5310210550863919E-2</v>
      </c>
      <c r="AC310" s="2">
        <f t="shared" si="101"/>
        <v>-3.5438781117899776E-2</v>
      </c>
      <c r="AD310" s="2">
        <f t="shared" si="102"/>
        <v>249.53981598744917</v>
      </c>
      <c r="AE310" s="10">
        <f t="shared" si="103"/>
        <v>54265543.001490846</v>
      </c>
    </row>
    <row r="311" spans="1:31" x14ac:dyDescent="0.25">
      <c r="A311" s="1">
        <f t="shared" si="104"/>
        <v>1.2625</v>
      </c>
      <c r="B311" s="7">
        <f t="shared" si="105"/>
        <v>65197105.985630251</v>
      </c>
      <c r="C311" s="7">
        <f t="shared" si="106"/>
        <v>54265543.001490846</v>
      </c>
      <c r="D311" s="7"/>
      <c r="E311" s="7"/>
      <c r="F311" s="7"/>
      <c r="G311" s="7"/>
      <c r="H311" s="7"/>
      <c r="I311" s="7"/>
      <c r="J311" s="7"/>
      <c r="K311" s="7"/>
      <c r="L311" s="1">
        <f t="shared" si="109"/>
        <v>1.2625</v>
      </c>
      <c r="M311">
        <f t="shared" si="107"/>
        <v>109080</v>
      </c>
      <c r="N311" s="9">
        <f t="shared" si="88"/>
        <v>-785.20364127776372</v>
      </c>
      <c r="O311" s="7">
        <f t="shared" si="89"/>
        <v>65197105.985630251</v>
      </c>
      <c r="P311" s="2">
        <f t="shared" si="92"/>
        <v>-4.2577772964497336E-2</v>
      </c>
      <c r="Q311" s="2">
        <f t="shared" si="93"/>
        <v>-4.2606510646963254E-2</v>
      </c>
      <c r="R311" s="2">
        <f t="shared" si="94"/>
        <v>-4.2606512922738066E-2</v>
      </c>
      <c r="S311" s="2">
        <f t="shared" si="95"/>
        <v>-4.2636716321822934E-2</v>
      </c>
      <c r="T311" s="9">
        <f t="shared" si="96"/>
        <v>-800.54207346330713</v>
      </c>
      <c r="U311" s="7">
        <f t="shared" si="97"/>
        <v>64911671.756976858</v>
      </c>
      <c r="W311">
        <f t="shared" si="108"/>
        <v>109080</v>
      </c>
      <c r="X311" s="9">
        <f t="shared" si="90"/>
        <v>249.53981598744917</v>
      </c>
      <c r="Y311" s="2">
        <f t="shared" si="91"/>
        <v>54265543.001490846</v>
      </c>
      <c r="Z311" s="2">
        <f t="shared" si="98"/>
        <v>-3.5438781135805196E-2</v>
      </c>
      <c r="AA311" s="2">
        <f t="shared" si="99"/>
        <v>-3.5569163145145022E-2</v>
      </c>
      <c r="AB311" s="2">
        <f t="shared" si="100"/>
        <v>-3.5569163916235047E-2</v>
      </c>
      <c r="AC311" s="2">
        <f t="shared" si="101"/>
        <v>-3.5701384175251302E-2</v>
      </c>
      <c r="AD311" s="2">
        <f t="shared" si="102"/>
        <v>236.73480682142016</v>
      </c>
      <c r="AE311" s="10">
        <f t="shared" si="103"/>
        <v>54353072.43359644</v>
      </c>
    </row>
    <row r="312" spans="1:31" x14ac:dyDescent="0.25">
      <c r="A312" s="1">
        <f t="shared" si="104"/>
        <v>1.2666666666666666</v>
      </c>
      <c r="B312" s="7">
        <f t="shared" si="105"/>
        <v>64911671.756976858</v>
      </c>
      <c r="C312" s="7">
        <f t="shared" si="106"/>
        <v>54353072.43359644</v>
      </c>
      <c r="D312" s="7"/>
      <c r="E312" s="7"/>
      <c r="F312" s="7"/>
      <c r="G312" s="7"/>
      <c r="H312" s="7"/>
      <c r="I312" s="7"/>
      <c r="J312" s="7"/>
      <c r="K312" s="7"/>
      <c r="L312" s="1">
        <f t="shared" si="109"/>
        <v>1.2666666666666666</v>
      </c>
      <c r="M312">
        <f t="shared" si="107"/>
        <v>109440</v>
      </c>
      <c r="N312" s="9">
        <f t="shared" ref="N312:N360" si="110">T311</f>
        <v>-800.54207346330713</v>
      </c>
      <c r="O312" s="7">
        <f t="shared" ref="O312:O360" si="111">U311</f>
        <v>64911671.756976858</v>
      </c>
      <c r="P312" s="2">
        <f t="shared" si="92"/>
        <v>-4.2636716348956889E-2</v>
      </c>
      <c r="Q312" s="2">
        <f t="shared" si="93"/>
        <v>-4.2668388231995417E-2</v>
      </c>
      <c r="R312" s="2">
        <f t="shared" si="94"/>
        <v>-4.2668390602834526E-2</v>
      </c>
      <c r="S312" s="2">
        <f t="shared" si="95"/>
        <v>-4.2701543285801856E-2</v>
      </c>
      <c r="T312" s="9">
        <f t="shared" si="96"/>
        <v>-815.90278250157223</v>
      </c>
      <c r="U312" s="7">
        <f t="shared" si="97"/>
        <v>64620711.682903178</v>
      </c>
      <c r="W312">
        <f t="shared" si="108"/>
        <v>109440</v>
      </c>
      <c r="X312" s="9">
        <f t="shared" ref="X312:X360" si="112">AD311</f>
        <v>236.73480682142016</v>
      </c>
      <c r="Y312" s="2">
        <f t="shared" ref="Y312:Y360" si="113">AE311</f>
        <v>54353072.43359644</v>
      </c>
      <c r="Z312" s="2">
        <f t="shared" si="98"/>
        <v>-3.5701384193613482E-2</v>
      </c>
      <c r="AA312" s="2">
        <f t="shared" si="99"/>
        <v>-3.5835466997496429E-2</v>
      </c>
      <c r="AB312" s="2">
        <f t="shared" si="100"/>
        <v>-3.583546784155265E-2</v>
      </c>
      <c r="AC312" s="2">
        <f t="shared" si="101"/>
        <v>-3.5971441264217301E-2</v>
      </c>
      <c r="AD312" s="2">
        <f t="shared" si="102"/>
        <v>223.83392511326443</v>
      </c>
      <c r="AE312" s="10">
        <f t="shared" si="103"/>
        <v>54435974.805344686</v>
      </c>
    </row>
    <row r="313" spans="1:31" x14ac:dyDescent="0.25">
      <c r="A313" s="1">
        <f t="shared" si="104"/>
        <v>1.2708333333333333</v>
      </c>
      <c r="B313" s="7">
        <f t="shared" si="105"/>
        <v>64620711.682903178</v>
      </c>
      <c r="C313" s="7">
        <f t="shared" si="106"/>
        <v>54435974.805344686</v>
      </c>
      <c r="D313" s="7"/>
      <c r="E313" s="7"/>
      <c r="F313" s="7"/>
      <c r="G313" s="7"/>
      <c r="H313" s="7"/>
      <c r="I313" s="7"/>
      <c r="J313" s="7"/>
      <c r="K313" s="7"/>
      <c r="L313" s="1">
        <f t="shared" si="109"/>
        <v>1.2708333333333333</v>
      </c>
      <c r="M313">
        <f t="shared" si="107"/>
        <v>109800</v>
      </c>
      <c r="N313" s="9">
        <f t="shared" si="110"/>
        <v>-815.90278250157223</v>
      </c>
      <c r="O313" s="7">
        <f t="shared" si="111"/>
        <v>64620711.682903178</v>
      </c>
      <c r="P313" s="2">
        <f t="shared" si="92"/>
        <v>-4.2701543313658261E-2</v>
      </c>
      <c r="Q313" s="2">
        <f t="shared" si="93"/>
        <v>-4.2736179970205325E-2</v>
      </c>
      <c r="R313" s="2">
        <f t="shared" si="94"/>
        <v>-4.2736182439164452E-2</v>
      </c>
      <c r="S313" s="2">
        <f t="shared" si="95"/>
        <v>-4.2772316185172334E-2</v>
      </c>
      <c r="T313" s="9">
        <f t="shared" si="96"/>
        <v>-831.28789756062645</v>
      </c>
      <c r="U313" s="7">
        <f t="shared" si="97"/>
        <v>64324217.360491984</v>
      </c>
      <c r="W313">
        <f t="shared" si="108"/>
        <v>109800</v>
      </c>
      <c r="X313" s="9">
        <f t="shared" si="112"/>
        <v>223.83392511326443</v>
      </c>
      <c r="Y313" s="2">
        <f t="shared" si="113"/>
        <v>54435974.805344686</v>
      </c>
      <c r="Z313" s="2">
        <f t="shared" si="98"/>
        <v>-3.5971441283068277E-2</v>
      </c>
      <c r="AA313" s="2">
        <f t="shared" si="99"/>
        <v>-3.6109330621895787E-2</v>
      </c>
      <c r="AB313" s="2">
        <f t="shared" si="100"/>
        <v>-3.6109331541585236E-2</v>
      </c>
      <c r="AC313" s="2">
        <f t="shared" si="101"/>
        <v>-3.6249166198703359E-2</v>
      </c>
      <c r="AD313" s="2">
        <f t="shared" si="102"/>
        <v>210.83444920474039</v>
      </c>
      <c r="AE313" s="10">
        <f t="shared" si="103"/>
        <v>54514215.112721927</v>
      </c>
    </row>
    <row r="314" spans="1:31" x14ac:dyDescent="0.25">
      <c r="A314" s="1">
        <f t="shared" si="104"/>
        <v>1.2749999999999999</v>
      </c>
      <c r="B314" s="7">
        <f t="shared" si="105"/>
        <v>64324217.360491984</v>
      </c>
      <c r="C314" s="7">
        <f t="shared" si="106"/>
        <v>54514215.112721927</v>
      </c>
      <c r="D314" s="7"/>
      <c r="E314" s="7"/>
      <c r="F314" s="7"/>
      <c r="G314" s="7"/>
      <c r="H314" s="7"/>
      <c r="I314" s="7"/>
      <c r="J314" s="7"/>
      <c r="K314" s="7"/>
      <c r="L314" s="1">
        <f t="shared" si="109"/>
        <v>1.2749999999999999</v>
      </c>
      <c r="M314">
        <f t="shared" si="107"/>
        <v>110160</v>
      </c>
      <c r="N314" s="9">
        <f t="shared" si="110"/>
        <v>-831.28789756062645</v>
      </c>
      <c r="O314" s="7">
        <f t="shared" si="111"/>
        <v>64324217.360491984</v>
      </c>
      <c r="P314" s="2">
        <f t="shared" si="92"/>
        <v>-4.2772316213795111E-2</v>
      </c>
      <c r="Q314" s="2">
        <f t="shared" si="93"/>
        <v>-4.2809950639010101E-2</v>
      </c>
      <c r="R314" s="2">
        <f t="shared" si="94"/>
        <v>-4.2809953209338385E-2</v>
      </c>
      <c r="S314" s="2">
        <f t="shared" si="95"/>
        <v>-4.2849102252538622E-2</v>
      </c>
      <c r="T314" s="9">
        <f t="shared" si="96"/>
        <v>-846.69957113040834</v>
      </c>
      <c r="U314" s="7">
        <f t="shared" si="97"/>
        <v>64022179.616127595</v>
      </c>
      <c r="W314">
        <f t="shared" si="108"/>
        <v>110160</v>
      </c>
      <c r="X314" s="9">
        <f t="shared" si="112"/>
        <v>210.83444920474039</v>
      </c>
      <c r="Y314" s="2">
        <f t="shared" si="113"/>
        <v>54514215.112721927</v>
      </c>
      <c r="Z314" s="2">
        <f t="shared" si="98"/>
        <v>-3.6249166218077028E-2</v>
      </c>
      <c r="AA314" s="2">
        <f t="shared" si="99"/>
        <v>-3.6390972545784772E-2</v>
      </c>
      <c r="AB314" s="2">
        <f t="shared" si="100"/>
        <v>-3.6390973543955929E-2</v>
      </c>
      <c r="AC314" s="2">
        <f t="shared" si="101"/>
        <v>-3.6534782338162243E-2</v>
      </c>
      <c r="AD314" s="2">
        <f t="shared" si="102"/>
        <v>197.73357876059714</v>
      </c>
      <c r="AE314" s="10">
        <f t="shared" si="103"/>
        <v>54587757.357755691</v>
      </c>
    </row>
    <row r="315" spans="1:31" x14ac:dyDescent="0.25">
      <c r="A315" s="1">
        <f t="shared" si="104"/>
        <v>1.2791666666666666</v>
      </c>
      <c r="B315" s="7">
        <f t="shared" si="105"/>
        <v>64022179.616127595</v>
      </c>
      <c r="C315" s="7">
        <f t="shared" si="106"/>
        <v>54587757.357755691</v>
      </c>
      <c r="D315" s="7"/>
      <c r="E315" s="7"/>
      <c r="F315" s="7"/>
      <c r="G315" s="7"/>
      <c r="H315" s="7"/>
      <c r="I315" s="7"/>
      <c r="J315" s="7"/>
      <c r="K315" s="7"/>
      <c r="L315" s="1">
        <f t="shared" si="109"/>
        <v>1.2791666666666666</v>
      </c>
      <c r="M315">
        <f t="shared" si="107"/>
        <v>110520</v>
      </c>
      <c r="N315" s="9">
        <f t="shared" si="110"/>
        <v>-846.69957113040834</v>
      </c>
      <c r="O315" s="7">
        <f t="shared" si="111"/>
        <v>64022179.616127595</v>
      </c>
      <c r="P315" s="2">
        <f t="shared" si="92"/>
        <v>-4.284910228197418E-2</v>
      </c>
      <c r="Q315" s="2">
        <f t="shared" si="93"/>
        <v>-4.2889769959666542E-2</v>
      </c>
      <c r="R315" s="2">
        <f t="shared" si="94"/>
        <v>-4.2889772634817518E-2</v>
      </c>
      <c r="S315" s="2">
        <f t="shared" si="95"/>
        <v>-4.2931973733378488E-2</v>
      </c>
      <c r="T315" s="9">
        <f t="shared" si="96"/>
        <v>-862.13998080266754</v>
      </c>
      <c r="U315" s="7">
        <f t="shared" si="97"/>
        <v>63714588.496779643</v>
      </c>
      <c r="W315">
        <f t="shared" si="108"/>
        <v>110520</v>
      </c>
      <c r="X315" s="9">
        <f t="shared" si="112"/>
        <v>197.73357876059714</v>
      </c>
      <c r="Y315" s="2">
        <f t="shared" si="113"/>
        <v>54587757.357755691</v>
      </c>
      <c r="Z315" s="2">
        <f t="shared" si="98"/>
        <v>-3.6534782358094577E-2</v>
      </c>
      <c r="AA315" s="2">
        <f t="shared" si="99"/>
        <v>-3.6680621082039122E-2</v>
      </c>
      <c r="AB315" s="2">
        <f t="shared" si="100"/>
        <v>-3.668062216173347E-2</v>
      </c>
      <c r="AC315" s="2">
        <f t="shared" si="101"/>
        <v>-3.6828523074850579E-2</v>
      </c>
      <c r="AD315" s="2">
        <f t="shared" si="102"/>
        <v>184.52843124536773</v>
      </c>
      <c r="AE315" s="10">
        <f t="shared" si="103"/>
        <v>54656564.519556761</v>
      </c>
    </row>
    <row r="316" spans="1:31" x14ac:dyDescent="0.25">
      <c r="A316" s="1">
        <f t="shared" si="104"/>
        <v>1.2833333333333334</v>
      </c>
      <c r="B316" s="7">
        <f t="shared" si="105"/>
        <v>63714588.496779643</v>
      </c>
      <c r="C316" s="7">
        <f t="shared" si="106"/>
        <v>54656564.519556761</v>
      </c>
      <c r="D316" s="7"/>
      <c r="E316" s="7"/>
      <c r="F316" s="7"/>
      <c r="G316" s="7"/>
      <c r="H316" s="7"/>
      <c r="I316" s="7"/>
      <c r="J316" s="7"/>
      <c r="K316" s="7"/>
      <c r="L316" s="1">
        <f t="shared" si="109"/>
        <v>1.2833333333333334</v>
      </c>
      <c r="M316">
        <f t="shared" si="107"/>
        <v>110880</v>
      </c>
      <c r="N316" s="9">
        <f t="shared" si="110"/>
        <v>-862.13998080266754</v>
      </c>
      <c r="O316" s="7">
        <f t="shared" si="111"/>
        <v>63714588.496779643</v>
      </c>
      <c r="P316" s="2">
        <f t="shared" si="92"/>
        <v>-4.2931973763675801E-2</v>
      </c>
      <c r="Q316" s="2">
        <f t="shared" si="93"/>
        <v>-4.2975712737962676E-2</v>
      </c>
      <c r="R316" s="2">
        <f t="shared" si="94"/>
        <v>-4.297571552160618E-2</v>
      </c>
      <c r="S316" s="2">
        <f t="shared" si="95"/>
        <v>-4.3021008032092051E-2</v>
      </c>
      <c r="T316" s="9">
        <f t="shared" si="96"/>
        <v>-877.61133110156186</v>
      </c>
      <c r="U316" s="7">
        <f t="shared" si="97"/>
        <v>63401433.260636881</v>
      </c>
      <c r="W316">
        <f t="shared" si="108"/>
        <v>110880</v>
      </c>
      <c r="X316" s="9">
        <f t="shared" si="112"/>
        <v>184.52843124536773</v>
      </c>
      <c r="Y316" s="2">
        <f t="shared" si="113"/>
        <v>54656564.519556761</v>
      </c>
      <c r="Z316" s="2">
        <f t="shared" si="98"/>
        <v>-3.6828523095379713E-2</v>
      </c>
      <c r="AA316" s="2">
        <f t="shared" si="99"/>
        <v>-3.6978514831409438E-2</v>
      </c>
      <c r="AB316" s="2">
        <f t="shared" si="100"/>
        <v>-3.6978515995874164E-2</v>
      </c>
      <c r="AC316" s="2">
        <f t="shared" si="101"/>
        <v>-3.7130632351997012E-2</v>
      </c>
      <c r="AD316" s="2">
        <f t="shared" si="102"/>
        <v>171.21603821925109</v>
      </c>
      <c r="AE316" s="10">
        <f t="shared" si="103"/>
        <v>54720598.524060391</v>
      </c>
    </row>
    <row r="317" spans="1:31" x14ac:dyDescent="0.25">
      <c r="A317" s="1">
        <f t="shared" si="104"/>
        <v>1.2875000000000001</v>
      </c>
      <c r="B317" s="7">
        <f t="shared" si="105"/>
        <v>63401433.260636881</v>
      </c>
      <c r="C317" s="7">
        <f t="shared" si="106"/>
        <v>54720598.524060391</v>
      </c>
      <c r="D317" s="7"/>
      <c r="E317" s="7"/>
      <c r="F317" s="7"/>
      <c r="G317" s="7"/>
      <c r="H317" s="7"/>
      <c r="I317" s="7"/>
      <c r="J317" s="7"/>
      <c r="K317" s="7"/>
      <c r="L317" s="1">
        <f t="shared" si="109"/>
        <v>1.2875000000000001</v>
      </c>
      <c r="M317">
        <f t="shared" si="107"/>
        <v>111240</v>
      </c>
      <c r="N317" s="9">
        <f t="shared" si="110"/>
        <v>-877.61133110156186</v>
      </c>
      <c r="O317" s="7">
        <f t="shared" si="111"/>
        <v>63401433.260636881</v>
      </c>
      <c r="P317" s="2">
        <f t="shared" si="92"/>
        <v>-4.3021008063302973E-2</v>
      </c>
      <c r="Q317" s="2">
        <f t="shared" si="93"/>
        <v>-4.3067859015752281E-2</v>
      </c>
      <c r="R317" s="2">
        <f t="shared" si="94"/>
        <v>-4.3067861911787388E-2</v>
      </c>
      <c r="S317" s="2">
        <f t="shared" si="95"/>
        <v>-4.3116287869159553E-2</v>
      </c>
      <c r="T317" s="9">
        <f t="shared" si="96"/>
        <v>-893.11585536881432</v>
      </c>
      <c r="U317" s="7">
        <f t="shared" si="97"/>
        <v>63082702.36707221</v>
      </c>
      <c r="W317">
        <f t="shared" si="108"/>
        <v>111240</v>
      </c>
      <c r="X317" s="9">
        <f t="shared" si="112"/>
        <v>171.21603821925109</v>
      </c>
      <c r="Y317" s="2">
        <f t="shared" si="113"/>
        <v>54720598.524060391</v>
      </c>
      <c r="Z317" s="2">
        <f t="shared" si="98"/>
        <v>-3.7130632373163476E-2</v>
      </c>
      <c r="AA317" s="2">
        <f t="shared" si="99"/>
        <v>-3.7284903216977923E-2</v>
      </c>
      <c r="AB317" s="2">
        <f t="shared" si="100"/>
        <v>-3.7284904469679497E-2</v>
      </c>
      <c r="AC317" s="2">
        <f t="shared" si="101"/>
        <v>-3.7441365215135435E-2</v>
      </c>
      <c r="AD317" s="2">
        <f t="shared" si="102"/>
        <v>157.79334144155428</v>
      </c>
      <c r="AE317" s="10">
        <f t="shared" si="103"/>
        <v>54779820.212399334</v>
      </c>
    </row>
    <row r="318" spans="1:31" x14ac:dyDescent="0.25">
      <c r="A318" s="1">
        <f t="shared" si="104"/>
        <v>1.2916666666666667</v>
      </c>
      <c r="B318" s="7">
        <f t="shared" si="105"/>
        <v>63082702.36707221</v>
      </c>
      <c r="C318" s="7">
        <f t="shared" si="106"/>
        <v>54779820.212399334</v>
      </c>
      <c r="D318" s="7"/>
      <c r="E318" s="7"/>
      <c r="F318" s="7"/>
      <c r="G318" s="7"/>
      <c r="H318" s="7"/>
      <c r="I318" s="7"/>
      <c r="J318" s="7"/>
      <c r="K318" s="7"/>
      <c r="L318" s="1">
        <f t="shared" si="109"/>
        <v>1.2916666666666667</v>
      </c>
      <c r="M318">
        <f t="shared" si="107"/>
        <v>111600</v>
      </c>
      <c r="N318" s="9">
        <f t="shared" si="110"/>
        <v>-893.11585536881432</v>
      </c>
      <c r="O318" s="7">
        <f t="shared" si="111"/>
        <v>63082702.36707221</v>
      </c>
      <c r="P318" s="2">
        <f t="shared" si="92"/>
        <v>-4.3116287901339014E-2</v>
      </c>
      <c r="Q318" s="2">
        <f t="shared" si="93"/>
        <v>-4.3166294233874941E-2</v>
      </c>
      <c r="R318" s="2">
        <f t="shared" si="94"/>
        <v>-4.3166297246443719E-2</v>
      </c>
      <c r="S318" s="2">
        <f t="shared" si="95"/>
        <v>-4.32179014499725E-2</v>
      </c>
      <c r="T318" s="9">
        <f t="shared" si="96"/>
        <v>-908.65581770753124</v>
      </c>
      <c r="U318" s="7">
        <f t="shared" si="97"/>
        <v>62758383.465918466</v>
      </c>
      <c r="W318">
        <f t="shared" si="108"/>
        <v>111600</v>
      </c>
      <c r="X318" s="9">
        <f t="shared" si="112"/>
        <v>157.79334144155428</v>
      </c>
      <c r="Y318" s="2">
        <f t="shared" si="113"/>
        <v>54779820.212399334</v>
      </c>
      <c r="Z318" s="2">
        <f t="shared" si="98"/>
        <v>-3.7441365236982341E-2</v>
      </c>
      <c r="AA318" s="2">
        <f t="shared" si="99"/>
        <v>-3.7600047052976378E-2</v>
      </c>
      <c r="AB318" s="2">
        <f t="shared" si="100"/>
        <v>-3.7600048397615528E-2</v>
      </c>
      <c r="AC318" s="2">
        <f t="shared" si="101"/>
        <v>-3.7760988399045951E-2</v>
      </c>
      <c r="AD318" s="2">
        <f t="shared" si="102"/>
        <v>144.25718876932154</v>
      </c>
      <c r="AE318" s="10">
        <f t="shared" si="103"/>
        <v>54834189.307837293</v>
      </c>
    </row>
    <row r="319" spans="1:31" x14ac:dyDescent="0.25">
      <c r="A319" s="1">
        <f t="shared" si="104"/>
        <v>1.2958333333333334</v>
      </c>
      <c r="B319" s="7">
        <f t="shared" si="105"/>
        <v>62758383.465918466</v>
      </c>
      <c r="C319" s="7">
        <f t="shared" si="106"/>
        <v>54834189.307837293</v>
      </c>
      <c r="D319" s="7"/>
      <c r="E319" s="7"/>
      <c r="F319" s="7"/>
      <c r="G319" s="7"/>
      <c r="H319" s="7"/>
      <c r="I319" s="7"/>
      <c r="J319" s="7"/>
      <c r="K319" s="7"/>
      <c r="L319" s="1">
        <f t="shared" si="109"/>
        <v>1.2958333333333334</v>
      </c>
      <c r="M319">
        <f t="shared" si="107"/>
        <v>111960</v>
      </c>
      <c r="N319" s="9">
        <f t="shared" si="110"/>
        <v>-908.65581770753124</v>
      </c>
      <c r="O319" s="7">
        <f t="shared" si="111"/>
        <v>62758383.465918466</v>
      </c>
      <c r="P319" s="2">
        <f t="shared" si="92"/>
        <v>-4.3217901483178743E-2</v>
      </c>
      <c r="Q319" s="2">
        <f t="shared" si="93"/>
        <v>-4.3271109407049077E-2</v>
      </c>
      <c r="R319" s="2">
        <f t="shared" si="94"/>
        <v>-4.3271112540551833E-2</v>
      </c>
      <c r="S319" s="2">
        <f t="shared" si="95"/>
        <v>-4.3325942645950091E-2</v>
      </c>
      <c r="T319" s="9">
        <f t="shared" si="96"/>
        <v>-924.23351498899103</v>
      </c>
      <c r="U319" s="7">
        <f t="shared" si="97"/>
        <v>62428463.386033095</v>
      </c>
      <c r="W319">
        <f t="shared" si="108"/>
        <v>111960</v>
      </c>
      <c r="X319" s="9">
        <f t="shared" si="112"/>
        <v>144.25718876932154</v>
      </c>
      <c r="Y319" s="2">
        <f t="shared" si="113"/>
        <v>54834189.307837293</v>
      </c>
      <c r="Z319" s="2">
        <f t="shared" si="98"/>
        <v>-3.77609884216192E-2</v>
      </c>
      <c r="AA319" s="2">
        <f t="shared" si="99"/>
        <v>-3.7924219150509766E-2</v>
      </c>
      <c r="AB319" s="2">
        <f t="shared" si="100"/>
        <v>-3.7924220591037491E-2</v>
      </c>
      <c r="AC319" s="2">
        <f t="shared" si="101"/>
        <v>-3.8089780952953463E-2</v>
      </c>
      <c r="AD319" s="2">
        <f t="shared" si="102"/>
        <v>130.60432983786151</v>
      </c>
      <c r="AE319" s="10">
        <f t="shared" si="103"/>
        <v>54883664.381186582</v>
      </c>
    </row>
    <row r="320" spans="1:31" x14ac:dyDescent="0.25">
      <c r="A320" s="1">
        <f t="shared" si="104"/>
        <v>1.3</v>
      </c>
      <c r="B320" s="7">
        <f t="shared" si="105"/>
        <v>62428463.386033095</v>
      </c>
      <c r="C320" s="7">
        <f t="shared" si="106"/>
        <v>54883664.381186582</v>
      </c>
      <c r="D320" s="7"/>
      <c r="E320" s="7"/>
      <c r="F320" s="7"/>
      <c r="G320" s="7"/>
      <c r="H320" s="7"/>
      <c r="I320" s="7"/>
      <c r="J320" s="7"/>
      <c r="K320" s="7"/>
      <c r="L320" s="1">
        <f t="shared" si="109"/>
        <v>1.3</v>
      </c>
      <c r="M320">
        <f t="shared" si="107"/>
        <v>112320</v>
      </c>
      <c r="N320" s="9">
        <f t="shared" si="110"/>
        <v>-924.23351498899103</v>
      </c>
      <c r="O320" s="7">
        <f t="shared" si="111"/>
        <v>62428463.386033095</v>
      </c>
      <c r="P320" s="2">
        <f t="shared" si="92"/>
        <v>-4.332594268024495E-2</v>
      </c>
      <c r="Q320" s="2">
        <f t="shared" si="93"/>
        <v>-4.3382401311375121E-2</v>
      </c>
      <c r="R320" s="2">
        <f t="shared" si="94"/>
        <v>-4.338240457048656E-2</v>
      </c>
      <c r="S320" s="2">
        <f t="shared" si="95"/>
        <v>-4.3440511188603828E-2</v>
      </c>
      <c r="T320" s="9">
        <f t="shared" si="96"/>
        <v>-939.85127892694538</v>
      </c>
      <c r="U320" s="7">
        <f t="shared" si="97"/>
        <v>62092928.123128228</v>
      </c>
      <c r="W320">
        <f t="shared" si="108"/>
        <v>112320</v>
      </c>
      <c r="X320" s="9">
        <f t="shared" si="112"/>
        <v>130.60432983786151</v>
      </c>
      <c r="Y320" s="2">
        <f t="shared" si="113"/>
        <v>54883664.381186582</v>
      </c>
      <c r="Z320" s="2">
        <f t="shared" si="98"/>
        <v>-3.8089780976302036E-2</v>
      </c>
      <c r="AA320" s="2">
        <f t="shared" si="99"/>
        <v>-3.8257704962946261E-2</v>
      </c>
      <c r="AB320" s="2">
        <f t="shared" si="100"/>
        <v>-3.8257706503581311E-2</v>
      </c>
      <c r="AC320" s="2">
        <f t="shared" si="101"/>
        <v>-3.8428034906860961E-2</v>
      </c>
      <c r="AD320" s="2">
        <f t="shared" si="102"/>
        <v>116.83141150888842</v>
      </c>
      <c r="AE320" s="10">
        <f t="shared" si="103"/>
        <v>54928202.814628996</v>
      </c>
    </row>
    <row r="321" spans="1:31" x14ac:dyDescent="0.25">
      <c r="A321" s="1">
        <f t="shared" si="104"/>
        <v>1.3041666666666667</v>
      </c>
      <c r="B321" s="7">
        <f t="shared" si="105"/>
        <v>62092928.123128228</v>
      </c>
      <c r="C321" s="7">
        <f t="shared" si="106"/>
        <v>54928202.814628996</v>
      </c>
      <c r="D321" s="7"/>
      <c r="E321" s="7"/>
      <c r="F321" s="7"/>
      <c r="G321" s="7"/>
      <c r="H321" s="7"/>
      <c r="I321" s="7"/>
      <c r="J321" s="7"/>
      <c r="K321" s="7"/>
      <c r="L321" s="1">
        <f t="shared" si="109"/>
        <v>1.3041666666666667</v>
      </c>
      <c r="M321">
        <f t="shared" si="107"/>
        <v>112680</v>
      </c>
      <c r="N321" s="9">
        <f t="shared" si="110"/>
        <v>-939.85127892694538</v>
      </c>
      <c r="O321" s="7">
        <f t="shared" si="111"/>
        <v>62092928.123128228</v>
      </c>
      <c r="P321" s="2">
        <f t="shared" si="92"/>
        <v>-4.3440511224052972E-2</v>
      </c>
      <c r="Q321" s="2">
        <f t="shared" si="93"/>
        <v>-4.3500272685138189E-2</v>
      </c>
      <c r="R321" s="2">
        <f t="shared" si="94"/>
        <v>-4.3500276074825039E-2</v>
      </c>
      <c r="S321" s="2">
        <f t="shared" si="95"/>
        <v>-4.3561712877267067E-2</v>
      </c>
      <c r="T321" s="9">
        <f t="shared" si="96"/>
        <v>-955.51147822422013</v>
      </c>
      <c r="U321" s="7">
        <f t="shared" si="97"/>
        <v>61751762.826841019</v>
      </c>
      <c r="W321">
        <f t="shared" si="108"/>
        <v>112680</v>
      </c>
      <c r="X321" s="9">
        <f t="shared" si="112"/>
        <v>116.83141150888842</v>
      </c>
      <c r="Y321" s="2">
        <f t="shared" si="113"/>
        <v>54928202.814628996</v>
      </c>
      <c r="Z321" s="2">
        <f t="shared" si="98"/>
        <v>-3.842803493103715E-2</v>
      </c>
      <c r="AA321" s="2">
        <f t="shared" si="99"/>
        <v>-3.8600803273972098E-2</v>
      </c>
      <c r="AB321" s="2">
        <f t="shared" si="100"/>
        <v>-3.8600804919220036E-2</v>
      </c>
      <c r="AC321" s="2">
        <f t="shared" si="101"/>
        <v>-3.8776055982143863E-2</v>
      </c>
      <c r="AD321" s="2">
        <f t="shared" si="102"/>
        <v>102.93497307091451</v>
      </c>
      <c r="AE321" s="10">
        <f t="shared" si="103"/>
        <v>54967760.763853364</v>
      </c>
    </row>
    <row r="322" spans="1:31" x14ac:dyDescent="0.25">
      <c r="A322" s="1">
        <f t="shared" si="104"/>
        <v>1.3083333333333333</v>
      </c>
      <c r="B322" s="7">
        <f t="shared" si="105"/>
        <v>61751762.826841019</v>
      </c>
      <c r="C322" s="7">
        <f t="shared" si="106"/>
        <v>54967760.763853364</v>
      </c>
      <c r="D322" s="7"/>
      <c r="E322" s="7"/>
      <c r="F322" s="7"/>
      <c r="G322" s="7"/>
      <c r="H322" s="7"/>
      <c r="I322" s="7"/>
      <c r="J322" s="7"/>
      <c r="K322" s="7"/>
      <c r="L322" s="1">
        <f t="shared" si="109"/>
        <v>1.3083333333333333</v>
      </c>
      <c r="M322">
        <f t="shared" si="107"/>
        <v>113040</v>
      </c>
      <c r="N322" s="9">
        <f t="shared" si="110"/>
        <v>-955.51147822422013</v>
      </c>
      <c r="O322" s="7">
        <f t="shared" si="111"/>
        <v>61751762.826841019</v>
      </c>
      <c r="P322" s="2">
        <f t="shared" si="92"/>
        <v>-4.356171291394037E-2</v>
      </c>
      <c r="Q322" s="2">
        <f t="shared" si="93"/>
        <v>-4.3624832443655698E-2</v>
      </c>
      <c r="R322" s="2">
        <f t="shared" si="94"/>
        <v>-4.3624835969195766E-2</v>
      </c>
      <c r="S322" s="2">
        <f t="shared" si="95"/>
        <v>-4.3689659801265317E-2</v>
      </c>
      <c r="T322" s="9">
        <f t="shared" si="96"/>
        <v>-971.21652079667467</v>
      </c>
      <c r="U322" s="7">
        <f t="shared" si="97"/>
        <v>61404951.787017256</v>
      </c>
      <c r="W322">
        <f t="shared" si="108"/>
        <v>113040</v>
      </c>
      <c r="X322" s="9">
        <f t="shared" si="112"/>
        <v>102.93497307091451</v>
      </c>
      <c r="Y322" s="2">
        <f t="shared" si="113"/>
        <v>54967760.763853364</v>
      </c>
      <c r="Z322" s="2">
        <f t="shared" si="98"/>
        <v>-3.8776056007203533E-2</v>
      </c>
      <c r="AA322" s="2">
        <f t="shared" si="99"/>
        <v>-3.8953826931571671E-2</v>
      </c>
      <c r="AB322" s="2">
        <f t="shared" si="100"/>
        <v>-3.8953828686245542E-2</v>
      </c>
      <c r="AC322" s="2">
        <f t="shared" si="101"/>
        <v>-3.9134164349804858E-2</v>
      </c>
      <c r="AD322" s="2">
        <f t="shared" si="102"/>
        <v>88.911441175355947</v>
      </c>
      <c r="AE322" s="10">
        <f t="shared" si="103"/>
        <v>55002293.118417695</v>
      </c>
    </row>
    <row r="323" spans="1:31" x14ac:dyDescent="0.25">
      <c r="A323" s="1">
        <f t="shared" si="104"/>
        <v>1.3125</v>
      </c>
      <c r="B323" s="7">
        <f t="shared" si="105"/>
        <v>61404951.787017256</v>
      </c>
      <c r="C323" s="7">
        <f t="shared" si="106"/>
        <v>55002293.118417695</v>
      </c>
      <c r="D323" s="7"/>
      <c r="E323" s="7"/>
      <c r="F323" s="7"/>
      <c r="G323" s="7"/>
      <c r="H323" s="7"/>
      <c r="I323" s="7"/>
      <c r="J323" s="7"/>
      <c r="K323" s="7"/>
      <c r="L323" s="1">
        <f t="shared" si="109"/>
        <v>1.3125</v>
      </c>
      <c r="M323">
        <f t="shared" si="107"/>
        <v>113400</v>
      </c>
      <c r="N323" s="9">
        <f t="shared" si="110"/>
        <v>-971.21652079667467</v>
      </c>
      <c r="O323" s="7">
        <f t="shared" si="111"/>
        <v>61404951.787017256</v>
      </c>
      <c r="P323" s="2">
        <f t="shared" si="92"/>
        <v>-4.3689659839237192E-2</v>
      </c>
      <c r="Q323" s="2">
        <f t="shared" si="93"/>
        <v>-4.3756195908976885E-2</v>
      </c>
      <c r="R323" s="2">
        <f t="shared" si="94"/>
        <v>-4.375619957597978E-2</v>
      </c>
      <c r="S323" s="2">
        <f t="shared" si="95"/>
        <v>-4.3824470577365875E-2</v>
      </c>
      <c r="T323" s="9">
        <f t="shared" si="96"/>
        <v>-986.96885607986565</v>
      </c>
      <c r="U323" s="7">
        <f t="shared" si="97"/>
        <v>61052478.419179477</v>
      </c>
      <c r="W323">
        <f t="shared" si="108"/>
        <v>113400</v>
      </c>
      <c r="X323" s="9">
        <f t="shared" si="112"/>
        <v>88.911441175355947</v>
      </c>
      <c r="Y323" s="2">
        <f t="shared" si="113"/>
        <v>55002293.118417695</v>
      </c>
      <c r="Z323" s="2">
        <f t="shared" si="98"/>
        <v>-3.9134164375807801E-2</v>
      </c>
      <c r="AA323" s="2">
        <f t="shared" si="99"/>
        <v>-3.9317103631478466E-2</v>
      </c>
      <c r="AB323" s="2">
        <f t="shared" si="100"/>
        <v>-3.9317105500721074E-2</v>
      </c>
      <c r="AC323" s="2">
        <f t="shared" si="101"/>
        <v>-3.9502695440089448E-2</v>
      </c>
      <c r="AD323" s="2">
        <f t="shared" si="102"/>
        <v>74.75712449053816</v>
      </c>
      <c r="AE323" s="10">
        <f t="shared" si="103"/>
        <v>55031753.460237555</v>
      </c>
    </row>
    <row r="324" spans="1:31" x14ac:dyDescent="0.25">
      <c r="A324" s="1">
        <f t="shared" si="104"/>
        <v>1.3166666666666667</v>
      </c>
      <c r="B324" s="7">
        <f t="shared" si="105"/>
        <v>61052478.419179477</v>
      </c>
      <c r="C324" s="7">
        <f t="shared" si="106"/>
        <v>55031753.460237555</v>
      </c>
      <c r="D324" s="7"/>
      <c r="E324" s="7"/>
      <c r="F324" s="7"/>
      <c r="G324" s="7"/>
      <c r="H324" s="7"/>
      <c r="I324" s="7"/>
      <c r="J324" s="7"/>
      <c r="K324" s="7"/>
      <c r="L324" s="1">
        <f t="shared" si="109"/>
        <v>1.3166666666666667</v>
      </c>
      <c r="M324">
        <f t="shared" si="107"/>
        <v>113760</v>
      </c>
      <c r="N324" s="9">
        <f t="shared" si="110"/>
        <v>-986.96885607986565</v>
      </c>
      <c r="O324" s="7">
        <f t="shared" si="111"/>
        <v>61052478.419179477</v>
      </c>
      <c r="P324" s="2">
        <f t="shared" si="92"/>
        <v>-4.3824470616715662E-2</v>
      </c>
      <c r="Q324" s="2">
        <f t="shared" si="93"/>
        <v>-4.3894485055305799E-2</v>
      </c>
      <c r="R324" s="2">
        <f t="shared" si="94"/>
        <v>-4.3894488869735196E-2</v>
      </c>
      <c r="S324" s="2">
        <f t="shared" si="95"/>
        <v>-4.3966270603412828E-2</v>
      </c>
      <c r="T324" s="9">
        <f t="shared" si="96"/>
        <v>-1002.7709774240783</v>
      </c>
      <c r="U324" s="7">
        <f t="shared" si="97"/>
        <v>60694325.249148764</v>
      </c>
      <c r="W324">
        <f t="shared" si="108"/>
        <v>113760</v>
      </c>
      <c r="X324" s="9">
        <f t="shared" si="112"/>
        <v>74.75712449053816</v>
      </c>
      <c r="Y324" s="2">
        <f t="shared" si="113"/>
        <v>55031753.460237555</v>
      </c>
      <c r="Z324" s="2">
        <f t="shared" si="98"/>
        <v>-3.9502695467099648E-2</v>
      </c>
      <c r="AA324" s="2">
        <f t="shared" si="99"/>
        <v>-3.9690976753958267E-2</v>
      </c>
      <c r="AB324" s="2">
        <f t="shared" si="100"/>
        <v>-3.9690978743266943E-2</v>
      </c>
      <c r="AC324" s="2">
        <f t="shared" si="101"/>
        <v>-3.9882000807492414E-2</v>
      </c>
      <c r="AD324" s="2">
        <f t="shared" si="102"/>
        <v>60.46820805439561</v>
      </c>
      <c r="AE324" s="10">
        <f t="shared" si="103"/>
        <v>55056094.020095646</v>
      </c>
    </row>
    <row r="325" spans="1:31" x14ac:dyDescent="0.25">
      <c r="A325" s="1">
        <f t="shared" si="104"/>
        <v>1.3208333333333333</v>
      </c>
      <c r="B325" s="7">
        <f t="shared" si="105"/>
        <v>60694325.249148764</v>
      </c>
      <c r="C325" s="7">
        <f t="shared" si="106"/>
        <v>55056094.020095646</v>
      </c>
      <c r="D325" s="7"/>
      <c r="E325" s="7"/>
      <c r="F325" s="7"/>
      <c r="G325" s="7"/>
      <c r="H325" s="7"/>
      <c r="I325" s="7"/>
      <c r="J325" s="7"/>
      <c r="K325" s="7"/>
      <c r="L325" s="1">
        <f t="shared" si="109"/>
        <v>1.3208333333333333</v>
      </c>
      <c r="M325">
        <f t="shared" si="107"/>
        <v>114120</v>
      </c>
      <c r="N325" s="9">
        <f t="shared" si="110"/>
        <v>-1002.7709774240783</v>
      </c>
      <c r="O325" s="7">
        <f t="shared" si="111"/>
        <v>60694325.249148764</v>
      </c>
      <c r="P325" s="2">
        <f t="shared" si="92"/>
        <v>-4.3966270644225119E-2</v>
      </c>
      <c r="Q325" s="2">
        <f t="shared" si="93"/>
        <v>-4.4039828771089411E-2</v>
      </c>
      <c r="R325" s="2">
        <f t="shared" si="94"/>
        <v>-4.4039832739287424E-2</v>
      </c>
      <c r="S325" s="2">
        <f t="shared" si="95"/>
        <v>-4.4115192329126869E-2</v>
      </c>
      <c r="T325" s="9">
        <f t="shared" si="96"/>
        <v>-1018.6254245837247</v>
      </c>
      <c r="U325" s="7">
        <f t="shared" si="97"/>
        <v>60330473.89678736</v>
      </c>
      <c r="W325">
        <f t="shared" si="108"/>
        <v>114120</v>
      </c>
      <c r="X325" s="9">
        <f t="shared" si="112"/>
        <v>60.46820805439561</v>
      </c>
      <c r="Y325" s="2">
        <f t="shared" si="113"/>
        <v>55056094.020095646</v>
      </c>
      <c r="Z325" s="2">
        <f t="shared" si="98"/>
        <v>-3.9882000835578559E-2</v>
      </c>
      <c r="AA325" s="2">
        <f t="shared" si="99"/>
        <v>-4.0075806258133173E-2</v>
      </c>
      <c r="AB325" s="2">
        <f t="shared" si="100"/>
        <v>-4.0075808373386174E-2</v>
      </c>
      <c r="AC325" s="2">
        <f t="shared" si="101"/>
        <v>-4.0272449055550018E-2</v>
      </c>
      <c r="AD325" s="2">
        <f t="shared" si="102"/>
        <v>46.040747305145572</v>
      </c>
      <c r="AE325" s="10">
        <f t="shared" si="103"/>
        <v>55075265.632060364</v>
      </c>
    </row>
    <row r="326" spans="1:31" x14ac:dyDescent="0.25">
      <c r="A326" s="1">
        <f t="shared" si="104"/>
        <v>1.325</v>
      </c>
      <c r="B326" s="7">
        <f t="shared" si="105"/>
        <v>60330473.89678736</v>
      </c>
      <c r="C326" s="7">
        <f t="shared" si="106"/>
        <v>55075265.632060364</v>
      </c>
      <c r="D326" s="7"/>
      <c r="E326" s="7"/>
      <c r="F326" s="7"/>
      <c r="G326" s="7"/>
      <c r="H326" s="7"/>
      <c r="I326" s="7"/>
      <c r="J326" s="7"/>
      <c r="K326" s="7"/>
      <c r="L326" s="1">
        <f t="shared" si="109"/>
        <v>1.325</v>
      </c>
      <c r="M326">
        <f t="shared" si="107"/>
        <v>114480</v>
      </c>
      <c r="N326" s="9">
        <f t="shared" si="110"/>
        <v>-1018.6254245837247</v>
      </c>
      <c r="O326" s="7">
        <f t="shared" si="111"/>
        <v>60330473.89678736</v>
      </c>
      <c r="P326" s="2">
        <f t="shared" si="92"/>
        <v>-4.4115192371492029E-2</v>
      </c>
      <c r="Q326" s="2">
        <f t="shared" si="93"/>
        <v>-4.4192363138789895E-2</v>
      </c>
      <c r="R326" s="2">
        <f t="shared" si="94"/>
        <v>-4.4192367267503328E-2</v>
      </c>
      <c r="S326" s="2">
        <f t="shared" si="95"/>
        <v>-4.4271375545128243E-2</v>
      </c>
      <c r="T326" s="9">
        <f t="shared" si="96"/>
        <v>-1034.5347863074771</v>
      </c>
      <c r="U326" s="7">
        <f t="shared" si="97"/>
        <v>59960905.058826946</v>
      </c>
      <c r="W326">
        <f t="shared" si="108"/>
        <v>114480</v>
      </c>
      <c r="X326" s="9">
        <f t="shared" si="112"/>
        <v>46.040747305145572</v>
      </c>
      <c r="Y326" s="2">
        <f t="shared" si="113"/>
        <v>55075265.632060364</v>
      </c>
      <c r="Z326" s="2">
        <f t="shared" si="98"/>
        <v>-4.0272449084785791E-2</v>
      </c>
      <c r="AA326" s="2">
        <f t="shared" si="99"/>
        <v>-4.0471969638435176E-2</v>
      </c>
      <c r="AB326" s="2">
        <f t="shared" si="100"/>
        <v>-4.0471971885920797E-2</v>
      </c>
      <c r="AC326" s="2">
        <f t="shared" si="101"/>
        <v>-4.0674426826212084E-2</v>
      </c>
      <c r="AD326" s="2">
        <f t="shared" si="102"/>
        <v>31.470661767562984</v>
      </c>
      <c r="AE326" s="10">
        <f t="shared" si="103"/>
        <v>55089217.68569345</v>
      </c>
    </row>
    <row r="327" spans="1:31" x14ac:dyDescent="0.25">
      <c r="A327" s="1">
        <f t="shared" si="104"/>
        <v>1.3291666666666666</v>
      </c>
      <c r="B327" s="7">
        <f t="shared" si="105"/>
        <v>59960905.058826946</v>
      </c>
      <c r="C327" s="7">
        <f t="shared" si="106"/>
        <v>55089217.68569345</v>
      </c>
      <c r="D327" s="7"/>
      <c r="E327" s="7"/>
      <c r="F327" s="7"/>
      <c r="G327" s="7"/>
      <c r="H327" s="7"/>
      <c r="I327" s="7"/>
      <c r="J327" s="7"/>
      <c r="K327" s="7"/>
      <c r="L327" s="1">
        <f t="shared" si="109"/>
        <v>1.3291666666666666</v>
      </c>
      <c r="M327">
        <f t="shared" si="107"/>
        <v>114840</v>
      </c>
      <c r="N327" s="9">
        <f t="shared" si="110"/>
        <v>-1034.5347863074771</v>
      </c>
      <c r="O327" s="7">
        <f t="shared" si="111"/>
        <v>59960905.058826946</v>
      </c>
      <c r="P327" s="2">
        <f t="shared" si="92"/>
        <v>-4.4271375589142938E-2</v>
      </c>
      <c r="Q327" s="2">
        <f t="shared" si="93"/>
        <v>-4.4352231733439676E-2</v>
      </c>
      <c r="R327" s="2">
        <f t="shared" si="94"/>
        <v>-4.4352236029848696E-2</v>
      </c>
      <c r="S327" s="2">
        <f t="shared" si="95"/>
        <v>-4.4434967691325981E-2</v>
      </c>
      <c r="T327" s="9">
        <f t="shared" si="96"/>
        <v>-1050.5017030358999</v>
      </c>
      <c r="U327" s="7">
        <f t="shared" si="97"/>
        <v>59585598.490745135</v>
      </c>
      <c r="W327">
        <f t="shared" si="108"/>
        <v>114840</v>
      </c>
      <c r="X327" s="9">
        <f t="shared" si="112"/>
        <v>31.470661767562984</v>
      </c>
      <c r="Y327" s="2">
        <f t="shared" si="113"/>
        <v>55089217.68569345</v>
      </c>
      <c r="Z327" s="2">
        <f t="shared" si="98"/>
        <v>-4.0674426856676646E-2</v>
      </c>
      <c r="AA327" s="2">
        <f t="shared" si="99"/>
        <v>-4.0879862948200583E-2</v>
      </c>
      <c r="AB327" s="2">
        <f t="shared" si="100"/>
        <v>-4.0879865334648977E-2</v>
      </c>
      <c r="AC327" s="2">
        <f t="shared" si="101"/>
        <v>-4.1088339859031903E-2</v>
      </c>
      <c r="AD327" s="2">
        <f t="shared" si="102"/>
        <v>16.753728370678523</v>
      </c>
      <c r="AE327" s="10">
        <f t="shared" si="103"/>
        <v>55097898.075918332</v>
      </c>
    </row>
    <row r="328" spans="1:31" x14ac:dyDescent="0.25">
      <c r="A328" s="1">
        <f t="shared" si="104"/>
        <v>1.3333333333333333</v>
      </c>
      <c r="B328" s="7">
        <f t="shared" si="105"/>
        <v>59585598.490745135</v>
      </c>
      <c r="C328" s="7">
        <f t="shared" si="106"/>
        <v>55097898.075918332</v>
      </c>
      <c r="D328" s="7"/>
      <c r="E328" s="7"/>
      <c r="F328" s="7"/>
      <c r="G328" s="7"/>
      <c r="H328" s="7"/>
      <c r="I328" s="7"/>
      <c r="J328" s="7"/>
      <c r="K328" s="7"/>
      <c r="L328" s="1">
        <f t="shared" si="109"/>
        <v>1.3333333333333333</v>
      </c>
      <c r="M328">
        <f t="shared" si="107"/>
        <v>115200</v>
      </c>
      <c r="N328" s="9">
        <f t="shared" si="110"/>
        <v>-1050.5017030358999</v>
      </c>
      <c r="O328" s="7">
        <f t="shared" si="111"/>
        <v>59585598.490745135</v>
      </c>
      <c r="P328" s="2">
        <f t="shared" ref="P328:P391" si="114">dvdt_x($O328,$Y328)</f>
        <v>-4.4434967737093566E-2</v>
      </c>
      <c r="Q328" s="2">
        <f t="shared" ref="Q328:Q391" si="115">dvdt_x($O328+h/4*($N328+($N328+h/2*P328)),$Y328+h/4*($X328+($X328+h/2*Z328)))</f>
        <v>-4.4519585941168775E-2</v>
      </c>
      <c r="R328" s="2">
        <f t="shared" ref="R328:R391" si="116">dvdt_x($O328+h/4*($N328+($N328+h/2*Q328)),$Y328+h/4*($X328+($X328+h/2*AA328)))</f>
        <v>-4.4519590412917927E-2</v>
      </c>
      <c r="S328" s="2">
        <f t="shared" ref="S328:S391" si="117">dvdt_x($O328+h/2*($N328+($N328+h*R328)),$Y328+h/2*($X328+($X328+h*AB328)))</f>
        <v>-4.4606124185908758E-2</v>
      </c>
      <c r="T328" s="9">
        <f t="shared" ref="T328:T391" si="118">N328+h/6*(P328+2*Q328+2*R328+S328)</f>
        <v>-1066.5288697137705</v>
      </c>
      <c r="U328" s="7">
        <f t="shared" ref="U328:U391" si="119">O328+h/2*(N328+T328)</f>
        <v>59204532.987650193</v>
      </c>
      <c r="W328">
        <f t="shared" si="108"/>
        <v>115200</v>
      </c>
      <c r="X328" s="9">
        <f t="shared" si="112"/>
        <v>16.753728370678523</v>
      </c>
      <c r="Y328" s="2">
        <f t="shared" si="113"/>
        <v>55097898.075918332</v>
      </c>
      <c r="Z328" s="2">
        <f t="shared" ref="Z328:Z391" si="120">dvdt_y($O328,$Y328)</f>
        <v>-4.1088339890810489E-2</v>
      </c>
      <c r="AA328" s="2">
        <f t="shared" ref="AA328:AA391" si="121">dvdt_y($O328+h/4*($N328+($N328+h/2*P328)),$Y328+h/4*($X328+($X328+h/2*Z328)))</f>
        <v>-4.1299901895880467E-2</v>
      </c>
      <c r="AB328" s="2">
        <f t="shared" ref="AB328:AB391" si="122">dvdt_y($O328+h/4*($N328+($N328+h/2*Q328)),$Y328+h/4*($X328+($X328+h/2*AA328)))</f>
        <v>-4.1299904428498076E-2</v>
      </c>
      <c r="AC328" s="2">
        <f t="shared" ref="AC328:AC391" si="123">dvdt_y($O328+h/2*($N328+($N328+h*R328)),$Y328+h/2*($X328+($X328+h*AB328)))</f>
        <v>-4.1514614125898859E-2</v>
      </c>
      <c r="AD328" s="2">
        <f t="shared" ref="AD328:AD391" si="124">X328+h/6*(Z328+2*AA328+2*AB328+AC328)</f>
        <v>1.8855743707505397</v>
      </c>
      <c r="AE328" s="10">
        <f t="shared" ref="AE328:AE391" si="125">Y328+h/2*(X328+AD328)</f>
        <v>55101253.150411792</v>
      </c>
    </row>
    <row r="329" spans="1:31" x14ac:dyDescent="0.25">
      <c r="A329" s="1">
        <f t="shared" ref="A329:A392" si="126">L329</f>
        <v>1.3374999999999999</v>
      </c>
      <c r="B329" s="7">
        <f t="shared" ref="B329:B392" si="127">O329</f>
        <v>59204532.987650193</v>
      </c>
      <c r="C329" s="7">
        <f t="shared" ref="C329:C392" si="128">Y329</f>
        <v>55101253.150411792</v>
      </c>
      <c r="D329" s="7"/>
      <c r="E329" s="7"/>
      <c r="F329" s="7"/>
      <c r="G329" s="7"/>
      <c r="H329" s="7"/>
      <c r="I329" s="7"/>
      <c r="J329" s="7"/>
      <c r="K329" s="7"/>
      <c r="L329" s="1">
        <f t="shared" si="109"/>
        <v>1.3374999999999999</v>
      </c>
      <c r="M329">
        <f t="shared" ref="M329:M392" si="129">M328+h</f>
        <v>115560</v>
      </c>
      <c r="N329" s="9">
        <f t="shared" si="110"/>
        <v>-1066.5288697137705</v>
      </c>
      <c r="O329" s="7">
        <f t="shared" si="111"/>
        <v>59204532.987650193</v>
      </c>
      <c r="P329" s="2">
        <f t="shared" si="114"/>
        <v>-4.4606124233540004E-2</v>
      </c>
      <c r="Q329" s="2">
        <f t="shared" si="115"/>
        <v>-4.4694585298988065E-2</v>
      </c>
      <c r="R329" s="2">
        <f t="shared" si="116"/>
        <v>-4.469458995422005E-2</v>
      </c>
      <c r="S329" s="2">
        <f t="shared" si="117"/>
        <v>-4.4785008776272651E-2</v>
      </c>
      <c r="T329" s="9">
        <f t="shared" si="118"/>
        <v>-1082.6190387247443</v>
      </c>
      <c r="U329" s="7">
        <f t="shared" si="119"/>
        <v>58817686.364131257</v>
      </c>
      <c r="W329">
        <f t="shared" ref="W329:W392" si="130">W328+h</f>
        <v>115560</v>
      </c>
      <c r="X329" s="9">
        <f t="shared" si="112"/>
        <v>1.8855743707505397</v>
      </c>
      <c r="Y329" s="2">
        <f t="shared" si="113"/>
        <v>55101253.150411792</v>
      </c>
      <c r="Z329" s="2">
        <f t="shared" si="120"/>
        <v>-4.1514614159083155E-2</v>
      </c>
      <c r="AA329" s="2">
        <f t="shared" si="121"/>
        <v>-4.1732523019854466E-2</v>
      </c>
      <c r="AB329" s="2">
        <f t="shared" si="122"/>
        <v>-4.1732525706362045E-2</v>
      </c>
      <c r="AC329" s="2">
        <f t="shared" si="123"/>
        <v>-4.1953697047578377E-2</v>
      </c>
      <c r="AD329" s="2">
        <f t="shared" si="124"/>
        <v>-13.138330148795134</v>
      </c>
      <c r="AE329" s="10">
        <f t="shared" si="125"/>
        <v>55099227.654371746</v>
      </c>
    </row>
    <row r="330" spans="1:31" x14ac:dyDescent="0.25">
      <c r="A330" s="1">
        <f t="shared" si="126"/>
        <v>1.3416666666666666</v>
      </c>
      <c r="B330" s="7">
        <f t="shared" si="127"/>
        <v>58817686.364131257</v>
      </c>
      <c r="C330" s="7">
        <f t="shared" si="128"/>
        <v>55099227.654371746</v>
      </c>
      <c r="D330" s="7"/>
      <c r="E330" s="7"/>
      <c r="F330" s="7"/>
      <c r="G330" s="7"/>
      <c r="H330" s="7"/>
      <c r="I330" s="7"/>
      <c r="J330" s="7"/>
      <c r="K330" s="7"/>
      <c r="L330" s="1">
        <f t="shared" ref="L330:L393" si="131">M330/(24*3600)</f>
        <v>1.3416666666666666</v>
      </c>
      <c r="M330">
        <f t="shared" si="129"/>
        <v>115920</v>
      </c>
      <c r="N330" s="9">
        <f t="shared" si="110"/>
        <v>-1082.6190387247443</v>
      </c>
      <c r="O330" s="7">
        <f t="shared" si="111"/>
        <v>58817686.364131257</v>
      </c>
      <c r="P330" s="2">
        <f t="shared" si="114"/>
        <v>-4.4785008825886381E-2</v>
      </c>
      <c r="Q330" s="2">
        <f t="shared" si="115"/>
        <v>-4.4877397857216082E-2</v>
      </c>
      <c r="R330" s="2">
        <f t="shared" si="116"/>
        <v>-4.4877402704608618E-2</v>
      </c>
      <c r="S330" s="2">
        <f t="shared" si="117"/>
        <v>-4.4971793913328034E-2</v>
      </c>
      <c r="T330" s="9">
        <f t="shared" si="118"/>
        <v>-1098.7750229565161</v>
      </c>
      <c r="U330" s="7">
        <f t="shared" si="119"/>
        <v>58425035.433028631</v>
      </c>
      <c r="W330">
        <f t="shared" si="130"/>
        <v>115920</v>
      </c>
      <c r="X330" s="9">
        <f t="shared" si="112"/>
        <v>-13.138330148795134</v>
      </c>
      <c r="Y330" s="2">
        <f t="shared" si="113"/>
        <v>55099227.654371746</v>
      </c>
      <c r="Z330" s="2">
        <f t="shared" si="120"/>
        <v>-4.1953697082267219E-2</v>
      </c>
      <c r="AA330" s="2">
        <f t="shared" si="121"/>
        <v>-4.2178184948405147E-2</v>
      </c>
      <c r="AB330" s="2">
        <f t="shared" si="122"/>
        <v>-4.217818779707902E-2</v>
      </c>
      <c r="AC330" s="2">
        <f t="shared" si="123"/>
        <v>-4.2406058798921814E-2</v>
      </c>
      <c r="AD330" s="2">
        <f t="shared" si="124"/>
        <v>-28.322680231124576</v>
      </c>
      <c r="AE330" s="10">
        <f t="shared" si="125"/>
        <v>55091764.67250336</v>
      </c>
    </row>
    <row r="331" spans="1:31" x14ac:dyDescent="0.25">
      <c r="A331" s="1">
        <f t="shared" si="126"/>
        <v>1.3458333333333334</v>
      </c>
      <c r="B331" s="7">
        <f t="shared" si="127"/>
        <v>58425035.433028631</v>
      </c>
      <c r="C331" s="7">
        <f t="shared" si="128"/>
        <v>55091764.67250336</v>
      </c>
      <c r="D331" s="7"/>
      <c r="E331" s="7"/>
      <c r="F331" s="7"/>
      <c r="G331" s="7"/>
      <c r="H331" s="7"/>
      <c r="I331" s="7"/>
      <c r="J331" s="7"/>
      <c r="K331" s="7"/>
      <c r="L331" s="1">
        <f t="shared" si="131"/>
        <v>1.3458333333333334</v>
      </c>
      <c r="M331">
        <f t="shared" si="129"/>
        <v>116280</v>
      </c>
      <c r="N331" s="9">
        <f t="shared" si="110"/>
        <v>-1098.7750229565161</v>
      </c>
      <c r="O331" s="7">
        <f t="shared" si="111"/>
        <v>58425035.433028631</v>
      </c>
      <c r="P331" s="2">
        <f t="shared" si="114"/>
        <v>-4.4971793965051736E-2</v>
      </c>
      <c r="Q331" s="2">
        <f t="shared" si="115"/>
        <v>-4.5068200566049911E-2</v>
      </c>
      <c r="R331" s="2">
        <f t="shared" si="116"/>
        <v>-4.5068205614855722E-2</v>
      </c>
      <c r="S331" s="2">
        <f t="shared" si="117"/>
        <v>-4.5166661150745545E-2</v>
      </c>
      <c r="T331" s="9">
        <f t="shared" si="118"/>
        <v>-1114.9996990051725</v>
      </c>
      <c r="U331" s="7">
        <f t="shared" si="119"/>
        <v>58026555.983075529</v>
      </c>
      <c r="W331">
        <f t="shared" si="130"/>
        <v>116280</v>
      </c>
      <c r="X331" s="9">
        <f t="shared" si="112"/>
        <v>-28.322680231124576</v>
      </c>
      <c r="Y331" s="2">
        <f t="shared" si="113"/>
        <v>55091764.67250336</v>
      </c>
      <c r="Z331" s="2">
        <f t="shared" si="120"/>
        <v>-4.2406058835221923E-2</v>
      </c>
      <c r="AA331" s="2">
        <f t="shared" si="121"/>
        <v>-4.2637369752035491E-2</v>
      </c>
      <c r="AB331" s="2">
        <f t="shared" si="122"/>
        <v>-4.2637372771753036E-2</v>
      </c>
      <c r="AC331" s="2">
        <f t="shared" si="123"/>
        <v>-4.2872193710269027E-2</v>
      </c>
      <c r="AD331" s="2">
        <f t="shared" si="124"/>
        <v>-43.672344486708653</v>
      </c>
      <c r="AE331" s="10">
        <f t="shared" si="125"/>
        <v>55078805.568054147</v>
      </c>
    </row>
    <row r="332" spans="1:31" x14ac:dyDescent="0.25">
      <c r="A332" s="1">
        <f t="shared" si="126"/>
        <v>1.35</v>
      </c>
      <c r="B332" s="7">
        <f t="shared" si="127"/>
        <v>58026555.983075529</v>
      </c>
      <c r="C332" s="7">
        <f t="shared" si="128"/>
        <v>55078805.568054147</v>
      </c>
      <c r="D332" s="7"/>
      <c r="E332" s="7"/>
      <c r="F332" s="7"/>
      <c r="G332" s="7"/>
      <c r="H332" s="7"/>
      <c r="I332" s="7"/>
      <c r="J332" s="7"/>
      <c r="K332" s="7"/>
      <c r="L332" s="1">
        <f t="shared" si="131"/>
        <v>1.35</v>
      </c>
      <c r="M332">
        <f t="shared" si="129"/>
        <v>116640</v>
      </c>
      <c r="N332" s="9">
        <f t="shared" si="110"/>
        <v>-1114.9996990051725</v>
      </c>
      <c r="O332" s="7">
        <f t="shared" si="111"/>
        <v>58026555.983075529</v>
      </c>
      <c r="P332" s="2">
        <f t="shared" si="114"/>
        <v>-4.5166661204716213E-2</v>
      </c>
      <c r="Q332" s="2">
        <f t="shared" si="115"/>
        <v>-4.5267179687900665E-2</v>
      </c>
      <c r="R332" s="2">
        <f t="shared" si="116"/>
        <v>-4.5267184947991201E-2</v>
      </c>
      <c r="S332" s="2">
        <f t="shared" si="117"/>
        <v>-4.5369801570826783E-2</v>
      </c>
      <c r="T332" s="9">
        <f t="shared" si="118"/>
        <v>-1131.2960105280122</v>
      </c>
      <c r="U332" s="7">
        <f t="shared" si="119"/>
        <v>57622222.755359553</v>
      </c>
      <c r="W332">
        <f t="shared" si="130"/>
        <v>116640</v>
      </c>
      <c r="X332" s="9">
        <f t="shared" si="112"/>
        <v>-43.672344486708653</v>
      </c>
      <c r="Y332" s="2">
        <f t="shared" si="113"/>
        <v>55078805.568054147</v>
      </c>
      <c r="Z332" s="2">
        <f t="shared" si="120"/>
        <v>-4.2872193748295657E-2</v>
      </c>
      <c r="AA332" s="2">
        <f t="shared" si="121"/>
        <v>-4.3110584396011294E-2</v>
      </c>
      <c r="AB332" s="2">
        <f t="shared" si="122"/>
        <v>-4.3110587596300542E-2</v>
      </c>
      <c r="AC332" s="2">
        <f t="shared" si="123"/>
        <v>-4.3352621773300577E-2</v>
      </c>
      <c r="AD332" s="2">
        <f t="shared" si="124"/>
        <v>-59.19237405708185</v>
      </c>
      <c r="AE332" s="10">
        <f t="shared" si="125"/>
        <v>55060289.918716267</v>
      </c>
    </row>
    <row r="333" spans="1:31" x14ac:dyDescent="0.25">
      <c r="A333" s="1">
        <f t="shared" si="126"/>
        <v>1.3541666666666667</v>
      </c>
      <c r="B333" s="7">
        <f t="shared" si="127"/>
        <v>57622222.755359553</v>
      </c>
      <c r="C333" s="7">
        <f t="shared" si="128"/>
        <v>55060289.918716267</v>
      </c>
      <c r="D333" s="7"/>
      <c r="E333" s="7"/>
      <c r="F333" s="7"/>
      <c r="G333" s="7"/>
      <c r="H333" s="7"/>
      <c r="I333" s="7"/>
      <c r="J333" s="7"/>
      <c r="K333" s="7"/>
      <c r="L333" s="1">
        <f t="shared" si="131"/>
        <v>1.3541666666666667</v>
      </c>
      <c r="M333">
        <f t="shared" si="129"/>
        <v>117000</v>
      </c>
      <c r="N333" s="9">
        <f t="shared" si="110"/>
        <v>-1131.2960105280122</v>
      </c>
      <c r="O333" s="7">
        <f t="shared" si="111"/>
        <v>57622222.755359553</v>
      </c>
      <c r="P333" s="2">
        <f t="shared" si="114"/>
        <v>-4.5369801627191758E-2</v>
      </c>
      <c r="Q333" s="2">
        <f t="shared" si="115"/>
        <v>-4.5474531237247706E-2</v>
      </c>
      <c r="R333" s="2">
        <f t="shared" si="116"/>
        <v>-4.5474536719160692E-2</v>
      </c>
      <c r="S333" s="2">
        <f t="shared" si="117"/>
        <v>-4.5581416238823308E-2</v>
      </c>
      <c r="T333" s="9">
        <f t="shared" si="118"/>
        <v>-1147.666971754742</v>
      </c>
      <c r="U333" s="7">
        <f t="shared" si="119"/>
        <v>57212009.418548658</v>
      </c>
      <c r="W333">
        <f t="shared" si="130"/>
        <v>117000</v>
      </c>
      <c r="X333" s="9">
        <f t="shared" si="112"/>
        <v>-59.19237405708185</v>
      </c>
      <c r="Y333" s="2">
        <f t="shared" si="113"/>
        <v>55060289.918716267</v>
      </c>
      <c r="Z333" s="2">
        <f t="shared" si="120"/>
        <v>-4.3352621813178366E-2</v>
      </c>
      <c r="AA333" s="2">
        <f t="shared" si="121"/>
        <v>-4.3598362301780574E-2</v>
      </c>
      <c r="AB333" s="2">
        <f t="shared" si="122"/>
        <v>-4.3598365692874924E-2</v>
      </c>
      <c r="AC333" s="2">
        <f t="shared" si="123"/>
        <v>-4.3847890260410541E-2</v>
      </c>
      <c r="AD333" s="2">
        <f t="shared" si="124"/>
        <v>-74.888012140855849</v>
      </c>
      <c r="AE333" s="10">
        <f t="shared" si="125"/>
        <v>55036155.449200638</v>
      </c>
    </row>
    <row r="334" spans="1:31" x14ac:dyDescent="0.25">
      <c r="A334" s="1">
        <f t="shared" si="126"/>
        <v>1.3583333333333334</v>
      </c>
      <c r="B334" s="7">
        <f t="shared" si="127"/>
        <v>57212009.418548658</v>
      </c>
      <c r="C334" s="7">
        <f t="shared" si="128"/>
        <v>55036155.449200638</v>
      </c>
      <c r="D334" s="7"/>
      <c r="E334" s="7"/>
      <c r="F334" s="7"/>
      <c r="G334" s="7"/>
      <c r="H334" s="7"/>
      <c r="I334" s="7"/>
      <c r="J334" s="7"/>
      <c r="K334" s="7"/>
      <c r="L334" s="1">
        <f t="shared" si="131"/>
        <v>1.3583333333333334</v>
      </c>
      <c r="M334">
        <f t="shared" si="129"/>
        <v>117360</v>
      </c>
      <c r="N334" s="9">
        <f t="shared" si="110"/>
        <v>-1147.666971754742</v>
      </c>
      <c r="O334" s="7">
        <f t="shared" si="111"/>
        <v>57212009.418548658</v>
      </c>
      <c r="P334" s="2">
        <f t="shared" si="114"/>
        <v>-4.5581416297741199E-2</v>
      </c>
      <c r="Q334" s="2">
        <f t="shared" si="115"/>
        <v>-4.5690461449907037E-2</v>
      </c>
      <c r="R334" s="2">
        <f t="shared" si="116"/>
        <v>-4.5690467164898697E-2</v>
      </c>
      <c r="S334" s="2">
        <f t="shared" si="117"/>
        <v>-4.5801716687675825E-2</v>
      </c>
      <c r="T334" s="9">
        <f t="shared" si="118"/>
        <v>-1164.1156711676438</v>
      </c>
      <c r="U334" s="7">
        <f t="shared" si="119"/>
        <v>56795888.542822629</v>
      </c>
      <c r="W334">
        <f t="shared" si="130"/>
        <v>117360</v>
      </c>
      <c r="X334" s="9">
        <f t="shared" si="112"/>
        <v>-74.888012140855849</v>
      </c>
      <c r="Y334" s="2">
        <f t="shared" si="113"/>
        <v>55036155.449200638</v>
      </c>
      <c r="Z334" s="2">
        <f t="shared" si="120"/>
        <v>-4.3847890302274449E-2</v>
      </c>
      <c r="AA334" s="2">
        <f t="shared" si="121"/>
        <v>-4.4101265026782334E-2</v>
      </c>
      <c r="AB334" s="2">
        <f t="shared" si="122"/>
        <v>-4.4101268619680278E-2</v>
      </c>
      <c r="AC334" s="2">
        <f t="shared" si="123"/>
        <v>-4.4358575467576343E-2</v>
      </c>
      <c r="AD334" s="2">
        <f t="shared" si="124"/>
        <v>-90.764704124622412</v>
      </c>
      <c r="AE334" s="10">
        <f t="shared" si="125"/>
        <v>55006337.960272849</v>
      </c>
    </row>
    <row r="335" spans="1:31" x14ac:dyDescent="0.25">
      <c r="A335" s="1">
        <f t="shared" si="126"/>
        <v>1.3625</v>
      </c>
      <c r="B335" s="7">
        <f t="shared" si="127"/>
        <v>56795888.542822629</v>
      </c>
      <c r="C335" s="7">
        <f t="shared" si="128"/>
        <v>55006337.960272849</v>
      </c>
      <c r="D335" s="7"/>
      <c r="E335" s="7"/>
      <c r="F335" s="7"/>
      <c r="G335" s="7"/>
      <c r="H335" s="7"/>
      <c r="I335" s="7"/>
      <c r="J335" s="7"/>
      <c r="K335" s="7"/>
      <c r="L335" s="1">
        <f t="shared" si="131"/>
        <v>1.3625</v>
      </c>
      <c r="M335">
        <f t="shared" si="129"/>
        <v>117720</v>
      </c>
      <c r="N335" s="9">
        <f t="shared" si="110"/>
        <v>-1164.1156711676438</v>
      </c>
      <c r="O335" s="7">
        <f t="shared" si="111"/>
        <v>56795888.542822629</v>
      </c>
      <c r="P335" s="2">
        <f t="shared" si="114"/>
        <v>-4.5801716749317684E-2</v>
      </c>
      <c r="Q335" s="2">
        <f t="shared" si="115"/>
        <v>-4.5915187283765577E-2</v>
      </c>
      <c r="R335" s="2">
        <f t="shared" si="116"/>
        <v>-4.5915193243867385E-2</v>
      </c>
      <c r="S335" s="2">
        <f t="shared" si="117"/>
        <v>-4.6030925435307832E-2</v>
      </c>
      <c r="T335" s="9">
        <f t="shared" si="118"/>
        <v>-1180.6452753620372</v>
      </c>
      <c r="U335" s="7">
        <f t="shared" si="119"/>
        <v>56373831.572447285</v>
      </c>
      <c r="W335">
        <f t="shared" si="130"/>
        <v>117720</v>
      </c>
      <c r="X335" s="9">
        <f t="shared" si="112"/>
        <v>-90.764704124622412</v>
      </c>
      <c r="Y335" s="2">
        <f t="shared" si="113"/>
        <v>55006337.960272849</v>
      </c>
      <c r="Z335" s="2">
        <f t="shared" si="120"/>
        <v>-4.4358575511572608E-2</v>
      </c>
      <c r="AA335" s="2">
        <f t="shared" si="121"/>
        <v>-4.4619884073110322E-2</v>
      </c>
      <c r="AB335" s="2">
        <f t="shared" si="122"/>
        <v>-4.4619887879641489E-2</v>
      </c>
      <c r="AC335" s="2">
        <f t="shared" si="123"/>
        <v>-4.488528459170886E-2</v>
      </c>
      <c r="AD335" s="2">
        <f t="shared" si="124"/>
        <v>-106.82810836514952</v>
      </c>
      <c r="AE335" s="10">
        <f t="shared" si="125"/>
        <v>54970771.254024692</v>
      </c>
    </row>
    <row r="336" spans="1:31" x14ac:dyDescent="0.25">
      <c r="A336" s="1">
        <f t="shared" si="126"/>
        <v>1.3666666666666667</v>
      </c>
      <c r="B336" s="7">
        <f t="shared" si="127"/>
        <v>56373831.572447285</v>
      </c>
      <c r="C336" s="7">
        <f t="shared" si="128"/>
        <v>54970771.254024692</v>
      </c>
      <c r="D336" s="7"/>
      <c r="E336" s="7"/>
      <c r="F336" s="7"/>
      <c r="G336" s="7"/>
      <c r="H336" s="7"/>
      <c r="I336" s="7"/>
      <c r="J336" s="7"/>
      <c r="K336" s="7"/>
      <c r="L336" s="1">
        <f t="shared" si="131"/>
        <v>1.3666666666666667</v>
      </c>
      <c r="M336">
        <f t="shared" si="129"/>
        <v>118080</v>
      </c>
      <c r="N336" s="9">
        <f t="shared" si="110"/>
        <v>-1180.6452753620372</v>
      </c>
      <c r="O336" s="7">
        <f t="shared" si="111"/>
        <v>56373831.572447285</v>
      </c>
      <c r="P336" s="2">
        <f t="shared" si="114"/>
        <v>-4.60309254998581E-2</v>
      </c>
      <c r="Q336" s="2">
        <f t="shared" si="115"/>
        <v>-4.6148936953201047E-2</v>
      </c>
      <c r="R336" s="2">
        <f t="shared" si="116"/>
        <v>-4.6148943171282181E-2</v>
      </c>
      <c r="S336" s="2">
        <f t="shared" si="117"/>
        <v>-4.6269276536782471E-2</v>
      </c>
      <c r="T336" s="9">
        <f t="shared" si="118"/>
        <v>-1197.2590330991736</v>
      </c>
      <c r="U336" s="7">
        <f t="shared" si="119"/>
        <v>55945808.796924271</v>
      </c>
      <c r="W336">
        <f t="shared" si="130"/>
        <v>118080</v>
      </c>
      <c r="X336" s="9">
        <f t="shared" si="112"/>
        <v>-106.82810836514952</v>
      </c>
      <c r="Y336" s="2">
        <f t="shared" si="113"/>
        <v>54970771.254024692</v>
      </c>
      <c r="Z336" s="2">
        <f t="shared" si="120"/>
        <v>-4.4885284637996188E-2</v>
      </c>
      <c r="AA336" s="2">
        <f t="shared" si="121"/>
        <v>-4.5154842836561571E-2</v>
      </c>
      <c r="AB336" s="2">
        <f t="shared" si="122"/>
        <v>-4.5154846869459149E-2</v>
      </c>
      <c r="AC336" s="2">
        <f t="shared" si="123"/>
        <v>-4.542865775458884E-2</v>
      </c>
      <c r="AD336" s="2">
        <f t="shared" si="124"/>
        <v>-123.0841076734271</v>
      </c>
      <c r="AE336" s="10">
        <f t="shared" si="125"/>
        <v>54929387.055137746</v>
      </c>
    </row>
    <row r="337" spans="1:31" x14ac:dyDescent="0.25">
      <c r="A337" s="1">
        <f t="shared" si="126"/>
        <v>1.3708333333333333</v>
      </c>
      <c r="B337" s="7">
        <f t="shared" si="127"/>
        <v>55945808.796924271</v>
      </c>
      <c r="C337" s="7">
        <f t="shared" si="128"/>
        <v>54929387.055137746</v>
      </c>
      <c r="D337" s="7"/>
      <c r="E337" s="7"/>
      <c r="F337" s="7"/>
      <c r="G337" s="7"/>
      <c r="H337" s="7"/>
      <c r="I337" s="7"/>
      <c r="J337" s="7"/>
      <c r="K337" s="7"/>
      <c r="L337" s="1">
        <f t="shared" si="131"/>
        <v>1.3708333333333333</v>
      </c>
      <c r="M337">
        <f t="shared" si="129"/>
        <v>118440</v>
      </c>
      <c r="N337" s="9">
        <f t="shared" si="110"/>
        <v>-1197.2590330991736</v>
      </c>
      <c r="O337" s="7">
        <f t="shared" si="111"/>
        <v>55945808.796924271</v>
      </c>
      <c r="P337" s="2">
        <f t="shared" si="114"/>
        <v>-4.6269276604440433E-2</v>
      </c>
      <c r="Q337" s="2">
        <f t="shared" si="115"/>
        <v>-4.6391950499590058E-2</v>
      </c>
      <c r="R337" s="2">
        <f t="shared" si="116"/>
        <v>-4.6391956989425359E-2</v>
      </c>
      <c r="S337" s="2">
        <f t="shared" si="117"/>
        <v>-4.6517016173823533E-2</v>
      </c>
      <c r="T337" s="9">
        <f t="shared" si="118"/>
        <v>-1213.9602795645512</v>
      </c>
      <c r="U337" s="7">
        <f t="shared" si="119"/>
        <v>55511789.320644803</v>
      </c>
      <c r="W337">
        <f t="shared" si="130"/>
        <v>118440</v>
      </c>
      <c r="X337" s="9">
        <f t="shared" si="112"/>
        <v>-123.0841076734271</v>
      </c>
      <c r="Y337" s="2">
        <f t="shared" si="113"/>
        <v>54929387.055137746</v>
      </c>
      <c r="Z337" s="2">
        <f t="shared" si="120"/>
        <v>-4.5428657803339607E-2</v>
      </c>
      <c r="AA337" s="2">
        <f t="shared" si="121"/>
        <v>-4.5706798708784031E-2</v>
      </c>
      <c r="AB337" s="2">
        <f t="shared" si="122"/>
        <v>-4.5706802981764896E-2</v>
      </c>
      <c r="AC337" s="2">
        <f t="shared" si="123"/>
        <v>-4.5989370186747432E-2</v>
      </c>
      <c r="AD337" s="2">
        <f t="shared" si="124"/>
        <v>-139.53882155569818</v>
      </c>
      <c r="AE337" s="10">
        <f t="shared" si="125"/>
        <v>54882114.927876502</v>
      </c>
    </row>
    <row r="338" spans="1:31" x14ac:dyDescent="0.25">
      <c r="A338" s="1">
        <f t="shared" si="126"/>
        <v>1.375</v>
      </c>
      <c r="B338" s="7">
        <f t="shared" si="127"/>
        <v>55511789.320644803</v>
      </c>
      <c r="C338" s="7">
        <f t="shared" si="128"/>
        <v>54882114.927876502</v>
      </c>
      <c r="D338" s="7"/>
      <c r="E338" s="7"/>
      <c r="F338" s="7"/>
      <c r="G338" s="7"/>
      <c r="H338" s="7"/>
      <c r="I338" s="7"/>
      <c r="J338" s="7"/>
      <c r="K338" s="7"/>
      <c r="L338" s="1">
        <f t="shared" si="131"/>
        <v>1.375</v>
      </c>
      <c r="M338">
        <f t="shared" si="129"/>
        <v>118800</v>
      </c>
      <c r="N338" s="9">
        <f t="shared" si="110"/>
        <v>-1213.9602795645512</v>
      </c>
      <c r="O338" s="7">
        <f t="shared" si="111"/>
        <v>55511789.320644803</v>
      </c>
      <c r="P338" s="2">
        <f t="shared" si="114"/>
        <v>-4.6517016244804615E-2</v>
      </c>
      <c r="Q338" s="2">
        <f t="shared" si="115"/>
        <v>-4.6644480400505756E-2</v>
      </c>
      <c r="R338" s="2">
        <f t="shared" si="116"/>
        <v>-4.6644487176850866E-2</v>
      </c>
      <c r="S338" s="2">
        <f t="shared" si="117"/>
        <v>-4.6774403284407164E-2</v>
      </c>
      <c r="T338" s="9">
        <f t="shared" si="118"/>
        <v>-1230.7524408455868</v>
      </c>
      <c r="U338" s="7">
        <f t="shared" si="119"/>
        <v>55071741.030970976</v>
      </c>
      <c r="W338">
        <f t="shared" si="130"/>
        <v>118800</v>
      </c>
      <c r="X338" s="9">
        <f t="shared" si="112"/>
        <v>-139.53882155569818</v>
      </c>
      <c r="Y338" s="2">
        <f t="shared" si="113"/>
        <v>54882114.927876502</v>
      </c>
      <c r="Z338" s="2">
        <f t="shared" si="120"/>
        <v>-4.5989370238149099E-2</v>
      </c>
      <c r="AA338" s="2">
        <f t="shared" si="121"/>
        <v>-4.627644534656148E-2</v>
      </c>
      <c r="AB338" s="2">
        <f t="shared" si="122"/>
        <v>-4.6276449874414281E-2</v>
      </c>
      <c r="AC338" s="2">
        <f t="shared" si="123"/>
        <v>-4.656813458604786E-2</v>
      </c>
      <c r="AD338" s="2">
        <f t="shared" si="124"/>
        <v>-156.1986192716671</v>
      </c>
      <c r="AE338" s="10">
        <f t="shared" si="125"/>
        <v>54828882.188527577</v>
      </c>
    </row>
    <row r="339" spans="1:31" x14ac:dyDescent="0.25">
      <c r="A339" s="1">
        <f t="shared" si="126"/>
        <v>1.3791666666666667</v>
      </c>
      <c r="B339" s="7">
        <f t="shared" si="127"/>
        <v>55071741.030970976</v>
      </c>
      <c r="C339" s="7">
        <f t="shared" si="128"/>
        <v>54828882.188527577</v>
      </c>
      <c r="D339" s="7"/>
      <c r="E339" s="7"/>
      <c r="F339" s="7"/>
      <c r="G339" s="7"/>
      <c r="H339" s="7"/>
      <c r="I339" s="7"/>
      <c r="J339" s="7"/>
      <c r="K339" s="7"/>
      <c r="L339" s="1">
        <f t="shared" si="131"/>
        <v>1.3791666666666667</v>
      </c>
      <c r="M339">
        <f t="shared" si="129"/>
        <v>119160</v>
      </c>
      <c r="N339" s="9">
        <f t="shared" si="110"/>
        <v>-1230.7524408455868</v>
      </c>
      <c r="O339" s="7">
        <f t="shared" si="111"/>
        <v>55071741.030970976</v>
      </c>
      <c r="P339" s="2">
        <f t="shared" si="114"/>
        <v>-4.6774403358944602E-2</v>
      </c>
      <c r="Q339" s="2">
        <f t="shared" si="115"/>
        <v>-4.690679222042328E-2</v>
      </c>
      <c r="R339" s="2">
        <f t="shared" si="116"/>
        <v>-4.6906799299096615E-2</v>
      </c>
      <c r="S339" s="2">
        <f t="shared" si="117"/>
        <v>-4.7041710235357775E-2</v>
      </c>
      <c r="T339" s="9">
        <f t="shared" si="118"/>
        <v>-1247.6390386435874</v>
      </c>
      <c r="U339" s="7">
        <f t="shared" si="119"/>
        <v>54625630.564662926</v>
      </c>
      <c r="W339">
        <f t="shared" si="130"/>
        <v>119160</v>
      </c>
      <c r="X339" s="9">
        <f t="shared" si="112"/>
        <v>-156.1986192716671</v>
      </c>
      <c r="Y339" s="2">
        <f t="shared" si="113"/>
        <v>54828882.188527577</v>
      </c>
      <c r="Z339" s="2">
        <f t="shared" si="120"/>
        <v>-4.656813464030457E-2</v>
      </c>
      <c r="AA339" s="2">
        <f t="shared" si="121"/>
        <v>-4.6864515123752074E-2</v>
      </c>
      <c r="AB339" s="2">
        <f t="shared" si="122"/>
        <v>-4.6864519922434629E-2</v>
      </c>
      <c r="AC339" s="2">
        <f t="shared" si="123"/>
        <v>-4.7165703667288963E-2</v>
      </c>
      <c r="AD339" s="2">
        <f t="shared" si="124"/>
        <v>-173.07013377566511</v>
      </c>
      <c r="AE339" s="10">
        <f t="shared" si="125"/>
        <v>54769613.812979057</v>
      </c>
    </row>
    <row r="340" spans="1:31" x14ac:dyDescent="0.25">
      <c r="A340" s="1">
        <f t="shared" si="126"/>
        <v>1.3833333333333333</v>
      </c>
      <c r="B340" s="7">
        <f t="shared" si="127"/>
        <v>54625630.564662926</v>
      </c>
      <c r="C340" s="7">
        <f t="shared" si="128"/>
        <v>54769613.812979057</v>
      </c>
      <c r="D340" s="7"/>
      <c r="E340" s="7"/>
      <c r="F340" s="7"/>
      <c r="G340" s="7"/>
      <c r="H340" s="7"/>
      <c r="I340" s="7"/>
      <c r="J340" s="7"/>
      <c r="K340" s="7"/>
      <c r="L340" s="1">
        <f t="shared" si="131"/>
        <v>1.3833333333333333</v>
      </c>
      <c r="M340">
        <f t="shared" si="129"/>
        <v>119520</v>
      </c>
      <c r="N340" s="9">
        <f t="shared" si="110"/>
        <v>-1247.6390386435874</v>
      </c>
      <c r="O340" s="7">
        <f t="shared" si="111"/>
        <v>54625630.564662926</v>
      </c>
      <c r="P340" s="2">
        <f t="shared" si="114"/>
        <v>-4.7041710313704216E-2</v>
      </c>
      <c r="Q340" s="2">
        <f t="shared" si="115"/>
        <v>-4.7179165305984865E-2</v>
      </c>
      <c r="R340" s="2">
        <f t="shared" si="116"/>
        <v>-4.7179172703957932E-2</v>
      </c>
      <c r="S340" s="2">
        <f t="shared" si="117"/>
        <v>-4.7319223541124916E-2</v>
      </c>
      <c r="T340" s="9">
        <f t="shared" si="118"/>
        <v>-1264.6236952360703</v>
      </c>
      <c r="U340" s="7">
        <f t="shared" si="119"/>
        <v>54173423.27256459</v>
      </c>
      <c r="W340">
        <f t="shared" si="130"/>
        <v>119520</v>
      </c>
      <c r="X340" s="9">
        <f t="shared" si="112"/>
        <v>-173.07013377566511</v>
      </c>
      <c r="Y340" s="2">
        <f t="shared" si="113"/>
        <v>54769613.812979057</v>
      </c>
      <c r="Z340" s="2">
        <f t="shared" si="120"/>
        <v>-4.7165703724623254E-2</v>
      </c>
      <c r="AA340" s="2">
        <f t="shared" si="121"/>
        <v>-4.747178178305269E-2</v>
      </c>
      <c r="AB340" s="2">
        <f t="shared" si="122"/>
        <v>-4.7471786869799998E-2</v>
      </c>
      <c r="AC340" s="2">
        <f t="shared" si="123"/>
        <v>-4.7782872920904412E-2</v>
      </c>
      <c r="AD340" s="2">
        <f t="shared" si="124"/>
        <v>-190.1602766127391</v>
      </c>
      <c r="AE340" s="10">
        <f t="shared" si="125"/>
        <v>54704232.339109145</v>
      </c>
    </row>
    <row r="341" spans="1:31" x14ac:dyDescent="0.25">
      <c r="A341" s="1">
        <f t="shared" si="126"/>
        <v>1.3875</v>
      </c>
      <c r="B341" s="7">
        <f t="shared" si="127"/>
        <v>54173423.27256459</v>
      </c>
      <c r="C341" s="7">
        <f t="shared" si="128"/>
        <v>54704232.339109145</v>
      </c>
      <c r="D341" s="7"/>
      <c r="E341" s="7"/>
      <c r="F341" s="7"/>
      <c r="G341" s="7"/>
      <c r="H341" s="7"/>
      <c r="I341" s="7"/>
      <c r="J341" s="7"/>
      <c r="K341" s="7"/>
      <c r="L341" s="1">
        <f t="shared" si="131"/>
        <v>1.3875</v>
      </c>
      <c r="M341">
        <f t="shared" si="129"/>
        <v>119880</v>
      </c>
      <c r="N341" s="9">
        <f t="shared" si="110"/>
        <v>-1264.6236952360703</v>
      </c>
      <c r="O341" s="7">
        <f t="shared" si="111"/>
        <v>54173423.27256459</v>
      </c>
      <c r="P341" s="2">
        <f t="shared" si="114"/>
        <v>-4.7319223623554584E-2</v>
      </c>
      <c r="Q341" s="2">
        <f t="shared" si="115"/>
        <v>-4.7461893529132666E-2</v>
      </c>
      <c r="R341" s="2">
        <f t="shared" si="116"/>
        <v>-4.7461901264629451E-2</v>
      </c>
      <c r="S341" s="2">
        <f t="shared" si="117"/>
        <v>-4.7607244632185783E-2</v>
      </c>
      <c r="T341" s="9">
        <f t="shared" si="118"/>
        <v>-1281.7101387066662</v>
      </c>
      <c r="U341" s="7">
        <f t="shared" si="119"/>
        <v>53715083.182454899</v>
      </c>
      <c r="W341">
        <f t="shared" si="130"/>
        <v>119880</v>
      </c>
      <c r="X341" s="9">
        <f t="shared" si="112"/>
        <v>-190.1602766127391</v>
      </c>
      <c r="Y341" s="2">
        <f t="shared" si="113"/>
        <v>54704232.339109145</v>
      </c>
      <c r="Z341" s="2">
        <f t="shared" si="120"/>
        <v>-4.7782872981559109E-2</v>
      </c>
      <c r="AA341" s="2">
        <f t="shared" si="121"/>
        <v>-4.8099063306617403E-2</v>
      </c>
      <c r="AB341" s="2">
        <f t="shared" si="122"/>
        <v>-4.8099068700060824E-2</v>
      </c>
      <c r="AC341" s="2">
        <f t="shared" si="123"/>
        <v>-4.8420483600795906E-2</v>
      </c>
      <c r="AD341" s="2">
        <f t="shared" si="124"/>
        <v>-207.47625384848178</v>
      </c>
      <c r="AE341" s="10">
        <f t="shared" si="125"/>
        <v>54632657.763626128</v>
      </c>
    </row>
    <row r="342" spans="1:31" x14ac:dyDescent="0.25">
      <c r="A342" s="1">
        <f t="shared" si="126"/>
        <v>1.3916666666666666</v>
      </c>
      <c r="B342" s="7">
        <f t="shared" si="127"/>
        <v>53715083.182454899</v>
      </c>
      <c r="C342" s="7">
        <f t="shared" si="128"/>
        <v>54632657.763626128</v>
      </c>
      <c r="D342" s="7"/>
      <c r="E342" s="7"/>
      <c r="F342" s="7"/>
      <c r="G342" s="7"/>
      <c r="H342" s="7"/>
      <c r="I342" s="7"/>
      <c r="J342" s="7"/>
      <c r="K342" s="7"/>
      <c r="L342" s="1">
        <f t="shared" si="131"/>
        <v>1.3916666666666666</v>
      </c>
      <c r="M342">
        <f t="shared" si="129"/>
        <v>120240</v>
      </c>
      <c r="N342" s="9">
        <f t="shared" si="110"/>
        <v>-1281.7101387066662</v>
      </c>
      <c r="O342" s="7">
        <f t="shared" si="111"/>
        <v>53715083.182454899</v>
      </c>
      <c r="P342" s="2">
        <f t="shared" si="114"/>
        <v>-4.7607244718996439E-2</v>
      </c>
      <c r="Q342" s="2">
        <f t="shared" si="115"/>
        <v>-4.7755286081694867E-2</v>
      </c>
      <c r="R342" s="2">
        <f t="shared" si="116"/>
        <v>-4.7755294174301327E-2</v>
      </c>
      <c r="S342" s="2">
        <f t="shared" si="117"/>
        <v>-4.7906090676806158E-2</v>
      </c>
      <c r="T342" s="9">
        <f t="shared" si="118"/>
        <v>-1298.9022084611338</v>
      </c>
      <c r="U342" s="7">
        <f t="shared" si="119"/>
        <v>53250572.959964693</v>
      </c>
      <c r="W342">
        <f t="shared" si="130"/>
        <v>120240</v>
      </c>
      <c r="X342" s="9">
        <f t="shared" si="112"/>
        <v>-207.47625384848178</v>
      </c>
      <c r="Y342" s="2">
        <f t="shared" si="113"/>
        <v>54632657.763626128</v>
      </c>
      <c r="Z342" s="2">
        <f t="shared" si="120"/>
        <v>-4.8420483665036415E-2</v>
      </c>
      <c r="AA342" s="2">
        <f t="shared" si="121"/>
        <v>-4.8747225026638606E-2</v>
      </c>
      <c r="AB342" s="2">
        <f t="shared" si="122"/>
        <v>-4.8747230746938403E-2</v>
      </c>
      <c r="AC342" s="2">
        <f t="shared" si="123"/>
        <v>-4.9079425963546315E-2</v>
      </c>
      <c r="AD342" s="2">
        <f t="shared" si="124"/>
        <v>-225.02558311902598</v>
      </c>
      <c r="AE342" s="10">
        <f t="shared" si="125"/>
        <v>54554807.432971977</v>
      </c>
    </row>
    <row r="343" spans="1:31" x14ac:dyDescent="0.25">
      <c r="A343" s="1">
        <f t="shared" si="126"/>
        <v>1.3958333333333333</v>
      </c>
      <c r="B343" s="7">
        <f t="shared" si="127"/>
        <v>53250572.959964693</v>
      </c>
      <c r="C343" s="7">
        <f t="shared" si="128"/>
        <v>54554807.432971977</v>
      </c>
      <c r="D343" s="7"/>
      <c r="E343" s="7"/>
      <c r="F343" s="7"/>
      <c r="G343" s="7"/>
      <c r="H343" s="7"/>
      <c r="I343" s="7"/>
      <c r="J343" s="7"/>
      <c r="K343" s="7"/>
      <c r="L343" s="1">
        <f t="shared" si="131"/>
        <v>1.3958333333333333</v>
      </c>
      <c r="M343">
        <f t="shared" si="129"/>
        <v>120600</v>
      </c>
      <c r="N343" s="9">
        <f t="shared" si="110"/>
        <v>-1298.9022084611338</v>
      </c>
      <c r="O343" s="7">
        <f t="shared" si="111"/>
        <v>53250572.959964693</v>
      </c>
      <c r="P343" s="2">
        <f t="shared" si="114"/>
        <v>-4.7906090768321606E-2</v>
      </c>
      <c r="Q343" s="2">
        <f t="shared" si="115"/>
        <v>-4.8059668325312298E-2</v>
      </c>
      <c r="R343" s="2">
        <f t="shared" si="116"/>
        <v>-4.8059676796097128E-2</v>
      </c>
      <c r="S343" s="2">
        <f t="shared" si="117"/>
        <v>-4.8216095460207962E-2</v>
      </c>
      <c r="T343" s="9">
        <f t="shared" si="118"/>
        <v>-1316.2038610494146</v>
      </c>
      <c r="U343" s="7">
        <f t="shared" si="119"/>
        <v>52779853.867452793</v>
      </c>
      <c r="W343">
        <f t="shared" si="130"/>
        <v>120600</v>
      </c>
      <c r="X343" s="9">
        <f t="shared" si="112"/>
        <v>-225.02558311902598</v>
      </c>
      <c r="Y343" s="2">
        <f t="shared" si="113"/>
        <v>54554807.432971977</v>
      </c>
      <c r="Z343" s="2">
        <f t="shared" si="120"/>
        <v>-4.9079426031663008E-2</v>
      </c>
      <c r="AA343" s="2">
        <f t="shared" si="121"/>
        <v>-4.9417182999342363E-2</v>
      </c>
      <c r="AB343" s="2">
        <f t="shared" si="122"/>
        <v>-4.9417189068334554E-2</v>
      </c>
      <c r="AC343" s="2">
        <f t="shared" si="123"/>
        <v>-4.9760642783741024E-2</v>
      </c>
      <c r="AD343" s="2">
        <f t="shared" si="124"/>
        <v>-242.81611189607145</v>
      </c>
      <c r="AE343" s="10">
        <f t="shared" si="125"/>
        <v>54470595.92786926</v>
      </c>
    </row>
    <row r="344" spans="1:31" x14ac:dyDescent="0.25">
      <c r="A344" s="1">
        <f t="shared" si="126"/>
        <v>1.4</v>
      </c>
      <c r="B344" s="7">
        <f t="shared" si="127"/>
        <v>52779853.867452793</v>
      </c>
      <c r="C344" s="7">
        <f t="shared" si="128"/>
        <v>54470595.92786926</v>
      </c>
      <c r="D344" s="7"/>
      <c r="E344" s="7"/>
      <c r="F344" s="7"/>
      <c r="G344" s="7"/>
      <c r="H344" s="7"/>
      <c r="I344" s="7"/>
      <c r="J344" s="7"/>
      <c r="K344" s="7"/>
      <c r="L344" s="1">
        <f t="shared" si="131"/>
        <v>1.4</v>
      </c>
      <c r="M344">
        <f t="shared" si="129"/>
        <v>120960</v>
      </c>
      <c r="N344" s="9">
        <f t="shared" si="110"/>
        <v>-1316.2038610494146</v>
      </c>
      <c r="O344" s="7">
        <f t="shared" si="111"/>
        <v>52779853.867452793</v>
      </c>
      <c r="P344" s="2">
        <f t="shared" si="114"/>
        <v>-4.8216095556780733E-2</v>
      </c>
      <c r="Q344" s="2">
        <f t="shared" si="115"/>
        <v>-4.8375382700920885E-2</v>
      </c>
      <c r="R344" s="2">
        <f t="shared" si="116"/>
        <v>-4.8375391572568788E-2</v>
      </c>
      <c r="S344" s="2">
        <f t="shared" si="117"/>
        <v>-4.853761032553356E-2</v>
      </c>
      <c r="T344" s="9">
        <f t="shared" si="118"/>
        <v>-1333.6191763151724</v>
      </c>
      <c r="U344" s="7">
        <f t="shared" si="119"/>
        <v>52302885.720727168</v>
      </c>
      <c r="W344">
        <f t="shared" si="130"/>
        <v>120960</v>
      </c>
      <c r="X344" s="9">
        <f t="shared" si="112"/>
        <v>-242.81611189607145</v>
      </c>
      <c r="Y344" s="2">
        <f t="shared" si="113"/>
        <v>54470595.92786926</v>
      </c>
      <c r="Z344" s="2">
        <f t="shared" si="120"/>
        <v>-4.9760642856052049E-2</v>
      </c>
      <c r="AA344" s="2">
        <f t="shared" si="121"/>
        <v>-5.0109907668480988E-2</v>
      </c>
      <c r="AB344" s="2">
        <f t="shared" si="122"/>
        <v>-5.0109914109840961E-2</v>
      </c>
      <c r="AC344" s="2">
        <f t="shared" si="123"/>
        <v>-5.0465133172922436E-2</v>
      </c>
      <c r="AD344" s="2">
        <f t="shared" si="124"/>
        <v>-260.85603707120856</v>
      </c>
      <c r="AE344" s="10">
        <f t="shared" si="125"/>
        <v>54379934.941055149</v>
      </c>
    </row>
    <row r="345" spans="1:31" x14ac:dyDescent="0.25">
      <c r="A345" s="1">
        <f t="shared" si="126"/>
        <v>1.4041666666666666</v>
      </c>
      <c r="B345" s="7">
        <f t="shared" si="127"/>
        <v>52302885.720727168</v>
      </c>
      <c r="C345" s="7">
        <f t="shared" si="128"/>
        <v>54379934.941055149</v>
      </c>
      <c r="D345" s="7"/>
      <c r="E345" s="7"/>
      <c r="F345" s="7"/>
      <c r="G345" s="7"/>
      <c r="H345" s="7"/>
      <c r="I345" s="7"/>
      <c r="J345" s="7"/>
      <c r="K345" s="7"/>
      <c r="L345" s="1">
        <f t="shared" si="131"/>
        <v>1.4041666666666666</v>
      </c>
      <c r="M345">
        <f t="shared" si="129"/>
        <v>121320</v>
      </c>
      <c r="N345" s="9">
        <f t="shared" si="110"/>
        <v>-1333.6191763151724</v>
      </c>
      <c r="O345" s="7">
        <f t="shared" si="111"/>
        <v>52302885.720727168</v>
      </c>
      <c r="P345" s="2">
        <f t="shared" si="114"/>
        <v>-4.8537610427547992E-2</v>
      </c>
      <c r="Q345" s="2">
        <f t="shared" si="115"/>
        <v>-4.870278970236163E-2</v>
      </c>
      <c r="R345" s="2">
        <f t="shared" si="116"/>
        <v>-4.8702798999320972E-2</v>
      </c>
      <c r="S345" s="2">
        <f t="shared" si="117"/>
        <v>-4.8871005181368485E-2</v>
      </c>
      <c r="T345" s="9">
        <f t="shared" si="118"/>
        <v>-1351.1523638959093</v>
      </c>
      <c r="U345" s="7">
        <f t="shared" si="119"/>
        <v>51819626.84348917</v>
      </c>
      <c r="W345">
        <f t="shared" si="130"/>
        <v>121320</v>
      </c>
      <c r="X345" s="9">
        <f t="shared" si="112"/>
        <v>-260.85603707120856</v>
      </c>
      <c r="Y345" s="2">
        <f t="shared" si="113"/>
        <v>54379934.941055149</v>
      </c>
      <c r="Z345" s="2">
        <f t="shared" si="120"/>
        <v>-5.0465133249776722E-2</v>
      </c>
      <c r="AA345" s="2">
        <f t="shared" si="121"/>
        <v>-5.0826427847378328E-2</v>
      </c>
      <c r="AB345" s="2">
        <f t="shared" si="122"/>
        <v>-5.0826434686802764E-2</v>
      </c>
      <c r="AC345" s="2">
        <f t="shared" si="123"/>
        <v>-5.1193956732856427E-2</v>
      </c>
      <c r="AD345" s="2">
        <f t="shared" si="124"/>
        <v>-279.1539259742683</v>
      </c>
      <c r="AE345" s="10">
        <f t="shared" si="125"/>
        <v>54282733.147706963</v>
      </c>
    </row>
    <row r="346" spans="1:31" x14ac:dyDescent="0.25">
      <c r="A346" s="1">
        <f t="shared" si="126"/>
        <v>1.4083333333333334</v>
      </c>
      <c r="B346" s="7">
        <f t="shared" si="127"/>
        <v>51819626.84348917</v>
      </c>
      <c r="C346" s="7">
        <f t="shared" si="128"/>
        <v>54282733.147706963</v>
      </c>
      <c r="D346" s="7"/>
      <c r="E346" s="7"/>
      <c r="F346" s="7"/>
      <c r="G346" s="7"/>
      <c r="H346" s="7"/>
      <c r="I346" s="7"/>
      <c r="J346" s="7"/>
      <c r="K346" s="7"/>
      <c r="L346" s="1">
        <f t="shared" si="131"/>
        <v>1.4083333333333334</v>
      </c>
      <c r="M346">
        <f t="shared" si="129"/>
        <v>121680</v>
      </c>
      <c r="N346" s="9">
        <f t="shared" si="110"/>
        <v>-1351.1523638959093</v>
      </c>
      <c r="O346" s="7">
        <f t="shared" si="111"/>
        <v>51819626.84348917</v>
      </c>
      <c r="P346" s="2">
        <f t="shared" si="114"/>
        <v>-4.8871005289243985E-2</v>
      </c>
      <c r="Q346" s="2">
        <f t="shared" si="115"/>
        <v>-4.9042268919077273E-2</v>
      </c>
      <c r="R346" s="2">
        <f t="shared" si="116"/>
        <v>-4.9042278667723357E-2</v>
      </c>
      <c r="S346" s="2">
        <f t="shared" si="117"/>
        <v>-4.9216669580986964E-2</v>
      </c>
      <c r="T346" s="9">
        <f t="shared" si="118"/>
        <v>-1368.8077700985391</v>
      </c>
      <c r="U346" s="7">
        <f t="shared" si="119"/>
        <v>51330034.019370168</v>
      </c>
      <c r="W346">
        <f t="shared" si="130"/>
        <v>121680</v>
      </c>
      <c r="X346" s="9">
        <f t="shared" si="112"/>
        <v>-279.1539259742683</v>
      </c>
      <c r="Y346" s="2">
        <f t="shared" si="113"/>
        <v>54282733.147706963</v>
      </c>
      <c r="Z346" s="2">
        <f t="shared" si="120"/>
        <v>-5.119395681463737E-2</v>
      </c>
      <c r="AA346" s="2">
        <f t="shared" si="121"/>
        <v>-5.1567835051933152E-2</v>
      </c>
      <c r="AB346" s="2">
        <f t="shared" si="122"/>
        <v>-5.1567842317343009E-2</v>
      </c>
      <c r="AC346" s="2">
        <f t="shared" si="123"/>
        <v>-5.1948238077355463E-2</v>
      </c>
      <c r="AD346" s="2">
        <f t="shared" si="124"/>
        <v>-297.71873895210103</v>
      </c>
      <c r="AE346" s="10">
        <f t="shared" si="125"/>
        <v>54178896.068020217</v>
      </c>
    </row>
    <row r="347" spans="1:31" x14ac:dyDescent="0.25">
      <c r="A347" s="1">
        <f t="shared" si="126"/>
        <v>1.4125000000000001</v>
      </c>
      <c r="B347" s="7">
        <f t="shared" si="127"/>
        <v>51330034.019370168</v>
      </c>
      <c r="C347" s="7">
        <f t="shared" si="128"/>
        <v>54178896.068020217</v>
      </c>
      <c r="D347" s="7"/>
      <c r="E347" s="7"/>
      <c r="F347" s="7"/>
      <c r="G347" s="7"/>
      <c r="H347" s="7"/>
      <c r="I347" s="7"/>
      <c r="J347" s="7"/>
      <c r="K347" s="7"/>
      <c r="L347" s="1">
        <f t="shared" si="131"/>
        <v>1.4125000000000001</v>
      </c>
      <c r="M347">
        <f t="shared" si="129"/>
        <v>122040</v>
      </c>
      <c r="N347" s="9">
        <f t="shared" si="110"/>
        <v>-1368.8077700985391</v>
      </c>
      <c r="O347" s="7">
        <f t="shared" si="111"/>
        <v>51330034.019370168</v>
      </c>
      <c r="P347" s="2">
        <f t="shared" si="114"/>
        <v>-4.9216669695181944E-2</v>
      </c>
      <c r="Q347" s="2">
        <f t="shared" si="115"/>
        <v>-4.9394220153274646E-2</v>
      </c>
      <c r="R347" s="2">
        <f t="shared" si="116"/>
        <v>-4.9394230382090842E-2</v>
      </c>
      <c r="S347" s="2">
        <f t="shared" si="117"/>
        <v>-4.957501387892372E-2</v>
      </c>
      <c r="T347" s="9">
        <f t="shared" si="118"/>
        <v>-1386.5898851772292</v>
      </c>
      <c r="U347" s="7">
        <f t="shared" si="119"/>
        <v>50834062.441420533</v>
      </c>
      <c r="W347">
        <f t="shared" si="130"/>
        <v>122040</v>
      </c>
      <c r="X347" s="9">
        <f t="shared" si="112"/>
        <v>-297.71873895210103</v>
      </c>
      <c r="Y347" s="2">
        <f t="shared" si="113"/>
        <v>54178896.068020217</v>
      </c>
      <c r="Z347" s="2">
        <f t="shared" si="120"/>
        <v>-5.1948238164484718E-2</v>
      </c>
      <c r="AA347" s="2">
        <f t="shared" si="121"/>
        <v>-5.2335288220778514E-2</v>
      </c>
      <c r="AB347" s="2">
        <f t="shared" si="122"/>
        <v>-5.2335295942545761E-2</v>
      </c>
      <c r="AC347" s="2">
        <f t="shared" si="123"/>
        <v>-5.2729171760934536E-2</v>
      </c>
      <c r="AD347" s="2">
        <f t="shared" si="124"/>
        <v>-316.55985364722511</v>
      </c>
      <c r="AE347" s="10">
        <f t="shared" si="125"/>
        <v>54068325.921352342</v>
      </c>
    </row>
    <row r="348" spans="1:31" x14ac:dyDescent="0.25">
      <c r="A348" s="1">
        <f t="shared" si="126"/>
        <v>1.4166666666666667</v>
      </c>
      <c r="B348" s="7">
        <f t="shared" si="127"/>
        <v>50834062.441420533</v>
      </c>
      <c r="C348" s="7">
        <f t="shared" si="128"/>
        <v>54068325.921352342</v>
      </c>
      <c r="D348" s="7"/>
      <c r="E348" s="7"/>
      <c r="F348" s="7"/>
      <c r="G348" s="7"/>
      <c r="H348" s="7"/>
      <c r="I348" s="7"/>
      <c r="J348" s="7"/>
      <c r="K348" s="7"/>
      <c r="L348" s="1">
        <f t="shared" si="131"/>
        <v>1.4166666666666667</v>
      </c>
      <c r="M348">
        <f t="shared" si="129"/>
        <v>122400</v>
      </c>
      <c r="N348" s="9">
        <f t="shared" si="110"/>
        <v>-1386.5898851772292</v>
      </c>
      <c r="O348" s="7">
        <f t="shared" si="111"/>
        <v>50834062.441420533</v>
      </c>
      <c r="P348" s="2">
        <f t="shared" si="114"/>
        <v>-4.9575013999939889E-2</v>
      </c>
      <c r="Q348" s="2">
        <f t="shared" si="115"/>
        <v>-4.975906461738757E-2</v>
      </c>
      <c r="R348" s="2">
        <f t="shared" si="116"/>
        <v>-4.975907535716656E-2</v>
      </c>
      <c r="S348" s="2">
        <f t="shared" si="117"/>
        <v>-4.9946470470948717E-2</v>
      </c>
      <c r="T348" s="9">
        <f t="shared" si="118"/>
        <v>-1404.5033510424291</v>
      </c>
      <c r="U348" s="7">
        <f t="shared" si="119"/>
        <v>50331665.658900991</v>
      </c>
      <c r="W348">
        <f t="shared" si="130"/>
        <v>122400</v>
      </c>
      <c r="X348" s="9">
        <f t="shared" si="112"/>
        <v>-316.55985364722511</v>
      </c>
      <c r="Y348" s="2">
        <f t="shared" si="113"/>
        <v>54068325.921352342</v>
      </c>
      <c r="Z348" s="2">
        <f t="shared" si="120"/>
        <v>-5.2729171853876537E-2</v>
      </c>
      <c r="AA348" s="2">
        <f t="shared" si="121"/>
        <v>-5.3130018863088123E-2</v>
      </c>
      <c r="AB348" s="2">
        <f t="shared" si="122"/>
        <v>-5.3130027074289154E-2</v>
      </c>
      <c r="AC348" s="2">
        <f t="shared" si="123"/>
        <v>-5.3538027657150426E-2</v>
      </c>
      <c r="AD348" s="2">
        <f t="shared" si="124"/>
        <v>-335.68709113037198</v>
      </c>
      <c r="AE348" s="10">
        <f t="shared" si="125"/>
        <v>53950921.471292377</v>
      </c>
    </row>
    <row r="349" spans="1:31" x14ac:dyDescent="0.25">
      <c r="A349" s="1">
        <f t="shared" si="126"/>
        <v>1.4208333333333334</v>
      </c>
      <c r="B349" s="7">
        <f t="shared" si="127"/>
        <v>50331665.658900991</v>
      </c>
      <c r="C349" s="7">
        <f t="shared" si="128"/>
        <v>53950921.471292377</v>
      </c>
      <c r="D349" s="7"/>
      <c r="E349" s="7"/>
      <c r="F349" s="7"/>
      <c r="G349" s="7"/>
      <c r="H349" s="7"/>
      <c r="I349" s="7"/>
      <c r="J349" s="7"/>
      <c r="K349" s="7"/>
      <c r="L349" s="1">
        <f t="shared" si="131"/>
        <v>1.4208333333333334</v>
      </c>
      <c r="M349">
        <f t="shared" si="129"/>
        <v>122760</v>
      </c>
      <c r="N349" s="9">
        <f t="shared" si="110"/>
        <v>-1404.5033510424291</v>
      </c>
      <c r="O349" s="7">
        <f t="shared" si="111"/>
        <v>50331665.658900991</v>
      </c>
      <c r="P349" s="2">
        <f t="shared" si="114"/>
        <v>-4.9946470599335685E-2</v>
      </c>
      <c r="Q349" s="2">
        <f t="shared" si="115"/>
        <v>-5.0137246218168854E-2</v>
      </c>
      <c r="R349" s="2">
        <f t="shared" si="116"/>
        <v>-5.0137257502236299E-2</v>
      </c>
      <c r="S349" s="2">
        <f t="shared" si="117"/>
        <v>-5.0331495124035133E-2</v>
      </c>
      <c r="T349" s="9">
        <f t="shared" si="118"/>
        <v>-1422.55296943228</v>
      </c>
      <c r="U349" s="7">
        <f t="shared" si="119"/>
        <v>49822795.521215543</v>
      </c>
      <c r="W349">
        <f t="shared" si="130"/>
        <v>122760</v>
      </c>
      <c r="X349" s="9">
        <f t="shared" si="112"/>
        <v>-335.68709113037198</v>
      </c>
      <c r="Y349" s="2">
        <f t="shared" si="113"/>
        <v>53950921.471292377</v>
      </c>
      <c r="Z349" s="2">
        <f t="shared" si="120"/>
        <v>-5.3538027756417632E-2</v>
      </c>
      <c r="AA349" s="2">
        <f t="shared" si="121"/>
        <v>-5.3953336679391645E-2</v>
      </c>
      <c r="AB349" s="2">
        <f t="shared" si="122"/>
        <v>-5.3953345416091397E-2</v>
      </c>
      <c r="AC349" s="2">
        <f t="shared" si="123"/>
        <v>-5.4376156834665186E-2</v>
      </c>
      <c r="AD349" s="2">
        <f t="shared" si="124"/>
        <v>-355.11074405729494</v>
      </c>
      <c r="AE349" s="10">
        <f t="shared" si="125"/>
        <v>53826577.860958599</v>
      </c>
    </row>
    <row r="350" spans="1:31" x14ac:dyDescent="0.25">
      <c r="A350" s="1">
        <f t="shared" si="126"/>
        <v>1.425</v>
      </c>
      <c r="B350" s="7">
        <f t="shared" si="127"/>
        <v>49822795.521215543</v>
      </c>
      <c r="C350" s="7">
        <f t="shared" si="128"/>
        <v>53826577.860958599</v>
      </c>
      <c r="D350" s="7"/>
      <c r="E350" s="7"/>
      <c r="F350" s="7"/>
      <c r="G350" s="7"/>
      <c r="H350" s="7"/>
      <c r="I350" s="7"/>
      <c r="J350" s="7"/>
      <c r="K350" s="7"/>
      <c r="L350" s="1">
        <f t="shared" si="131"/>
        <v>1.425</v>
      </c>
      <c r="M350">
        <f t="shared" si="129"/>
        <v>123120</v>
      </c>
      <c r="N350" s="9">
        <f t="shared" si="110"/>
        <v>-1422.55296943228</v>
      </c>
      <c r="O350" s="7">
        <f t="shared" si="111"/>
        <v>49822795.521215543</v>
      </c>
      <c r="P350" s="2">
        <f t="shared" si="114"/>
        <v>-5.0331495260396118E-2</v>
      </c>
      <c r="Q350" s="2">
        <f t="shared" si="115"/>
        <v>-5.0529232934273999E-2</v>
      </c>
      <c r="R350" s="2">
        <f t="shared" si="116"/>
        <v>-5.0529244798737702E-2</v>
      </c>
      <c r="S350" s="2">
        <f t="shared" si="117"/>
        <v>-5.0730568403467249E-2</v>
      </c>
      <c r="T350" s="9">
        <f t="shared" si="118"/>
        <v>-1440.7437105800732</v>
      </c>
      <c r="U350" s="7">
        <f t="shared" si="119"/>
        <v>49307402.118813321</v>
      </c>
      <c r="W350">
        <f t="shared" si="130"/>
        <v>123120</v>
      </c>
      <c r="X350" s="9">
        <f t="shared" si="112"/>
        <v>-355.11074405729494</v>
      </c>
      <c r="Y350" s="2">
        <f t="shared" si="113"/>
        <v>53826577.860958599</v>
      </c>
      <c r="Z350" s="2">
        <f t="shared" si="120"/>
        <v>-5.4376156940823657E-2</v>
      </c>
      <c r="AA350" s="2">
        <f t="shared" si="121"/>
        <v>-5.4806635706296035E-2</v>
      </c>
      <c r="AB350" s="2">
        <f t="shared" si="122"/>
        <v>-5.480664500786666E-2</v>
      </c>
      <c r="AC350" s="2">
        <f t="shared" si="123"/>
        <v>-5.5244997984979144E-2</v>
      </c>
      <c r="AD350" s="2">
        <f t="shared" si="124"/>
        <v>-374.84160703854263</v>
      </c>
      <c r="AE350" s="10">
        <f t="shared" si="125"/>
        <v>53695186.437761351</v>
      </c>
    </row>
    <row r="351" spans="1:31" x14ac:dyDescent="0.25">
      <c r="A351" s="1">
        <f t="shared" si="126"/>
        <v>1.4291666666666667</v>
      </c>
      <c r="B351" s="7">
        <f t="shared" si="127"/>
        <v>49307402.118813321</v>
      </c>
      <c r="C351" s="7">
        <f t="shared" si="128"/>
        <v>53695186.437761351</v>
      </c>
      <c r="D351" s="7"/>
      <c r="E351" s="7"/>
      <c r="F351" s="7"/>
      <c r="G351" s="7"/>
      <c r="H351" s="7"/>
      <c r="I351" s="7"/>
      <c r="J351" s="7"/>
      <c r="K351" s="7"/>
      <c r="L351" s="1">
        <f t="shared" si="131"/>
        <v>1.4291666666666667</v>
      </c>
      <c r="M351">
        <f t="shared" si="129"/>
        <v>123480</v>
      </c>
      <c r="N351" s="9">
        <f t="shared" si="110"/>
        <v>-1440.7437105800732</v>
      </c>
      <c r="O351" s="7">
        <f t="shared" si="111"/>
        <v>49307402.118813321</v>
      </c>
      <c r="P351" s="2">
        <f t="shared" si="114"/>
        <v>-5.0730568548465117E-2</v>
      </c>
      <c r="Q351" s="2">
        <f t="shared" si="115"/>
        <v>-5.093551829477562E-2</v>
      </c>
      <c r="R351" s="2">
        <f t="shared" si="116"/>
        <v>-5.0935530778803507E-2</v>
      </c>
      <c r="S351" s="2">
        <f t="shared" si="117"/>
        <v>-5.1144197204832272E-2</v>
      </c>
      <c r="T351" s="9">
        <f t="shared" si="118"/>
        <v>-1459.0807224141006</v>
      </c>
      <c r="U351" s="7">
        <f t="shared" si="119"/>
        <v>48785433.720874369</v>
      </c>
      <c r="W351">
        <f t="shared" si="130"/>
        <v>123480</v>
      </c>
      <c r="X351" s="9">
        <f t="shared" si="112"/>
        <v>-374.84160703854263</v>
      </c>
      <c r="Y351" s="2">
        <f t="shared" si="113"/>
        <v>53695186.437761351</v>
      </c>
      <c r="Z351" s="2">
        <f t="shared" si="120"/>
        <v>-5.5244998098655164E-2</v>
      </c>
      <c r="AA351" s="2">
        <f t="shared" si="121"/>
        <v>-5.5691401042311739E-2</v>
      </c>
      <c r="AB351" s="2">
        <f t="shared" si="122"/>
        <v>-5.5691410951790817E-2</v>
      </c>
      <c r="AC351" s="2">
        <f t="shared" si="123"/>
        <v>-5.6146084462507545E-2</v>
      </c>
      <c r="AD351" s="2">
        <f t="shared" si="124"/>
        <v>-394.8910094315047</v>
      </c>
      <c r="AE351" s="10">
        <f t="shared" si="125"/>
        <v>53556634.566796742</v>
      </c>
    </row>
    <row r="352" spans="1:31" x14ac:dyDescent="0.25">
      <c r="A352" s="1">
        <f t="shared" si="126"/>
        <v>1.4333333333333333</v>
      </c>
      <c r="B352" s="7">
        <f t="shared" si="127"/>
        <v>48785433.720874369</v>
      </c>
      <c r="C352" s="7">
        <f t="shared" si="128"/>
        <v>53556634.566796742</v>
      </c>
      <c r="D352" s="7"/>
      <c r="E352" s="7"/>
      <c r="F352" s="7"/>
      <c r="G352" s="7"/>
      <c r="H352" s="7"/>
      <c r="I352" s="7"/>
      <c r="J352" s="7"/>
      <c r="K352" s="7"/>
      <c r="L352" s="1">
        <f t="shared" si="131"/>
        <v>1.4333333333333333</v>
      </c>
      <c r="M352">
        <f t="shared" si="129"/>
        <v>123840</v>
      </c>
      <c r="N352" s="9">
        <f t="shared" si="110"/>
        <v>-1459.0807224141006</v>
      </c>
      <c r="O352" s="7">
        <f t="shared" si="111"/>
        <v>48785433.720874369</v>
      </c>
      <c r="P352" s="2">
        <f t="shared" si="114"/>
        <v>-5.1144197359196501E-2</v>
      </c>
      <c r="Q352" s="2">
        <f t="shared" si="115"/>
        <v>-5.1356622966669992E-2</v>
      </c>
      <c r="R352" s="2">
        <f t="shared" si="116"/>
        <v>-5.1356636112800585E-2</v>
      </c>
      <c r="S352" s="2">
        <f t="shared" si="117"/>
        <v>-5.1572916399285844E-2</v>
      </c>
      <c r="T352" s="9">
        <f t="shared" si="118"/>
        <v>-1477.5693403291459</v>
      </c>
      <c r="U352" s="7">
        <f t="shared" si="119"/>
        <v>48256836.709580585</v>
      </c>
      <c r="W352">
        <f t="shared" si="130"/>
        <v>123840</v>
      </c>
      <c r="X352" s="9">
        <f t="shared" si="112"/>
        <v>-394.8910094315047</v>
      </c>
      <c r="Y352" s="2">
        <f t="shared" si="113"/>
        <v>53556634.566796742</v>
      </c>
      <c r="Z352" s="2">
        <f t="shared" si="120"/>
        <v>-5.6146084584395219E-2</v>
      </c>
      <c r="AA352" s="2">
        <f t="shared" si="121"/>
        <v>-5.6609216219168194E-2</v>
      </c>
      <c r="AB352" s="2">
        <f t="shared" si="122"/>
        <v>-5.660922678366203E-2</v>
      </c>
      <c r="AC352" s="2">
        <f t="shared" si="123"/>
        <v>-5.708105200535353E-2</v>
      </c>
      <c r="AD352" s="2">
        <f t="shared" si="124"/>
        <v>-415.27085078722928</v>
      </c>
      <c r="AE352" s="10">
        <f t="shared" si="125"/>
        <v>53410805.431957372</v>
      </c>
    </row>
    <row r="353" spans="1:31" x14ac:dyDescent="0.25">
      <c r="A353" s="1">
        <f t="shared" si="126"/>
        <v>1.4375</v>
      </c>
      <c r="B353" s="7">
        <f t="shared" si="127"/>
        <v>48256836.709580585</v>
      </c>
      <c r="C353" s="7">
        <f t="shared" si="128"/>
        <v>53410805.431957372</v>
      </c>
      <c r="D353" s="7"/>
      <c r="E353" s="7"/>
      <c r="F353" s="7"/>
      <c r="G353" s="7"/>
      <c r="H353" s="7"/>
      <c r="I353" s="7"/>
      <c r="J353" s="7"/>
      <c r="K353" s="7"/>
      <c r="L353" s="1">
        <f t="shared" si="131"/>
        <v>1.4375</v>
      </c>
      <c r="M353">
        <f t="shared" si="129"/>
        <v>124200</v>
      </c>
      <c r="N353" s="9">
        <f t="shared" si="110"/>
        <v>-1477.5693403291459</v>
      </c>
      <c r="O353" s="7">
        <f t="shared" si="111"/>
        <v>48256836.709580585</v>
      </c>
      <c r="P353" s="2">
        <f t="shared" si="114"/>
        <v>-5.1572916563820334E-2</v>
      </c>
      <c r="Q353" s="2">
        <f t="shared" si="115"/>
        <v>-5.1793096460103279E-2</v>
      </c>
      <c r="R353" s="2">
        <f t="shared" si="116"/>
        <v>-5.1793110314593334E-2</v>
      </c>
      <c r="S353" s="2">
        <f t="shared" si="117"/>
        <v>-5.2017290601171558E-2</v>
      </c>
      <c r="T353" s="9">
        <f t="shared" si="118"/>
        <v>-1496.215097572009</v>
      </c>
      <c r="U353" s="7">
        <f t="shared" si="119"/>
        <v>47721555.510758378</v>
      </c>
      <c r="W353">
        <f t="shared" si="130"/>
        <v>124200</v>
      </c>
      <c r="X353" s="9">
        <f t="shared" si="112"/>
        <v>-415.27085078722928</v>
      </c>
      <c r="Y353" s="2">
        <f t="shared" si="113"/>
        <v>53410805.431957372</v>
      </c>
      <c r="Z353" s="2">
        <f t="shared" si="120"/>
        <v>-5.7081052136223234E-2</v>
      </c>
      <c r="AA353" s="2">
        <f t="shared" si="121"/>
        <v>-5.7561771291214071E-2</v>
      </c>
      <c r="AB353" s="2">
        <f t="shared" si="122"/>
        <v>-5.7561782562352545E-2</v>
      </c>
      <c r="AC353" s="2">
        <f t="shared" si="123"/>
        <v>-5.8051647213913225E-2</v>
      </c>
      <c r="AD353" s="2">
        <f t="shared" si="124"/>
        <v>-435.99363921066544</v>
      </c>
      <c r="AE353" s="10">
        <f t="shared" si="125"/>
        <v>53257577.823757753</v>
      </c>
    </row>
    <row r="354" spans="1:31" x14ac:dyDescent="0.25">
      <c r="A354" s="1">
        <f t="shared" si="126"/>
        <v>1.4416666666666667</v>
      </c>
      <c r="B354" s="7">
        <f t="shared" si="127"/>
        <v>47721555.510758378</v>
      </c>
      <c r="C354" s="7">
        <f t="shared" si="128"/>
        <v>53257577.823757753</v>
      </c>
      <c r="D354" s="7"/>
      <c r="E354" s="7"/>
      <c r="F354" s="7"/>
      <c r="G354" s="7"/>
      <c r="H354" s="7"/>
      <c r="I354" s="7"/>
      <c r="J354" s="7"/>
      <c r="K354" s="7"/>
      <c r="L354" s="1">
        <f t="shared" si="131"/>
        <v>1.4416666666666667</v>
      </c>
      <c r="M354">
        <f t="shared" si="129"/>
        <v>124560</v>
      </c>
      <c r="N354" s="9">
        <f t="shared" si="110"/>
        <v>-1496.215097572009</v>
      </c>
      <c r="O354" s="7">
        <f t="shared" si="111"/>
        <v>47721555.510758378</v>
      </c>
      <c r="P354" s="2">
        <f t="shared" si="114"/>
        <v>-5.20172907767638E-2</v>
      </c>
      <c r="Q354" s="2">
        <f t="shared" si="115"/>
        <v>-5.2245518960762377E-2</v>
      </c>
      <c r="R354" s="2">
        <f t="shared" si="116"/>
        <v>-5.224553357397653E-2</v>
      </c>
      <c r="S354" s="2">
        <f t="shared" si="117"/>
        <v>-5.2477916067815482E-2</v>
      </c>
      <c r="T354" s="9">
        <f t="shared" si="118"/>
        <v>-1515.0237362868525</v>
      </c>
      <c r="U354" s="7">
        <f t="shared" si="119"/>
        <v>47179532.520663783</v>
      </c>
      <c r="W354">
        <f t="shared" si="130"/>
        <v>124560</v>
      </c>
      <c r="X354" s="9">
        <f t="shared" si="112"/>
        <v>-435.99363921066544</v>
      </c>
      <c r="Y354" s="2">
        <f t="shared" si="113"/>
        <v>53257577.823757753</v>
      </c>
      <c r="Z354" s="2">
        <f t="shared" si="120"/>
        <v>-5.8051647354621427E-2</v>
      </c>
      <c r="AA354" s="2">
        <f t="shared" si="121"/>
        <v>-5.8550871724895627E-2</v>
      </c>
      <c r="AB354" s="2">
        <f t="shared" si="122"/>
        <v>-5.8550883759346105E-2</v>
      </c>
      <c r="AC354" s="2">
        <f t="shared" si="123"/>
        <v>-5.905973687451125E-2</v>
      </c>
      <c r="AD354" s="2">
        <f t="shared" si="124"/>
        <v>-457.07253292252238</v>
      </c>
      <c r="AE354" s="10">
        <f t="shared" si="125"/>
        <v>53096825.912773781</v>
      </c>
    </row>
    <row r="355" spans="1:31" x14ac:dyDescent="0.25">
      <c r="A355" s="1">
        <f t="shared" si="126"/>
        <v>1.4458333333333333</v>
      </c>
      <c r="B355" s="7">
        <f t="shared" si="127"/>
        <v>47179532.520663783</v>
      </c>
      <c r="C355" s="7">
        <f t="shared" si="128"/>
        <v>53096825.912773781</v>
      </c>
      <c r="D355" s="7"/>
      <c r="E355" s="7"/>
      <c r="F355" s="7"/>
      <c r="G355" s="7"/>
      <c r="H355" s="7"/>
      <c r="I355" s="7"/>
      <c r="J355" s="7"/>
      <c r="K355" s="7"/>
      <c r="L355" s="1">
        <f t="shared" si="131"/>
        <v>1.4458333333333333</v>
      </c>
      <c r="M355">
        <f t="shared" si="129"/>
        <v>124920</v>
      </c>
      <c r="N355" s="9">
        <f t="shared" si="110"/>
        <v>-1515.0237362868525</v>
      </c>
      <c r="O355" s="7">
        <f t="shared" si="111"/>
        <v>47179532.520663783</v>
      </c>
      <c r="P355" s="2">
        <f t="shared" si="114"/>
        <v>-5.2477916255446684E-2</v>
      </c>
      <c r="Q355" s="2">
        <f t="shared" si="115"/>
        <v>-5.2714503299636638E-2</v>
      </c>
      <c r="R355" s="2">
        <f t="shared" si="116"/>
        <v>-5.2714518726484604E-2</v>
      </c>
      <c r="S355" s="2">
        <f t="shared" si="117"/>
        <v>-5.2955422742101223E-2</v>
      </c>
      <c r="T355" s="9">
        <f t="shared" si="118"/>
        <v>-1534.0012192698398</v>
      </c>
      <c r="U355" s="7">
        <f t="shared" si="119"/>
        <v>46630708.028663576</v>
      </c>
      <c r="W355">
        <f t="shared" si="130"/>
        <v>124920</v>
      </c>
      <c r="X355" s="9">
        <f t="shared" si="112"/>
        <v>-457.07253292252238</v>
      </c>
      <c r="Y355" s="2">
        <f t="shared" si="113"/>
        <v>53096825.912773781</v>
      </c>
      <c r="Z355" s="2">
        <f t="shared" si="120"/>
        <v>-5.9059737026011805E-2</v>
      </c>
      <c r="AA355" s="2">
        <f t="shared" si="121"/>
        <v>-5.9578448181086659E-2</v>
      </c>
      <c r="AB355" s="2">
        <f t="shared" si="122"/>
        <v>-5.9578461041136038E-2</v>
      </c>
      <c r="AC355" s="2">
        <f t="shared" si="123"/>
        <v>-6.0107318226818751E-2</v>
      </c>
      <c r="AD355" s="2">
        <f t="shared" si="124"/>
        <v>-478.52138534435892</v>
      </c>
      <c r="AE355" s="10">
        <f t="shared" si="125"/>
        <v>52928419.00748574</v>
      </c>
    </row>
    <row r="356" spans="1:31" x14ac:dyDescent="0.25">
      <c r="A356" s="1">
        <f t="shared" si="126"/>
        <v>1.45</v>
      </c>
      <c r="B356" s="7">
        <f t="shared" si="127"/>
        <v>46630708.028663576</v>
      </c>
      <c r="C356" s="7">
        <f t="shared" si="128"/>
        <v>52928419.00748574</v>
      </c>
      <c r="D356" s="7"/>
      <c r="E356" s="7"/>
      <c r="F356" s="7"/>
      <c r="G356" s="7"/>
      <c r="H356" s="7"/>
      <c r="I356" s="7"/>
      <c r="J356" s="7"/>
      <c r="K356" s="7"/>
      <c r="L356" s="1">
        <f t="shared" si="131"/>
        <v>1.45</v>
      </c>
      <c r="M356">
        <f t="shared" si="129"/>
        <v>125280</v>
      </c>
      <c r="N356" s="9">
        <f t="shared" si="110"/>
        <v>-1534.0012192698398</v>
      </c>
      <c r="O356" s="7">
        <f t="shared" si="111"/>
        <v>46630708.028663576</v>
      </c>
      <c r="P356" s="2">
        <f t="shared" si="114"/>
        <v>-5.295542294285796E-2</v>
      </c>
      <c r="Q356" s="2">
        <f t="shared" si="115"/>
        <v>-5.3200697071166141E-2</v>
      </c>
      <c r="R356" s="2">
        <f t="shared" si="116"/>
        <v>-5.3200713371595078E-2</v>
      </c>
      <c r="S356" s="2">
        <f t="shared" si="117"/>
        <v>-5.3450476449264366E-2</v>
      </c>
      <c r="T356" s="9">
        <f t="shared" si="118"/>
        <v>-1553.1537424864985</v>
      </c>
      <c r="U356" s="7">
        <f t="shared" si="119"/>
        <v>46075020.135547437</v>
      </c>
      <c r="W356">
        <f t="shared" si="130"/>
        <v>125280</v>
      </c>
      <c r="X356" s="9">
        <f t="shared" si="112"/>
        <v>-478.52138534435892</v>
      </c>
      <c r="Y356" s="2">
        <f t="shared" si="113"/>
        <v>52928419.00748574</v>
      </c>
      <c r="Z356" s="2">
        <f t="shared" si="120"/>
        <v>-6.0107318390175836E-2</v>
      </c>
      <c r="AA356" s="2">
        <f t="shared" si="121"/>
        <v>-6.0646567295431594E-2</v>
      </c>
      <c r="AB356" s="2">
        <f t="shared" si="122"/>
        <v>-6.0646581049645952E-2</v>
      </c>
      <c r="AC356" s="2">
        <f t="shared" si="123"/>
        <v>-6.1196530287096602E-2</v>
      </c>
      <c r="AD356" s="2">
        <f t="shared" si="124"/>
        <v>-500.35479406640457</v>
      </c>
      <c r="AE356" s="10">
        <f t="shared" si="125"/>
        <v>52752221.295191802</v>
      </c>
    </row>
    <row r="357" spans="1:31" x14ac:dyDescent="0.25">
      <c r="A357" s="1">
        <f t="shared" si="126"/>
        <v>1.4541666666666666</v>
      </c>
      <c r="B357" s="7">
        <f t="shared" si="127"/>
        <v>46075020.135547437</v>
      </c>
      <c r="C357" s="7">
        <f t="shared" si="128"/>
        <v>52752221.295191802</v>
      </c>
      <c r="D357" s="7"/>
      <c r="E357" s="7"/>
      <c r="F357" s="7"/>
      <c r="G357" s="7"/>
      <c r="H357" s="7"/>
      <c r="I357" s="7"/>
      <c r="J357" s="7"/>
      <c r="K357" s="7"/>
      <c r="L357" s="1">
        <f t="shared" si="131"/>
        <v>1.4541666666666666</v>
      </c>
      <c r="M357">
        <f t="shared" si="129"/>
        <v>125640</v>
      </c>
      <c r="N357" s="9">
        <f t="shared" si="110"/>
        <v>-1553.1537424864985</v>
      </c>
      <c r="O357" s="7">
        <f t="shared" si="111"/>
        <v>46075020.135547437</v>
      </c>
      <c r="P357" s="2">
        <f t="shared" si="114"/>
        <v>-5.3450476664351952E-2</v>
      </c>
      <c r="Q357" s="2">
        <f t="shared" si="115"/>
        <v>-5.3704784911646063E-2</v>
      </c>
      <c r="R357" s="2">
        <f t="shared" si="116"/>
        <v>-5.3704802151195052E-2</v>
      </c>
      <c r="S357" s="2">
        <f t="shared" si="117"/>
        <v>-5.3963781260217225E-2</v>
      </c>
      <c r="T357" s="9">
        <f t="shared" si="118"/>
        <v>-1572.4877484095136</v>
      </c>
      <c r="U357" s="7">
        <f t="shared" si="119"/>
        <v>45512404.667186156</v>
      </c>
      <c r="W357">
        <f t="shared" si="130"/>
        <v>125640</v>
      </c>
      <c r="X357" s="9">
        <f t="shared" si="112"/>
        <v>-500.35479406640457</v>
      </c>
      <c r="Y357" s="2">
        <f t="shared" si="113"/>
        <v>52752221.295191802</v>
      </c>
      <c r="Z357" s="2">
        <f t="shared" si="120"/>
        <v>-6.1196530463499495E-2</v>
      </c>
      <c r="AA357" s="2">
        <f t="shared" si="121"/>
        <v>-6.1757443576128813E-2</v>
      </c>
      <c r="AB357" s="2">
        <f t="shared" si="122"/>
        <v>-6.1757458300103742E-2</v>
      </c>
      <c r="AC357" s="2">
        <f t="shared" si="123"/>
        <v>-6.2329666354628402E-2</v>
      </c>
      <c r="AD357" s="2">
        <f t="shared" si="124"/>
        <v>-522.58815410064017</v>
      </c>
      <c r="AE357" s="10">
        <f t="shared" si="125"/>
        <v>52568091.564521737</v>
      </c>
    </row>
    <row r="358" spans="1:31" x14ac:dyDescent="0.25">
      <c r="A358" s="1">
        <f t="shared" si="126"/>
        <v>1.4583333333333333</v>
      </c>
      <c r="B358" s="7">
        <f t="shared" si="127"/>
        <v>45512404.667186156</v>
      </c>
      <c r="C358" s="7">
        <f t="shared" si="128"/>
        <v>52568091.564521737</v>
      </c>
      <c r="D358" s="7"/>
      <c r="E358" s="7"/>
      <c r="F358" s="7"/>
      <c r="G358" s="7"/>
      <c r="H358" s="7"/>
      <c r="I358" s="7"/>
      <c r="J358" s="7"/>
      <c r="K358" s="7"/>
      <c r="L358" s="1">
        <f t="shared" si="131"/>
        <v>1.4583333333333333</v>
      </c>
      <c r="M358">
        <f t="shared" si="129"/>
        <v>126000</v>
      </c>
      <c r="N358" s="9">
        <f t="shared" si="110"/>
        <v>-1572.4877484095136</v>
      </c>
      <c r="O358" s="7">
        <f t="shared" si="111"/>
        <v>45512404.667186156</v>
      </c>
      <c r="P358" s="2">
        <f t="shared" si="114"/>
        <v>-5.3963781490974978E-2</v>
      </c>
      <c r="Q358" s="2">
        <f t="shared" si="115"/>
        <v>-5.4227490950646273E-2</v>
      </c>
      <c r="R358" s="2">
        <f t="shared" si="116"/>
        <v>-5.4227509201072534E-2</v>
      </c>
      <c r="S358" s="2">
        <f t="shared" si="117"/>
        <v>-5.4496082034621848E-2</v>
      </c>
      <c r="T358" s="9">
        <f t="shared" si="118"/>
        <v>-1592.0099402392557</v>
      </c>
      <c r="U358" s="7">
        <f t="shared" si="119"/>
        <v>44942795.083229378</v>
      </c>
      <c r="W358">
        <f t="shared" si="130"/>
        <v>126000</v>
      </c>
      <c r="X358" s="9">
        <f t="shared" si="112"/>
        <v>-522.58815410064017</v>
      </c>
      <c r="Y358" s="2">
        <f t="shared" si="113"/>
        <v>52568091.564521737</v>
      </c>
      <c r="Z358" s="2">
        <f t="shared" si="120"/>
        <v>-6.2329666545408759E-2</v>
      </c>
      <c r="AA358" s="2">
        <f t="shared" si="121"/>
        <v>-6.2913452555048169E-2</v>
      </c>
      <c r="AB358" s="2">
        <f t="shared" si="122"/>
        <v>-6.2913468332262815E-2</v>
      </c>
      <c r="AC358" s="2">
        <f t="shared" si="123"/>
        <v>-6.3509187846411658E-2</v>
      </c>
      <c r="AD358" s="2">
        <f t="shared" si="124"/>
        <v>-545.23771587062674</v>
      </c>
      <c r="AE358" s="10">
        <f t="shared" si="125"/>
        <v>52375882.90792691</v>
      </c>
    </row>
    <row r="359" spans="1:31" x14ac:dyDescent="0.25">
      <c r="A359" s="1">
        <f t="shared" si="126"/>
        <v>1.4624999999999999</v>
      </c>
      <c r="B359" s="7">
        <f t="shared" si="127"/>
        <v>44942795.083229378</v>
      </c>
      <c r="C359" s="7">
        <f t="shared" si="128"/>
        <v>52375882.90792691</v>
      </c>
      <c r="D359" s="7"/>
      <c r="E359" s="7"/>
      <c r="F359" s="7"/>
      <c r="G359" s="7"/>
      <c r="H359" s="7"/>
      <c r="I359" s="7"/>
      <c r="J359" s="7"/>
      <c r="K359" s="7"/>
      <c r="L359" s="1">
        <f t="shared" si="131"/>
        <v>1.4624999999999999</v>
      </c>
      <c r="M359">
        <f t="shared" si="129"/>
        <v>126360</v>
      </c>
      <c r="N359" s="9">
        <f t="shared" si="110"/>
        <v>-1592.0099402392557</v>
      </c>
      <c r="O359" s="7">
        <f t="shared" si="111"/>
        <v>44942795.083229378</v>
      </c>
      <c r="P359" s="2">
        <f t="shared" si="114"/>
        <v>-5.4496082282540791E-2</v>
      </c>
      <c r="Q359" s="2">
        <f t="shared" si="115"/>
        <v>-5.4769581449126366E-2</v>
      </c>
      <c r="R359" s="2">
        <f t="shared" si="116"/>
        <v>-5.4769600789113658E-2</v>
      </c>
      <c r="S359" s="2">
        <f t="shared" si="117"/>
        <v>-5.5048167157860491E-2</v>
      </c>
      <c r="T359" s="9">
        <f t="shared" si="118"/>
        <v>-1611.7272970742686</v>
      </c>
      <c r="U359" s="7">
        <f t="shared" si="119"/>
        <v>44366122.380512945</v>
      </c>
      <c r="W359">
        <f t="shared" si="130"/>
        <v>126360</v>
      </c>
      <c r="X359" s="9">
        <f t="shared" si="112"/>
        <v>-545.23771587062674</v>
      </c>
      <c r="Y359" s="2">
        <f t="shared" si="113"/>
        <v>52375882.90792691</v>
      </c>
      <c r="Z359" s="2">
        <f t="shared" si="120"/>
        <v>-6.3509188053063395E-2</v>
      </c>
      <c r="AA359" s="2">
        <f t="shared" si="121"/>
        <v>-6.4117145347116961E-2</v>
      </c>
      <c r="AB359" s="2">
        <f t="shared" si="122"/>
        <v>-6.4117162269908948E-2</v>
      </c>
      <c r="AC359" s="2">
        <f t="shared" si="123"/>
        <v>-6.47377396256716E-2</v>
      </c>
      <c r="AD359" s="2">
        <f t="shared" si="124"/>
        <v>-568.320648445394</v>
      </c>
      <c r="AE359" s="10">
        <f t="shared" si="125"/>
        <v>52175442.402350023</v>
      </c>
    </row>
    <row r="360" spans="1:31" x14ac:dyDescent="0.25">
      <c r="A360" s="1">
        <f t="shared" si="126"/>
        <v>1.4666666666666666</v>
      </c>
      <c r="B360" s="7">
        <f t="shared" si="127"/>
        <v>44366122.380512945</v>
      </c>
      <c r="C360" s="7">
        <f t="shared" si="128"/>
        <v>52175442.402350023</v>
      </c>
      <c r="D360" s="7"/>
      <c r="E360" s="7"/>
      <c r="F360" s="7"/>
      <c r="G360" s="7"/>
      <c r="H360" s="7"/>
      <c r="I360" s="7"/>
      <c r="J360" s="7"/>
      <c r="K360" s="7"/>
      <c r="L360" s="1">
        <f t="shared" si="131"/>
        <v>1.4666666666666666</v>
      </c>
      <c r="M360">
        <f t="shared" si="129"/>
        <v>126720</v>
      </c>
      <c r="N360" s="9">
        <f t="shared" si="110"/>
        <v>-1611.7272970742686</v>
      </c>
      <c r="O360" s="7">
        <f t="shared" si="111"/>
        <v>44366122.380512945</v>
      </c>
      <c r="P360" s="2">
        <f t="shared" si="114"/>
        <v>-5.504816742460341E-2</v>
      </c>
      <c r="Q360" s="2">
        <f t="shared" si="115"/>
        <v>-5.5331867638862317E-2</v>
      </c>
      <c r="R360" s="2">
        <f t="shared" si="116"/>
        <v>-5.533188815482399E-2</v>
      </c>
      <c r="S360" s="2">
        <f t="shared" si="117"/>
        <v>-5.5620871486989527E-2</v>
      </c>
      <c r="T360" s="9">
        <f t="shared" si="118"/>
        <v>-1631.6470901042064</v>
      </c>
      <c r="U360" s="7">
        <f t="shared" si="119"/>
        <v>43782314.990820818</v>
      </c>
      <c r="W360">
        <f t="shared" si="130"/>
        <v>126720</v>
      </c>
      <c r="X360" s="9">
        <f t="shared" si="112"/>
        <v>-568.320648445394</v>
      </c>
      <c r="Y360" s="2">
        <f t="shared" si="113"/>
        <v>52175442.402350023</v>
      </c>
      <c r="Z360" s="2">
        <f t="shared" si="120"/>
        <v>-6.4737739849873938E-2</v>
      </c>
      <c r="AA360" s="2">
        <f t="shared" si="121"/>
        <v>-6.5371264794985826E-2</v>
      </c>
      <c r="AB360" s="2">
        <f t="shared" si="122"/>
        <v>-6.5371282965666355E-2</v>
      </c>
      <c r="AC360" s="2">
        <f t="shared" si="123"/>
        <v>-6.6018167013551801E-2</v>
      </c>
      <c r="AD360" s="2">
        <f t="shared" si="124"/>
        <v>-591.85510858847783</v>
      </c>
      <c r="AE360" s="10">
        <f t="shared" si="125"/>
        <v>51966610.766083926</v>
      </c>
    </row>
    <row r="361" spans="1:31" x14ac:dyDescent="0.25">
      <c r="A361" s="1">
        <f t="shared" si="126"/>
        <v>1.4708333333333334</v>
      </c>
      <c r="B361" s="7">
        <f t="shared" si="127"/>
        <v>43782314.990820818</v>
      </c>
      <c r="C361" s="7">
        <f t="shared" si="128"/>
        <v>51966610.766083926</v>
      </c>
      <c r="D361" s="7"/>
      <c r="E361" s="7"/>
      <c r="F361" s="7"/>
      <c r="G361" s="7"/>
      <c r="H361" s="7"/>
      <c r="I361" s="7"/>
      <c r="J361" s="7"/>
      <c r="K361" s="7"/>
      <c r="L361" s="1">
        <f t="shared" si="131"/>
        <v>1.4708333333333334</v>
      </c>
      <c r="M361">
        <f t="shared" si="129"/>
        <v>127080</v>
      </c>
      <c r="N361" s="9">
        <f t="shared" ref="N361:N424" si="132">T360</f>
        <v>-1631.6470901042064</v>
      </c>
      <c r="O361" s="7">
        <f t="shared" ref="O361:O424" si="133">U360</f>
        <v>43782314.990820818</v>
      </c>
      <c r="P361" s="2">
        <f t="shared" si="114"/>
        <v>-5.5620871774414361E-2</v>
      </c>
      <c r="Q361" s="2">
        <f t="shared" si="115"/>
        <v>-5.5915208778733766E-2</v>
      </c>
      <c r="R361" s="2">
        <f t="shared" si="116"/>
        <v>-5.591523056572513E-2</v>
      </c>
      <c r="S361" s="2">
        <f t="shared" si="117"/>
        <v>-5.6215079521685564E-2</v>
      </c>
      <c r="T361" s="9">
        <f t="shared" si="118"/>
        <v>-1651.7768999033076</v>
      </c>
      <c r="U361" s="7">
        <f t="shared" si="119"/>
        <v>43191298.672619462</v>
      </c>
      <c r="W361">
        <f t="shared" si="130"/>
        <v>127080</v>
      </c>
      <c r="X361" s="9">
        <f t="shared" ref="X361:X424" si="134">AD360</f>
        <v>-591.85510858847783</v>
      </c>
      <c r="Y361" s="2">
        <f t="shared" ref="Y361:Y424" si="135">AE360</f>
        <v>51966610.766083926</v>
      </c>
      <c r="Z361" s="2">
        <f t="shared" si="120"/>
        <v>-6.6018167257196184E-2</v>
      </c>
      <c r="AA361" s="2">
        <f t="shared" si="121"/>
        <v>-6.6678763401635102E-2</v>
      </c>
      <c r="AB361" s="2">
        <f t="shared" si="122"/>
        <v>-6.6678782933767056E-2</v>
      </c>
      <c r="AC361" s="2">
        <f t="shared" si="123"/>
        <v>-6.7353534701010132E-2</v>
      </c>
      <c r="AD361" s="2">
        <f t="shared" si="124"/>
        <v>-615.86031626621843</v>
      </c>
      <c r="AE361" s="10">
        <f t="shared" si="125"/>
        <v>51749221.989610083</v>
      </c>
    </row>
    <row r="362" spans="1:31" x14ac:dyDescent="0.25">
      <c r="A362" s="1">
        <f t="shared" si="126"/>
        <v>1.4750000000000001</v>
      </c>
      <c r="B362" s="7">
        <f t="shared" si="127"/>
        <v>43191298.672619462</v>
      </c>
      <c r="C362" s="7">
        <f t="shared" si="128"/>
        <v>51749221.989610083</v>
      </c>
      <c r="D362" s="7"/>
      <c r="E362" s="7"/>
      <c r="F362" s="7"/>
      <c r="G362" s="7"/>
      <c r="H362" s="7"/>
      <c r="I362" s="7"/>
      <c r="J362" s="7"/>
      <c r="K362" s="7"/>
      <c r="L362" s="1">
        <f t="shared" si="131"/>
        <v>1.4750000000000001</v>
      </c>
      <c r="M362">
        <f t="shared" si="129"/>
        <v>127440</v>
      </c>
      <c r="N362" s="9">
        <f t="shared" si="132"/>
        <v>-1651.7768999033076</v>
      </c>
      <c r="O362" s="7">
        <f t="shared" si="133"/>
        <v>43191298.672619462</v>
      </c>
      <c r="P362" s="2">
        <f t="shared" si="114"/>
        <v>-5.6215079831872419E-2</v>
      </c>
      <c r="Q362" s="2">
        <f t="shared" si="115"/>
        <v>-5.6520515444323891E-2</v>
      </c>
      <c r="R362" s="2">
        <f t="shared" si="116"/>
        <v>-5.6520538607080555E-2</v>
      </c>
      <c r="S362" s="2">
        <f t="shared" si="117"/>
        <v>-5.6831728817065906E-2</v>
      </c>
      <c r="T362" s="9">
        <f t="shared" si="118"/>
        <v>-1672.1246349084124</v>
      </c>
      <c r="U362" s="7">
        <f t="shared" si="119"/>
        <v>42592996.396353349</v>
      </c>
      <c r="W362">
        <f t="shared" si="130"/>
        <v>127440</v>
      </c>
      <c r="X362" s="9">
        <f t="shared" si="134"/>
        <v>-615.86031626621843</v>
      </c>
      <c r="Y362" s="2">
        <f t="shared" si="135"/>
        <v>51749221.989610083</v>
      </c>
      <c r="Z362" s="2">
        <f t="shared" si="120"/>
        <v>-6.7353534966231379E-2</v>
      </c>
      <c r="AA362" s="2">
        <f t="shared" si="121"/>
        <v>-6.8042823283456511E-2</v>
      </c>
      <c r="AB362" s="2">
        <f t="shared" si="122"/>
        <v>-6.8042844303323427E-2</v>
      </c>
      <c r="AC362" s="2">
        <f t="shared" si="123"/>
        <v>-6.8747147810220066E-2</v>
      </c>
      <c r="AD362" s="2">
        <f t="shared" si="124"/>
        <v>-640.35663734321906</v>
      </c>
      <c r="AE362" s="10">
        <f t="shared" si="125"/>
        <v>51523102.937960386</v>
      </c>
    </row>
    <row r="363" spans="1:31" x14ac:dyDescent="0.25">
      <c r="A363" s="1">
        <f t="shared" si="126"/>
        <v>1.4791666666666667</v>
      </c>
      <c r="B363" s="7">
        <f t="shared" si="127"/>
        <v>42592996.396353349</v>
      </c>
      <c r="C363" s="7">
        <f t="shared" si="128"/>
        <v>51523102.937960386</v>
      </c>
      <c r="D363" s="7"/>
      <c r="E363" s="7"/>
      <c r="F363" s="7"/>
      <c r="G363" s="7"/>
      <c r="H363" s="7"/>
      <c r="I363" s="7"/>
      <c r="J363" s="7"/>
      <c r="K363" s="7"/>
      <c r="L363" s="1">
        <f t="shared" si="131"/>
        <v>1.4791666666666667</v>
      </c>
      <c r="M363">
        <f t="shared" si="129"/>
        <v>127800</v>
      </c>
      <c r="N363" s="9">
        <f t="shared" si="132"/>
        <v>-1672.1246349084124</v>
      </c>
      <c r="O363" s="7">
        <f t="shared" si="133"/>
        <v>42592996.396353349</v>
      </c>
      <c r="P363" s="2">
        <f t="shared" si="114"/>
        <v>-5.6831729152348291E-2</v>
      </c>
      <c r="Q363" s="2">
        <f t="shared" si="115"/>
        <v>-5.7148753068115815E-2</v>
      </c>
      <c r="R363" s="2">
        <f t="shared" si="116"/>
        <v>-5.7148777722238517E-2</v>
      </c>
      <c r="S363" s="2">
        <f t="shared" si="117"/>
        <v>-5.7471813656045923E-2</v>
      </c>
      <c r="T363" s="9">
        <f t="shared" si="118"/>
        <v>-1692.6985511717585</v>
      </c>
      <c r="U363" s="7">
        <f t="shared" si="119"/>
        <v>41987328.222858921</v>
      </c>
      <c r="W363">
        <f t="shared" si="130"/>
        <v>127800</v>
      </c>
      <c r="X363" s="9">
        <f t="shared" si="134"/>
        <v>-640.35663734321906</v>
      </c>
      <c r="Y363" s="2">
        <f t="shared" si="135"/>
        <v>51523102.937960386</v>
      </c>
      <c r="Z363" s="2">
        <f t="shared" si="120"/>
        <v>-6.8747148099433109E-2</v>
      </c>
      <c r="AA363" s="2">
        <f t="shared" si="121"/>
        <v>-6.9466878411229241E-2</v>
      </c>
      <c r="AB363" s="2">
        <f t="shared" si="122"/>
        <v>-6.9466901059527172E-2</v>
      </c>
      <c r="AC363" s="2">
        <f t="shared" si="123"/>
        <v>-7.0202575392508584E-2</v>
      </c>
      <c r="AD363" s="2">
        <f t="shared" si="124"/>
        <v>-665.36567428922638</v>
      </c>
      <c r="AE363" s="10">
        <f t="shared" si="125"/>
        <v>51288072.921866544</v>
      </c>
    </row>
    <row r="364" spans="1:31" x14ac:dyDescent="0.25">
      <c r="A364" s="1">
        <f t="shared" si="126"/>
        <v>1.4833333333333334</v>
      </c>
      <c r="B364" s="7">
        <f t="shared" si="127"/>
        <v>41987328.222858921</v>
      </c>
      <c r="C364" s="7">
        <f t="shared" si="128"/>
        <v>51288072.921866544</v>
      </c>
      <c r="D364" s="7"/>
      <c r="E364" s="7"/>
      <c r="F364" s="7"/>
      <c r="G364" s="7"/>
      <c r="H364" s="7"/>
      <c r="I364" s="7"/>
      <c r="J364" s="7"/>
      <c r="K364" s="7"/>
      <c r="L364" s="1">
        <f t="shared" si="131"/>
        <v>1.4833333333333334</v>
      </c>
      <c r="M364">
        <f t="shared" si="129"/>
        <v>128160</v>
      </c>
      <c r="N364" s="9">
        <f t="shared" si="132"/>
        <v>-1692.6985511717585</v>
      </c>
      <c r="O364" s="7">
        <f t="shared" si="133"/>
        <v>41987328.222858921</v>
      </c>
      <c r="P364" s="2">
        <f t="shared" si="114"/>
        <v>-5.7471814019047225E-2</v>
      </c>
      <c r="Q364" s="2">
        <f t="shared" si="115"/>
        <v>-5.7800945748281624E-2</v>
      </c>
      <c r="R364" s="2">
        <f t="shared" si="116"/>
        <v>-5.7800972021591145E-2</v>
      </c>
      <c r="S364" s="2">
        <f t="shared" si="117"/>
        <v>-5.8136388999521366E-2</v>
      </c>
      <c r="T364" s="9">
        <f t="shared" si="118"/>
        <v>-1713.5072734852574</v>
      </c>
      <c r="U364" s="7">
        <f t="shared" si="119"/>
        <v>41374211.174420655</v>
      </c>
      <c r="W364">
        <f t="shared" si="130"/>
        <v>128160</v>
      </c>
      <c r="X364" s="9">
        <f t="shared" si="134"/>
        <v>-665.36567428922638</v>
      </c>
      <c r="Y364" s="2">
        <f t="shared" si="135"/>
        <v>51288072.921866544</v>
      </c>
      <c r="Z364" s="2">
        <f t="shared" si="120"/>
        <v>-7.0202575708451245E-2</v>
      </c>
      <c r="AA364" s="2">
        <f t="shared" si="121"/>
        <v>-7.0954639447242701E-2</v>
      </c>
      <c r="AB364" s="2">
        <f t="shared" si="122"/>
        <v>-7.0954663881033803E-2</v>
      </c>
      <c r="AC364" s="2">
        <f t="shared" si="123"/>
        <v>-7.1723676694087038E-2</v>
      </c>
      <c r="AD364" s="2">
        <f t="shared" si="124"/>
        <v>-690.91036583277184</v>
      </c>
      <c r="AE364" s="10">
        <f t="shared" si="125"/>
        <v>51043943.234644584</v>
      </c>
    </row>
    <row r="365" spans="1:31" x14ac:dyDescent="0.25">
      <c r="A365" s="1">
        <f t="shared" si="126"/>
        <v>1.4875</v>
      </c>
      <c r="B365" s="7">
        <f t="shared" si="127"/>
        <v>41374211.174420655</v>
      </c>
      <c r="C365" s="7">
        <f t="shared" si="128"/>
        <v>51043943.234644584</v>
      </c>
      <c r="D365" s="7"/>
      <c r="E365" s="7"/>
      <c r="F365" s="7"/>
      <c r="G365" s="7"/>
      <c r="H365" s="7"/>
      <c r="I365" s="7"/>
      <c r="J365" s="7"/>
      <c r="K365" s="7"/>
      <c r="L365" s="1">
        <f t="shared" si="131"/>
        <v>1.4875</v>
      </c>
      <c r="M365">
        <f t="shared" si="129"/>
        <v>128520</v>
      </c>
      <c r="N365" s="9">
        <f t="shared" si="132"/>
        <v>-1713.5072734852574</v>
      </c>
      <c r="O365" s="7">
        <f t="shared" si="133"/>
        <v>41374211.174420655</v>
      </c>
      <c r="P365" s="2">
        <f t="shared" si="114"/>
        <v>-5.8136389393197145E-2</v>
      </c>
      <c r="Q365" s="2">
        <f t="shared" si="115"/>
        <v>-5.8478180344577517E-2</v>
      </c>
      <c r="R365" s="2">
        <f t="shared" si="116"/>
        <v>-5.8478208378667622E-2</v>
      </c>
      <c r="S365" s="2">
        <f t="shared" si="117"/>
        <v>-5.8826574733050432E-2</v>
      </c>
      <c r="T365" s="9">
        <f t="shared" si="118"/>
        <v>-1734.5598179796216</v>
      </c>
      <c r="U365" s="7">
        <f t="shared" si="119"/>
        <v>40753559.097956978</v>
      </c>
      <c r="W365">
        <f t="shared" si="130"/>
        <v>128520</v>
      </c>
      <c r="X365" s="9">
        <f t="shared" si="134"/>
        <v>-690.91036583277184</v>
      </c>
      <c r="Y365" s="2">
        <f t="shared" si="135"/>
        <v>51043943.234644584</v>
      </c>
      <c r="Z365" s="2">
        <f t="shared" si="120"/>
        <v>-7.1723677039870495E-2</v>
      </c>
      <c r="AA365" s="2">
        <f t="shared" si="121"/>
        <v>-7.2510121534747327E-2</v>
      </c>
      <c r="AB365" s="2">
        <f t="shared" si="122"/>
        <v>-7.2510147929721769E-2</v>
      </c>
      <c r="AC365" s="2">
        <f t="shared" si="123"/>
        <v>-7.3314630572811706E-2</v>
      </c>
      <c r="AD365" s="2">
        <f t="shared" si="124"/>
        <v>-717.01509662526905</v>
      </c>
      <c r="AE365" s="10">
        <f t="shared" si="125"/>
        <v>50790516.651402138</v>
      </c>
    </row>
    <row r="366" spans="1:31" x14ac:dyDescent="0.25">
      <c r="A366" s="1">
        <f t="shared" si="126"/>
        <v>1.4916666666666667</v>
      </c>
      <c r="B366" s="7">
        <f t="shared" si="127"/>
        <v>40753559.097956978</v>
      </c>
      <c r="C366" s="7">
        <f t="shared" si="128"/>
        <v>50790516.651402138</v>
      </c>
      <c r="D366" s="7"/>
      <c r="E366" s="7"/>
      <c r="F366" s="7"/>
      <c r="G366" s="7"/>
      <c r="H366" s="7"/>
      <c r="I366" s="7"/>
      <c r="J366" s="7"/>
      <c r="K366" s="7"/>
      <c r="L366" s="1">
        <f t="shared" si="131"/>
        <v>1.4916666666666667</v>
      </c>
      <c r="M366">
        <f t="shared" si="129"/>
        <v>128880</v>
      </c>
      <c r="N366" s="9">
        <f t="shared" si="132"/>
        <v>-1734.5598179796216</v>
      </c>
      <c r="O366" s="7">
        <f t="shared" si="133"/>
        <v>40753559.097956978</v>
      </c>
      <c r="P366" s="2">
        <f t="shared" si="114"/>
        <v>-5.8826575160737929E-2</v>
      </c>
      <c r="Q366" s="2">
        <f t="shared" si="115"/>
        <v>-5.9181610880084813E-2</v>
      </c>
      <c r="R366" s="2">
        <f t="shared" si="116"/>
        <v>-5.9181640832106801E-2</v>
      </c>
      <c r="S366" s="2">
        <f t="shared" si="117"/>
        <v>-5.9543560228745775E-2</v>
      </c>
      <c r="T366" s="9">
        <f t="shared" si="118"/>
        <v>-1755.8656163084536</v>
      </c>
      <c r="U366" s="7">
        <f t="shared" si="119"/>
        <v>40125282.519785121</v>
      </c>
      <c r="W366">
        <f t="shared" si="130"/>
        <v>128880</v>
      </c>
      <c r="X366" s="9">
        <f t="shared" si="134"/>
        <v>-717.01509662526905</v>
      </c>
      <c r="Y366" s="2">
        <f t="shared" si="135"/>
        <v>50790516.651402138</v>
      </c>
      <c r="Z366" s="2">
        <f t="shared" si="120"/>
        <v>-7.3314630951979945E-2</v>
      </c>
      <c r="AA366" s="2">
        <f t="shared" si="121"/>
        <v>-7.4137675452324955E-2</v>
      </c>
      <c r="AB366" s="2">
        <f t="shared" si="122"/>
        <v>-7.4137704005426658E-2</v>
      </c>
      <c r="AC366" s="2">
        <f t="shared" si="123"/>
        <v>-7.4979968510474615E-2</v>
      </c>
      <c r="AD366" s="2">
        <f t="shared" si="124"/>
        <v>-743.70581812794649</v>
      </c>
      <c r="AE366" s="10">
        <f t="shared" si="125"/>
        <v>50527586.886746563</v>
      </c>
    </row>
    <row r="367" spans="1:31" x14ac:dyDescent="0.25">
      <c r="A367" s="1">
        <f t="shared" si="126"/>
        <v>1.4958333333333333</v>
      </c>
      <c r="B367" s="7">
        <f t="shared" si="127"/>
        <v>40125282.519785121</v>
      </c>
      <c r="C367" s="7">
        <f t="shared" si="128"/>
        <v>50527586.886746563</v>
      </c>
      <c r="D367" s="7"/>
      <c r="E367" s="7"/>
      <c r="F367" s="7"/>
      <c r="G367" s="7"/>
      <c r="H367" s="7"/>
      <c r="I367" s="7"/>
      <c r="J367" s="7"/>
      <c r="K367" s="7"/>
      <c r="L367" s="1">
        <f t="shared" si="131"/>
        <v>1.4958333333333333</v>
      </c>
      <c r="M367">
        <f t="shared" si="129"/>
        <v>129240</v>
      </c>
      <c r="N367" s="9">
        <f t="shared" si="132"/>
        <v>-1755.8656163084536</v>
      </c>
      <c r="O367" s="7">
        <f t="shared" si="133"/>
        <v>40125282.519785121</v>
      </c>
      <c r="P367" s="2">
        <f t="shared" si="114"/>
        <v>-5.9543560694222238E-2</v>
      </c>
      <c r="Q367" s="2">
        <f t="shared" si="115"/>
        <v>-5.991246326734171E-2</v>
      </c>
      <c r="R367" s="2">
        <f t="shared" si="116"/>
        <v>-5.9912495312059916E-2</v>
      </c>
      <c r="S367" s="2">
        <f t="shared" si="117"/>
        <v>-6.028860924061983E-2</v>
      </c>
      <c r="T367" s="9">
        <f t="shared" si="118"/>
        <v>-1777.4345415340722</v>
      </c>
      <c r="U367" s="7">
        <f t="shared" si="119"/>
        <v>39489288.491373464</v>
      </c>
      <c r="W367">
        <f t="shared" si="130"/>
        <v>129240</v>
      </c>
      <c r="X367" s="9">
        <f t="shared" si="134"/>
        <v>-743.70581812794649</v>
      </c>
      <c r="Y367" s="2">
        <f t="shared" si="135"/>
        <v>50527586.886746563</v>
      </c>
      <c r="Z367" s="2">
        <f t="shared" si="120"/>
        <v>-7.4979968927074717E-2</v>
      </c>
      <c r="AA367" s="2">
        <f t="shared" si="121"/>
        <v>-7.584202261234986E-2</v>
      </c>
      <c r="AB367" s="2">
        <f t="shared" si="122"/>
        <v>-7.584205354483306E-2</v>
      </c>
      <c r="AC367" s="2">
        <f t="shared" si="123"/>
        <v>-7.6724611737539736E-2</v>
      </c>
      <c r="AD367" s="2">
        <f t="shared" si="124"/>
        <v>-771.01018210668531</v>
      </c>
      <c r="AE367" s="10">
        <f t="shared" si="125"/>
        <v>50254938.00670433</v>
      </c>
    </row>
    <row r="368" spans="1:31" x14ac:dyDescent="0.25">
      <c r="A368" s="1">
        <f t="shared" si="126"/>
        <v>1.5</v>
      </c>
      <c r="B368" s="7">
        <f t="shared" si="127"/>
        <v>39489288.491373464</v>
      </c>
      <c r="C368" s="7">
        <f t="shared" si="128"/>
        <v>50254938.00670433</v>
      </c>
      <c r="D368" s="7"/>
      <c r="E368" s="7"/>
      <c r="F368" s="7"/>
      <c r="G368" s="7"/>
      <c r="H368" s="7"/>
      <c r="I368" s="7"/>
      <c r="J368" s="7"/>
      <c r="K368" s="7"/>
      <c r="L368" s="1">
        <f t="shared" si="131"/>
        <v>1.5</v>
      </c>
      <c r="M368">
        <f t="shared" si="129"/>
        <v>129600</v>
      </c>
      <c r="N368" s="9">
        <f t="shared" si="132"/>
        <v>-1777.4345415340722</v>
      </c>
      <c r="O368" s="7">
        <f t="shared" si="133"/>
        <v>39489288.491373464</v>
      </c>
      <c r="P368" s="2">
        <f t="shared" si="114"/>
        <v>-6.0288609748170498E-2</v>
      </c>
      <c r="Q368" s="2">
        <f t="shared" si="115"/>
        <v>-6.0672040376616991E-2</v>
      </c>
      <c r="R368" s="2">
        <f t="shared" si="116"/>
        <v>-6.0672074708783143E-2</v>
      </c>
      <c r="S368" s="2">
        <f t="shared" si="117"/>
        <v>-6.1063065150450256E-2</v>
      </c>
      <c r="T368" s="9">
        <f t="shared" si="118"/>
        <v>-1799.2769358382375</v>
      </c>
      <c r="U368" s="7">
        <f t="shared" si="119"/>
        <v>38845480.425446451</v>
      </c>
      <c r="W368">
        <f t="shared" si="130"/>
        <v>129600</v>
      </c>
      <c r="X368" s="9">
        <f t="shared" si="134"/>
        <v>-771.01018210668531</v>
      </c>
      <c r="Y368" s="2">
        <f t="shared" si="135"/>
        <v>50254938.00670433</v>
      </c>
      <c r="Z368" s="2">
        <f t="shared" si="120"/>
        <v>-7.6724612196205258E-2</v>
      </c>
      <c r="AA368" s="2">
        <f t="shared" si="121"/>
        <v>-7.762829446152622E-2</v>
      </c>
      <c r="AB368" s="2">
        <f t="shared" si="122"/>
        <v>-7.7628328022523979E-2</v>
      </c>
      <c r="AC368" s="2">
        <f t="shared" si="123"/>
        <v>-7.8553913073091161E-2</v>
      </c>
      <c r="AD368" s="2">
        <f t="shared" si="124"/>
        <v>-798.95768832092915</v>
      </c>
      <c r="AE368" s="10">
        <f t="shared" si="125"/>
        <v>49972343.790027358</v>
      </c>
    </row>
    <row r="369" spans="1:31" x14ac:dyDescent="0.25">
      <c r="A369" s="1">
        <f t="shared" si="126"/>
        <v>1.5041666666666667</v>
      </c>
      <c r="B369" s="7">
        <f t="shared" si="127"/>
        <v>38845480.425446451</v>
      </c>
      <c r="C369" s="7">
        <f t="shared" si="128"/>
        <v>49972343.790027358</v>
      </c>
      <c r="D369" s="7"/>
      <c r="E369" s="7"/>
      <c r="F369" s="7"/>
      <c r="G369" s="7"/>
      <c r="H369" s="7"/>
      <c r="I369" s="7"/>
      <c r="J369" s="7"/>
      <c r="K369" s="7"/>
      <c r="L369" s="1">
        <f t="shared" si="131"/>
        <v>1.5041666666666667</v>
      </c>
      <c r="M369">
        <f t="shared" si="129"/>
        <v>129960</v>
      </c>
      <c r="N369" s="9">
        <f t="shared" si="132"/>
        <v>-1799.2769358382375</v>
      </c>
      <c r="O369" s="7">
        <f t="shared" si="133"/>
        <v>38845480.425446451</v>
      </c>
      <c r="P369" s="2">
        <f t="shared" si="114"/>
        <v>-6.1063065704949147E-2</v>
      </c>
      <c r="Q369" s="2">
        <f t="shared" si="115"/>
        <v>-6.1461727462451057E-2</v>
      </c>
      <c r="R369" s="2">
        <f t="shared" si="116"/>
        <v>-6.1461764299553794E-2</v>
      </c>
      <c r="S369" s="2">
        <f t="shared" si="117"/>
        <v>-6.1868356579080949E-2</v>
      </c>
      <c r="T369" s="9">
        <f t="shared" si="118"/>
        <v>-1821.4036401867199</v>
      </c>
      <c r="U369" s="7">
        <f t="shared" si="119"/>
        <v>38193757.92176196</v>
      </c>
      <c r="W369">
        <f t="shared" si="130"/>
        <v>129960</v>
      </c>
      <c r="X369" s="9">
        <f t="shared" si="134"/>
        <v>-798.95768832092915</v>
      </c>
      <c r="Y369" s="2">
        <f t="shared" si="135"/>
        <v>49972343.790027358</v>
      </c>
      <c r="Z369" s="2">
        <f t="shared" si="120"/>
        <v>-7.8553913579141391E-2</v>
      </c>
      <c r="AA369" s="2">
        <f t="shared" si="121"/>
        <v>-7.9502076935069957E-2</v>
      </c>
      <c r="AB369" s="2">
        <f t="shared" si="122"/>
        <v>-7.9502113405772845E-2</v>
      </c>
      <c r="AC369" s="2">
        <f t="shared" si="123"/>
        <v>-8.0473704184855305E-2</v>
      </c>
      <c r="AD369" s="2">
        <f t="shared" si="124"/>
        <v>-827.57984822767014</v>
      </c>
      <c r="AE369" s="10">
        <f t="shared" si="125"/>
        <v>49679567.033448607</v>
      </c>
    </row>
    <row r="370" spans="1:31" x14ac:dyDescent="0.25">
      <c r="A370" s="1">
        <f t="shared" si="126"/>
        <v>1.5083333333333333</v>
      </c>
      <c r="B370" s="7">
        <f t="shared" si="127"/>
        <v>38193757.92176196</v>
      </c>
      <c r="C370" s="7">
        <f t="shared" si="128"/>
        <v>49679567.033448607</v>
      </c>
      <c r="D370" s="7"/>
      <c r="E370" s="7"/>
      <c r="F370" s="7"/>
      <c r="G370" s="7"/>
      <c r="H370" s="7"/>
      <c r="I370" s="7"/>
      <c r="J370" s="7"/>
      <c r="K370" s="7"/>
      <c r="L370" s="1">
        <f t="shared" si="131"/>
        <v>1.5083333333333333</v>
      </c>
      <c r="M370">
        <f t="shared" si="129"/>
        <v>130320</v>
      </c>
      <c r="N370" s="9">
        <f t="shared" si="132"/>
        <v>-1821.4036401867199</v>
      </c>
      <c r="O370" s="7">
        <f t="shared" si="133"/>
        <v>38193757.92176196</v>
      </c>
      <c r="P370" s="2">
        <f t="shared" si="114"/>
        <v>-6.1868357186085916E-2</v>
      </c>
      <c r="Q370" s="2">
        <f t="shared" si="115"/>
        <v>-6.2282997961813129E-2</v>
      </c>
      <c r="R370" s="2">
        <f t="shared" si="116"/>
        <v>-6.2283037547271637E-2</v>
      </c>
      <c r="S370" s="2">
        <f t="shared" si="117"/>
        <v>-6.270600337457484E-2</v>
      </c>
      <c r="T370" s="9">
        <f t="shared" si="118"/>
        <v>-1843.8260260814498</v>
      </c>
      <c r="U370" s="7">
        <f t="shared" si="119"/>
        <v>37534016.58183369</v>
      </c>
      <c r="W370">
        <f t="shared" si="130"/>
        <v>130320</v>
      </c>
      <c r="X370" s="9">
        <f t="shared" si="134"/>
        <v>-827.57984822767014</v>
      </c>
      <c r="Y370" s="2">
        <f t="shared" si="135"/>
        <v>49679567.033448607</v>
      </c>
      <c r="Z370" s="2">
        <f t="shared" si="120"/>
        <v>-8.0473704744414024E-2</v>
      </c>
      <c r="AA370" s="2">
        <f t="shared" si="121"/>
        <v>-8.1469460727569706E-2</v>
      </c>
      <c r="AB370" s="2">
        <f t="shared" si="122"/>
        <v>-8.1469500426134309E-2</v>
      </c>
      <c r="AC370" s="2">
        <f t="shared" si="123"/>
        <v>-8.2490349095965879E-2</v>
      </c>
      <c r="AD370" s="2">
        <f t="shared" si="124"/>
        <v>-856.91036679653746</v>
      </c>
      <c r="AE370" s="10">
        <f t="shared" si="125"/>
        <v>49376358.794744246</v>
      </c>
    </row>
    <row r="371" spans="1:31" x14ac:dyDescent="0.25">
      <c r="A371" s="1">
        <f t="shared" si="126"/>
        <v>1.5125</v>
      </c>
      <c r="B371" s="7">
        <f t="shared" si="127"/>
        <v>37534016.58183369</v>
      </c>
      <c r="C371" s="7">
        <f t="shared" si="128"/>
        <v>49376358.794744246</v>
      </c>
      <c r="D371" s="7"/>
      <c r="E371" s="7"/>
      <c r="F371" s="7"/>
      <c r="G371" s="7"/>
      <c r="H371" s="7"/>
      <c r="I371" s="7"/>
      <c r="J371" s="7"/>
      <c r="K371" s="7"/>
      <c r="L371" s="1">
        <f t="shared" si="131"/>
        <v>1.5125</v>
      </c>
      <c r="M371">
        <f t="shared" si="129"/>
        <v>130680</v>
      </c>
      <c r="N371" s="9">
        <f t="shared" si="132"/>
        <v>-1843.8260260814498</v>
      </c>
      <c r="O371" s="7">
        <f t="shared" si="133"/>
        <v>37534016.58183369</v>
      </c>
      <c r="P371" s="2">
        <f t="shared" si="114"/>
        <v>-6.2706004040440674E-2</v>
      </c>
      <c r="Q371" s="2">
        <f t="shared" si="115"/>
        <v>-6.3137419672880987E-2</v>
      </c>
      <c r="R371" s="2">
        <f t="shared" si="116"/>
        <v>-6.3137462279764883E-2</v>
      </c>
      <c r="S371" s="2">
        <f t="shared" si="117"/>
        <v>-6.3577622983308851E-2</v>
      </c>
      <c r="T371" s="9">
        <f t="shared" si="118"/>
        <v>-1866.5560295371922</v>
      </c>
      <c r="U371" s="7">
        <f t="shared" si="119"/>
        <v>36866147.811822332</v>
      </c>
      <c r="W371">
        <f t="shared" si="130"/>
        <v>130680</v>
      </c>
      <c r="X371" s="9">
        <f t="shared" si="134"/>
        <v>-856.91036679653746</v>
      </c>
      <c r="Y371" s="2">
        <f t="shared" si="135"/>
        <v>49376358.794744246</v>
      </c>
      <c r="Z371" s="2">
        <f t="shared" si="120"/>
        <v>-8.2490349716103292E-2</v>
      </c>
      <c r="AA371" s="2">
        <f t="shared" si="121"/>
        <v>-8.3537098276764865E-2</v>
      </c>
      <c r="AB371" s="2">
        <f t="shared" si="122"/>
        <v>-8.3537141564098E-2</v>
      </c>
      <c r="AC371" s="2">
        <f t="shared" si="123"/>
        <v>-8.4610804910940848E-2</v>
      </c>
      <c r="AD371" s="2">
        <f t="shared" si="124"/>
        <v>-886.98534485506366</v>
      </c>
      <c r="AE371" s="10">
        <f t="shared" si="125"/>
        <v>49062457.566646956</v>
      </c>
    </row>
    <row r="372" spans="1:31" x14ac:dyDescent="0.25">
      <c r="A372" s="1">
        <f t="shared" si="126"/>
        <v>1.5166666666666666</v>
      </c>
      <c r="B372" s="7">
        <f t="shared" si="127"/>
        <v>36866147.811822332</v>
      </c>
      <c r="C372" s="7">
        <f t="shared" si="128"/>
        <v>49062457.566646956</v>
      </c>
      <c r="D372" s="7"/>
      <c r="E372" s="7"/>
      <c r="F372" s="7"/>
      <c r="G372" s="7"/>
      <c r="H372" s="7"/>
      <c r="I372" s="7"/>
      <c r="J372" s="7"/>
      <c r="K372" s="7"/>
      <c r="L372" s="1">
        <f t="shared" si="131"/>
        <v>1.5166666666666666</v>
      </c>
      <c r="M372">
        <f t="shared" si="129"/>
        <v>131040</v>
      </c>
      <c r="N372" s="9">
        <f t="shared" si="132"/>
        <v>-1866.5560295371922</v>
      </c>
      <c r="O372" s="7">
        <f t="shared" si="133"/>
        <v>36866147.811822332</v>
      </c>
      <c r="P372" s="2">
        <f t="shared" si="114"/>
        <v>-6.3577623715322037E-2</v>
      </c>
      <c r="Q372" s="2">
        <f t="shared" si="115"/>
        <v>-6.4026661316969713E-2</v>
      </c>
      <c r="R372" s="2">
        <f t="shared" si="116"/>
        <v>-6.4026707252345078E-2</v>
      </c>
      <c r="S372" s="2">
        <f t="shared" si="117"/>
        <v>-6.4484937202290857E-2</v>
      </c>
      <c r="T372" s="9">
        <f t="shared" si="118"/>
        <v>-1889.6061874205668</v>
      </c>
      <c r="U372" s="7">
        <f t="shared" si="119"/>
        <v>36190038.612769939</v>
      </c>
      <c r="W372">
        <f t="shared" si="130"/>
        <v>131040</v>
      </c>
      <c r="X372" s="9">
        <f t="shared" si="134"/>
        <v>-886.98534485506366</v>
      </c>
      <c r="Y372" s="2">
        <f t="shared" si="135"/>
        <v>49062457.566646956</v>
      </c>
      <c r="Z372" s="2">
        <f t="shared" si="120"/>
        <v>-8.4610805599844616E-2</v>
      </c>
      <c r="AA372" s="2">
        <f t="shared" si="121"/>
        <v>-8.571226851619837E-2</v>
      </c>
      <c r="AB372" s="2">
        <f t="shared" si="122"/>
        <v>-8.5712315802796715E-2</v>
      </c>
      <c r="AC372" s="2">
        <f t="shared" si="123"/>
        <v>-8.6842690908476669E-2</v>
      </c>
      <c r="AD372" s="2">
        <f t="shared" si="124"/>
        <v>-917.84350476384236</v>
      </c>
      <c r="AE372" s="10">
        <f t="shared" si="125"/>
        <v>48737588.37371555</v>
      </c>
    </row>
    <row r="373" spans="1:31" x14ac:dyDescent="0.25">
      <c r="A373" s="1">
        <f t="shared" si="126"/>
        <v>1.5208333333333333</v>
      </c>
      <c r="B373" s="7">
        <f t="shared" si="127"/>
        <v>36190038.612769939</v>
      </c>
      <c r="C373" s="7">
        <f t="shared" si="128"/>
        <v>48737588.37371555</v>
      </c>
      <c r="D373" s="7"/>
      <c r="E373" s="7"/>
      <c r="F373" s="7"/>
      <c r="G373" s="7"/>
      <c r="H373" s="7"/>
      <c r="I373" s="7"/>
      <c r="J373" s="7"/>
      <c r="K373" s="7"/>
      <c r="L373" s="1">
        <f t="shared" si="131"/>
        <v>1.5208333333333333</v>
      </c>
      <c r="M373">
        <f t="shared" si="129"/>
        <v>131400</v>
      </c>
      <c r="N373" s="9">
        <f t="shared" si="132"/>
        <v>-1889.6061874205668</v>
      </c>
      <c r="O373" s="7">
        <f t="shared" si="133"/>
        <v>36190038.612769939</v>
      </c>
      <c r="P373" s="2">
        <f t="shared" si="114"/>
        <v>-6.4484938008830595E-2</v>
      </c>
      <c r="Q373" s="2">
        <f t="shared" si="115"/>
        <v>-6.4952499476771564E-2</v>
      </c>
      <c r="R373" s="2">
        <f t="shared" si="116"/>
        <v>-6.4952549086794861E-2</v>
      </c>
      <c r="S373" s="2">
        <f t="shared" si="117"/>
        <v>-6.5429779299814902E-2</v>
      </c>
      <c r="T373" s="9">
        <f t="shared" si="118"/>
        <v>-1912.9896762867136</v>
      </c>
      <c r="U373" s="7">
        <f t="shared" si="119"/>
        <v>35505571.357302628</v>
      </c>
      <c r="W373">
        <f t="shared" si="130"/>
        <v>131400</v>
      </c>
      <c r="X373" s="9">
        <f t="shared" si="134"/>
        <v>-917.84350476384236</v>
      </c>
      <c r="Y373" s="2">
        <f t="shared" si="135"/>
        <v>48737588.37371555</v>
      </c>
      <c r="Z373" s="2">
        <f t="shared" si="120"/>
        <v>-8.6842691675658307E-2</v>
      </c>
      <c r="AA373" s="2">
        <f t="shared" si="121"/>
        <v>-8.8002950644893982E-2</v>
      </c>
      <c r="AB373" s="2">
        <f t="shared" si="122"/>
        <v>-8.800300239895982E-2</v>
      </c>
      <c r="AC373" s="2">
        <f t="shared" si="123"/>
        <v>-8.9194367359783505E-2</v>
      </c>
      <c r="AD373" s="2">
        <f t="shared" si="124"/>
        <v>-949.52644267123128</v>
      </c>
      <c r="AE373" s="10">
        <f t="shared" si="125"/>
        <v>48401461.783177234</v>
      </c>
    </row>
    <row r="374" spans="1:31" x14ac:dyDescent="0.25">
      <c r="A374" s="1">
        <f t="shared" si="126"/>
        <v>1.5249999999999999</v>
      </c>
      <c r="B374" s="7">
        <f t="shared" si="127"/>
        <v>35505571.357302628</v>
      </c>
      <c r="C374" s="7">
        <f t="shared" si="128"/>
        <v>48401461.783177234</v>
      </c>
      <c r="D374" s="7"/>
      <c r="E374" s="7"/>
      <c r="F374" s="7"/>
      <c r="G374" s="7"/>
      <c r="H374" s="7"/>
      <c r="I374" s="7"/>
      <c r="J374" s="7"/>
      <c r="K374" s="7"/>
      <c r="L374" s="1">
        <f t="shared" si="131"/>
        <v>1.5249999999999999</v>
      </c>
      <c r="M374">
        <f t="shared" si="129"/>
        <v>131760</v>
      </c>
      <c r="N374" s="9">
        <f t="shared" si="132"/>
        <v>-1912.9896762867136</v>
      </c>
      <c r="O374" s="7">
        <f t="shared" si="133"/>
        <v>35505571.357302628</v>
      </c>
      <c r="P374" s="2">
        <f t="shared" si="114"/>
        <v>-6.5429780190545864E-2</v>
      </c>
      <c r="Q374" s="2">
        <f t="shared" si="115"/>
        <v>-6.5916825890805955E-2</v>
      </c>
      <c r="R374" s="2">
        <f t="shared" si="116"/>
        <v>-6.5916879566714243E-2</v>
      </c>
      <c r="S374" s="2">
        <f t="shared" si="117"/>
        <v>-6.6414101475879547E-2</v>
      </c>
      <c r="T374" s="9">
        <f t="shared" si="118"/>
        <v>-1936.7203538416015</v>
      </c>
      <c r="U374" s="7">
        <f t="shared" si="119"/>
        <v>34812623.551879533</v>
      </c>
      <c r="W374">
        <f t="shared" si="130"/>
        <v>131760</v>
      </c>
      <c r="X374" s="9">
        <f t="shared" si="134"/>
        <v>-949.52644267123128</v>
      </c>
      <c r="Y374" s="2">
        <f t="shared" si="135"/>
        <v>48401461.783177234</v>
      </c>
      <c r="Z374" s="2">
        <f t="shared" si="120"/>
        <v>-8.9194368216328881E-2</v>
      </c>
      <c r="AA374" s="2">
        <f t="shared" si="121"/>
        <v>-9.0417908394316279E-2</v>
      </c>
      <c r="AB374" s="2">
        <f t="shared" si="122"/>
        <v>-9.0417965151422711E-2</v>
      </c>
      <c r="AC374" s="2">
        <f t="shared" si="123"/>
        <v>-9.1675025686638142E-2</v>
      </c>
      <c r="AD374" s="2">
        <f t="shared" si="124"/>
        <v>-982.07891113089795</v>
      </c>
      <c r="AE374" s="10">
        <f t="shared" si="125"/>
        <v>48053772.819492854</v>
      </c>
    </row>
    <row r="375" spans="1:31" x14ac:dyDescent="0.25">
      <c r="A375" s="1">
        <f t="shared" si="126"/>
        <v>1.5291666666666666</v>
      </c>
      <c r="B375" s="7">
        <f t="shared" si="127"/>
        <v>34812623.551879533</v>
      </c>
      <c r="C375" s="7">
        <f t="shared" si="128"/>
        <v>48053772.819492854</v>
      </c>
      <c r="D375" s="7"/>
      <c r="E375" s="7"/>
      <c r="F375" s="7"/>
      <c r="G375" s="7"/>
      <c r="H375" s="7"/>
      <c r="I375" s="7"/>
      <c r="J375" s="7"/>
      <c r="K375" s="7"/>
      <c r="L375" s="1">
        <f t="shared" si="131"/>
        <v>1.5291666666666666</v>
      </c>
      <c r="M375">
        <f t="shared" si="129"/>
        <v>132120</v>
      </c>
      <c r="N375" s="9">
        <f t="shared" si="132"/>
        <v>-1936.7203538416015</v>
      </c>
      <c r="O375" s="7">
        <f t="shared" si="133"/>
        <v>34812623.551879533</v>
      </c>
      <c r="P375" s="2">
        <f t="shared" si="114"/>
        <v>-6.6414102461984717E-2</v>
      </c>
      <c r="Q375" s="2">
        <f t="shared" si="115"/>
        <v>-6.6921655065458677E-2</v>
      </c>
      <c r="R375" s="2">
        <f t="shared" si="116"/>
        <v>-6.6921713250637269E-2</v>
      </c>
      <c r="S375" s="2">
        <f t="shared" si="117"/>
        <v>-6.743998261200497E-2</v>
      </c>
      <c r="T375" s="9">
        <f t="shared" si="118"/>
        <v>-1960.8128031439724</v>
      </c>
      <c r="U375" s="7">
        <f t="shared" si="119"/>
        <v>34111067.583622128</v>
      </c>
      <c r="W375">
        <f t="shared" si="130"/>
        <v>132120</v>
      </c>
      <c r="X375" s="9">
        <f t="shared" si="134"/>
        <v>-982.07891113089795</v>
      </c>
      <c r="Y375" s="2">
        <f t="shared" si="135"/>
        <v>48053772.819492854</v>
      </c>
      <c r="Z375" s="2">
        <f t="shared" si="120"/>
        <v>-9.1675026645511984E-2</v>
      </c>
      <c r="AA375" s="2">
        <f t="shared" si="121"/>
        <v>-9.2966786554261299E-2</v>
      </c>
      <c r="AB375" s="2">
        <f t="shared" si="122"/>
        <v>-9.296684892890679E-2</v>
      </c>
      <c r="AC375" s="2">
        <f t="shared" si="123"/>
        <v>-9.4294791883626605E-2</v>
      </c>
      <c r="AD375" s="2">
        <f t="shared" si="124"/>
        <v>-1015.5491365006264</v>
      </c>
      <c r="AE375" s="10">
        <f t="shared" si="125"/>
        <v>47694199.770919181</v>
      </c>
    </row>
    <row r="376" spans="1:31" x14ac:dyDescent="0.25">
      <c r="A376" s="1">
        <f t="shared" si="126"/>
        <v>1.5333333333333334</v>
      </c>
      <c r="B376" s="7">
        <f t="shared" si="127"/>
        <v>34111067.583622128</v>
      </c>
      <c r="C376" s="7">
        <f t="shared" si="128"/>
        <v>47694199.770919181</v>
      </c>
      <c r="D376" s="7"/>
      <c r="E376" s="7"/>
      <c r="F376" s="7"/>
      <c r="G376" s="7"/>
      <c r="H376" s="7"/>
      <c r="I376" s="7"/>
      <c r="J376" s="7"/>
      <c r="K376" s="7"/>
      <c r="L376" s="1">
        <f t="shared" si="131"/>
        <v>1.5333333333333334</v>
      </c>
      <c r="M376">
        <f t="shared" si="129"/>
        <v>132480</v>
      </c>
      <c r="N376" s="9">
        <f t="shared" si="132"/>
        <v>-1960.8128031439724</v>
      </c>
      <c r="O376" s="7">
        <f t="shared" si="133"/>
        <v>34111067.583622128</v>
      </c>
      <c r="P376" s="2">
        <f t="shared" si="114"/>
        <v>-6.7439983706466755E-2</v>
      </c>
      <c r="Q376" s="2">
        <f t="shared" si="115"/>
        <v>-6.7969132140383998E-2</v>
      </c>
      <c r="R376" s="2">
        <f t="shared" si="116"/>
        <v>-6.796919533873598E-2</v>
      </c>
      <c r="S376" s="2">
        <f t="shared" si="117"/>
        <v>-6.8509636230066895E-2</v>
      </c>
      <c r="T376" s="9">
        <f t="shared" si="118"/>
        <v>-1985.2823796376588</v>
      </c>
      <c r="U376" s="7">
        <f t="shared" si="119"/>
        <v>33400770.450721435</v>
      </c>
      <c r="W376">
        <f t="shared" si="130"/>
        <v>132480</v>
      </c>
      <c r="X376" s="9">
        <f t="shared" si="134"/>
        <v>-1015.5491365006264</v>
      </c>
      <c r="Y376" s="2">
        <f t="shared" si="135"/>
        <v>47694199.770919181</v>
      </c>
      <c r="Z376" s="2">
        <f t="shared" si="120"/>
        <v>-9.4294792960045309E-2</v>
      </c>
      <c r="AA376" s="2">
        <f t="shared" si="121"/>
        <v>-9.566022186181182E-2</v>
      </c>
      <c r="AB376" s="2">
        <f t="shared" si="122"/>
        <v>-9.5660290561288386E-2</v>
      </c>
      <c r="AC376" s="2">
        <f t="shared" si="123"/>
        <v>-9.7064845507491088E-2</v>
      </c>
      <c r="AD376" s="2">
        <f t="shared" si="124"/>
        <v>-1049.9891762994507</v>
      </c>
      <c r="AE376" s="10">
        <f t="shared" si="125"/>
        <v>47322402.87461517</v>
      </c>
    </row>
    <row r="377" spans="1:31" x14ac:dyDescent="0.25">
      <c r="A377" s="1">
        <f t="shared" si="126"/>
        <v>1.5375000000000001</v>
      </c>
      <c r="B377" s="7">
        <f t="shared" si="127"/>
        <v>33400770.450721435</v>
      </c>
      <c r="C377" s="7">
        <f t="shared" si="128"/>
        <v>47322402.87461517</v>
      </c>
      <c r="D377" s="7"/>
      <c r="E377" s="7"/>
      <c r="F377" s="7"/>
      <c r="G377" s="7"/>
      <c r="H377" s="7"/>
      <c r="I377" s="7"/>
      <c r="J377" s="7"/>
      <c r="K377" s="7"/>
      <c r="L377" s="1">
        <f t="shared" si="131"/>
        <v>1.5375000000000001</v>
      </c>
      <c r="M377">
        <f t="shared" si="129"/>
        <v>132840</v>
      </c>
      <c r="N377" s="9">
        <f t="shared" si="132"/>
        <v>-1985.2823796376588</v>
      </c>
      <c r="O377" s="7">
        <f t="shared" si="133"/>
        <v>33400770.450721435</v>
      </c>
      <c r="P377" s="2">
        <f t="shared" si="114"/>
        <v>-6.8509637448008462E-2</v>
      </c>
      <c r="Q377" s="2">
        <f t="shared" si="115"/>
        <v>-6.9061540907886257E-2</v>
      </c>
      <c r="R377" s="2">
        <f t="shared" si="116"/>
        <v>-6.9061609693779974E-2</v>
      </c>
      <c r="S377" s="2">
        <f t="shared" si="117"/>
        <v>-6.9625418538653686E-2</v>
      </c>
      <c r="T377" s="9">
        <f t="shared" si="118"/>
        <v>-2010.1452610690585</v>
      </c>
      <c r="U377" s="7">
        <f t="shared" si="119"/>
        <v>32681593.475394227</v>
      </c>
      <c r="W377">
        <f t="shared" si="130"/>
        <v>132840</v>
      </c>
      <c r="X377" s="9">
        <f t="shared" si="134"/>
        <v>-1049.9891762994507</v>
      </c>
      <c r="Y377" s="2">
        <f t="shared" si="135"/>
        <v>47322402.87461517</v>
      </c>
      <c r="Z377" s="2">
        <f t="shared" si="120"/>
        <v>-9.7064846719380163E-2</v>
      </c>
      <c r="AA377" s="2">
        <f t="shared" si="121"/>
        <v>-9.850997077605661E-2</v>
      </c>
      <c r="AB377" s="2">
        <f t="shared" si="122"/>
        <v>-9.8510046617164296E-2</v>
      </c>
      <c r="AC377" s="2">
        <f t="shared" si="123"/>
        <v>-9.9997556999990703E-2</v>
      </c>
      <c r="AD377" s="2">
        <f t="shared" si="124"/>
        <v>-1085.4553226097994</v>
      </c>
      <c r="AE377" s="10">
        <f t="shared" si="125"/>
        <v>46938022.864811502</v>
      </c>
    </row>
    <row r="378" spans="1:31" x14ac:dyDescent="0.25">
      <c r="A378" s="1">
        <f t="shared" si="126"/>
        <v>1.5416666666666667</v>
      </c>
      <c r="B378" s="7">
        <f t="shared" si="127"/>
        <v>32681593.475394227</v>
      </c>
      <c r="C378" s="7">
        <f t="shared" si="128"/>
        <v>46938022.864811502</v>
      </c>
      <c r="D378" s="7"/>
      <c r="E378" s="7"/>
      <c r="F378" s="7"/>
      <c r="G378" s="7"/>
      <c r="H378" s="7"/>
      <c r="I378" s="7"/>
      <c r="J378" s="7"/>
      <c r="K378" s="7"/>
      <c r="L378" s="1">
        <f t="shared" si="131"/>
        <v>1.5416666666666667</v>
      </c>
      <c r="M378">
        <f t="shared" si="129"/>
        <v>133200</v>
      </c>
      <c r="N378" s="9">
        <f t="shared" si="132"/>
        <v>-2010.1452610690585</v>
      </c>
      <c r="O378" s="7">
        <f t="shared" si="133"/>
        <v>32681593.475394227</v>
      </c>
      <c r="P378" s="2">
        <f t="shared" si="114"/>
        <v>-6.9625419897755406E-2</v>
      </c>
      <c r="Q378" s="2">
        <f t="shared" si="115"/>
        <v>-7.020131183883864E-2</v>
      </c>
      <c r="R378" s="2">
        <f t="shared" si="116"/>
        <v>-7.0201386868976229E-2</v>
      </c>
      <c r="S378" s="2">
        <f t="shared" si="117"/>
        <v>-7.0789836389347868E-2</v>
      </c>
      <c r="T378" s="9">
        <f t="shared" si="118"/>
        <v>-2035.4185002912225</v>
      </c>
      <c r="U378" s="7">
        <f t="shared" si="119"/>
        <v>31953391.998349376</v>
      </c>
      <c r="W378">
        <f t="shared" si="130"/>
        <v>133200</v>
      </c>
      <c r="X378" s="9">
        <f t="shared" si="134"/>
        <v>-1085.4553226097994</v>
      </c>
      <c r="Y378" s="2">
        <f t="shared" si="135"/>
        <v>46938022.864811502</v>
      </c>
      <c r="Z378" s="2">
        <f t="shared" si="120"/>
        <v>-9.9997558368549691E-2</v>
      </c>
      <c r="AA378" s="2">
        <f t="shared" si="121"/>
        <v>-0.10152905717503322</v>
      </c>
      <c r="AB378" s="2">
        <f t="shared" si="122"/>
        <v>-0.10152914110431249</v>
      </c>
      <c r="AC378" s="2">
        <f t="shared" si="123"/>
        <v>-0.10310664668085913</v>
      </c>
      <c r="AD378" s="2">
        <f t="shared" si="124"/>
        <v>-1122.0085587062854</v>
      </c>
      <c r="AE378" s="10">
        <f t="shared" si="125"/>
        <v>46540679.366174608</v>
      </c>
    </row>
    <row r="379" spans="1:31" x14ac:dyDescent="0.25">
      <c r="A379" s="1">
        <f t="shared" si="126"/>
        <v>1.5458333333333334</v>
      </c>
      <c r="B379" s="7">
        <f t="shared" si="127"/>
        <v>31953391.998349376</v>
      </c>
      <c r="C379" s="7">
        <f t="shared" si="128"/>
        <v>46540679.366174608</v>
      </c>
      <c r="D379" s="7"/>
      <c r="E379" s="7"/>
      <c r="F379" s="7"/>
      <c r="G379" s="7"/>
      <c r="H379" s="7"/>
      <c r="I379" s="7"/>
      <c r="J379" s="7"/>
      <c r="K379" s="7"/>
      <c r="L379" s="1">
        <f t="shared" si="131"/>
        <v>1.5458333333333334</v>
      </c>
      <c r="M379">
        <f t="shared" si="129"/>
        <v>133560</v>
      </c>
      <c r="N379" s="9">
        <f t="shared" si="132"/>
        <v>-2035.4185002912225</v>
      </c>
      <c r="O379" s="7">
        <f t="shared" si="133"/>
        <v>31953391.998349376</v>
      </c>
      <c r="P379" s="2">
        <f t="shared" si="114"/>
        <v>-7.0789837910357506E-2</v>
      </c>
      <c r="Q379" s="2">
        <f t="shared" si="115"/>
        <v>-7.1391029902191747E-2</v>
      </c>
      <c r="R379" s="2">
        <f t="shared" si="116"/>
        <v>-7.1391111929827805E-2</v>
      </c>
      <c r="S379" s="2">
        <f t="shared" si="117"/>
        <v>-7.2005554888916967E-2</v>
      </c>
      <c r="T379" s="9">
        <f t="shared" si="118"/>
        <v>-2061.1200808790213</v>
      </c>
      <c r="U379" s="7">
        <f t="shared" si="119"/>
        <v>31216015.053738732</v>
      </c>
      <c r="W379">
        <f t="shared" si="130"/>
        <v>133560</v>
      </c>
      <c r="X379" s="9">
        <f t="shared" si="134"/>
        <v>-1122.0085587062854</v>
      </c>
      <c r="Y379" s="2">
        <f t="shared" si="135"/>
        <v>46540679.366174608</v>
      </c>
      <c r="Z379" s="2">
        <f t="shared" si="120"/>
        <v>-0.10310664823126169</v>
      </c>
      <c r="AA379" s="2">
        <f t="shared" si="121"/>
        <v>-0.10473194364477967</v>
      </c>
      <c r="AB379" s="2">
        <f t="shared" si="122"/>
        <v>-0.10473203676311404</v>
      </c>
      <c r="AC379" s="2">
        <f t="shared" si="123"/>
        <v>-0.10640736945205605</v>
      </c>
      <c r="AD379" s="2">
        <f t="shared" si="124"/>
        <v>-1159.7150774162317</v>
      </c>
      <c r="AE379" s="10">
        <f t="shared" si="125"/>
        <v>46129969.111672558</v>
      </c>
    </row>
    <row r="380" spans="1:31" x14ac:dyDescent="0.25">
      <c r="A380" s="1">
        <f t="shared" si="126"/>
        <v>1.55</v>
      </c>
      <c r="B380" s="7">
        <f t="shared" si="127"/>
        <v>31216015.053738732</v>
      </c>
      <c r="C380" s="7">
        <f t="shared" si="128"/>
        <v>46129969.111672558</v>
      </c>
      <c r="D380" s="7"/>
      <c r="E380" s="7"/>
      <c r="F380" s="7"/>
      <c r="G380" s="7"/>
      <c r="H380" s="7"/>
      <c r="I380" s="7"/>
      <c r="J380" s="7"/>
      <c r="K380" s="7"/>
      <c r="L380" s="1">
        <f t="shared" si="131"/>
        <v>1.55</v>
      </c>
      <c r="M380">
        <f t="shared" si="129"/>
        <v>133920</v>
      </c>
      <c r="N380" s="9">
        <f t="shared" si="132"/>
        <v>-2061.1200808790213</v>
      </c>
      <c r="O380" s="7">
        <f t="shared" si="133"/>
        <v>31216015.053738732</v>
      </c>
      <c r="P380" s="2">
        <f t="shared" si="114"/>
        <v>-7.2005556596277567E-2</v>
      </c>
      <c r="Q380" s="2">
        <f t="shared" si="115"/>
        <v>-7.2633441875959145E-2</v>
      </c>
      <c r="R380" s="2">
        <f t="shared" si="116"/>
        <v>-7.2633531768005979E-2</v>
      </c>
      <c r="S380" s="2">
        <f t="shared" si="117"/>
        <v>-7.3275404309413275E-2</v>
      </c>
      <c r="T380" s="9">
        <f t="shared" si="118"/>
        <v>-2087.2689753706386</v>
      </c>
      <c r="U380" s="7">
        <f t="shared" si="119"/>
        <v>30469305.023613792</v>
      </c>
      <c r="W380">
        <f t="shared" si="130"/>
        <v>133920</v>
      </c>
      <c r="X380" s="9">
        <f t="shared" si="134"/>
        <v>-1159.7150774162317</v>
      </c>
      <c r="Y380" s="2">
        <f t="shared" si="135"/>
        <v>46129969.111672558</v>
      </c>
      <c r="Z380" s="2">
        <f t="shared" si="120"/>
        <v>-0.10640737121432313</v>
      </c>
      <c r="AA380" s="2">
        <f t="shared" si="121"/>
        <v>-0.10813473081502595</v>
      </c>
      <c r="AB380" s="2">
        <f t="shared" si="122"/>
        <v>-0.10813483440770122</v>
      </c>
      <c r="AC380" s="2">
        <f t="shared" si="123"/>
        <v>-0.10991673012945521</v>
      </c>
      <c r="AD380" s="2">
        <f t="shared" si="124"/>
        <v>-1198.6468713235856</v>
      </c>
      <c r="AE380" s="10">
        <f t="shared" si="125"/>
        <v>45705463.96089939</v>
      </c>
    </row>
    <row r="381" spans="1:31" x14ac:dyDescent="0.25">
      <c r="A381" s="1">
        <f t="shared" si="126"/>
        <v>1.5541666666666667</v>
      </c>
      <c r="B381" s="7">
        <f t="shared" si="127"/>
        <v>30469305.023613792</v>
      </c>
      <c r="C381" s="7">
        <f t="shared" si="128"/>
        <v>45705463.96089939</v>
      </c>
      <c r="D381" s="7"/>
      <c r="E381" s="7"/>
      <c r="F381" s="7"/>
      <c r="G381" s="7"/>
      <c r="H381" s="7"/>
      <c r="I381" s="7"/>
      <c r="J381" s="7"/>
      <c r="K381" s="7"/>
      <c r="L381" s="1">
        <f t="shared" si="131"/>
        <v>1.5541666666666667</v>
      </c>
      <c r="M381">
        <f t="shared" si="129"/>
        <v>134280</v>
      </c>
      <c r="N381" s="9">
        <f t="shared" si="132"/>
        <v>-2087.2689753706386</v>
      </c>
      <c r="O381" s="7">
        <f t="shared" si="133"/>
        <v>30469305.023613792</v>
      </c>
      <c r="P381" s="2">
        <f t="shared" si="114"/>
        <v>-7.3275406232040124E-2</v>
      </c>
      <c r="Q381" s="2">
        <f t="shared" si="115"/>
        <v>-7.393146272622321E-2</v>
      </c>
      <c r="R381" s="2">
        <f t="shared" si="116"/>
        <v>-7.3931561483919842E-2</v>
      </c>
      <c r="S381" s="2">
        <f t="shared" si="117"/>
        <v>-7.4602385796621137E-2</v>
      </c>
      <c r="T381" s="9">
        <f t="shared" si="118"/>
        <v>-2113.8852057975755</v>
      </c>
      <c r="U381" s="7">
        <f t="shared" si="119"/>
        <v>29713097.271003515</v>
      </c>
      <c r="W381">
        <f t="shared" si="130"/>
        <v>134280</v>
      </c>
      <c r="X381" s="9">
        <f t="shared" si="134"/>
        <v>-1198.6468713235856</v>
      </c>
      <c r="Y381" s="2">
        <f t="shared" si="135"/>
        <v>45705463.96089939</v>
      </c>
      <c r="Z381" s="2">
        <f t="shared" si="120"/>
        <v>-0.10991673213954904</v>
      </c>
      <c r="AA381" s="2">
        <f t="shared" si="121"/>
        <v>-0.1117553901727797</v>
      </c>
      <c r="AB381" s="2">
        <f t="shared" si="122"/>
        <v>-0.11175550574639455</v>
      </c>
      <c r="AC381" s="2">
        <f t="shared" si="123"/>
        <v>-0.11365373541001028</v>
      </c>
      <c r="AD381" s="2">
        <f t="shared" si="124"/>
        <v>-1238.8824068868601</v>
      </c>
      <c r="AE381" s="10">
        <f t="shared" si="125"/>
        <v>45266708.690821514</v>
      </c>
    </row>
    <row r="382" spans="1:31" x14ac:dyDescent="0.25">
      <c r="A382" s="1">
        <f t="shared" si="126"/>
        <v>1.5583333333333333</v>
      </c>
      <c r="B382" s="7">
        <f t="shared" si="127"/>
        <v>29713097.271003515</v>
      </c>
      <c r="C382" s="7">
        <f t="shared" si="128"/>
        <v>45266708.690821514</v>
      </c>
      <c r="D382" s="7"/>
      <c r="E382" s="7"/>
      <c r="F382" s="7"/>
      <c r="G382" s="7"/>
      <c r="H382" s="7"/>
      <c r="I382" s="7"/>
      <c r="J382" s="7"/>
      <c r="K382" s="7"/>
      <c r="L382" s="1">
        <f t="shared" si="131"/>
        <v>1.5583333333333333</v>
      </c>
      <c r="M382">
        <f t="shared" si="129"/>
        <v>134640</v>
      </c>
      <c r="N382" s="9">
        <f t="shared" si="132"/>
        <v>-2113.8852057975755</v>
      </c>
      <c r="O382" s="7">
        <f t="shared" si="133"/>
        <v>29713097.271003515</v>
      </c>
      <c r="P382" s="2">
        <f t="shared" si="114"/>
        <v>-7.4602387968868075E-2</v>
      </c>
      <c r="Q382" s="2">
        <f t="shared" si="115"/>
        <v>-7.5288180465434687E-2</v>
      </c>
      <c r="R382" s="2">
        <f t="shared" si="116"/>
        <v>-7.5288289249438173E-2</v>
      </c>
      <c r="S382" s="2">
        <f t="shared" si="117"/>
        <v>-7.5989675184352248E-2</v>
      </c>
      <c r="T382" s="9">
        <f t="shared" si="118"/>
        <v>-2140.9899059525533</v>
      </c>
      <c r="U382" s="7">
        <f t="shared" si="119"/>
        <v>28947219.750888493</v>
      </c>
      <c r="W382">
        <f t="shared" si="130"/>
        <v>134640</v>
      </c>
      <c r="X382" s="9">
        <f t="shared" si="134"/>
        <v>-1238.8824068868601</v>
      </c>
      <c r="Y382" s="2">
        <f t="shared" si="135"/>
        <v>45266708.690821514</v>
      </c>
      <c r="Z382" s="2">
        <f t="shared" si="120"/>
        <v>-0.11365373771121327</v>
      </c>
      <c r="AA382" s="2">
        <f t="shared" si="121"/>
        <v>-0.11561403700713917</v>
      </c>
      <c r="AB382" s="2">
        <f t="shared" si="122"/>
        <v>-0.11561416633516579</v>
      </c>
      <c r="AC382" s="2">
        <f t="shared" si="123"/>
        <v>-0.11763968985225477</v>
      </c>
      <c r="AD382" s="2">
        <f t="shared" si="124"/>
        <v>-1280.5073969417447</v>
      </c>
      <c r="AE382" s="10">
        <f t="shared" si="125"/>
        <v>44813218.526132368</v>
      </c>
    </row>
    <row r="383" spans="1:31" x14ac:dyDescent="0.25">
      <c r="A383" s="1">
        <f t="shared" si="126"/>
        <v>1.5625</v>
      </c>
      <c r="B383" s="7">
        <f t="shared" si="127"/>
        <v>28947219.750888493</v>
      </c>
      <c r="C383" s="7">
        <f t="shared" si="128"/>
        <v>44813218.526132368</v>
      </c>
      <c r="D383" s="7"/>
      <c r="E383" s="7"/>
      <c r="F383" s="7"/>
      <c r="G383" s="7"/>
      <c r="H383" s="7"/>
      <c r="I383" s="7"/>
      <c r="J383" s="7"/>
      <c r="K383" s="7"/>
      <c r="L383" s="1">
        <f t="shared" si="131"/>
        <v>1.5625</v>
      </c>
      <c r="M383">
        <f t="shared" si="129"/>
        <v>135000</v>
      </c>
      <c r="N383" s="9">
        <f t="shared" si="132"/>
        <v>-2140.9899059525533</v>
      </c>
      <c r="O383" s="7">
        <f t="shared" si="133"/>
        <v>28947219.750888493</v>
      </c>
      <c r="P383" s="2">
        <f t="shared" si="114"/>
        <v>-7.5989677647220075E-2</v>
      </c>
      <c r="Q383" s="2">
        <f t="shared" si="115"/>
        <v>-7.6706858675815823E-2</v>
      </c>
      <c r="R383" s="2">
        <f t="shared" si="116"/>
        <v>-7.6706978836807507E-2</v>
      </c>
      <c r="S383" s="2">
        <f t="shared" si="117"/>
        <v>-7.7440623958566421E-2</v>
      </c>
      <c r="T383" s="9">
        <f t="shared" si="118"/>
        <v>-2168.6053845504152</v>
      </c>
      <c r="U383" s="7">
        <f t="shared" si="119"/>
        <v>28171492.598597959</v>
      </c>
      <c r="W383">
        <f t="shared" si="130"/>
        <v>135000</v>
      </c>
      <c r="X383" s="9">
        <f t="shared" si="134"/>
        <v>-1280.5073969417447</v>
      </c>
      <c r="Y383" s="2">
        <f t="shared" si="135"/>
        <v>44813218.526132368</v>
      </c>
      <c r="Z383" s="2">
        <f t="shared" si="120"/>
        <v>-0.11763969249691794</v>
      </c>
      <c r="AA383" s="2">
        <f t="shared" si="121"/>
        <v>-0.11973325167594415</v>
      </c>
      <c r="AB383" s="2">
        <f t="shared" si="122"/>
        <v>-0.11973339685527881</v>
      </c>
      <c r="AC383" s="2">
        <f t="shared" si="123"/>
        <v>-0.12189854497592541</v>
      </c>
      <c r="AD383" s="2">
        <f t="shared" si="124"/>
        <v>-1323.615689013862</v>
      </c>
      <c r="AE383" s="10">
        <f t="shared" si="125"/>
        <v>44344476.370660357</v>
      </c>
    </row>
    <row r="384" spans="1:31" x14ac:dyDescent="0.25">
      <c r="A384" s="1">
        <f t="shared" si="126"/>
        <v>1.5666666666666667</v>
      </c>
      <c r="B384" s="7">
        <f t="shared" si="127"/>
        <v>28171492.598597959</v>
      </c>
      <c r="C384" s="7">
        <f t="shared" si="128"/>
        <v>44344476.370660357</v>
      </c>
      <c r="D384" s="7"/>
      <c r="E384" s="7"/>
      <c r="F384" s="7"/>
      <c r="G384" s="7"/>
      <c r="H384" s="7"/>
      <c r="I384" s="7"/>
      <c r="J384" s="7"/>
      <c r="K384" s="7"/>
      <c r="L384" s="1">
        <f t="shared" si="131"/>
        <v>1.5666666666666667</v>
      </c>
      <c r="M384">
        <f t="shared" si="129"/>
        <v>135360</v>
      </c>
      <c r="N384" s="9">
        <f t="shared" si="132"/>
        <v>-2168.6053845504152</v>
      </c>
      <c r="O384" s="7">
        <f t="shared" si="133"/>
        <v>28171492.598597959</v>
      </c>
      <c r="P384" s="2">
        <f t="shared" si="114"/>
        <v>-7.7440626761222583E-2</v>
      </c>
      <c r="Q384" s="2">
        <f t="shared" si="115"/>
        <v>-7.8190935575321335E-2</v>
      </c>
      <c r="R384" s="2">
        <f t="shared" si="116"/>
        <v>-7.8191068691530613E-2</v>
      </c>
      <c r="S384" s="2">
        <f t="shared" si="117"/>
        <v>-7.8958756054356177E-2</v>
      </c>
      <c r="T384" s="9">
        <f t="shared" si="118"/>
        <v>-2196.7551880313722</v>
      </c>
      <c r="U384" s="7">
        <f t="shared" si="119"/>
        <v>27385727.695533238</v>
      </c>
      <c r="W384">
        <f t="shared" si="130"/>
        <v>135360</v>
      </c>
      <c r="X384" s="9">
        <f t="shared" si="134"/>
        <v>-1323.615689013862</v>
      </c>
      <c r="Y384" s="2">
        <f t="shared" si="135"/>
        <v>44344476.370660357</v>
      </c>
      <c r="Z384" s="2">
        <f t="shared" si="120"/>
        <v>-0.12189854802769907</v>
      </c>
      <c r="AA384" s="2">
        <f t="shared" si="121"/>
        <v>-0.12413845932957569</v>
      </c>
      <c r="AB384" s="2">
        <f t="shared" si="122"/>
        <v>-0.12413862285113703</v>
      </c>
      <c r="AC384" s="2">
        <f t="shared" si="123"/>
        <v>-0.12645731277876865</v>
      </c>
      <c r="AD384" s="2">
        <f t="shared" si="124"/>
        <v>-1368.3102905239357</v>
      </c>
      <c r="AE384" s="10">
        <f t="shared" si="125"/>
        <v>43859929.694343552</v>
      </c>
    </row>
    <row r="385" spans="1:31" x14ac:dyDescent="0.25">
      <c r="A385" s="1">
        <f t="shared" si="126"/>
        <v>1.5708333333333333</v>
      </c>
      <c r="B385" s="7">
        <f t="shared" si="127"/>
        <v>27385727.695533238</v>
      </c>
      <c r="C385" s="7">
        <f t="shared" si="128"/>
        <v>43859929.694343552</v>
      </c>
      <c r="D385" s="7"/>
      <c r="E385" s="7"/>
      <c r="F385" s="7"/>
      <c r="G385" s="7"/>
      <c r="H385" s="7"/>
      <c r="I385" s="7"/>
      <c r="J385" s="7"/>
      <c r="K385" s="7"/>
      <c r="L385" s="1">
        <f t="shared" si="131"/>
        <v>1.5708333333333333</v>
      </c>
      <c r="M385">
        <f t="shared" si="129"/>
        <v>135720</v>
      </c>
      <c r="N385" s="9">
        <f t="shared" si="132"/>
        <v>-2196.7551880313722</v>
      </c>
      <c r="O385" s="7">
        <f t="shared" si="133"/>
        <v>27385727.695533238</v>
      </c>
      <c r="P385" s="2">
        <f t="shared" si="114"/>
        <v>-7.8958759256058067E-2</v>
      </c>
      <c r="Q385" s="2">
        <f t="shared" si="115"/>
        <v>-7.9744018080561724E-2</v>
      </c>
      <c r="R385" s="2">
        <f t="shared" si="116"/>
        <v>-7.9744166004015446E-2</v>
      </c>
      <c r="S385" s="2">
        <f t="shared" si="117"/>
        <v>-8.0547758672709621E-2</v>
      </c>
      <c r="T385" s="9">
        <f t="shared" si="118"/>
        <v>-2225.4641611972474</v>
      </c>
      <c r="U385" s="7">
        <f t="shared" si="119"/>
        <v>26589728.212672088</v>
      </c>
      <c r="W385">
        <f t="shared" si="130"/>
        <v>135720</v>
      </c>
      <c r="X385" s="9">
        <f t="shared" si="134"/>
        <v>-1368.3102905239357</v>
      </c>
      <c r="Y385" s="2">
        <f t="shared" si="135"/>
        <v>43859929.694343552</v>
      </c>
      <c r="Z385" s="2">
        <f t="shared" si="120"/>
        <v>-0.12645731631546744</v>
      </c>
      <c r="AA385" s="2">
        <f t="shared" si="121"/>
        <v>-0.1288583807018627</v>
      </c>
      <c r="AB385" s="2">
        <f t="shared" si="122"/>
        <v>-0.12885856553926855</v>
      </c>
      <c r="AC385" s="2">
        <f t="shared" si="123"/>
        <v>-0.13134655776686247</v>
      </c>
      <c r="AD385" s="2">
        <f t="shared" si="124"/>
        <v>-1414.7045565178112</v>
      </c>
      <c r="AE385" s="10">
        <f t="shared" si="125"/>
        <v>43358987.021876037</v>
      </c>
    </row>
    <row r="386" spans="1:31" x14ac:dyDescent="0.25">
      <c r="A386" s="1">
        <f t="shared" si="126"/>
        <v>1.575</v>
      </c>
      <c r="B386" s="7">
        <f t="shared" si="127"/>
        <v>26589728.212672088</v>
      </c>
      <c r="C386" s="7">
        <f t="shared" si="128"/>
        <v>43358987.021876037</v>
      </c>
      <c r="D386" s="7"/>
      <c r="E386" s="7"/>
      <c r="F386" s="7"/>
      <c r="G386" s="7"/>
      <c r="H386" s="7"/>
      <c r="I386" s="7"/>
      <c r="J386" s="7"/>
      <c r="K386" s="7"/>
      <c r="L386" s="1">
        <f t="shared" si="131"/>
        <v>1.575</v>
      </c>
      <c r="M386">
        <f t="shared" si="129"/>
        <v>136080</v>
      </c>
      <c r="N386" s="9">
        <f t="shared" si="132"/>
        <v>-2225.4641611972474</v>
      </c>
      <c r="O386" s="7">
        <f t="shared" si="133"/>
        <v>26589728.212672088</v>
      </c>
      <c r="P386" s="2">
        <f t="shared" si="114"/>
        <v>-8.0547762345253626E-2</v>
      </c>
      <c r="Q386" s="2">
        <f t="shared" si="115"/>
        <v>-8.136986873841151E-2</v>
      </c>
      <c r="R386" s="2">
        <f t="shared" si="116"/>
        <v>-8.1370033652257603E-2</v>
      </c>
      <c r="S386" s="2">
        <f t="shared" si="117"/>
        <v>-8.2211464619138086E-2</v>
      </c>
      <c r="T386" s="9">
        <f t="shared" si="118"/>
        <v>-2254.7585031019912</v>
      </c>
      <c r="U386" s="7">
        <f t="shared" si="119"/>
        <v>25783288.133098226</v>
      </c>
      <c r="W386">
        <f t="shared" si="130"/>
        <v>136080</v>
      </c>
      <c r="X386" s="9">
        <f t="shared" si="134"/>
        <v>-1414.7045565178112</v>
      </c>
      <c r="Y386" s="2">
        <f t="shared" si="135"/>
        <v>43358987.021876037</v>
      </c>
      <c r="Z386" s="2">
        <f t="shared" si="120"/>
        <v>-0.13134656188417043</v>
      </c>
      <c r="AA386" s="2">
        <f t="shared" si="121"/>
        <v>-0.13392556974667544</v>
      </c>
      <c r="AB386" s="2">
        <f t="shared" si="122"/>
        <v>-0.13392577946834966</v>
      </c>
      <c r="AC386" s="2">
        <f t="shared" si="123"/>
        <v>-0.13660098518937488</v>
      </c>
      <c r="AD386" s="2">
        <f t="shared" si="124"/>
        <v>-1462.923571248027</v>
      </c>
      <c r="AE386" s="10">
        <f t="shared" si="125"/>
        <v>42841013.958878189</v>
      </c>
    </row>
    <row r="387" spans="1:31" x14ac:dyDescent="0.25">
      <c r="A387" s="1">
        <f t="shared" si="126"/>
        <v>1.5791666666666666</v>
      </c>
      <c r="B387" s="7">
        <f t="shared" si="127"/>
        <v>25783288.133098226</v>
      </c>
      <c r="C387" s="7">
        <f t="shared" si="128"/>
        <v>42841013.958878189</v>
      </c>
      <c r="D387" s="7"/>
      <c r="E387" s="7"/>
      <c r="F387" s="7"/>
      <c r="G387" s="7"/>
      <c r="H387" s="7"/>
      <c r="I387" s="7"/>
      <c r="J387" s="7"/>
      <c r="K387" s="7"/>
      <c r="L387" s="1">
        <f t="shared" si="131"/>
        <v>1.5791666666666666</v>
      </c>
      <c r="M387">
        <f t="shared" si="129"/>
        <v>136440</v>
      </c>
      <c r="N387" s="9">
        <f t="shared" si="132"/>
        <v>-2254.7585031019912</v>
      </c>
      <c r="O387" s="7">
        <f t="shared" si="133"/>
        <v>25783288.133098226</v>
      </c>
      <c r="P387" s="2">
        <f t="shared" si="114"/>
        <v>-8.2211468849999983E-2</v>
      </c>
      <c r="Q387" s="2">
        <f t="shared" si="115"/>
        <v>-8.3072382591835178E-2</v>
      </c>
      <c r="R387" s="2">
        <f t="shared" si="116"/>
        <v>-8.3072567081810711E-2</v>
      </c>
      <c r="S387" s="2">
        <f t="shared" si="117"/>
        <v>-8.395382271635142E-2</v>
      </c>
      <c r="T387" s="9">
        <f t="shared" si="118"/>
        <v>-2284.6658145568099</v>
      </c>
      <c r="U387" s="7">
        <f t="shared" si="119"/>
        <v>24966191.755919643</v>
      </c>
      <c r="W387">
        <f t="shared" si="130"/>
        <v>136440</v>
      </c>
      <c r="X387" s="9">
        <f t="shared" si="134"/>
        <v>-1462.923571248027</v>
      </c>
      <c r="Y387" s="2">
        <f t="shared" si="135"/>
        <v>42841013.958878189</v>
      </c>
      <c r="Z387" s="2">
        <f t="shared" si="120"/>
        <v>-0.13660099000567255</v>
      </c>
      <c r="AA387" s="2">
        <f t="shared" si="121"/>
        <v>-0.13937705798255731</v>
      </c>
      <c r="AB387" s="2">
        <f t="shared" si="122"/>
        <v>-0.13937729689442666</v>
      </c>
      <c r="AC387" s="2">
        <f t="shared" si="123"/>
        <v>-0.14226014781723262</v>
      </c>
      <c r="AD387" s="2">
        <f t="shared" si="124"/>
        <v>-1513.1057621026393</v>
      </c>
      <c r="AE387" s="10">
        <f t="shared" si="125"/>
        <v>42305328.678875066</v>
      </c>
    </row>
    <row r="388" spans="1:31" x14ac:dyDescent="0.25">
      <c r="A388" s="1">
        <f t="shared" si="126"/>
        <v>1.5833333333333333</v>
      </c>
      <c r="B388" s="7">
        <f t="shared" si="127"/>
        <v>24966191.755919643</v>
      </c>
      <c r="C388" s="7">
        <f t="shared" si="128"/>
        <v>42305328.678875066</v>
      </c>
      <c r="D388" s="7"/>
      <c r="E388" s="7"/>
      <c r="F388" s="7"/>
      <c r="G388" s="7"/>
      <c r="H388" s="7"/>
      <c r="I388" s="7"/>
      <c r="J388" s="7"/>
      <c r="K388" s="7"/>
      <c r="L388" s="1">
        <f t="shared" si="131"/>
        <v>1.5833333333333333</v>
      </c>
      <c r="M388">
        <f t="shared" si="129"/>
        <v>136800</v>
      </c>
      <c r="N388" s="9">
        <f t="shared" si="132"/>
        <v>-2284.6658145568099</v>
      </c>
      <c r="O388" s="7">
        <f t="shared" si="133"/>
        <v>24966191.755919643</v>
      </c>
      <c r="P388" s="2">
        <f t="shared" si="114"/>
        <v>-8.3953827612740659E-2</v>
      </c>
      <c r="Q388" s="2">
        <f t="shared" si="115"/>
        <v>-8.4855549924213958E-2</v>
      </c>
      <c r="R388" s="2">
        <f t="shared" si="116"/>
        <v>-8.4855757068298773E-2</v>
      </c>
      <c r="S388" s="2">
        <f t="shared" si="117"/>
        <v>-8.5778851518266294E-2</v>
      </c>
      <c r="T388" s="9">
        <f t="shared" si="118"/>
        <v>-2315.2151321437718</v>
      </c>
      <c r="U388" s="7">
        <f t="shared" si="119"/>
        <v>24138213.185513537</v>
      </c>
      <c r="W388">
        <f t="shared" si="130"/>
        <v>136800</v>
      </c>
      <c r="X388" s="9">
        <f t="shared" si="134"/>
        <v>-1513.1057621026393</v>
      </c>
      <c r="Y388" s="2">
        <f t="shared" si="135"/>
        <v>42305328.678875066</v>
      </c>
      <c r="Z388" s="2">
        <f t="shared" si="120"/>
        <v>-0.14226015347993476</v>
      </c>
      <c r="AA388" s="2">
        <f t="shared" si="121"/>
        <v>-0.14525513070728749</v>
      </c>
      <c r="AB388" s="2">
        <f t="shared" si="122"/>
        <v>-0.145255404035733</v>
      </c>
      <c r="AC388" s="2">
        <f t="shared" si="123"/>
        <v>-0.14836929965931864</v>
      </c>
      <c r="AD388" s="2">
        <f t="shared" si="124"/>
        <v>-1565.404793460157</v>
      </c>
      <c r="AE388" s="10">
        <f t="shared" si="125"/>
        <v>41751196.778873764</v>
      </c>
    </row>
    <row r="389" spans="1:31" x14ac:dyDescent="0.25">
      <c r="A389" s="1">
        <f t="shared" si="126"/>
        <v>1.5874999999999999</v>
      </c>
      <c r="B389" s="7">
        <f t="shared" si="127"/>
        <v>24138213.185513537</v>
      </c>
      <c r="C389" s="7">
        <f t="shared" si="128"/>
        <v>41751196.778873764</v>
      </c>
      <c r="D389" s="7"/>
      <c r="E389" s="7"/>
      <c r="F389" s="7"/>
      <c r="G389" s="7"/>
      <c r="H389" s="7"/>
      <c r="I389" s="7"/>
      <c r="J389" s="7"/>
      <c r="K389" s="7"/>
      <c r="L389" s="1">
        <f t="shared" si="131"/>
        <v>1.5874999999999999</v>
      </c>
      <c r="M389">
        <f t="shared" si="129"/>
        <v>137160</v>
      </c>
      <c r="N389" s="9">
        <f t="shared" si="132"/>
        <v>-2315.2151321437718</v>
      </c>
      <c r="O389" s="7">
        <f t="shared" si="133"/>
        <v>24138213.185513537</v>
      </c>
      <c r="P389" s="2">
        <f t="shared" si="114"/>
        <v>-8.5778857212400542E-2</v>
      </c>
      <c r="Q389" s="2">
        <f t="shared" si="115"/>
        <v>-8.6723399257876949E-2</v>
      </c>
      <c r="R389" s="2">
        <f t="shared" si="116"/>
        <v>-8.6723632739498069E-2</v>
      </c>
      <c r="S389" s="2">
        <f t="shared" si="117"/>
        <v>-8.7690569693281623E-2</v>
      </c>
      <c r="T389" s="9">
        <f t="shared" si="118"/>
        <v>-2346.4369415977976</v>
      </c>
      <c r="U389" s="7">
        <f t="shared" si="119"/>
        <v>23299115.812240057</v>
      </c>
      <c r="W389">
        <f t="shared" si="130"/>
        <v>137160</v>
      </c>
      <c r="X389" s="9">
        <f t="shared" si="134"/>
        <v>-1565.404793460157</v>
      </c>
      <c r="Y389" s="2">
        <f t="shared" si="135"/>
        <v>41751196.778873764</v>
      </c>
      <c r="Z389" s="2">
        <f t="shared" si="120"/>
        <v>-0.14836930635326384</v>
      </c>
      <c r="AA389" s="2">
        <f t="shared" si="121"/>
        <v>-0.15160826717158132</v>
      </c>
      <c r="AB389" s="2">
        <f t="shared" si="122"/>
        <v>-0.15160858129980312</v>
      </c>
      <c r="AC389" s="2">
        <f t="shared" si="123"/>
        <v>-0.15498043295355968</v>
      </c>
      <c r="AD389" s="2">
        <f t="shared" si="124"/>
        <v>-1619.9917996351326</v>
      </c>
      <c r="AE389" s="10">
        <f t="shared" si="125"/>
        <v>41177825.392116614</v>
      </c>
    </row>
    <row r="390" spans="1:31" x14ac:dyDescent="0.25">
      <c r="A390" s="1">
        <f t="shared" si="126"/>
        <v>1.5916666666666666</v>
      </c>
      <c r="B390" s="7">
        <f t="shared" si="127"/>
        <v>23299115.812240057</v>
      </c>
      <c r="C390" s="7">
        <f t="shared" si="128"/>
        <v>41177825.392116614</v>
      </c>
      <c r="D390" s="7"/>
      <c r="E390" s="7"/>
      <c r="F390" s="7"/>
      <c r="G390" s="7"/>
      <c r="H390" s="7"/>
      <c r="I390" s="7"/>
      <c r="J390" s="7"/>
      <c r="K390" s="7"/>
      <c r="L390" s="1">
        <f t="shared" si="131"/>
        <v>1.5916666666666666</v>
      </c>
      <c r="M390">
        <f t="shared" si="129"/>
        <v>137520</v>
      </c>
      <c r="N390" s="9">
        <f t="shared" si="132"/>
        <v>-2346.4369415977976</v>
      </c>
      <c r="O390" s="7">
        <f t="shared" si="133"/>
        <v>23299115.812240057</v>
      </c>
      <c r="P390" s="2">
        <f t="shared" si="114"/>
        <v>-8.7690576349303564E-2</v>
      </c>
      <c r="Q390" s="2">
        <f t="shared" si="115"/>
        <v>-8.8679912773856437E-2</v>
      </c>
      <c r="R390" s="2">
        <f t="shared" si="116"/>
        <v>-8.8680177025812018E-2</v>
      </c>
      <c r="S390" s="2">
        <f t="shared" si="117"/>
        <v>-8.9692893817433714E-2</v>
      </c>
      <c r="T390" s="9">
        <f t="shared" si="118"/>
        <v>-2378.3631605837622</v>
      </c>
      <c r="U390" s="7">
        <f t="shared" si="119"/>
        <v>22448651.793847375</v>
      </c>
      <c r="W390">
        <f t="shared" si="130"/>
        <v>137520</v>
      </c>
      <c r="X390" s="9">
        <f t="shared" si="134"/>
        <v>-1619.9917996351326</v>
      </c>
      <c r="Y390" s="2">
        <f t="shared" si="135"/>
        <v>41177825.392116614</v>
      </c>
      <c r="Z390" s="2">
        <f t="shared" si="120"/>
        <v>-0.15498044091221366</v>
      </c>
      <c r="AA390" s="2">
        <f t="shared" si="121"/>
        <v>-0.15849228592583181</v>
      </c>
      <c r="AB390" s="2">
        <f t="shared" si="122"/>
        <v>-0.15849264870171656</v>
      </c>
      <c r="AC390" s="2">
        <f t="shared" si="123"/>
        <v>-0.16215354527581941</v>
      </c>
      <c r="AD390" s="2">
        <f t="shared" si="124"/>
        <v>-1677.0580309617203</v>
      </c>
      <c r="AE390" s="10">
        <f t="shared" si="125"/>
        <v>40584356.42260918</v>
      </c>
    </row>
    <row r="391" spans="1:31" x14ac:dyDescent="0.25">
      <c r="A391" s="1">
        <f t="shared" si="126"/>
        <v>1.5958333333333334</v>
      </c>
      <c r="B391" s="7">
        <f t="shared" si="127"/>
        <v>22448651.793847375</v>
      </c>
      <c r="C391" s="7">
        <f t="shared" si="128"/>
        <v>40584356.42260918</v>
      </c>
      <c r="D391" s="7"/>
      <c r="E391" s="7"/>
      <c r="F391" s="7"/>
      <c r="G391" s="7"/>
      <c r="H391" s="7"/>
      <c r="I391" s="7"/>
      <c r="J391" s="7"/>
      <c r="K391" s="7"/>
      <c r="L391" s="1">
        <f t="shared" si="131"/>
        <v>1.5958333333333334</v>
      </c>
      <c r="M391">
        <f t="shared" si="129"/>
        <v>137880</v>
      </c>
      <c r="N391" s="9">
        <f t="shared" si="132"/>
        <v>-2378.3631605837622</v>
      </c>
      <c r="O391" s="7">
        <f t="shared" si="133"/>
        <v>22448651.793847375</v>
      </c>
      <c r="P391" s="2">
        <f t="shared" si="114"/>
        <v>-8.9692901640556322E-2</v>
      </c>
      <c r="Q391" s="2">
        <f t="shared" si="115"/>
        <v>-9.0728903187441298E-2</v>
      </c>
      <c r="R391" s="2">
        <f t="shared" si="116"/>
        <v>-9.0729203576214917E-2</v>
      </c>
      <c r="S391" s="2">
        <f t="shared" si="117"/>
        <v>-9.1789490577484367E-2</v>
      </c>
      <c r="T391" s="9">
        <f t="shared" si="118"/>
        <v>-2411.0270769284834</v>
      </c>
      <c r="U391" s="7">
        <f t="shared" si="119"/>
        <v>21586561.551095169</v>
      </c>
      <c r="W391">
        <f t="shared" si="130"/>
        <v>137880</v>
      </c>
      <c r="X391" s="9">
        <f t="shared" si="134"/>
        <v>-1677.0580309617203</v>
      </c>
      <c r="Y391" s="2">
        <f t="shared" si="135"/>
        <v>40584356.42260918</v>
      </c>
      <c r="Z391" s="2">
        <f t="shared" si="120"/>
        <v>-0.16215355479637475</v>
      </c>
      <c r="AA391" s="2">
        <f t="shared" si="121"/>
        <v>-0.1659717486706791</v>
      </c>
      <c r="AB391" s="2">
        <f t="shared" si="122"/>
        <v>-0.16597216981128721</v>
      </c>
      <c r="AC391" s="2">
        <f t="shared" si="123"/>
        <v>-0.16995819761942094</v>
      </c>
      <c r="AD391" s="2">
        <f t="shared" si="124"/>
        <v>-1736.818006324504</v>
      </c>
      <c r="AE391" s="10">
        <f t="shared" si="125"/>
        <v>39969858.73589766</v>
      </c>
    </row>
    <row r="392" spans="1:31" x14ac:dyDescent="0.25">
      <c r="A392" s="1">
        <f t="shared" si="126"/>
        <v>1.6</v>
      </c>
      <c r="B392" s="7">
        <f t="shared" si="127"/>
        <v>21586561.551095169</v>
      </c>
      <c r="C392" s="7">
        <f t="shared" si="128"/>
        <v>39969858.73589766</v>
      </c>
      <c r="D392" s="7"/>
      <c r="E392" s="7"/>
      <c r="F392" s="7"/>
      <c r="G392" s="7"/>
      <c r="H392" s="7"/>
      <c r="I392" s="7"/>
      <c r="J392" s="7"/>
      <c r="K392" s="7"/>
      <c r="L392" s="1">
        <f t="shared" si="131"/>
        <v>1.6</v>
      </c>
      <c r="M392">
        <f t="shared" si="129"/>
        <v>138240</v>
      </c>
      <c r="N392" s="9">
        <f t="shared" si="132"/>
        <v>-2411.0270769284834</v>
      </c>
      <c r="O392" s="7">
        <f t="shared" si="133"/>
        <v>21586561.551095169</v>
      </c>
      <c r="P392" s="2">
        <f t="shared" ref="P392:P455" si="136">dvdt_x($O392,$Y392)</f>
        <v>-9.1789499826193138E-2</v>
      </c>
      <c r="Q392" s="2">
        <f t="shared" ref="Q392:Q455" si="137">dvdt_x($O392+h/4*($N392+($N392+h/2*P392)),$Y392+h/4*($X392+($X392+h/2*Z392)))</f>
        <v>-9.2873836636387777E-2</v>
      </c>
      <c r="R392" s="2">
        <f t="shared" ref="R392:R455" si="138">dvdt_x($O392+h/4*($N392+($N392+h/2*Q392)),$Y392+h/4*($X392+($X392+h/2*AA392)))</f>
        <v>-9.2874179700003889E-2</v>
      </c>
      <c r="S392" s="2">
        <f t="shared" ref="S392:S455" si="139">dvdt_x($O392+h/2*($N392+($N392+h*R392)),$Y392+h/2*($X392+($X392+h*AB392)))</f>
        <v>-9.398356501438429E-2</v>
      </c>
      <c r="T392" s="9">
        <f t="shared" ref="T392:T455" si="140">N392+h/6*(P392+2*Q392+2*R392+S392)</f>
        <v>-2444.4632227792849</v>
      </c>
      <c r="U392" s="7">
        <f t="shared" ref="U392:U455" si="141">O392+h/2*(N392+T392)</f>
        <v>20712573.297147769</v>
      </c>
      <c r="W392">
        <f t="shared" si="130"/>
        <v>138240</v>
      </c>
      <c r="X392" s="9">
        <f t="shared" si="134"/>
        <v>-1736.818006324504</v>
      </c>
      <c r="Y392" s="2">
        <f t="shared" si="135"/>
        <v>39969858.73589766</v>
      </c>
      <c r="Z392" s="2">
        <f t="shared" ref="Z392:Z455" si="142">dvdt_y($O392,$Y392)</f>
        <v>-0.16995820908335027</v>
      </c>
      <c r="AA392" s="2">
        <f t="shared" ref="AA392:AA455" si="143">dvdt_y($O392+h/4*($N392+($N392+h/2*P392)),$Y392+h/4*($X392+($X392+h/2*Z392)))</f>
        <v>-0.1741216921712008</v>
      </c>
      <c r="AB392" s="2">
        <f t="shared" ref="AB392:AB455" si="144">dvdt_y($O392+h/4*($N392+($N392+h/2*Q392)),$Y392+h/4*($X392+($X392+h/2*AA392)))</f>
        <v>-0.17412218379912664</v>
      </c>
      <c r="AC392" s="2">
        <f t="shared" ref="AC392:AC455" si="145">dvdt_y($O392+h/2*($N392+($N392+h*R392)),$Y392+h/2*($X392+($X392+h*AB392)))</f>
        <v>-0.17847544314729363</v>
      </c>
      <c r="AD392" s="2">
        <f t="shared" ref="AD392:AD455" si="146">X392+h/6*(Z392+2*AA392+2*AB392+AC392)</f>
        <v>-1799.5132905747819</v>
      </c>
      <c r="AE392" s="10">
        <f t="shared" ref="AE392:AE455" si="147">Y392+h/2*(X392+AD392)</f>
        <v>39333319.102455787</v>
      </c>
    </row>
    <row r="393" spans="1:31" x14ac:dyDescent="0.25">
      <c r="A393" s="1">
        <f t="shared" ref="A393:A456" si="148">L393</f>
        <v>1.6041666666666667</v>
      </c>
      <c r="B393" s="7">
        <f t="shared" ref="B393:B456" si="149">O393</f>
        <v>20712573.297147769</v>
      </c>
      <c r="C393" s="7">
        <f t="shared" ref="C393:C456" si="150">Y393</f>
        <v>39333319.102455787</v>
      </c>
      <c r="D393" s="7"/>
      <c r="E393" s="7"/>
      <c r="F393" s="7"/>
      <c r="G393" s="7"/>
      <c r="H393" s="7"/>
      <c r="I393" s="7"/>
      <c r="J393" s="7"/>
      <c r="K393" s="7"/>
      <c r="L393" s="1">
        <f t="shared" si="131"/>
        <v>1.6041666666666667</v>
      </c>
      <c r="M393">
        <f t="shared" ref="M393:M456" si="151">M392+h</f>
        <v>138600</v>
      </c>
      <c r="N393" s="9">
        <f t="shared" si="132"/>
        <v>-2444.4632227792849</v>
      </c>
      <c r="O393" s="7">
        <f t="shared" si="133"/>
        <v>20712573.297147769</v>
      </c>
      <c r="P393" s="2">
        <f t="shared" si="136"/>
        <v>-9.3983576016871781E-2</v>
      </c>
      <c r="Q393" s="2">
        <f t="shared" si="137"/>
        <v>-9.5117579682417713E-2</v>
      </c>
      <c r="R393" s="2">
        <f t="shared" si="138"/>
        <v>-9.5117973439893644E-2</v>
      </c>
      <c r="S393" s="2">
        <f t="shared" si="139"/>
        <v>-9.6277558659581472E-2</v>
      </c>
      <c r="T393" s="9">
        <f t="shared" si="140"/>
        <v>-2478.7071572345494</v>
      </c>
      <c r="U393" s="7">
        <f t="shared" si="141"/>
        <v>19826402.62874528</v>
      </c>
      <c r="W393">
        <f t="shared" ref="W393:W456" si="152">W392+h</f>
        <v>138600</v>
      </c>
      <c r="X393" s="9">
        <f t="shared" si="134"/>
        <v>-1799.5132905747819</v>
      </c>
      <c r="Y393" s="2">
        <f t="shared" si="135"/>
        <v>39333319.102455787</v>
      </c>
      <c r="Z393" s="2">
        <f t="shared" si="142"/>
        <v>-0.17847545704862192</v>
      </c>
      <c r="AA393" s="2">
        <f t="shared" si="143"/>
        <v>-0.18302977973008983</v>
      </c>
      <c r="AB393" s="2">
        <f t="shared" si="144"/>
        <v>-0.18303035709173729</v>
      </c>
      <c r="AC393" s="2">
        <f t="shared" si="145"/>
        <v>-0.18780023191804543</v>
      </c>
      <c r="AD393" s="2">
        <f t="shared" si="146"/>
        <v>-1865.4170483314012</v>
      </c>
      <c r="AE393" s="10">
        <f t="shared" si="147"/>
        <v>38673631.641452678</v>
      </c>
    </row>
    <row r="394" spans="1:31" x14ac:dyDescent="0.25">
      <c r="A394" s="1">
        <f t="shared" si="148"/>
        <v>1.6083333333333334</v>
      </c>
      <c r="B394" s="7">
        <f t="shared" si="149"/>
        <v>19826402.62874528</v>
      </c>
      <c r="C394" s="7">
        <f t="shared" si="150"/>
        <v>38673631.641452678</v>
      </c>
      <c r="D394" s="7"/>
      <c r="E394" s="7"/>
      <c r="F394" s="7"/>
      <c r="G394" s="7"/>
      <c r="H394" s="7"/>
      <c r="I394" s="7"/>
      <c r="J394" s="7"/>
      <c r="K394" s="7"/>
      <c r="L394" s="1">
        <f t="shared" ref="L394:L457" si="153">M394/(24*3600)</f>
        <v>1.6083333333333334</v>
      </c>
      <c r="M394">
        <f t="shared" si="151"/>
        <v>138960</v>
      </c>
      <c r="N394" s="9">
        <f t="shared" si="132"/>
        <v>-2478.7071572345494</v>
      </c>
      <c r="O394" s="7">
        <f t="shared" si="133"/>
        <v>19826402.62874528</v>
      </c>
      <c r="P394" s="2">
        <f t="shared" si="136"/>
        <v>-9.6277571836107176E-2</v>
      </c>
      <c r="Q394" s="2">
        <f t="shared" si="137"/>
        <v>-9.7462039129604383E-2</v>
      </c>
      <c r="R394" s="2">
        <f t="shared" si="138"/>
        <v>-9.7462493487022225E-2</v>
      </c>
      <c r="S394" s="2">
        <f t="shared" si="139"/>
        <v>-9.8672720038811806E-2</v>
      </c>
      <c r="T394" s="9">
        <f t="shared" si="140"/>
        <v>-2513.7951186610399</v>
      </c>
      <c r="U394" s="7">
        <f t="shared" si="141"/>
        <v>18927752.219084073</v>
      </c>
      <c r="W394">
        <f t="shared" si="152"/>
        <v>138960</v>
      </c>
      <c r="X394" s="9">
        <f t="shared" si="134"/>
        <v>-1865.4170483314012</v>
      </c>
      <c r="Y394" s="2">
        <f t="shared" si="135"/>
        <v>38673631.641452678</v>
      </c>
      <c r="Z394" s="2">
        <f t="shared" si="142"/>
        <v>-0.18780024890267982</v>
      </c>
      <c r="AA394" s="2">
        <f t="shared" si="143"/>
        <v>-0.1927989936523761</v>
      </c>
      <c r="AB394" s="2">
        <f t="shared" si="144"/>
        <v>-0.19279967609006796</v>
      </c>
      <c r="AC394" s="2">
        <f t="shared" si="145"/>
        <v>-0.19804443200314067</v>
      </c>
      <c r="AD394" s="2">
        <f t="shared" si="146"/>
        <v>-1934.8395695548438</v>
      </c>
      <c r="AE394" s="10">
        <f t="shared" si="147"/>
        <v>37989585.450233154</v>
      </c>
    </row>
    <row r="395" spans="1:31" x14ac:dyDescent="0.25">
      <c r="A395" s="1">
        <f t="shared" si="148"/>
        <v>1.6125</v>
      </c>
      <c r="B395" s="7">
        <f t="shared" si="149"/>
        <v>18927752.219084073</v>
      </c>
      <c r="C395" s="7">
        <f t="shared" si="150"/>
        <v>37989585.450233154</v>
      </c>
      <c r="D395" s="7"/>
      <c r="E395" s="7"/>
      <c r="F395" s="7"/>
      <c r="G395" s="7"/>
      <c r="H395" s="7"/>
      <c r="I395" s="7"/>
      <c r="J395" s="7"/>
      <c r="K395" s="7"/>
      <c r="L395" s="1">
        <f t="shared" si="153"/>
        <v>1.6125</v>
      </c>
      <c r="M395">
        <f t="shared" si="151"/>
        <v>139320</v>
      </c>
      <c r="N395" s="9">
        <f t="shared" si="132"/>
        <v>-2513.7951186610399</v>
      </c>
      <c r="O395" s="7">
        <f t="shared" si="133"/>
        <v>18927752.219084073</v>
      </c>
      <c r="P395" s="2">
        <f t="shared" si="136"/>
        <v>-9.8672735932453307E-2</v>
      </c>
      <c r="Q395" s="2">
        <f t="shared" si="137"/>
        <v>-9.9907649544792698E-2</v>
      </c>
      <c r="R395" s="2">
        <f t="shared" si="138"/>
        <v>-9.9908176833033893E-2</v>
      </c>
      <c r="S395" s="2">
        <f t="shared" si="139"/>
        <v>-0.10116849319501381</v>
      </c>
      <c r="T395" s="9">
        <f t="shared" si="140"/>
        <v>-2549.7634915740273</v>
      </c>
      <c r="U395" s="7">
        <f t="shared" si="141"/>
        <v>18016311.66924176</v>
      </c>
      <c r="W395">
        <f t="shared" si="152"/>
        <v>139320</v>
      </c>
      <c r="X395" s="9">
        <f t="shared" si="134"/>
        <v>-1934.8395695548438</v>
      </c>
      <c r="Y395" s="2">
        <f t="shared" si="135"/>
        <v>37989585.450233154</v>
      </c>
      <c r="Z395" s="2">
        <f t="shared" si="142"/>
        <v>-0.19804445292424808</v>
      </c>
      <c r="AA395" s="2">
        <f t="shared" si="143"/>
        <v>-0.20355103141528214</v>
      </c>
      <c r="AB395" s="2">
        <f t="shared" si="144"/>
        <v>-0.20355184369790805</v>
      </c>
      <c r="AC395" s="2">
        <f t="shared" si="145"/>
        <v>-0.20934065609833064</v>
      </c>
      <c r="AD395" s="2">
        <f t="shared" si="146"/>
        <v>-2008.1350211097813</v>
      </c>
      <c r="AE395" s="10">
        <f t="shared" si="147"/>
        <v>37279850.023913525</v>
      </c>
    </row>
    <row r="396" spans="1:31" x14ac:dyDescent="0.25">
      <c r="A396" s="1">
        <f t="shared" si="148"/>
        <v>1.6166666666666667</v>
      </c>
      <c r="B396" s="7">
        <f t="shared" si="149"/>
        <v>18016311.66924176</v>
      </c>
      <c r="C396" s="7">
        <f t="shared" si="150"/>
        <v>37279850.023913525</v>
      </c>
      <c r="D396" s="7"/>
      <c r="E396" s="7"/>
      <c r="F396" s="7"/>
      <c r="G396" s="7"/>
      <c r="H396" s="7"/>
      <c r="I396" s="7"/>
      <c r="J396" s="7"/>
      <c r="K396" s="7"/>
      <c r="L396" s="1">
        <f t="shared" si="153"/>
        <v>1.6166666666666667</v>
      </c>
      <c r="M396">
        <f t="shared" si="151"/>
        <v>139680</v>
      </c>
      <c r="N396" s="9">
        <f t="shared" si="132"/>
        <v>-2549.7634915740273</v>
      </c>
      <c r="O396" s="7">
        <f t="shared" si="133"/>
        <v>18016311.66924176</v>
      </c>
      <c r="P396" s="2">
        <f t="shared" si="136"/>
        <v>-0.10116851251444814</v>
      </c>
      <c r="Q396" s="2">
        <f t="shared" si="137"/>
        <v>-0.10245264281667622</v>
      </c>
      <c r="R396" s="2">
        <f t="shared" si="138"/>
        <v>-0.10245325851041524</v>
      </c>
      <c r="S396" s="2">
        <f t="shared" si="139"/>
        <v>-0.10376164471619848</v>
      </c>
      <c r="T396" s="9">
        <f t="shared" si="140"/>
        <v>-2586.6480091671169</v>
      </c>
      <c r="U396" s="7">
        <f t="shared" si="141"/>
        <v>17091757.599108353</v>
      </c>
      <c r="W396">
        <f t="shared" si="152"/>
        <v>139680</v>
      </c>
      <c r="X396" s="9">
        <f t="shared" si="134"/>
        <v>-2008.1350211097813</v>
      </c>
      <c r="Y396" s="2">
        <f t="shared" si="135"/>
        <v>37279850.023913525</v>
      </c>
      <c r="Z396" s="2">
        <f t="shared" si="142"/>
        <v>-0.20934068209532569</v>
      </c>
      <c r="AA396" s="2">
        <f t="shared" si="143"/>
        <v>-0.21543062580954159</v>
      </c>
      <c r="AB396" s="2">
        <f t="shared" si="144"/>
        <v>-0.2154315999763497</v>
      </c>
      <c r="AC396" s="2">
        <f t="shared" si="145"/>
        <v>-0.22184715100443905</v>
      </c>
      <c r="AD396" s="2">
        <f t="shared" si="146"/>
        <v>-2085.7097581900744</v>
      </c>
      <c r="AE396" s="10">
        <f t="shared" si="147"/>
        <v>36542957.96363955</v>
      </c>
    </row>
    <row r="397" spans="1:31" x14ac:dyDescent="0.25">
      <c r="A397" s="1">
        <f t="shared" si="148"/>
        <v>1.6208333333333333</v>
      </c>
      <c r="B397" s="7">
        <f t="shared" si="149"/>
        <v>17091757.599108353</v>
      </c>
      <c r="C397" s="7">
        <f t="shared" si="150"/>
        <v>36542957.96363955</v>
      </c>
      <c r="D397" s="7"/>
      <c r="E397" s="7"/>
      <c r="F397" s="7"/>
      <c r="G397" s="7"/>
      <c r="H397" s="7"/>
      <c r="I397" s="7"/>
      <c r="J397" s="7"/>
      <c r="K397" s="7"/>
      <c r="L397" s="1">
        <f t="shared" si="153"/>
        <v>1.6208333333333333</v>
      </c>
      <c r="M397">
        <f t="shared" si="151"/>
        <v>140040</v>
      </c>
      <c r="N397" s="9">
        <f t="shared" si="132"/>
        <v>-2586.6480091671169</v>
      </c>
      <c r="O397" s="7">
        <f t="shared" si="133"/>
        <v>17091757.599108353</v>
      </c>
      <c r="P397" s="2">
        <f t="shared" si="136"/>
        <v>-0.10376166839595921</v>
      </c>
      <c r="Q397" s="2">
        <f t="shared" si="137"/>
        <v>-0.10509200315972669</v>
      </c>
      <c r="R397" s="2">
        <f t="shared" si="138"/>
        <v>-0.10509272684866937</v>
      </c>
      <c r="S397" s="2">
        <f t="shared" si="139"/>
        <v>-0.1064450116270559</v>
      </c>
      <c r="T397" s="9">
        <f t="shared" si="140"/>
        <v>-2624.4825775695053</v>
      </c>
      <c r="U397" s="7">
        <f t="shared" si="141"/>
        <v>16153754.093495762</v>
      </c>
      <c r="W397">
        <f t="shared" si="152"/>
        <v>140040</v>
      </c>
      <c r="X397" s="9">
        <f t="shared" si="134"/>
        <v>-2085.7097581900744</v>
      </c>
      <c r="Y397" s="2">
        <f t="shared" si="135"/>
        <v>36542957.96363955</v>
      </c>
      <c r="Z397" s="2">
        <f t="shared" si="142"/>
        <v>-0.22184718361723405</v>
      </c>
      <c r="AA397" s="2">
        <f t="shared" si="143"/>
        <v>-0.22861109050543776</v>
      </c>
      <c r="AB397" s="2">
        <f t="shared" si="144"/>
        <v>-0.22861226845472338</v>
      </c>
      <c r="AC397" s="2">
        <f t="shared" si="145"/>
        <v>-0.23575410426166879</v>
      </c>
      <c r="AD397" s="2">
        <f t="shared" si="146"/>
        <v>-2168.0326385380276</v>
      </c>
      <c r="AE397" s="10">
        <f t="shared" si="147"/>
        <v>35777284.332228489</v>
      </c>
    </row>
    <row r="398" spans="1:31" x14ac:dyDescent="0.25">
      <c r="A398" s="1">
        <f t="shared" si="148"/>
        <v>1.625</v>
      </c>
      <c r="B398" s="7">
        <f t="shared" si="149"/>
        <v>16153754.093495762</v>
      </c>
      <c r="C398" s="7">
        <f t="shared" si="150"/>
        <v>35777284.332228489</v>
      </c>
      <c r="D398" s="7"/>
      <c r="E398" s="7"/>
      <c r="F398" s="7"/>
      <c r="G398" s="7"/>
      <c r="H398" s="7"/>
      <c r="I398" s="7"/>
      <c r="J398" s="7"/>
      <c r="K398" s="7"/>
      <c r="L398" s="1">
        <f t="shared" si="153"/>
        <v>1.625</v>
      </c>
      <c r="M398">
        <f t="shared" si="151"/>
        <v>140400</v>
      </c>
      <c r="N398" s="9">
        <f t="shared" si="132"/>
        <v>-2624.4825775695053</v>
      </c>
      <c r="O398" s="7">
        <f t="shared" si="133"/>
        <v>16153754.093495762</v>
      </c>
      <c r="P398" s="2">
        <f t="shared" si="136"/>
        <v>-0.10644504091353724</v>
      </c>
      <c r="Q398" s="2">
        <f t="shared" si="137"/>
        <v>-0.10781596379028091</v>
      </c>
      <c r="R398" s="2">
        <f t="shared" si="138"/>
        <v>-0.10781682050545327</v>
      </c>
      <c r="S398" s="2">
        <f t="shared" si="139"/>
        <v>-0.10920569393426219</v>
      </c>
      <c r="T398" s="9">
        <f t="shared" si="140"/>
        <v>-2663.2975557758614</v>
      </c>
      <c r="U398" s="7">
        <f t="shared" si="141"/>
        <v>15201953.669493597</v>
      </c>
      <c r="W398">
        <f t="shared" si="152"/>
        <v>140400</v>
      </c>
      <c r="X398" s="9">
        <f t="shared" si="134"/>
        <v>-2168.0326385380276</v>
      </c>
      <c r="Y398" s="2">
        <f t="shared" si="135"/>
        <v>35777284.332228489</v>
      </c>
      <c r="Z398" s="2">
        <f t="shared" si="142"/>
        <v>-0.23575414559843502</v>
      </c>
      <c r="AA398" s="2">
        <f t="shared" si="143"/>
        <v>-0.24330150847399429</v>
      </c>
      <c r="AB398" s="2">
        <f t="shared" si="144"/>
        <v>-0.24330294564980542</v>
      </c>
      <c r="AC398" s="2">
        <f t="shared" si="145"/>
        <v>-0.2512918615856059</v>
      </c>
      <c r="AD398" s="2">
        <f t="shared" si="146"/>
        <v>-2255.6479334639262</v>
      </c>
      <c r="AE398" s="10">
        <f t="shared" si="147"/>
        <v>34981021.829268135</v>
      </c>
    </row>
    <row r="399" spans="1:31" x14ac:dyDescent="0.25">
      <c r="A399" s="1">
        <f t="shared" si="148"/>
        <v>1.6291666666666667</v>
      </c>
      <c r="B399" s="7">
        <f t="shared" si="149"/>
        <v>15201953.669493597</v>
      </c>
      <c r="C399" s="7">
        <f t="shared" si="150"/>
        <v>34981021.829268135</v>
      </c>
      <c r="D399" s="7"/>
      <c r="E399" s="7"/>
      <c r="F399" s="7"/>
      <c r="G399" s="7"/>
      <c r="H399" s="7"/>
      <c r="I399" s="7"/>
      <c r="J399" s="7"/>
      <c r="K399" s="7"/>
      <c r="L399" s="1">
        <f t="shared" si="153"/>
        <v>1.6291666666666667</v>
      </c>
      <c r="M399">
        <f t="shared" si="151"/>
        <v>140760</v>
      </c>
      <c r="N399" s="9">
        <f t="shared" si="132"/>
        <v>-2663.2975557758614</v>
      </c>
      <c r="O399" s="7">
        <f t="shared" si="133"/>
        <v>15201953.669493597</v>
      </c>
      <c r="P399" s="2">
        <f t="shared" si="136"/>
        <v>-0.10920573051023287</v>
      </c>
      <c r="Q399" s="2">
        <f t="shared" si="137"/>
        <v>-0.11060782849121675</v>
      </c>
      <c r="R399" s="2">
        <f t="shared" si="138"/>
        <v>-0.11060885053700968</v>
      </c>
      <c r="S399" s="2">
        <f t="shared" si="139"/>
        <v>-0.11202242427562513</v>
      </c>
      <c r="T399" s="9">
        <f t="shared" si="140"/>
        <v>-2703.1172465464001</v>
      </c>
      <c r="U399" s="7">
        <f t="shared" si="141"/>
        <v>14235999.005075591</v>
      </c>
      <c r="W399">
        <f t="shared" si="152"/>
        <v>140760</v>
      </c>
      <c r="X399" s="9">
        <f t="shared" si="134"/>
        <v>-2255.6479334639262</v>
      </c>
      <c r="Y399" s="2">
        <f t="shared" si="135"/>
        <v>34981021.829268135</v>
      </c>
      <c r="Z399" s="2">
        <f t="shared" si="142"/>
        <v>-0.25129191457316724</v>
      </c>
      <c r="AA399" s="2">
        <f t="shared" si="143"/>
        <v>-0.25975614862251395</v>
      </c>
      <c r="AB399" s="2">
        <f t="shared" si="144"/>
        <v>-0.2597579193469966</v>
      </c>
      <c r="AC399" s="2">
        <f t="shared" si="145"/>
        <v>-0.26874175199915962</v>
      </c>
      <c r="AD399" s="2">
        <f t="shared" si="146"/>
        <v>-2349.1916416146069</v>
      </c>
      <c r="AE399" s="10">
        <f t="shared" si="147"/>
        <v>34152150.705753997</v>
      </c>
    </row>
    <row r="400" spans="1:31" x14ac:dyDescent="0.25">
      <c r="A400" s="1">
        <f t="shared" si="148"/>
        <v>1.6333333333333333</v>
      </c>
      <c r="B400" s="7">
        <f t="shared" si="149"/>
        <v>14235999.005075591</v>
      </c>
      <c r="C400" s="7">
        <f t="shared" si="150"/>
        <v>34152150.705753997</v>
      </c>
      <c r="D400" s="7"/>
      <c r="E400" s="7"/>
      <c r="F400" s="7"/>
      <c r="G400" s="7"/>
      <c r="H400" s="7"/>
      <c r="I400" s="7"/>
      <c r="J400" s="7"/>
      <c r="K400" s="7"/>
      <c r="L400" s="1">
        <f t="shared" si="153"/>
        <v>1.6333333333333333</v>
      </c>
      <c r="M400">
        <f t="shared" si="151"/>
        <v>141120</v>
      </c>
      <c r="N400" s="9">
        <f t="shared" si="132"/>
        <v>-2703.1172465464001</v>
      </c>
      <c r="O400" s="7">
        <f t="shared" si="133"/>
        <v>14235999.005075591</v>
      </c>
      <c r="P400" s="2">
        <f t="shared" si="136"/>
        <v>-0.11202247044329032</v>
      </c>
      <c r="Q400" s="2">
        <f t="shared" si="137"/>
        <v>-0.11344078649666042</v>
      </c>
      <c r="R400" s="2">
        <f t="shared" si="138"/>
        <v>-0.11344201601235493</v>
      </c>
      <c r="S400" s="2">
        <f t="shared" si="139"/>
        <v>-0.11486170230379023</v>
      </c>
      <c r="T400" s="9">
        <f t="shared" si="140"/>
        <v>-2743.9562332123069</v>
      </c>
      <c r="U400" s="7">
        <f t="shared" si="141"/>
        <v>13255525.778719023</v>
      </c>
      <c r="W400">
        <f t="shared" si="152"/>
        <v>141120</v>
      </c>
      <c r="X400" s="9">
        <f t="shared" si="134"/>
        <v>-2349.1916416146069</v>
      </c>
      <c r="Y400" s="2">
        <f t="shared" si="135"/>
        <v>34152150.705753997</v>
      </c>
      <c r="Z400" s="2">
        <f t="shared" si="142"/>
        <v>-0.26874182076341119</v>
      </c>
      <c r="AA400" s="2">
        <f t="shared" si="143"/>
        <v>-0.27828694271315485</v>
      </c>
      <c r="AB400" s="2">
        <f t="shared" si="144"/>
        <v>-0.27828914803025978</v>
      </c>
      <c r="AC400" s="2">
        <f t="shared" si="145"/>
        <v>-0.28845051847068776</v>
      </c>
      <c r="AD400" s="2">
        <f t="shared" si="146"/>
        <v>-2449.4123128578626</v>
      </c>
      <c r="AE400" s="10">
        <f t="shared" si="147"/>
        <v>33288401.993948951</v>
      </c>
    </row>
    <row r="401" spans="1:31" x14ac:dyDescent="0.25">
      <c r="A401" s="1">
        <f t="shared" si="148"/>
        <v>1.6375</v>
      </c>
      <c r="B401" s="7">
        <f t="shared" si="149"/>
        <v>13255525.778719023</v>
      </c>
      <c r="C401" s="7">
        <f t="shared" si="150"/>
        <v>33288401.993948951</v>
      </c>
      <c r="D401" s="7"/>
      <c r="E401" s="7"/>
      <c r="F401" s="7"/>
      <c r="G401" s="7"/>
      <c r="H401" s="7"/>
      <c r="I401" s="7"/>
      <c r="J401" s="7"/>
      <c r="K401" s="7"/>
      <c r="L401" s="1">
        <f t="shared" si="153"/>
        <v>1.6375</v>
      </c>
      <c r="M401">
        <f t="shared" si="151"/>
        <v>141480</v>
      </c>
      <c r="N401" s="9">
        <f t="shared" si="132"/>
        <v>-2743.9562332123069</v>
      </c>
      <c r="O401" s="7">
        <f t="shared" si="133"/>
        <v>13255525.778719023</v>
      </c>
      <c r="P401" s="2">
        <f t="shared" si="136"/>
        <v>-0.11486176125844066</v>
      </c>
      <c r="Q401" s="2">
        <f t="shared" si="137"/>
        <v>-0.11627320552161127</v>
      </c>
      <c r="R401" s="2">
        <f t="shared" si="138"/>
        <v>-0.11627469810878162</v>
      </c>
      <c r="S401" s="2">
        <f t="shared" si="139"/>
        <v>-0.11767204763044206</v>
      </c>
      <c r="T401" s="9">
        <f t="shared" si="140"/>
        <v>-2785.8140101812869</v>
      </c>
      <c r="U401" s="7">
        <f t="shared" si="141"/>
        <v>12260167.134908177</v>
      </c>
      <c r="W401">
        <f t="shared" si="152"/>
        <v>141480</v>
      </c>
      <c r="X401" s="9">
        <f t="shared" si="134"/>
        <v>-2449.4123128578626</v>
      </c>
      <c r="Y401" s="2">
        <f t="shared" si="135"/>
        <v>33288401.993948951</v>
      </c>
      <c r="Z401" s="2">
        <f t="shared" si="142"/>
        <v>-0.28845060892586222</v>
      </c>
      <c r="AA401" s="2">
        <f t="shared" si="143"/>
        <v>-0.29928022280039857</v>
      </c>
      <c r="AB401" s="2">
        <f t="shared" si="144"/>
        <v>-0.29928300222846321</v>
      </c>
      <c r="AC401" s="2">
        <f t="shared" si="145"/>
        <v>-0.31084980470108509</v>
      </c>
      <c r="AD401" s="2">
        <f t="shared" si="146"/>
        <v>-2557.1979246789429</v>
      </c>
      <c r="AE401" s="10">
        <f t="shared" si="147"/>
        <v>32387212.151192326</v>
      </c>
    </row>
    <row r="402" spans="1:31" x14ac:dyDescent="0.25">
      <c r="A402" s="1">
        <f t="shared" si="148"/>
        <v>1.6416666666666666</v>
      </c>
      <c r="B402" s="7">
        <f t="shared" si="149"/>
        <v>12260167.134908177</v>
      </c>
      <c r="C402" s="7">
        <f t="shared" si="150"/>
        <v>32387212.151192326</v>
      </c>
      <c r="D402" s="7"/>
      <c r="E402" s="7"/>
      <c r="F402" s="7"/>
      <c r="G402" s="7"/>
      <c r="H402" s="7"/>
      <c r="I402" s="7"/>
      <c r="J402" s="7"/>
      <c r="K402" s="7"/>
      <c r="L402" s="1">
        <f t="shared" si="153"/>
        <v>1.6416666666666666</v>
      </c>
      <c r="M402">
        <f t="shared" si="151"/>
        <v>141840</v>
      </c>
      <c r="N402" s="9">
        <f t="shared" si="132"/>
        <v>-2785.8140101812869</v>
      </c>
      <c r="O402" s="7">
        <f t="shared" si="133"/>
        <v>12260167.134908177</v>
      </c>
      <c r="P402" s="2">
        <f t="shared" si="136"/>
        <v>-0.11767212387694817</v>
      </c>
      <c r="Q402" s="2">
        <f t="shared" si="137"/>
        <v>-0.11904158844799408</v>
      </c>
      <c r="R402" s="2">
        <f t="shared" si="138"/>
        <v>-0.11904341837604265</v>
      </c>
      <c r="S402" s="2">
        <f t="shared" si="139"/>
        <v>-0.1203753401079624</v>
      </c>
      <c r="T402" s="9">
        <f t="shared" si="140"/>
        <v>-2828.6670588392658</v>
      </c>
      <c r="U402" s="7">
        <f t="shared" si="141"/>
        <v>11249560.542484477</v>
      </c>
      <c r="W402">
        <f t="shared" si="152"/>
        <v>141840</v>
      </c>
      <c r="X402" s="9">
        <f t="shared" si="134"/>
        <v>-2557.1979246789429</v>
      </c>
      <c r="Y402" s="2">
        <f t="shared" si="135"/>
        <v>32387212.151192326</v>
      </c>
      <c r="Z402" s="2">
        <f t="shared" si="142"/>
        <v>-0.31084992548208434</v>
      </c>
      <c r="AA402" s="2">
        <f t="shared" si="143"/>
        <v>-0.32321947821045344</v>
      </c>
      <c r="AB402" s="2">
        <f t="shared" si="144"/>
        <v>-0.32322302771186123</v>
      </c>
      <c r="AC402" s="2">
        <f t="shared" si="145"/>
        <v>-0.33648284224627689</v>
      </c>
      <c r="AD402" s="2">
        <f t="shared" si="146"/>
        <v>-2673.6109914533222</v>
      </c>
      <c r="AE402" s="10">
        <f t="shared" si="147"/>
        <v>31445666.54628852</v>
      </c>
    </row>
    <row r="403" spans="1:31" x14ac:dyDescent="0.25">
      <c r="A403" s="1">
        <f t="shared" si="148"/>
        <v>1.6458333333333333</v>
      </c>
      <c r="B403" s="7">
        <f t="shared" si="149"/>
        <v>11249560.542484477</v>
      </c>
      <c r="C403" s="7">
        <f t="shared" si="150"/>
        <v>31445666.54628852</v>
      </c>
      <c r="D403" s="7"/>
      <c r="E403" s="7"/>
      <c r="F403" s="7"/>
      <c r="G403" s="7"/>
      <c r="H403" s="7"/>
      <c r="I403" s="7"/>
      <c r="J403" s="7"/>
      <c r="K403" s="7"/>
      <c r="L403" s="1">
        <f t="shared" si="153"/>
        <v>1.6458333333333333</v>
      </c>
      <c r="M403">
        <f t="shared" si="151"/>
        <v>142200</v>
      </c>
      <c r="N403" s="9">
        <f t="shared" si="132"/>
        <v>-2828.6670588392658</v>
      </c>
      <c r="O403" s="7">
        <f t="shared" si="133"/>
        <v>11249560.542484477</v>
      </c>
      <c r="P403" s="2">
        <f t="shared" si="136"/>
        <v>-0.12037544010719003</v>
      </c>
      <c r="Q403" s="2">
        <f t="shared" si="137"/>
        <v>-0.12164988095401894</v>
      </c>
      <c r="R403" s="2">
        <f t="shared" si="138"/>
        <v>-0.12165214873330402</v>
      </c>
      <c r="S403" s="2">
        <f t="shared" si="139"/>
        <v>-0.12285356804392872</v>
      </c>
      <c r="T403" s="9">
        <f t="shared" si="140"/>
        <v>-2872.4570428908119</v>
      </c>
      <c r="U403" s="7">
        <f t="shared" si="141"/>
        <v>10223358.204173064</v>
      </c>
      <c r="W403">
        <f t="shared" si="152"/>
        <v>142200</v>
      </c>
      <c r="X403" s="9">
        <f t="shared" si="134"/>
        <v>-2673.6109914533222</v>
      </c>
      <c r="Y403" s="2">
        <f t="shared" si="135"/>
        <v>31445666.54628852</v>
      </c>
      <c r="Z403" s="2">
        <f t="shared" si="142"/>
        <v>-0.3364830062186091</v>
      </c>
      <c r="AA403" s="2">
        <f t="shared" si="143"/>
        <v>-0.35071675484676323</v>
      </c>
      <c r="AB403" s="2">
        <f t="shared" si="144"/>
        <v>-0.35072135492412099</v>
      </c>
      <c r="AC403" s="2">
        <f t="shared" si="145"/>
        <v>-0.36604156482117123</v>
      </c>
      <c r="AD403" s="2">
        <f t="shared" si="146"/>
        <v>-2799.9350388882149</v>
      </c>
      <c r="AE403" s="10">
        <f t="shared" si="147"/>
        <v>30460428.260827042</v>
      </c>
    </row>
    <row r="404" spans="1:31" x14ac:dyDescent="0.25">
      <c r="A404" s="1">
        <f t="shared" si="148"/>
        <v>1.65</v>
      </c>
      <c r="B404" s="7">
        <f t="shared" si="149"/>
        <v>10223358.204173064</v>
      </c>
      <c r="C404" s="7">
        <f t="shared" si="150"/>
        <v>30460428.260827042</v>
      </c>
      <c r="D404" s="7"/>
      <c r="E404" s="7"/>
      <c r="F404" s="7"/>
      <c r="G404" s="7"/>
      <c r="H404" s="7"/>
      <c r="I404" s="7"/>
      <c r="J404" s="7"/>
      <c r="K404" s="7"/>
      <c r="L404" s="1">
        <f t="shared" si="153"/>
        <v>1.65</v>
      </c>
      <c r="M404">
        <f t="shared" si="151"/>
        <v>142560</v>
      </c>
      <c r="N404" s="9">
        <f t="shared" si="132"/>
        <v>-2872.4570428908119</v>
      </c>
      <c r="O404" s="7">
        <f t="shared" si="133"/>
        <v>10223358.204173064</v>
      </c>
      <c r="P404" s="2">
        <f t="shared" si="136"/>
        <v>-0.12285370123755515</v>
      </c>
      <c r="Q404" s="2">
        <f t="shared" si="137"/>
        <v>-0.12395296872501445</v>
      </c>
      <c r="R404" s="2">
        <f t="shared" si="138"/>
        <v>-0.12395581227682041</v>
      </c>
      <c r="S404" s="2">
        <f t="shared" si="139"/>
        <v>-0.12492818703684258</v>
      </c>
      <c r="T404" s="9">
        <f t="shared" si="140"/>
        <v>-2917.0730099074958</v>
      </c>
      <c r="U404" s="7">
        <f t="shared" si="141"/>
        <v>9181242.7946693692</v>
      </c>
      <c r="W404">
        <f t="shared" si="152"/>
        <v>142560</v>
      </c>
      <c r="X404" s="9">
        <f t="shared" si="134"/>
        <v>-2799.9350388882149</v>
      </c>
      <c r="Y404" s="2">
        <f t="shared" si="135"/>
        <v>30460428.260827042</v>
      </c>
      <c r="Z404" s="2">
        <f t="shared" si="142"/>
        <v>-0.36604179159017552</v>
      </c>
      <c r="AA404" s="2">
        <f t="shared" si="143"/>
        <v>-0.38255668153887568</v>
      </c>
      <c r="AB404" s="2">
        <f t="shared" si="144"/>
        <v>-0.38256274226562953</v>
      </c>
      <c r="AC404" s="2">
        <f t="shared" si="145"/>
        <v>-0.40041910206759723</v>
      </c>
      <c r="AD404" s="2">
        <f t="shared" si="146"/>
        <v>-2937.7370233642218</v>
      </c>
      <c r="AE404" s="10">
        <f t="shared" si="147"/>
        <v>29427647.289621603</v>
      </c>
    </row>
    <row r="405" spans="1:31" x14ac:dyDescent="0.25">
      <c r="A405" s="1">
        <f t="shared" si="148"/>
        <v>1.6541666666666666</v>
      </c>
      <c r="B405" s="7">
        <f t="shared" si="149"/>
        <v>9181242.7946693692</v>
      </c>
      <c r="C405" s="7">
        <f t="shared" si="150"/>
        <v>29427647.289621603</v>
      </c>
      <c r="D405" s="7"/>
      <c r="E405" s="7"/>
      <c r="F405" s="7"/>
      <c r="G405" s="7"/>
      <c r="H405" s="7"/>
      <c r="I405" s="7"/>
      <c r="J405" s="7"/>
      <c r="K405" s="7"/>
      <c r="L405" s="1">
        <f t="shared" si="153"/>
        <v>1.6541666666666666</v>
      </c>
      <c r="M405">
        <f t="shared" si="151"/>
        <v>142920</v>
      </c>
      <c r="N405" s="9">
        <f t="shared" si="132"/>
        <v>-2917.0730099074958</v>
      </c>
      <c r="O405" s="7">
        <f t="shared" si="133"/>
        <v>9181242.7946693692</v>
      </c>
      <c r="P405" s="2">
        <f t="shared" si="136"/>
        <v>-0.12492836751012872</v>
      </c>
      <c r="Q405" s="2">
        <f t="shared" si="137"/>
        <v>-0.12573071996500373</v>
      </c>
      <c r="R405" s="2">
        <f t="shared" si="138"/>
        <v>-0.12573433131502901</v>
      </c>
      <c r="S405" s="2">
        <f t="shared" si="139"/>
        <v>-0.12632731147042009</v>
      </c>
      <c r="T405" s="9">
        <f t="shared" si="140"/>
        <v>-2962.3241567999326</v>
      </c>
      <c r="U405" s="7">
        <f t="shared" si="141"/>
        <v>8122951.3046620321</v>
      </c>
      <c r="W405">
        <f t="shared" si="152"/>
        <v>142920</v>
      </c>
      <c r="X405" s="9">
        <f t="shared" si="134"/>
        <v>-2937.7370233642218</v>
      </c>
      <c r="Y405" s="2">
        <f t="shared" si="135"/>
        <v>29427647.289621603</v>
      </c>
      <c r="Z405" s="2">
        <f t="shared" si="142"/>
        <v>-0.40041942226936633</v>
      </c>
      <c r="AA405" s="2">
        <f t="shared" si="143"/>
        <v>-0.41975930232891484</v>
      </c>
      <c r="AB405" s="2">
        <f t="shared" si="144"/>
        <v>-0.41976743754069362</v>
      </c>
      <c r="AC405" s="2">
        <f t="shared" si="145"/>
        <v>-0.44078541744945132</v>
      </c>
      <c r="AD405" s="2">
        <f t="shared" si="146"/>
        <v>-3088.9525225317038</v>
      </c>
      <c r="AE405" s="10">
        <f t="shared" si="147"/>
        <v>28342843.171360336</v>
      </c>
    </row>
    <row r="406" spans="1:31" x14ac:dyDescent="0.25">
      <c r="A406" s="1">
        <f t="shared" si="148"/>
        <v>1.6583333333333334</v>
      </c>
      <c r="B406" s="7">
        <f t="shared" si="149"/>
        <v>8122951.3046620321</v>
      </c>
      <c r="C406" s="7">
        <f t="shared" si="150"/>
        <v>28342843.171360336</v>
      </c>
      <c r="D406" s="7"/>
      <c r="E406" s="7"/>
      <c r="F406" s="7"/>
      <c r="G406" s="7"/>
      <c r="H406" s="7"/>
      <c r="I406" s="7"/>
      <c r="J406" s="7"/>
      <c r="K406" s="7"/>
      <c r="L406" s="1">
        <f t="shared" si="153"/>
        <v>1.6583333333333334</v>
      </c>
      <c r="M406">
        <f t="shared" si="151"/>
        <v>143280</v>
      </c>
      <c r="N406" s="9">
        <f t="shared" si="132"/>
        <v>-2962.3241567999326</v>
      </c>
      <c r="O406" s="7">
        <f t="shared" si="133"/>
        <v>8122951.3046620321</v>
      </c>
      <c r="P406" s="2">
        <f t="shared" si="136"/>
        <v>-0.126327560718974</v>
      </c>
      <c r="Q406" s="2">
        <f t="shared" si="137"/>
        <v>-0.12664626300802032</v>
      </c>
      <c r="R406" s="2">
        <f t="shared" si="138"/>
        <v>-0.12665091351983682</v>
      </c>
      <c r="S406" s="2">
        <f t="shared" si="139"/>
        <v>-0.1266323444594421</v>
      </c>
      <c r="T406" s="9">
        <f t="shared" si="140"/>
        <v>-3007.8974122939803</v>
      </c>
      <c r="U406" s="7">
        <f t="shared" si="141"/>
        <v>7048311.4222251279</v>
      </c>
      <c r="W406">
        <f t="shared" si="152"/>
        <v>143280</v>
      </c>
      <c r="X406" s="9">
        <f t="shared" si="134"/>
        <v>-3088.9525225317038</v>
      </c>
      <c r="Y406" s="2">
        <f t="shared" si="135"/>
        <v>28342843.171360336</v>
      </c>
      <c r="Z406" s="2">
        <f t="shared" si="142"/>
        <v>-0.4407858803269476</v>
      </c>
      <c r="AA406" s="2">
        <f t="shared" si="143"/>
        <v>-0.4636715122725083</v>
      </c>
      <c r="AB406" s="2">
        <f t="shared" si="144"/>
        <v>-0.46368266564427824</v>
      </c>
      <c r="AC406" s="2">
        <f t="shared" si="145"/>
        <v>-0.48869855243762883</v>
      </c>
      <c r="AD406" s="2">
        <f t="shared" si="146"/>
        <v>-3256.0040898475927</v>
      </c>
      <c r="AE406" s="10">
        <f t="shared" si="147"/>
        <v>27200750.981132064</v>
      </c>
    </row>
    <row r="407" spans="1:31" x14ac:dyDescent="0.25">
      <c r="A407" s="1">
        <f t="shared" si="148"/>
        <v>1.6625000000000001</v>
      </c>
      <c r="B407" s="7">
        <f t="shared" si="149"/>
        <v>7048311.4222251279</v>
      </c>
      <c r="C407" s="7">
        <f t="shared" si="150"/>
        <v>27200750.981132064</v>
      </c>
      <c r="D407" s="7"/>
      <c r="E407" s="7"/>
      <c r="F407" s="7"/>
      <c r="G407" s="7"/>
      <c r="H407" s="7"/>
      <c r="I407" s="7"/>
      <c r="J407" s="7"/>
      <c r="K407" s="7"/>
      <c r="L407" s="1">
        <f t="shared" si="153"/>
        <v>1.6625000000000001</v>
      </c>
      <c r="M407">
        <f t="shared" si="151"/>
        <v>143640</v>
      </c>
      <c r="N407" s="9">
        <f t="shared" si="132"/>
        <v>-3007.8974122939803</v>
      </c>
      <c r="O407" s="7">
        <f t="shared" si="133"/>
        <v>7048311.4222251279</v>
      </c>
      <c r="P407" s="2">
        <f t="shared" si="136"/>
        <v>-0.12663269612101377</v>
      </c>
      <c r="Q407" s="2">
        <f t="shared" si="137"/>
        <v>-0.12617724139555792</v>
      </c>
      <c r="R407" s="2">
        <f t="shared" si="138"/>
        <v>-0.12618332018333756</v>
      </c>
      <c r="S407" s="2">
        <f t="shared" si="139"/>
        <v>-0.12518882327773259</v>
      </c>
      <c r="T407" s="9">
        <f t="shared" si="140"/>
        <v>-3053.2899708473724</v>
      </c>
      <c r="U407" s="7">
        <f t="shared" si="141"/>
        <v>5957297.6932596844</v>
      </c>
      <c r="W407">
        <f t="shared" si="152"/>
        <v>143640</v>
      </c>
      <c r="X407" s="9">
        <f t="shared" si="134"/>
        <v>-3256.0040898475927</v>
      </c>
      <c r="Y407" s="2">
        <f t="shared" si="135"/>
        <v>27200750.981132064</v>
      </c>
      <c r="Z407" s="2">
        <f t="shared" si="142"/>
        <v>-0.48869923970664259</v>
      </c>
      <c r="AA407" s="2">
        <f t="shared" si="143"/>
        <v>-0.51610301591522867</v>
      </c>
      <c r="AB407" s="2">
        <f t="shared" si="144"/>
        <v>-0.51611868282589624</v>
      </c>
      <c r="AC407" s="2">
        <f t="shared" si="145"/>
        <v>-0.54627199631707812</v>
      </c>
      <c r="AD407" s="2">
        <f t="shared" si="146"/>
        <v>-3441.9689678579507</v>
      </c>
      <c r="AE407" s="10">
        <f t="shared" si="147"/>
        <v>25995115.830745067</v>
      </c>
    </row>
    <row r="408" spans="1:31" x14ac:dyDescent="0.25">
      <c r="A408" s="1">
        <f t="shared" si="148"/>
        <v>1.6666666666666667</v>
      </c>
      <c r="B408" s="7">
        <f t="shared" si="149"/>
        <v>5957297.6932596844</v>
      </c>
      <c r="C408" s="7">
        <f t="shared" si="150"/>
        <v>25995115.830745067</v>
      </c>
      <c r="D408" s="7"/>
      <c r="E408" s="7"/>
      <c r="F408" s="7"/>
      <c r="G408" s="7"/>
      <c r="H408" s="7"/>
      <c r="I408" s="7"/>
      <c r="J408" s="7"/>
      <c r="K408" s="7"/>
      <c r="L408" s="1">
        <f t="shared" si="153"/>
        <v>1.6666666666666667</v>
      </c>
      <c r="M408">
        <f t="shared" si="151"/>
        <v>144000</v>
      </c>
      <c r="N408" s="9">
        <f t="shared" si="132"/>
        <v>-3053.2899708473724</v>
      </c>
      <c r="O408" s="7">
        <f t="shared" si="133"/>
        <v>5957297.6932596844</v>
      </c>
      <c r="P408" s="2">
        <f t="shared" si="136"/>
        <v>-0.12518933146865038</v>
      </c>
      <c r="Q408" s="2">
        <f t="shared" si="137"/>
        <v>-0.12349927318319912</v>
      </c>
      <c r="R408" s="2">
        <f t="shared" si="138"/>
        <v>-0.12350734543285273</v>
      </c>
      <c r="S408" s="2">
        <f t="shared" si="139"/>
        <v>-0.12095286249302847</v>
      </c>
      <c r="T408" s="9">
        <f t="shared" si="140"/>
        <v>-3097.6992967189994</v>
      </c>
      <c r="U408" s="7">
        <f t="shared" si="141"/>
        <v>4850119.6250977376</v>
      </c>
      <c r="W408">
        <f t="shared" si="152"/>
        <v>144000</v>
      </c>
      <c r="X408" s="9">
        <f t="shared" si="134"/>
        <v>-3441.9689678579507</v>
      </c>
      <c r="Y408" s="2">
        <f t="shared" si="135"/>
        <v>25995115.830745067</v>
      </c>
      <c r="Z408" s="2">
        <f t="shared" si="142"/>
        <v>-0.54627304859771575</v>
      </c>
      <c r="AA408" s="2">
        <f t="shared" si="143"/>
        <v>-0.57953337195812737</v>
      </c>
      <c r="AB408" s="2">
        <f t="shared" si="144"/>
        <v>-0.57955600573783217</v>
      </c>
      <c r="AC408" s="2">
        <f t="shared" si="145"/>
        <v>-0.61643292239536618</v>
      </c>
      <c r="AD408" s="2">
        <f t="shared" si="146"/>
        <v>-3650.8220514410509</v>
      </c>
      <c r="AE408" s="10">
        <f t="shared" si="147"/>
        <v>24718413.447271246</v>
      </c>
    </row>
    <row r="409" spans="1:31" x14ac:dyDescent="0.25">
      <c r="A409" s="1">
        <f t="shared" si="148"/>
        <v>1.6708333333333334</v>
      </c>
      <c r="B409" s="7">
        <f t="shared" si="149"/>
        <v>4850119.6250977376</v>
      </c>
      <c r="C409" s="7">
        <f t="shared" si="150"/>
        <v>24718413.447271246</v>
      </c>
      <c r="D409" s="7"/>
      <c r="E409" s="7"/>
      <c r="F409" s="7"/>
      <c r="G409" s="7"/>
      <c r="H409" s="7"/>
      <c r="I409" s="7"/>
      <c r="J409" s="7"/>
      <c r="K409" s="7"/>
      <c r="L409" s="1">
        <f t="shared" si="153"/>
        <v>1.6708333333333334</v>
      </c>
      <c r="M409">
        <f t="shared" si="151"/>
        <v>144360</v>
      </c>
      <c r="N409" s="9">
        <f t="shared" si="132"/>
        <v>-3097.6992967189994</v>
      </c>
      <c r="O409" s="7">
        <f t="shared" si="133"/>
        <v>4850119.6250977376</v>
      </c>
      <c r="P409" s="2">
        <f t="shared" si="136"/>
        <v>-0.12095361696975224</v>
      </c>
      <c r="Q409" s="2">
        <f t="shared" si="137"/>
        <v>-0.11728178406944978</v>
      </c>
      <c r="R409" s="2">
        <f t="shared" si="138"/>
        <v>-0.11729267734515597</v>
      </c>
      <c r="S409" s="2">
        <f t="shared" si="139"/>
        <v>-0.11221714373824435</v>
      </c>
      <c r="T409" s="9">
        <f t="shared" si="140"/>
        <v>-3139.8384777312322</v>
      </c>
      <c r="U409" s="7">
        <f t="shared" si="141"/>
        <v>3727362.8256966961</v>
      </c>
      <c r="W409">
        <f t="shared" si="152"/>
        <v>144360</v>
      </c>
      <c r="X409" s="9">
        <f t="shared" si="134"/>
        <v>-3650.8220514410509</v>
      </c>
      <c r="Y409" s="2">
        <f t="shared" si="135"/>
        <v>24718413.447271246</v>
      </c>
      <c r="Z409" s="2">
        <f t="shared" si="142"/>
        <v>-0.61643459199028938</v>
      </c>
      <c r="AA409" s="2">
        <f t="shared" si="143"/>
        <v>-0.6574357507588352</v>
      </c>
      <c r="AB409" s="2">
        <f t="shared" si="144"/>
        <v>-0.65746954122396262</v>
      </c>
      <c r="AC409" s="2">
        <f t="shared" si="145"/>
        <v>-0.70333191313110666</v>
      </c>
      <c r="AD409" s="2">
        <f t="shared" si="146"/>
        <v>-3887.7966767862704</v>
      </c>
      <c r="AE409" s="10">
        <f t="shared" si="147"/>
        <v>23361462.07619033</v>
      </c>
    </row>
    <row r="410" spans="1:31" x14ac:dyDescent="0.25">
      <c r="A410" s="1">
        <f t="shared" si="148"/>
        <v>1.675</v>
      </c>
      <c r="B410" s="7">
        <f t="shared" si="149"/>
        <v>3727362.8256966961</v>
      </c>
      <c r="C410" s="7">
        <f t="shared" si="150"/>
        <v>23361462.07619033</v>
      </c>
      <c r="D410" s="7"/>
      <c r="E410" s="7"/>
      <c r="F410" s="7"/>
      <c r="G410" s="7"/>
      <c r="H410" s="7"/>
      <c r="I410" s="7"/>
      <c r="J410" s="7"/>
      <c r="K410" s="7"/>
      <c r="L410" s="1">
        <f t="shared" si="153"/>
        <v>1.675</v>
      </c>
      <c r="M410">
        <f t="shared" si="151"/>
        <v>144720</v>
      </c>
      <c r="N410" s="9">
        <f t="shared" si="132"/>
        <v>-3139.8384777312322</v>
      </c>
      <c r="O410" s="7">
        <f t="shared" si="133"/>
        <v>3727362.8256966961</v>
      </c>
      <c r="P410" s="2">
        <f t="shared" si="136"/>
        <v>-0.11221829840152107</v>
      </c>
      <c r="Q410" s="2">
        <f t="shared" si="137"/>
        <v>-0.10531641795735124</v>
      </c>
      <c r="R410" s="2">
        <f t="shared" si="138"/>
        <v>-0.10533133900926432</v>
      </c>
      <c r="S410" s="2">
        <f t="shared" si="139"/>
        <v>-9.6101373010940863E-2</v>
      </c>
      <c r="T410" s="9">
        <f t="shared" si="140"/>
        <v>-3177.6153888519739</v>
      </c>
      <c r="U410" s="7">
        <f t="shared" si="141"/>
        <v>2590221.1297117192</v>
      </c>
      <c r="W410">
        <f t="shared" si="152"/>
        <v>144720</v>
      </c>
      <c r="X410" s="9">
        <f t="shared" si="134"/>
        <v>-3887.7966767862704</v>
      </c>
      <c r="Y410" s="2">
        <f t="shared" si="135"/>
        <v>23361462.07619033</v>
      </c>
      <c r="Z410" s="2">
        <f t="shared" si="142"/>
        <v>-0.70333467519941184</v>
      </c>
      <c r="AA410" s="2">
        <f t="shared" si="143"/>
        <v>-0.75479825068933859</v>
      </c>
      <c r="AB410" s="2">
        <f t="shared" si="144"/>
        <v>-0.75485069694666662</v>
      </c>
      <c r="AC410" s="2">
        <f t="shared" si="145"/>
        <v>-0.81301342286963474</v>
      </c>
      <c r="AD410" s="2">
        <f t="shared" si="146"/>
        <v>-4159.9354363867342</v>
      </c>
      <c r="AE410" s="10">
        <f t="shared" si="147"/>
        <v>21912870.295819189</v>
      </c>
    </row>
    <row r="411" spans="1:31" x14ac:dyDescent="0.25">
      <c r="A411" s="1">
        <f t="shared" si="148"/>
        <v>1.6791666666666667</v>
      </c>
      <c r="B411" s="7">
        <f t="shared" si="149"/>
        <v>2590221.1297117192</v>
      </c>
      <c r="C411" s="7">
        <f t="shared" si="150"/>
        <v>21912870.295819189</v>
      </c>
      <c r="D411" s="7"/>
      <c r="E411" s="7"/>
      <c r="F411" s="7"/>
      <c r="G411" s="7"/>
      <c r="H411" s="7"/>
      <c r="I411" s="7"/>
      <c r="J411" s="7"/>
      <c r="K411" s="7"/>
      <c r="L411" s="1">
        <f t="shared" si="153"/>
        <v>1.6791666666666667</v>
      </c>
      <c r="M411">
        <f t="shared" si="151"/>
        <v>145080</v>
      </c>
      <c r="N411" s="9">
        <f t="shared" si="132"/>
        <v>-3177.6153888519739</v>
      </c>
      <c r="O411" s="7">
        <f t="shared" si="133"/>
        <v>2590221.1297117192</v>
      </c>
      <c r="P411" s="2">
        <f t="shared" si="136"/>
        <v>-9.6103201262602925E-2</v>
      </c>
      <c r="Q411" s="2">
        <f t="shared" si="137"/>
        <v>-8.3809862953383996E-2</v>
      </c>
      <c r="R411" s="2">
        <f t="shared" si="138"/>
        <v>-8.3830508318794392E-2</v>
      </c>
      <c r="S411" s="2">
        <f t="shared" si="139"/>
        <v>-6.7557681902666922E-2</v>
      </c>
      <c r="T411" s="9">
        <f t="shared" si="140"/>
        <v>-3207.5518863945513</v>
      </c>
      <c r="U411" s="7">
        <f t="shared" si="141"/>
        <v>1440891.0201673447</v>
      </c>
      <c r="W411">
        <f t="shared" si="152"/>
        <v>145080</v>
      </c>
      <c r="X411" s="9">
        <f t="shared" si="134"/>
        <v>-4159.9354363867342</v>
      </c>
      <c r="Y411" s="2">
        <f t="shared" si="135"/>
        <v>21912870.295819189</v>
      </c>
      <c r="Z411" s="2">
        <f t="shared" si="142"/>
        <v>-0.81301822463119289</v>
      </c>
      <c r="AA411" s="2">
        <f t="shared" si="143"/>
        <v>-0.87899076620636085</v>
      </c>
      <c r="AB411" s="2">
        <f t="shared" si="144"/>
        <v>-0.87907605639683317</v>
      </c>
      <c r="AC411" s="2">
        <f t="shared" si="145"/>
        <v>-0.95455047380146274</v>
      </c>
      <c r="AD411" s="2">
        <f t="shared" si="146"/>
        <v>-4476.9575770050769</v>
      </c>
      <c r="AE411" s="10">
        <f t="shared" si="147"/>
        <v>20358229.553408664</v>
      </c>
    </row>
    <row r="412" spans="1:31" x14ac:dyDescent="0.25">
      <c r="A412" s="1">
        <f t="shared" si="148"/>
        <v>1.6833333333333333</v>
      </c>
      <c r="B412" s="7">
        <f t="shared" si="149"/>
        <v>1440891.0201673447</v>
      </c>
      <c r="C412" s="7">
        <f t="shared" si="150"/>
        <v>20358229.553408664</v>
      </c>
      <c r="D412" s="7"/>
      <c r="E412" s="7"/>
      <c r="F412" s="7"/>
      <c r="G412" s="7"/>
      <c r="H412" s="7"/>
      <c r="I412" s="7"/>
      <c r="J412" s="7"/>
      <c r="K412" s="7"/>
      <c r="L412" s="1">
        <f t="shared" si="153"/>
        <v>1.6833333333333333</v>
      </c>
      <c r="M412">
        <f t="shared" si="151"/>
        <v>145440</v>
      </c>
      <c r="N412" s="9">
        <f t="shared" si="132"/>
        <v>-3207.5518863945513</v>
      </c>
      <c r="O412" s="7">
        <f t="shared" si="133"/>
        <v>1440891.0201673447</v>
      </c>
      <c r="P412" s="2">
        <f t="shared" si="136"/>
        <v>-6.7560687004673853E-2</v>
      </c>
      <c r="Q412" s="2">
        <f t="shared" si="137"/>
        <v>-4.5965237650225858E-2</v>
      </c>
      <c r="R412" s="2">
        <f t="shared" si="138"/>
        <v>-4.5993673920791719E-2</v>
      </c>
      <c r="S412" s="2">
        <f t="shared" si="139"/>
        <v>-1.7314322554510941E-2</v>
      </c>
      <c r="T412" s="9">
        <f t="shared" si="140"/>
        <v>-3223.6794563566245</v>
      </c>
      <c r="U412" s="7">
        <f t="shared" si="141"/>
        <v>283269.37847213307</v>
      </c>
      <c r="W412">
        <f t="shared" si="152"/>
        <v>145440</v>
      </c>
      <c r="X412" s="9">
        <f t="shared" si="134"/>
        <v>-4476.9575770050769</v>
      </c>
      <c r="Y412" s="2">
        <f t="shared" si="135"/>
        <v>20358229.553408664</v>
      </c>
      <c r="Z412" s="2">
        <f t="shared" si="142"/>
        <v>-0.95455933556127337</v>
      </c>
      <c r="AA412" s="2">
        <f t="shared" si="143"/>
        <v>-1.0412571103200867</v>
      </c>
      <c r="AB412" s="2">
        <f t="shared" si="144"/>
        <v>-1.0414039353466138</v>
      </c>
      <c r="AC412" s="2">
        <f t="shared" si="145"/>
        <v>-1.1420344203824464</v>
      </c>
      <c r="AD412" s="2">
        <f t="shared" si="146"/>
        <v>-4852.6725278417043</v>
      </c>
      <c r="AE412" s="10">
        <f t="shared" si="147"/>
        <v>18678896.134536244</v>
      </c>
    </row>
    <row r="413" spans="1:31" x14ac:dyDescent="0.25">
      <c r="A413" s="1">
        <f t="shared" si="148"/>
        <v>1.6875</v>
      </c>
      <c r="B413" s="7">
        <f t="shared" si="149"/>
        <v>283269.37847213307</v>
      </c>
      <c r="C413" s="7">
        <f t="shared" si="150"/>
        <v>18678896.134536244</v>
      </c>
      <c r="D413" s="7"/>
      <c r="E413" s="7"/>
      <c r="F413" s="7"/>
      <c r="G413" s="7"/>
      <c r="H413" s="7"/>
      <c r="I413" s="7"/>
      <c r="J413" s="7"/>
      <c r="K413" s="7"/>
      <c r="L413" s="1">
        <f t="shared" si="153"/>
        <v>1.6875</v>
      </c>
      <c r="M413">
        <f t="shared" si="151"/>
        <v>145800</v>
      </c>
      <c r="N413" s="9">
        <f t="shared" si="132"/>
        <v>-3223.6794563566245</v>
      </c>
      <c r="O413" s="7">
        <f t="shared" si="133"/>
        <v>283269.37847213307</v>
      </c>
      <c r="P413" s="2">
        <f t="shared" si="136"/>
        <v>-1.7319458429949541E-2</v>
      </c>
      <c r="Q413" s="2">
        <f t="shared" si="137"/>
        <v>2.1047986434363241E-2</v>
      </c>
      <c r="R413" s="2">
        <f t="shared" si="138"/>
        <v>2.1010747865068517E-2</v>
      </c>
      <c r="S413" s="2">
        <f t="shared" si="139"/>
        <v>7.2678856591175844E-2</v>
      </c>
      <c r="T413" s="9">
        <f t="shared" si="140"/>
        <v>-3215.3108443510191</v>
      </c>
      <c r="U413" s="7">
        <f t="shared" si="141"/>
        <v>-875748.87565524271</v>
      </c>
      <c r="W413">
        <f t="shared" si="152"/>
        <v>145800</v>
      </c>
      <c r="X413" s="9">
        <f t="shared" si="134"/>
        <v>-4852.6725278417043</v>
      </c>
      <c r="Y413" s="2">
        <f t="shared" si="135"/>
        <v>18678896.134536244</v>
      </c>
      <c r="Z413" s="2">
        <f t="shared" si="142"/>
        <v>-1.142052017285994</v>
      </c>
      <c r="AA413" s="2">
        <f t="shared" si="143"/>
        <v>-1.2593746921072209</v>
      </c>
      <c r="AB413" s="2">
        <f t="shared" si="144"/>
        <v>-1.2596459689308346</v>
      </c>
      <c r="AC413" s="2">
        <f t="shared" si="145"/>
        <v>-1.3981846744575199</v>
      </c>
      <c r="AD413" s="2">
        <f t="shared" si="146"/>
        <v>-5307.3692086708816</v>
      </c>
      <c r="AE413" s="10">
        <f t="shared" si="147"/>
        <v>16850088.621963978</v>
      </c>
    </row>
    <row r="414" spans="1:31" x14ac:dyDescent="0.25">
      <c r="A414" s="1">
        <f t="shared" si="148"/>
        <v>1.6916666666666667</v>
      </c>
      <c r="B414" s="7">
        <f t="shared" si="149"/>
        <v>-875748.87565524271</v>
      </c>
      <c r="C414" s="7">
        <f t="shared" si="150"/>
        <v>16850088.621963978</v>
      </c>
      <c r="D414" s="7"/>
      <c r="E414" s="7"/>
      <c r="F414" s="7"/>
      <c r="G414" s="7"/>
      <c r="H414" s="7"/>
      <c r="I414" s="7"/>
      <c r="J414" s="7"/>
      <c r="K414" s="7"/>
      <c r="L414" s="1">
        <f t="shared" si="153"/>
        <v>1.6916666666666667</v>
      </c>
      <c r="M414">
        <f t="shared" si="151"/>
        <v>146160</v>
      </c>
      <c r="N414" s="9">
        <f t="shared" si="132"/>
        <v>-3215.3108443510191</v>
      </c>
      <c r="O414" s="7">
        <f t="shared" si="133"/>
        <v>-875748.87565524271</v>
      </c>
      <c r="P414" s="2">
        <f t="shared" si="136"/>
        <v>7.2669777330286664E-2</v>
      </c>
      <c r="Q414" s="2">
        <f t="shared" si="137"/>
        <v>0.14307328438531411</v>
      </c>
      <c r="R414" s="2">
        <f t="shared" si="138"/>
        <v>0.14303515564604524</v>
      </c>
      <c r="S414" s="2">
        <f t="shared" si="139"/>
        <v>0.24021401394635758</v>
      </c>
      <c r="T414" s="9">
        <f t="shared" si="140"/>
        <v>-3162.2048040706572</v>
      </c>
      <c r="U414" s="7">
        <f t="shared" si="141"/>
        <v>-2023701.6923711444</v>
      </c>
      <c r="W414">
        <f t="shared" si="152"/>
        <v>146160</v>
      </c>
      <c r="X414" s="9">
        <f t="shared" si="134"/>
        <v>-5307.3692086708816</v>
      </c>
      <c r="Y414" s="2">
        <f t="shared" si="135"/>
        <v>16850088.621963978</v>
      </c>
      <c r="Z414" s="2">
        <f t="shared" si="142"/>
        <v>-1.3982229634466183</v>
      </c>
      <c r="AA414" s="2">
        <f t="shared" si="143"/>
        <v>-1.5625348886525996</v>
      </c>
      <c r="AB414" s="2">
        <f t="shared" si="144"/>
        <v>-1.5630831695397744</v>
      </c>
      <c r="AC414" s="2">
        <f t="shared" si="145"/>
        <v>-1.7610400100264467</v>
      </c>
      <c r="AD414" s="2">
        <f t="shared" si="146"/>
        <v>-5871.9991540623505</v>
      </c>
      <c r="AE414" s="10">
        <f t="shared" si="147"/>
        <v>14837802.316671995</v>
      </c>
    </row>
    <row r="415" spans="1:31" x14ac:dyDescent="0.25">
      <c r="A415" s="1">
        <f t="shared" si="148"/>
        <v>1.6958333333333333</v>
      </c>
      <c r="B415" s="7">
        <f t="shared" si="149"/>
        <v>-2023701.6923711444</v>
      </c>
      <c r="C415" s="7">
        <f t="shared" si="150"/>
        <v>14837802.316671995</v>
      </c>
      <c r="D415" s="7"/>
      <c r="E415" s="7"/>
      <c r="F415" s="7"/>
      <c r="G415" s="7"/>
      <c r="H415" s="7"/>
      <c r="I415" s="7"/>
      <c r="J415" s="7"/>
      <c r="K415" s="7"/>
      <c r="L415" s="1">
        <f t="shared" si="153"/>
        <v>1.6958333333333333</v>
      </c>
      <c r="M415">
        <f t="shared" si="151"/>
        <v>146520</v>
      </c>
      <c r="N415" s="9">
        <f t="shared" si="132"/>
        <v>-3162.2048040706572</v>
      </c>
      <c r="O415" s="7">
        <f t="shared" si="133"/>
        <v>-2023701.6923711444</v>
      </c>
      <c r="P415" s="2">
        <f t="shared" si="136"/>
        <v>0.24019791233024393</v>
      </c>
      <c r="Q415" s="2">
        <f t="shared" si="137"/>
        <v>0.37657867262965966</v>
      </c>
      <c r="R415" s="2">
        <f t="shared" si="138"/>
        <v>0.37659762962864463</v>
      </c>
      <c r="S415" s="2">
        <f t="shared" si="139"/>
        <v>0.57201698712473648</v>
      </c>
      <c r="T415" s="9">
        <f t="shared" si="140"/>
        <v>-3023.0907538323618</v>
      </c>
      <c r="U415" s="7">
        <f t="shared" si="141"/>
        <v>-3137054.892793688</v>
      </c>
      <c r="W415">
        <f t="shared" si="152"/>
        <v>146520</v>
      </c>
      <c r="X415" s="9">
        <f t="shared" si="134"/>
        <v>-5871.9991540623505</v>
      </c>
      <c r="Y415" s="2">
        <f t="shared" si="135"/>
        <v>14837802.316671995</v>
      </c>
      <c r="Z415" s="2">
        <f t="shared" si="142"/>
        <v>-1.7611336460649814</v>
      </c>
      <c r="AA415" s="2">
        <f t="shared" si="143"/>
        <v>-2.0003139179258604</v>
      </c>
      <c r="AB415" s="2">
        <f t="shared" si="144"/>
        <v>-2.0015590566118342</v>
      </c>
      <c r="AC415" s="2">
        <f t="shared" si="145"/>
        <v>-2.2959825409799453</v>
      </c>
      <c r="AD415" s="2">
        <f t="shared" si="146"/>
        <v>-6595.6508822295691</v>
      </c>
      <c r="AE415" s="10">
        <f t="shared" si="147"/>
        <v>12593625.310139449</v>
      </c>
    </row>
    <row r="416" spans="1:31" x14ac:dyDescent="0.25">
      <c r="A416" s="1">
        <f t="shared" si="148"/>
        <v>1.7</v>
      </c>
      <c r="B416" s="7">
        <f t="shared" si="149"/>
        <v>-3137054.892793688</v>
      </c>
      <c r="C416" s="7">
        <f t="shared" si="150"/>
        <v>12593625.310139449</v>
      </c>
      <c r="D416" s="7"/>
      <c r="E416" s="7"/>
      <c r="F416" s="7"/>
      <c r="G416" s="7"/>
      <c r="H416" s="7"/>
      <c r="I416" s="7"/>
      <c r="J416" s="7"/>
      <c r="K416" s="7"/>
      <c r="L416" s="1">
        <f t="shared" si="153"/>
        <v>1.7</v>
      </c>
      <c r="M416">
        <f t="shared" si="151"/>
        <v>146880</v>
      </c>
      <c r="N416" s="9">
        <f t="shared" si="132"/>
        <v>-3023.0907538323618</v>
      </c>
      <c r="O416" s="7">
        <f t="shared" si="133"/>
        <v>-3137054.892793688</v>
      </c>
      <c r="P416" s="2">
        <f t="shared" si="136"/>
        <v>0.57199257690704775</v>
      </c>
      <c r="Q416" s="2">
        <f t="shared" si="137"/>
        <v>0.85823492404346946</v>
      </c>
      <c r="R416" s="2">
        <f t="shared" si="138"/>
        <v>0.85865748854994395</v>
      </c>
      <c r="S416" s="2">
        <f t="shared" si="139"/>
        <v>1.291319484676444</v>
      </c>
      <c r="T416" s="9">
        <f t="shared" si="140"/>
        <v>-2705.2649406261426</v>
      </c>
      <c r="U416" s="7">
        <f t="shared" si="141"/>
        <v>-4168158.9177962188</v>
      </c>
      <c r="W416">
        <f t="shared" si="152"/>
        <v>146880</v>
      </c>
      <c r="X416" s="9">
        <f t="shared" si="134"/>
        <v>-6595.6508822295691</v>
      </c>
      <c r="Y416" s="2">
        <f t="shared" si="135"/>
        <v>12593625.310139449</v>
      </c>
      <c r="Z416" s="2">
        <f t="shared" si="142"/>
        <v>-2.2962493293617432</v>
      </c>
      <c r="AA416" s="2">
        <f t="shared" si="143"/>
        <v>-2.657298048695675</v>
      </c>
      <c r="AB416" s="2">
        <f t="shared" si="144"/>
        <v>-2.6605986092838534</v>
      </c>
      <c r="AC416" s="2">
        <f t="shared" si="145"/>
        <v>-3.1113810500329473</v>
      </c>
      <c r="AD416" s="2">
        <f t="shared" si="146"/>
        <v>-7558.2563039507941</v>
      </c>
      <c r="AE416" s="10">
        <f t="shared" si="147"/>
        <v>10045922.016626984</v>
      </c>
    </row>
    <row r="417" spans="1:31" x14ac:dyDescent="0.25">
      <c r="A417" s="1">
        <f t="shared" si="148"/>
        <v>1.7041666666666666</v>
      </c>
      <c r="B417" s="7">
        <f t="shared" si="149"/>
        <v>-4168158.9177962188</v>
      </c>
      <c r="C417" s="7">
        <f t="shared" si="150"/>
        <v>10045922.016626984</v>
      </c>
      <c r="D417" s="7"/>
      <c r="E417" s="7"/>
      <c r="F417" s="7"/>
      <c r="G417" s="7"/>
      <c r="H417" s="7"/>
      <c r="I417" s="7"/>
      <c r="J417" s="7"/>
      <c r="K417" s="7"/>
      <c r="L417" s="1">
        <f t="shared" si="153"/>
        <v>1.7041666666666666</v>
      </c>
      <c r="M417">
        <f t="shared" si="151"/>
        <v>147240</v>
      </c>
      <c r="N417" s="9">
        <f t="shared" si="132"/>
        <v>-2705.2649406261426</v>
      </c>
      <c r="O417" s="7">
        <f t="shared" si="133"/>
        <v>-4168158.9177962188</v>
      </c>
      <c r="P417" s="2">
        <f t="shared" si="136"/>
        <v>1.2913315349912327</v>
      </c>
      <c r="Q417" s="2">
        <f t="shared" si="137"/>
        <v>1.9626319980206617</v>
      </c>
      <c r="R417" s="2">
        <f t="shared" si="138"/>
        <v>1.965788873210043</v>
      </c>
      <c r="S417" s="2">
        <f t="shared" si="139"/>
        <v>3.0544089076169954</v>
      </c>
      <c r="T417" s="9">
        <f t="shared" si="140"/>
        <v>-1973.1100095219645</v>
      </c>
      <c r="U417" s="7">
        <f t="shared" si="141"/>
        <v>-5010266.4088228783</v>
      </c>
      <c r="W417">
        <f t="shared" si="152"/>
        <v>147240</v>
      </c>
      <c r="X417" s="9">
        <f t="shared" si="134"/>
        <v>-7558.2563039507941</v>
      </c>
      <c r="Y417" s="2">
        <f t="shared" si="135"/>
        <v>10045922.016626984</v>
      </c>
      <c r="Z417" s="2">
        <f t="shared" si="142"/>
        <v>-3.1123131708692142</v>
      </c>
      <c r="AA417" s="2">
        <f t="shared" si="143"/>
        <v>-3.657029674096226</v>
      </c>
      <c r="AB417" s="2">
        <f t="shared" si="144"/>
        <v>-3.667775908001579</v>
      </c>
      <c r="AC417" s="2">
        <f t="shared" si="145"/>
        <v>-4.316822357025579</v>
      </c>
      <c r="AD417" s="2">
        <f t="shared" si="146"/>
        <v>-8882.9811054762176</v>
      </c>
      <c r="AE417" s="10">
        <f t="shared" si="147"/>
        <v>7086499.2829301218</v>
      </c>
    </row>
    <row r="418" spans="1:31" x14ac:dyDescent="0.25">
      <c r="A418" s="1">
        <f t="shared" si="148"/>
        <v>1.7083333333333333</v>
      </c>
      <c r="B418" s="7">
        <f t="shared" si="149"/>
        <v>-5010266.4088228783</v>
      </c>
      <c r="C418" s="7">
        <f t="shared" si="150"/>
        <v>7086499.2829301218</v>
      </c>
      <c r="D418" s="7"/>
      <c r="E418" s="7"/>
      <c r="F418" s="7"/>
      <c r="G418" s="7"/>
      <c r="H418" s="7"/>
      <c r="I418" s="7"/>
      <c r="J418" s="7"/>
      <c r="K418" s="7"/>
      <c r="L418" s="1">
        <f t="shared" si="153"/>
        <v>1.7083333333333333</v>
      </c>
      <c r="M418">
        <f t="shared" si="151"/>
        <v>147600</v>
      </c>
      <c r="N418" s="9">
        <f t="shared" si="132"/>
        <v>-1973.1100095219645</v>
      </c>
      <c r="O418" s="7">
        <f t="shared" si="133"/>
        <v>-5010266.4088228783</v>
      </c>
      <c r="P418" s="2">
        <f t="shared" si="136"/>
        <v>3.0550809140759179</v>
      </c>
      <c r="Q418" s="2">
        <f t="shared" si="137"/>
        <v>4.8459710156306661</v>
      </c>
      <c r="R418" s="2">
        <f t="shared" si="138"/>
        <v>4.8721900577608306</v>
      </c>
      <c r="S418" s="2">
        <f t="shared" si="139"/>
        <v>7.9356941252881406</v>
      </c>
      <c r="T418" s="9">
        <f t="shared" si="140"/>
        <v>-147.48417835314149</v>
      </c>
      <c r="U418" s="7">
        <f t="shared" si="141"/>
        <v>-5391973.3626403976</v>
      </c>
      <c r="W418">
        <f t="shared" si="152"/>
        <v>147600</v>
      </c>
      <c r="X418" s="9">
        <f t="shared" si="134"/>
        <v>-8882.9811054762176</v>
      </c>
      <c r="Y418" s="2">
        <f t="shared" si="135"/>
        <v>7086499.2829301218</v>
      </c>
      <c r="Z418" s="2">
        <f t="shared" si="142"/>
        <v>-4.3210933192630252</v>
      </c>
      <c r="AA418" s="2">
        <f t="shared" si="143"/>
        <v>-4.9386135986187485</v>
      </c>
      <c r="AB418" s="2">
        <f t="shared" si="144"/>
        <v>-4.9833624825524527</v>
      </c>
      <c r="AC418" s="2">
        <f t="shared" si="145"/>
        <v>-5.2353429049829048</v>
      </c>
      <c r="AD418" s="2">
        <f t="shared" si="146"/>
        <v>-10647.004408671517</v>
      </c>
      <c r="AE418" s="10">
        <f t="shared" si="147"/>
        <v>3571101.8903835295</v>
      </c>
    </row>
    <row r="419" spans="1:31" x14ac:dyDescent="0.25">
      <c r="A419" s="1">
        <f t="shared" si="148"/>
        <v>1.7124999999999999</v>
      </c>
      <c r="B419" s="7">
        <f t="shared" si="149"/>
        <v>-5391973.3626403976</v>
      </c>
      <c r="C419" s="7">
        <f t="shared" si="150"/>
        <v>3571101.8903835295</v>
      </c>
      <c r="D419" s="7"/>
      <c r="E419" s="7"/>
      <c r="F419" s="7"/>
      <c r="G419" s="7"/>
      <c r="H419" s="7"/>
      <c r="I419" s="7"/>
      <c r="J419" s="7"/>
      <c r="K419" s="7"/>
      <c r="L419" s="1">
        <f t="shared" si="153"/>
        <v>1.7124999999999999</v>
      </c>
      <c r="M419">
        <f t="shared" si="151"/>
        <v>147960</v>
      </c>
      <c r="N419" s="9">
        <f t="shared" si="132"/>
        <v>-147.48417835314149</v>
      </c>
      <c r="O419" s="7">
        <f t="shared" si="133"/>
        <v>-5391973.3626403976</v>
      </c>
      <c r="P419" s="2">
        <f t="shared" si="136"/>
        <v>7.9453690844739269</v>
      </c>
      <c r="Q419" s="2">
        <f t="shared" si="137"/>
        <v>12.551714042640423</v>
      </c>
      <c r="R419" s="2">
        <f t="shared" si="138"/>
        <v>12.817309226292311</v>
      </c>
      <c r="S419" s="2">
        <f t="shared" si="139"/>
        <v>18.373886827293727</v>
      </c>
      <c r="T419" s="9">
        <f t="shared" si="140"/>
        <v>4475.9539686248463</v>
      </c>
      <c r="U419" s="7">
        <f t="shared" si="141"/>
        <v>-4612848.8003914906</v>
      </c>
      <c r="W419">
        <f t="shared" si="152"/>
        <v>147960</v>
      </c>
      <c r="X419" s="9">
        <f t="shared" si="134"/>
        <v>-10647.004408671517</v>
      </c>
      <c r="Y419" s="2">
        <f t="shared" si="135"/>
        <v>3571101.8903835295</v>
      </c>
      <c r="Z419" s="2">
        <f t="shared" si="142"/>
        <v>-5.262214897787505</v>
      </c>
      <c r="AA419" s="2">
        <f t="shared" si="143"/>
        <v>-3.7238750514867522</v>
      </c>
      <c r="AB419" s="2">
        <f t="shared" si="144"/>
        <v>-3.918332424070798</v>
      </c>
      <c r="AC419" s="2">
        <f t="shared" si="145"/>
        <v>2.0535071774653715</v>
      </c>
      <c r="AD419" s="2">
        <f t="shared" si="146"/>
        <v>-11756.591768957751</v>
      </c>
      <c r="AE419" s="10">
        <f t="shared" si="147"/>
        <v>-461545.42158973869</v>
      </c>
    </row>
    <row r="420" spans="1:31" x14ac:dyDescent="0.25">
      <c r="A420" s="1">
        <f t="shared" si="148"/>
        <v>1.7166666666666666</v>
      </c>
      <c r="B420" s="7">
        <f t="shared" si="149"/>
        <v>-4612848.8003914906</v>
      </c>
      <c r="C420" s="7">
        <f t="shared" si="150"/>
        <v>-461545.42158973869</v>
      </c>
      <c r="D420" s="7"/>
      <c r="E420" s="7"/>
      <c r="F420" s="7"/>
      <c r="G420" s="7"/>
      <c r="H420" s="7"/>
      <c r="I420" s="7"/>
      <c r="J420" s="7"/>
      <c r="K420" s="7"/>
      <c r="L420" s="1">
        <f t="shared" si="153"/>
        <v>1.7166666666666666</v>
      </c>
      <c r="M420">
        <f t="shared" si="151"/>
        <v>148320</v>
      </c>
      <c r="N420" s="9">
        <f t="shared" si="132"/>
        <v>4475.9539686248463</v>
      </c>
      <c r="O420" s="7">
        <f t="shared" si="133"/>
        <v>-4612848.8003914906</v>
      </c>
      <c r="P420" s="2">
        <f t="shared" si="136"/>
        <v>18.454841322836799</v>
      </c>
      <c r="Q420" s="2">
        <f t="shared" si="137"/>
        <v>17.15634093742965</v>
      </c>
      <c r="R420" s="2">
        <f t="shared" si="138"/>
        <v>18.267864675025727</v>
      </c>
      <c r="S420" s="2">
        <f t="shared" si="139"/>
        <v>9.1124225674303574</v>
      </c>
      <c r="T420" s="9">
        <f t="shared" si="140"/>
        <v>10380.894475535521</v>
      </c>
      <c r="U420" s="7">
        <f t="shared" si="141"/>
        <v>-1938616.0804426246</v>
      </c>
      <c r="W420">
        <f t="shared" si="152"/>
        <v>148320</v>
      </c>
      <c r="X420" s="9">
        <f t="shared" si="134"/>
        <v>-11756.591768957751</v>
      </c>
      <c r="Y420" s="2">
        <f t="shared" si="135"/>
        <v>-461545.42158973869</v>
      </c>
      <c r="Z420" s="2">
        <f t="shared" si="142"/>
        <v>1.846526493128819</v>
      </c>
      <c r="AA420" s="2">
        <f t="shared" si="143"/>
        <v>12.459702985157552</v>
      </c>
      <c r="AB420" s="2">
        <f t="shared" si="144"/>
        <v>12.297913282315777</v>
      </c>
      <c r="AC420" s="2">
        <f t="shared" si="145"/>
        <v>19.5358434982254</v>
      </c>
      <c r="AD420" s="2">
        <f t="shared" si="146"/>
        <v>-7502.7356173796979</v>
      </c>
      <c r="AE420" s="10">
        <f t="shared" si="147"/>
        <v>-3928224.3511304795</v>
      </c>
    </row>
    <row r="421" spans="1:31" x14ac:dyDescent="0.25">
      <c r="A421" s="1">
        <f t="shared" si="148"/>
        <v>1.7208333333333334</v>
      </c>
      <c r="B421" s="7">
        <f t="shared" si="149"/>
        <v>-1938616.0804426246</v>
      </c>
      <c r="C421" s="7">
        <f t="shared" si="150"/>
        <v>-3928224.3511304795</v>
      </c>
      <c r="D421" s="7"/>
      <c r="E421" s="7"/>
      <c r="F421" s="7"/>
      <c r="G421" s="7"/>
      <c r="H421" s="7"/>
      <c r="I421" s="7"/>
      <c r="J421" s="7"/>
      <c r="K421" s="7"/>
      <c r="L421" s="1">
        <f t="shared" si="153"/>
        <v>1.7208333333333334</v>
      </c>
      <c r="M421">
        <f t="shared" si="151"/>
        <v>148680</v>
      </c>
      <c r="N421" s="9">
        <f t="shared" si="132"/>
        <v>10380.894475535521</v>
      </c>
      <c r="O421" s="7">
        <f t="shared" si="133"/>
        <v>-1938616.0804426246</v>
      </c>
      <c r="P421" s="2">
        <f t="shared" si="136"/>
        <v>9.1927474238498057</v>
      </c>
      <c r="Q421" s="2">
        <f t="shared" si="137"/>
        <v>-0.2549066791304514</v>
      </c>
      <c r="R421" s="2">
        <f t="shared" si="138"/>
        <v>0.23392955886258263</v>
      </c>
      <c r="S421" s="2">
        <f t="shared" si="139"/>
        <v>-3.5379146070987115</v>
      </c>
      <c r="T421" s="9">
        <f t="shared" si="140"/>
        <v>10717.667190108443</v>
      </c>
      <c r="U421" s="7">
        <f t="shared" si="141"/>
        <v>1859125.0193732888</v>
      </c>
      <c r="W421">
        <f t="shared" si="152"/>
        <v>148680</v>
      </c>
      <c r="X421" s="9">
        <f t="shared" si="134"/>
        <v>-7502.7356173796979</v>
      </c>
      <c r="Y421" s="2">
        <f t="shared" si="135"/>
        <v>-3928224.3511304795</v>
      </c>
      <c r="Z421" s="2">
        <f t="shared" si="142"/>
        <v>18.627295341486018</v>
      </c>
      <c r="AA421" s="2">
        <f t="shared" si="143"/>
        <v>16.085967408539034</v>
      </c>
      <c r="AB421" s="2">
        <f t="shared" si="144"/>
        <v>15.823879072871545</v>
      </c>
      <c r="AC421" s="2">
        <f t="shared" si="145"/>
        <v>10.931372539968972</v>
      </c>
      <c r="AD421" s="2">
        <f t="shared" si="146"/>
        <v>-1900.0339667231283</v>
      </c>
      <c r="AE421" s="10">
        <f t="shared" si="147"/>
        <v>-5620722.8762689885</v>
      </c>
    </row>
    <row r="422" spans="1:31" x14ac:dyDescent="0.25">
      <c r="A422" s="1">
        <f t="shared" si="148"/>
        <v>1.7250000000000001</v>
      </c>
      <c r="B422" s="7">
        <f t="shared" si="149"/>
        <v>1859125.0193732888</v>
      </c>
      <c r="C422" s="7">
        <f t="shared" si="150"/>
        <v>-5620722.8762689885</v>
      </c>
      <c r="D422" s="7"/>
      <c r="E422" s="7"/>
      <c r="F422" s="7"/>
      <c r="G422" s="7"/>
      <c r="H422" s="7"/>
      <c r="I422" s="7"/>
      <c r="J422" s="7"/>
      <c r="K422" s="7"/>
      <c r="L422" s="1">
        <f t="shared" si="153"/>
        <v>1.7250000000000001</v>
      </c>
      <c r="M422">
        <f t="shared" si="151"/>
        <v>149040</v>
      </c>
      <c r="N422" s="9">
        <f t="shared" si="132"/>
        <v>10717.667190108443</v>
      </c>
      <c r="O422" s="7">
        <f t="shared" si="133"/>
        <v>1859125.0193732888</v>
      </c>
      <c r="P422" s="2">
        <f t="shared" si="136"/>
        <v>-3.5713765299110882</v>
      </c>
      <c r="Q422" s="2">
        <f t="shared" si="137"/>
        <v>-4.5543403043884343</v>
      </c>
      <c r="R422" s="2">
        <f t="shared" si="138"/>
        <v>-4.4522745218505584</v>
      </c>
      <c r="S422" s="2">
        <f t="shared" si="139"/>
        <v>-4.2562288707706015</v>
      </c>
      <c r="T422" s="9">
        <f t="shared" si="140"/>
        <v>9167.2170869188631</v>
      </c>
      <c r="U422" s="7">
        <f t="shared" si="141"/>
        <v>5438404.1892382037</v>
      </c>
      <c r="W422">
        <f t="shared" si="152"/>
        <v>149040</v>
      </c>
      <c r="X422" s="9">
        <f t="shared" si="134"/>
        <v>-1900.0339667231283</v>
      </c>
      <c r="Y422" s="2">
        <f t="shared" si="135"/>
        <v>-5620722.8762689885</v>
      </c>
      <c r="Z422" s="2">
        <f t="shared" si="142"/>
        <v>10.797400687022257</v>
      </c>
      <c r="AA422" s="2">
        <f t="shared" si="143"/>
        <v>7.0660831118959635</v>
      </c>
      <c r="AB422" s="2">
        <f t="shared" si="144"/>
        <v>7.0097935709529926</v>
      </c>
      <c r="AC422" s="2">
        <f t="shared" si="145"/>
        <v>4.5866956702262698</v>
      </c>
      <c r="AD422" s="2">
        <f t="shared" si="146"/>
        <v>712.11701665365808</v>
      </c>
      <c r="AE422" s="10">
        <f t="shared" si="147"/>
        <v>-5834547.9272814933</v>
      </c>
    </row>
    <row r="423" spans="1:31" x14ac:dyDescent="0.25">
      <c r="A423" s="1">
        <f t="shared" si="148"/>
        <v>1.7291666666666667</v>
      </c>
      <c r="B423" s="7">
        <f t="shared" si="149"/>
        <v>5438404.1892382037</v>
      </c>
      <c r="C423" s="7">
        <f t="shared" si="150"/>
        <v>-5834547.9272814933</v>
      </c>
      <c r="D423" s="7"/>
      <c r="E423" s="7"/>
      <c r="F423" s="7"/>
      <c r="G423" s="7"/>
      <c r="H423" s="7"/>
      <c r="I423" s="7"/>
      <c r="J423" s="7"/>
      <c r="K423" s="7"/>
      <c r="L423" s="1">
        <f t="shared" si="153"/>
        <v>1.7291666666666667</v>
      </c>
      <c r="M423">
        <f t="shared" si="151"/>
        <v>149400</v>
      </c>
      <c r="N423" s="9">
        <f t="shared" si="132"/>
        <v>9167.2170869188631</v>
      </c>
      <c r="O423" s="7">
        <f t="shared" si="133"/>
        <v>5438404.1892382037</v>
      </c>
      <c r="P423" s="2">
        <f t="shared" si="136"/>
        <v>-4.2720627727284812</v>
      </c>
      <c r="Q423" s="2">
        <f t="shared" si="137"/>
        <v>-3.838613053871339</v>
      </c>
      <c r="R423" s="2">
        <f t="shared" si="138"/>
        <v>-3.8160234705484082</v>
      </c>
      <c r="S423" s="2">
        <f t="shared" si="139"/>
        <v>-3.3326503818773796</v>
      </c>
      <c r="T423" s="9">
        <f t="shared" si="140"/>
        <v>7792.3779147121422</v>
      </c>
      <c r="U423" s="7">
        <f t="shared" si="141"/>
        <v>8491131.2895317841</v>
      </c>
      <c r="W423">
        <f t="shared" si="152"/>
        <v>149400</v>
      </c>
      <c r="X423" s="9">
        <f t="shared" si="134"/>
        <v>712.11701665365808</v>
      </c>
      <c r="Y423" s="2">
        <f t="shared" si="135"/>
        <v>-5834547.9272814933</v>
      </c>
      <c r="Z423" s="2">
        <f t="shared" si="142"/>
        <v>4.5832479765228502</v>
      </c>
      <c r="AA423" s="2">
        <f t="shared" si="143"/>
        <v>3.080013023014847</v>
      </c>
      <c r="AB423" s="2">
        <f t="shared" si="144"/>
        <v>3.072053612216112</v>
      </c>
      <c r="AC423" s="2">
        <f t="shared" si="145"/>
        <v>2.1111802321588993</v>
      </c>
      <c r="AD423" s="2">
        <f t="shared" si="146"/>
        <v>1852.030705402278</v>
      </c>
      <c r="AE423" s="10">
        <f t="shared" si="147"/>
        <v>-5373001.3373114243</v>
      </c>
    </row>
    <row r="424" spans="1:31" x14ac:dyDescent="0.25">
      <c r="A424" s="1">
        <f t="shared" si="148"/>
        <v>1.7333333333333334</v>
      </c>
      <c r="B424" s="7">
        <f t="shared" si="149"/>
        <v>8491131.2895317841</v>
      </c>
      <c r="C424" s="7">
        <f t="shared" si="150"/>
        <v>-5373001.3373114243</v>
      </c>
      <c r="D424" s="7"/>
      <c r="E424" s="7"/>
      <c r="F424" s="7"/>
      <c r="G424" s="7"/>
      <c r="H424" s="7"/>
      <c r="I424" s="7"/>
      <c r="J424" s="7"/>
      <c r="K424" s="7"/>
      <c r="L424" s="1">
        <f t="shared" si="153"/>
        <v>1.7333333333333334</v>
      </c>
      <c r="M424">
        <f t="shared" si="151"/>
        <v>149760</v>
      </c>
      <c r="N424" s="9">
        <f t="shared" si="132"/>
        <v>7792.3779147121422</v>
      </c>
      <c r="O424" s="7">
        <f t="shared" si="133"/>
        <v>8491131.2895317841</v>
      </c>
      <c r="P424" s="2">
        <f t="shared" si="136"/>
        <v>-3.3359927631922801</v>
      </c>
      <c r="Q424" s="2">
        <f t="shared" si="137"/>
        <v>-2.9150887310458109</v>
      </c>
      <c r="R424" s="2">
        <f t="shared" si="138"/>
        <v>-2.9086493254217318</v>
      </c>
      <c r="S424" s="2">
        <f t="shared" si="139"/>
        <v>-2.5452895774672188</v>
      </c>
      <c r="T424" s="9">
        <f t="shared" si="140"/>
        <v>6740.6524074964673</v>
      </c>
      <c r="U424" s="7">
        <f t="shared" si="141"/>
        <v>11107076.747529333</v>
      </c>
      <c r="W424">
        <f t="shared" si="152"/>
        <v>149760</v>
      </c>
      <c r="X424" s="9">
        <f t="shared" si="134"/>
        <v>1852.030705402278</v>
      </c>
      <c r="Y424" s="2">
        <f t="shared" si="135"/>
        <v>-5373001.3373114243</v>
      </c>
      <c r="Z424" s="2">
        <f t="shared" si="142"/>
        <v>2.1109429317140753</v>
      </c>
      <c r="AA424" s="2">
        <f t="shared" si="143"/>
        <v>1.4828981978446414</v>
      </c>
      <c r="AB424" s="2">
        <f t="shared" si="144"/>
        <v>1.4816033399654553</v>
      </c>
      <c r="AC424" s="2">
        <f t="shared" si="145"/>
        <v>1.0564054009519641</v>
      </c>
      <c r="AD424" s="2">
        <f t="shared" si="146"/>
        <v>2397.8117898994519</v>
      </c>
      <c r="AE424" s="10">
        <f t="shared" si="147"/>
        <v>-4608029.6881571133</v>
      </c>
    </row>
    <row r="425" spans="1:31" x14ac:dyDescent="0.25">
      <c r="A425" s="1">
        <f t="shared" si="148"/>
        <v>1.7375</v>
      </c>
      <c r="B425" s="7">
        <f t="shared" si="149"/>
        <v>11107076.747529333</v>
      </c>
      <c r="C425" s="7">
        <f t="shared" si="150"/>
        <v>-4608029.6881571133</v>
      </c>
      <c r="D425" s="7"/>
      <c r="E425" s="7"/>
      <c r="F425" s="7"/>
      <c r="G425" s="7"/>
      <c r="H425" s="7"/>
      <c r="I425" s="7"/>
      <c r="J425" s="7"/>
      <c r="K425" s="7"/>
      <c r="L425" s="1">
        <f t="shared" si="153"/>
        <v>1.7375</v>
      </c>
      <c r="M425">
        <f t="shared" si="151"/>
        <v>150120</v>
      </c>
      <c r="N425" s="9">
        <f t="shared" ref="N425:N488" si="154">T424</f>
        <v>6740.6524074964673</v>
      </c>
      <c r="O425" s="7">
        <f t="shared" ref="O425:O488" si="155">U424</f>
        <v>11107076.747529333</v>
      </c>
      <c r="P425" s="2">
        <f t="shared" si="136"/>
        <v>-2.5461296795222506</v>
      </c>
      <c r="Q425" s="2">
        <f t="shared" si="137"/>
        <v>-2.246170067948345</v>
      </c>
      <c r="R425" s="2">
        <f t="shared" si="138"/>
        <v>-2.2438701233749945</v>
      </c>
      <c r="S425" s="2">
        <f t="shared" si="139"/>
        <v>-1.991832667029289</v>
      </c>
      <c r="T425" s="9">
        <f t="shared" si="140"/>
        <v>5929.5698437445744</v>
      </c>
      <c r="U425" s="7">
        <f t="shared" si="141"/>
        <v>13387716.752752721</v>
      </c>
      <c r="W425">
        <f t="shared" si="152"/>
        <v>150120</v>
      </c>
      <c r="X425" s="9">
        <f t="shared" ref="X425:X488" si="156">AD424</f>
        <v>2397.8117898994519</v>
      </c>
      <c r="Y425" s="2">
        <f t="shared" ref="Y425:Y488" si="157">AE424</f>
        <v>-4608029.6881571133</v>
      </c>
      <c r="Z425" s="2">
        <f t="shared" si="142"/>
        <v>1.056321246339305</v>
      </c>
      <c r="AA425" s="2">
        <f t="shared" si="143"/>
        <v>0.76084440768822026</v>
      </c>
      <c r="AB425" s="2">
        <f t="shared" si="144"/>
        <v>0.76063905103509089</v>
      </c>
      <c r="AC425" s="2">
        <f t="shared" si="145"/>
        <v>0.54979860055212992</v>
      </c>
      <c r="AD425" s="2">
        <f t="shared" si="146"/>
        <v>2676.7569957597352</v>
      </c>
      <c r="AE425" s="10">
        <f t="shared" si="147"/>
        <v>-3694607.3067384595</v>
      </c>
    </row>
    <row r="426" spans="1:31" x14ac:dyDescent="0.25">
      <c r="A426" s="1">
        <f t="shared" si="148"/>
        <v>1.7416666666666667</v>
      </c>
      <c r="B426" s="7">
        <f t="shared" si="149"/>
        <v>13387716.752752721</v>
      </c>
      <c r="C426" s="7">
        <f t="shared" si="150"/>
        <v>-3694607.3067384595</v>
      </c>
      <c r="D426" s="7"/>
      <c r="E426" s="7"/>
      <c r="F426" s="7"/>
      <c r="G426" s="7"/>
      <c r="H426" s="7"/>
      <c r="I426" s="7"/>
      <c r="J426" s="7"/>
      <c r="K426" s="7"/>
      <c r="L426" s="1">
        <f t="shared" si="153"/>
        <v>1.7416666666666667</v>
      </c>
      <c r="M426">
        <f t="shared" si="151"/>
        <v>150480</v>
      </c>
      <c r="N426" s="9">
        <f t="shared" si="154"/>
        <v>5929.5698437445744</v>
      </c>
      <c r="O426" s="7">
        <f t="shared" si="155"/>
        <v>13387716.752752721</v>
      </c>
      <c r="P426" s="2">
        <f t="shared" si="136"/>
        <v>-1.9920955474747666</v>
      </c>
      <c r="Q426" s="2">
        <f t="shared" si="137"/>
        <v>-1.7826353264968808</v>
      </c>
      <c r="R426" s="2">
        <f t="shared" si="138"/>
        <v>-1.781660526346114</v>
      </c>
      <c r="S426" s="2">
        <f t="shared" si="139"/>
        <v>-1.6044457517375366</v>
      </c>
      <c r="T426" s="9">
        <f t="shared" si="140"/>
        <v>5286.0618634506773</v>
      </c>
      <c r="U426" s="7">
        <f t="shared" si="141"/>
        <v>15406530.460047867</v>
      </c>
      <c r="W426">
        <f t="shared" si="152"/>
        <v>150480</v>
      </c>
      <c r="X426" s="9">
        <f t="shared" si="156"/>
        <v>2676.7569957597352</v>
      </c>
      <c r="Y426" s="2">
        <f t="shared" si="157"/>
        <v>-3694607.3067384595</v>
      </c>
      <c r="Z426" s="2">
        <f t="shared" si="142"/>
        <v>0.54975847647121046</v>
      </c>
      <c r="AA426" s="2">
        <f t="shared" si="143"/>
        <v>0.39599602232078562</v>
      </c>
      <c r="AB426" s="2">
        <f t="shared" si="144"/>
        <v>0.39599402367150105</v>
      </c>
      <c r="AC426" s="2">
        <f t="shared" si="145"/>
        <v>0.28172619129967669</v>
      </c>
      <c r="AD426" s="2">
        <f t="shared" si="146"/>
        <v>2821.6848813450629</v>
      </c>
      <c r="AE426" s="10">
        <f t="shared" si="147"/>
        <v>-2704887.768859596</v>
      </c>
    </row>
    <row r="427" spans="1:31" x14ac:dyDescent="0.25">
      <c r="A427" s="1">
        <f t="shared" si="148"/>
        <v>1.7458333333333333</v>
      </c>
      <c r="B427" s="7">
        <f t="shared" si="149"/>
        <v>15406530.460047867</v>
      </c>
      <c r="C427" s="7">
        <f t="shared" si="150"/>
        <v>-2704887.768859596</v>
      </c>
      <c r="D427" s="7"/>
      <c r="E427" s="7"/>
      <c r="F427" s="7"/>
      <c r="G427" s="7"/>
      <c r="H427" s="7"/>
      <c r="I427" s="7"/>
      <c r="J427" s="7"/>
      <c r="K427" s="7"/>
      <c r="L427" s="1">
        <f t="shared" si="153"/>
        <v>1.7458333333333333</v>
      </c>
      <c r="M427">
        <f t="shared" si="151"/>
        <v>150840</v>
      </c>
      <c r="N427" s="9">
        <f t="shared" si="154"/>
        <v>5286.0618634506773</v>
      </c>
      <c r="O427" s="7">
        <f t="shared" si="155"/>
        <v>15406530.460047867</v>
      </c>
      <c r="P427" s="2">
        <f t="shared" si="136"/>
        <v>-1.6045440185740918</v>
      </c>
      <c r="Q427" s="2">
        <f t="shared" si="137"/>
        <v>-1.4548662411231705</v>
      </c>
      <c r="R427" s="2">
        <f t="shared" si="138"/>
        <v>-1.4543964883912541</v>
      </c>
      <c r="S427" s="2">
        <f t="shared" si="139"/>
        <v>-1.3260567268971042</v>
      </c>
      <c r="T427" s="9">
        <f t="shared" si="140"/>
        <v>4761.1142911806746</v>
      </c>
      <c r="U427" s="7">
        <f t="shared" si="141"/>
        <v>17215022.167881511</v>
      </c>
      <c r="W427">
        <f t="shared" si="152"/>
        <v>150840</v>
      </c>
      <c r="X427" s="9">
        <f t="shared" si="156"/>
        <v>2821.6848813450629</v>
      </c>
      <c r="Y427" s="2">
        <f t="shared" si="157"/>
        <v>-2704887.768859596</v>
      </c>
      <c r="Z427" s="2">
        <f t="shared" si="142"/>
        <v>0.28170596239644125</v>
      </c>
      <c r="AA427" s="2">
        <f t="shared" si="143"/>
        <v>0.19530208310440164</v>
      </c>
      <c r="AB427" s="2">
        <f t="shared" si="144"/>
        <v>0.19533467194076878</v>
      </c>
      <c r="AC427" s="2">
        <f t="shared" si="145"/>
        <v>0.12913146127590489</v>
      </c>
      <c r="AD427" s="2">
        <f t="shared" si="146"/>
        <v>2893.2115373708239</v>
      </c>
      <c r="AE427" s="10">
        <f t="shared" si="147"/>
        <v>-1676206.4134907364</v>
      </c>
    </row>
    <row r="428" spans="1:31" x14ac:dyDescent="0.25">
      <c r="A428" s="1">
        <f t="shared" si="148"/>
        <v>1.75</v>
      </c>
      <c r="B428" s="7">
        <f t="shared" si="149"/>
        <v>17215022.167881511</v>
      </c>
      <c r="C428" s="7">
        <f t="shared" si="150"/>
        <v>-1676206.4134907364</v>
      </c>
      <c r="D428" s="7"/>
      <c r="E428" s="7"/>
      <c r="F428" s="7"/>
      <c r="G428" s="7"/>
      <c r="H428" s="7"/>
      <c r="I428" s="7"/>
      <c r="J428" s="7"/>
      <c r="K428" s="7"/>
      <c r="L428" s="1">
        <f t="shared" si="153"/>
        <v>1.75</v>
      </c>
      <c r="M428">
        <f t="shared" si="151"/>
        <v>151200</v>
      </c>
      <c r="N428" s="9">
        <f t="shared" si="154"/>
        <v>4761.1142911806746</v>
      </c>
      <c r="O428" s="7">
        <f t="shared" si="155"/>
        <v>17215022.167881511</v>
      </c>
      <c r="P428" s="2">
        <f t="shared" si="136"/>
        <v>-1.3260988811142689</v>
      </c>
      <c r="Q428" s="2">
        <f t="shared" si="137"/>
        <v>-1.2159160132325149</v>
      </c>
      <c r="R428" s="2">
        <f t="shared" si="138"/>
        <v>-1.2156663248128645</v>
      </c>
      <c r="S428" s="2">
        <f t="shared" si="139"/>
        <v>-1.1198957782463081</v>
      </c>
      <c r="T428" s="9">
        <f t="shared" si="140"/>
        <v>4322.5647310535942</v>
      </c>
      <c r="U428" s="7">
        <f t="shared" si="141"/>
        <v>18850084.391883679</v>
      </c>
      <c r="W428">
        <f t="shared" si="152"/>
        <v>151200</v>
      </c>
      <c r="X428" s="9">
        <f t="shared" si="156"/>
        <v>2893.2115373708239</v>
      </c>
      <c r="Y428" s="2">
        <f t="shared" si="157"/>
        <v>-1676206.4134907364</v>
      </c>
      <c r="Z428" s="2">
        <f t="shared" si="142"/>
        <v>0.12912068470023827</v>
      </c>
      <c r="AA428" s="2">
        <f t="shared" si="143"/>
        <v>7.7690773964983237E-2</v>
      </c>
      <c r="AB428" s="2">
        <f t="shared" si="144"/>
        <v>7.772324624714079E-2</v>
      </c>
      <c r="AC428" s="2">
        <f t="shared" si="145"/>
        <v>3.7405440205557805E-2</v>
      </c>
      <c r="AD428" s="2">
        <f t="shared" si="146"/>
        <v>2921.8527872906266</v>
      </c>
      <c r="AE428" s="10">
        <f t="shared" si="147"/>
        <v>-629494.83505167521</v>
      </c>
    </row>
    <row r="429" spans="1:31" x14ac:dyDescent="0.25">
      <c r="A429" s="1">
        <f t="shared" si="148"/>
        <v>1.7541666666666667</v>
      </c>
      <c r="B429" s="7">
        <f t="shared" si="149"/>
        <v>18850084.391883679</v>
      </c>
      <c r="C429" s="7">
        <f t="shared" si="150"/>
        <v>-629494.83505167521</v>
      </c>
      <c r="D429" s="7"/>
      <c r="E429" s="7"/>
      <c r="F429" s="7"/>
      <c r="G429" s="7"/>
      <c r="H429" s="7"/>
      <c r="I429" s="7"/>
      <c r="J429" s="7"/>
      <c r="K429" s="7"/>
      <c r="L429" s="1">
        <f t="shared" si="153"/>
        <v>1.7541666666666667</v>
      </c>
      <c r="M429">
        <f t="shared" si="151"/>
        <v>151560</v>
      </c>
      <c r="N429" s="9">
        <f t="shared" si="154"/>
        <v>4322.5647310535942</v>
      </c>
      <c r="O429" s="7">
        <f t="shared" si="155"/>
        <v>18850084.391883679</v>
      </c>
      <c r="P429" s="2">
        <f t="shared" si="136"/>
        <v>-1.1199159092960425</v>
      </c>
      <c r="Q429" s="2">
        <f t="shared" si="137"/>
        <v>-1.0364892662970873</v>
      </c>
      <c r="R429" s="2">
        <f t="shared" si="138"/>
        <v>-1.0363459863830873</v>
      </c>
      <c r="S429" s="2">
        <f t="shared" si="139"/>
        <v>-0.96293134655544588</v>
      </c>
      <c r="T429" s="9">
        <f t="shared" si="140"/>
        <v>3948.8536653808837</v>
      </c>
      <c r="U429" s="7">
        <f t="shared" si="141"/>
        <v>20338939.703241885</v>
      </c>
      <c r="W429">
        <f t="shared" si="152"/>
        <v>151560</v>
      </c>
      <c r="X429" s="9">
        <f t="shared" si="156"/>
        <v>2921.8527872906266</v>
      </c>
      <c r="Y429" s="2">
        <f t="shared" si="157"/>
        <v>-629494.83505167521</v>
      </c>
      <c r="Z429" s="2">
        <f t="shared" si="142"/>
        <v>3.7399369994205435E-2</v>
      </c>
      <c r="AA429" s="2">
        <f t="shared" si="143"/>
        <v>5.4417243415962151E-3</v>
      </c>
      <c r="AB429" s="2">
        <f t="shared" si="144"/>
        <v>5.467955302128011E-3</v>
      </c>
      <c r="AC429" s="2">
        <f t="shared" si="145"/>
        <v>-2.0013547363861618E-2</v>
      </c>
      <c r="AD429" s="2">
        <f t="shared" si="146"/>
        <v>2924.205098205694</v>
      </c>
      <c r="AE429" s="10">
        <f t="shared" si="147"/>
        <v>422795.58433766256</v>
      </c>
    </row>
    <row r="430" spans="1:31" x14ac:dyDescent="0.25">
      <c r="A430" s="1">
        <f t="shared" si="148"/>
        <v>1.7583333333333333</v>
      </c>
      <c r="B430" s="7">
        <f t="shared" si="149"/>
        <v>20338939.703241885</v>
      </c>
      <c r="C430" s="7">
        <f t="shared" si="150"/>
        <v>422795.58433766256</v>
      </c>
      <c r="D430" s="7"/>
      <c r="E430" s="7"/>
      <c r="F430" s="7"/>
      <c r="G430" s="7"/>
      <c r="H430" s="7"/>
      <c r="I430" s="7"/>
      <c r="J430" s="7"/>
      <c r="K430" s="7"/>
      <c r="L430" s="1">
        <f t="shared" si="153"/>
        <v>1.7583333333333333</v>
      </c>
      <c r="M430">
        <f t="shared" si="151"/>
        <v>151920</v>
      </c>
      <c r="N430" s="9">
        <f t="shared" si="154"/>
        <v>3948.8536653808837</v>
      </c>
      <c r="O430" s="7">
        <f t="shared" si="155"/>
        <v>20338939.703241885</v>
      </c>
      <c r="P430" s="2">
        <f t="shared" si="136"/>
        <v>-0.96294181397252554</v>
      </c>
      <c r="Q430" s="2">
        <f t="shared" si="137"/>
        <v>-0.89818257056259876</v>
      </c>
      <c r="R430" s="2">
        <f t="shared" si="138"/>
        <v>-0.89809516888271856</v>
      </c>
      <c r="S430" s="2">
        <f t="shared" si="139"/>
        <v>-0.84048835302364744</v>
      </c>
      <c r="T430" s="9">
        <f t="shared" si="140"/>
        <v>3625.0945266276754</v>
      </c>
      <c r="U430" s="7">
        <f t="shared" si="141"/>
        <v>21702250.377803426</v>
      </c>
      <c r="W430">
        <f t="shared" si="152"/>
        <v>151920</v>
      </c>
      <c r="X430" s="9">
        <f t="shared" si="156"/>
        <v>2924.205098205694</v>
      </c>
      <c r="Y430" s="2">
        <f t="shared" si="157"/>
        <v>422795.58433766256</v>
      </c>
      <c r="Z430" s="2">
        <f t="shared" si="142"/>
        <v>-2.0017147051999491E-2</v>
      </c>
      <c r="AA430" s="2">
        <f t="shared" si="143"/>
        <v>-4.0516095665757312E-2</v>
      </c>
      <c r="AB430" s="2">
        <f t="shared" si="144"/>
        <v>-4.0495954328315036E-2</v>
      </c>
      <c r="AC430" s="2">
        <f t="shared" si="145"/>
        <v>-5.7041935070299345E-2</v>
      </c>
      <c r="AD430" s="2">
        <f t="shared" si="146"/>
        <v>2909.8601072790675</v>
      </c>
      <c r="AE430" s="10">
        <f t="shared" si="147"/>
        <v>1472927.3213249198</v>
      </c>
    </row>
    <row r="431" spans="1:31" x14ac:dyDescent="0.25">
      <c r="A431" s="1">
        <f t="shared" si="148"/>
        <v>1.7625</v>
      </c>
      <c r="B431" s="7">
        <f t="shared" si="149"/>
        <v>21702250.377803426</v>
      </c>
      <c r="C431" s="7">
        <f t="shared" si="150"/>
        <v>1472927.3213249198</v>
      </c>
      <c r="D431" s="7"/>
      <c r="E431" s="7"/>
      <c r="F431" s="7"/>
      <c r="G431" s="7"/>
      <c r="H431" s="7"/>
      <c r="I431" s="7"/>
      <c r="J431" s="7"/>
      <c r="K431" s="7"/>
      <c r="L431" s="1">
        <f t="shared" si="153"/>
        <v>1.7625</v>
      </c>
      <c r="M431">
        <f t="shared" si="151"/>
        <v>152280</v>
      </c>
      <c r="N431" s="9">
        <f t="shared" si="154"/>
        <v>3625.0945266276754</v>
      </c>
      <c r="O431" s="7">
        <f t="shared" si="155"/>
        <v>21702250.377803426</v>
      </c>
      <c r="P431" s="2">
        <f t="shared" si="136"/>
        <v>-0.84049418295171974</v>
      </c>
      <c r="Q431" s="2">
        <f t="shared" si="137"/>
        <v>-0.7891308165016222</v>
      </c>
      <c r="R431" s="2">
        <f t="shared" si="138"/>
        <v>-0.78907478197784486</v>
      </c>
      <c r="S431" s="2">
        <f t="shared" si="139"/>
        <v>-0.74295383477720578</v>
      </c>
      <c r="T431" s="9">
        <f t="shared" si="140"/>
        <v>3340.7029737464036</v>
      </c>
      <c r="U431" s="7">
        <f t="shared" si="141"/>
        <v>22956093.927870762</v>
      </c>
      <c r="W431">
        <f t="shared" si="152"/>
        <v>152280</v>
      </c>
      <c r="X431" s="9">
        <f t="shared" si="156"/>
        <v>2909.8601072790675</v>
      </c>
      <c r="Y431" s="2">
        <f t="shared" si="157"/>
        <v>1472927.3213249198</v>
      </c>
      <c r="Z431" s="2">
        <f t="shared" si="142"/>
        <v>-5.7044169334180786E-2</v>
      </c>
      <c r="AA431" s="2">
        <f t="shared" si="143"/>
        <v>-7.0494573678285904E-2</v>
      </c>
      <c r="AB431" s="2">
        <f t="shared" si="144"/>
        <v>-7.0479247074438464E-2</v>
      </c>
      <c r="AC431" s="2">
        <f t="shared" si="145"/>
        <v>-8.1425008957956874E-2</v>
      </c>
      <c r="AD431" s="2">
        <f t="shared" si="146"/>
        <v>2884.6350980912125</v>
      </c>
      <c r="AE431" s="10">
        <f t="shared" si="147"/>
        <v>2515936.4582915702</v>
      </c>
    </row>
    <row r="432" spans="1:31" x14ac:dyDescent="0.25">
      <c r="A432" s="1">
        <f t="shared" si="148"/>
        <v>1.7666666666666666</v>
      </c>
      <c r="B432" s="7">
        <f t="shared" si="149"/>
        <v>22956093.927870762</v>
      </c>
      <c r="C432" s="7">
        <f t="shared" si="150"/>
        <v>2515936.4582915702</v>
      </c>
      <c r="D432" s="7"/>
      <c r="E432" s="7"/>
      <c r="F432" s="7"/>
      <c r="G432" s="7"/>
      <c r="H432" s="7"/>
      <c r="I432" s="7"/>
      <c r="J432" s="7"/>
      <c r="K432" s="7"/>
      <c r="L432" s="1">
        <f t="shared" si="153"/>
        <v>1.7666666666666666</v>
      </c>
      <c r="M432">
        <f t="shared" si="151"/>
        <v>152640</v>
      </c>
      <c r="N432" s="9">
        <f t="shared" si="154"/>
        <v>3340.7029737464036</v>
      </c>
      <c r="O432" s="7">
        <f t="shared" si="155"/>
        <v>22956093.927870762</v>
      </c>
      <c r="P432" s="2">
        <f t="shared" si="136"/>
        <v>-0.74295727054644456</v>
      </c>
      <c r="Q432" s="2">
        <f t="shared" si="137"/>
        <v>-0.70145477932261013</v>
      </c>
      <c r="R432" s="2">
        <f t="shared" si="138"/>
        <v>-0.70141734559192315</v>
      </c>
      <c r="S432" s="2">
        <f t="shared" si="139"/>
        <v>-0.66384642136207028</v>
      </c>
      <c r="T432" s="9">
        <f t="shared" si="140"/>
        <v>3087.9500972421488</v>
      </c>
      <c r="U432" s="7">
        <f t="shared" si="141"/>
        <v>24113251.4806487</v>
      </c>
      <c r="W432">
        <f t="shared" si="152"/>
        <v>152640</v>
      </c>
      <c r="X432" s="9">
        <f t="shared" si="156"/>
        <v>2884.6350980912125</v>
      </c>
      <c r="Y432" s="2">
        <f t="shared" si="157"/>
        <v>2515936.4582915702</v>
      </c>
      <c r="Z432" s="2">
        <f t="shared" si="142"/>
        <v>-8.1426452156618576E-2</v>
      </c>
      <c r="AA432" s="2">
        <f t="shared" si="143"/>
        <v>-9.038330832380162E-2</v>
      </c>
      <c r="AB432" s="2">
        <f t="shared" si="144"/>
        <v>-9.0371581810922363E-2</v>
      </c>
      <c r="AC432" s="2">
        <f t="shared" si="145"/>
        <v>-9.7692644228749584E-2</v>
      </c>
      <c r="AD432" s="2">
        <f t="shared" si="146"/>
        <v>2852.1973654919234</v>
      </c>
      <c r="AE432" s="10">
        <f t="shared" si="147"/>
        <v>3548566.3017365346</v>
      </c>
    </row>
    <row r="433" spans="1:31" x14ac:dyDescent="0.25">
      <c r="A433" s="1">
        <f t="shared" si="148"/>
        <v>1.7708333333333333</v>
      </c>
      <c r="B433" s="7">
        <f t="shared" si="149"/>
        <v>24113251.4806487</v>
      </c>
      <c r="C433" s="7">
        <f t="shared" si="150"/>
        <v>3548566.3017365346</v>
      </c>
      <c r="D433" s="7"/>
      <c r="E433" s="7"/>
      <c r="F433" s="7"/>
      <c r="G433" s="7"/>
      <c r="H433" s="7"/>
      <c r="I433" s="7"/>
      <c r="J433" s="7"/>
      <c r="K433" s="7"/>
      <c r="L433" s="1">
        <f t="shared" si="153"/>
        <v>1.7708333333333333</v>
      </c>
      <c r="M433">
        <f t="shared" si="151"/>
        <v>153000</v>
      </c>
      <c r="N433" s="9">
        <f t="shared" si="154"/>
        <v>3087.9500972421488</v>
      </c>
      <c r="O433" s="7">
        <f t="shared" si="155"/>
        <v>24113251.4806487</v>
      </c>
      <c r="P433" s="2">
        <f t="shared" si="136"/>
        <v>-0.66384854395917847</v>
      </c>
      <c r="Q433" s="2">
        <f t="shared" si="137"/>
        <v>-0.62977060486257241</v>
      </c>
      <c r="R433" s="2">
        <f t="shared" si="138"/>
        <v>-0.6297447185799373</v>
      </c>
      <c r="S433" s="2">
        <f t="shared" si="139"/>
        <v>-0.59867573646630423</v>
      </c>
      <c r="T433" s="9">
        <f t="shared" si="140"/>
        <v>2861.0568016035186</v>
      </c>
      <c r="U433" s="7">
        <f t="shared" si="141"/>
        <v>25184072.722440921</v>
      </c>
      <c r="W433">
        <f t="shared" si="152"/>
        <v>153000</v>
      </c>
      <c r="X433" s="9">
        <f t="shared" si="156"/>
        <v>2852.1973654919234</v>
      </c>
      <c r="Y433" s="2">
        <f t="shared" si="157"/>
        <v>3548566.3017365346</v>
      </c>
      <c r="Z433" s="2">
        <f t="shared" si="142"/>
        <v>-9.7693609442962515E-2</v>
      </c>
      <c r="AA433" s="2">
        <f t="shared" si="143"/>
        <v>-0.10370157471279444</v>
      </c>
      <c r="AB433" s="2">
        <f t="shared" si="144"/>
        <v>-0.10369250494437811</v>
      </c>
      <c r="AC433" s="2">
        <f t="shared" si="145"/>
        <v>-0.10860551334646937</v>
      </c>
      <c r="AD433" s="2">
        <f t="shared" si="146"/>
        <v>2814.932128565697</v>
      </c>
      <c r="AE433" s="10">
        <f t="shared" si="147"/>
        <v>4568649.6106669065</v>
      </c>
    </row>
    <row r="434" spans="1:31" x14ac:dyDescent="0.25">
      <c r="A434" s="1">
        <f t="shared" si="148"/>
        <v>1.7749999999999999</v>
      </c>
      <c r="B434" s="7">
        <f t="shared" si="149"/>
        <v>25184072.722440921</v>
      </c>
      <c r="C434" s="7">
        <f t="shared" si="150"/>
        <v>4568649.6106669065</v>
      </c>
      <c r="D434" s="7"/>
      <c r="E434" s="7"/>
      <c r="F434" s="7"/>
      <c r="G434" s="7"/>
      <c r="H434" s="7"/>
      <c r="I434" s="7"/>
      <c r="J434" s="7"/>
      <c r="K434" s="7"/>
      <c r="L434" s="1">
        <f t="shared" si="153"/>
        <v>1.7749999999999999</v>
      </c>
      <c r="M434">
        <f t="shared" si="151"/>
        <v>153360</v>
      </c>
      <c r="N434" s="9">
        <f t="shared" si="154"/>
        <v>2861.0568016035186</v>
      </c>
      <c r="O434" s="7">
        <f t="shared" si="155"/>
        <v>25184072.722440921</v>
      </c>
      <c r="P434" s="2">
        <f t="shared" si="136"/>
        <v>-0.59867710118582307</v>
      </c>
      <c r="Q434" s="2">
        <f t="shared" si="137"/>
        <v>-0.57030192154493597</v>
      </c>
      <c r="R434" s="2">
        <f t="shared" si="138"/>
        <v>-0.57028348746974322</v>
      </c>
      <c r="S434" s="2">
        <f t="shared" si="139"/>
        <v>-0.54425288938361693</v>
      </c>
      <c r="T434" s="9">
        <f t="shared" si="140"/>
        <v>2655.6107530875906</v>
      </c>
      <c r="U434" s="7">
        <f t="shared" si="141"/>
        <v>26177072.882285319</v>
      </c>
      <c r="W434">
        <f t="shared" si="152"/>
        <v>153360</v>
      </c>
      <c r="X434" s="9">
        <f t="shared" si="156"/>
        <v>2814.932128565697</v>
      </c>
      <c r="Y434" s="2">
        <f t="shared" si="157"/>
        <v>4568649.6106669065</v>
      </c>
      <c r="Z434" s="2">
        <f t="shared" si="142"/>
        <v>-0.10860617880961612</v>
      </c>
      <c r="AA434" s="2">
        <f t="shared" si="143"/>
        <v>-0.11263304241302426</v>
      </c>
      <c r="AB434" s="2">
        <f t="shared" si="144"/>
        <v>-0.11262593826972953</v>
      </c>
      <c r="AC434" s="2">
        <f t="shared" si="145"/>
        <v>-0.11590517761828946</v>
      </c>
      <c r="AD434" s="2">
        <f t="shared" si="146"/>
        <v>2774.4303694980922</v>
      </c>
      <c r="AE434" s="10">
        <f t="shared" si="147"/>
        <v>5574734.8603183888</v>
      </c>
    </row>
    <row r="435" spans="1:31" x14ac:dyDescent="0.25">
      <c r="A435" s="1">
        <f t="shared" si="148"/>
        <v>1.7791666666666666</v>
      </c>
      <c r="B435" s="7">
        <f t="shared" si="149"/>
        <v>26177072.882285319</v>
      </c>
      <c r="C435" s="7">
        <f t="shared" si="150"/>
        <v>5574734.8603183888</v>
      </c>
      <c r="D435" s="7"/>
      <c r="E435" s="7"/>
      <c r="F435" s="7"/>
      <c r="G435" s="7"/>
      <c r="H435" s="7"/>
      <c r="I435" s="7"/>
      <c r="J435" s="7"/>
      <c r="K435" s="7"/>
      <c r="L435" s="1">
        <f t="shared" si="153"/>
        <v>1.7791666666666666</v>
      </c>
      <c r="M435">
        <f t="shared" si="151"/>
        <v>153720</v>
      </c>
      <c r="N435" s="9">
        <f t="shared" si="154"/>
        <v>2655.6107530875906</v>
      </c>
      <c r="O435" s="7">
        <f t="shared" si="155"/>
        <v>26177072.882285319</v>
      </c>
      <c r="P435" s="2">
        <f t="shared" si="136"/>
        <v>-0.54425379733390722</v>
      </c>
      <c r="Q435" s="2">
        <f t="shared" si="137"/>
        <v>-0.52033671016397065</v>
      </c>
      <c r="R435" s="2">
        <f t="shared" si="138"/>
        <v>-0.52032324786529904</v>
      </c>
      <c r="S435" s="2">
        <f t="shared" si="139"/>
        <v>-0.49826238081591345</v>
      </c>
      <c r="T435" s="9">
        <f t="shared" si="140"/>
        <v>2468.1805874350889</v>
      </c>
      <c r="U435" s="7">
        <f t="shared" si="141"/>
        <v>27099355.323579401</v>
      </c>
      <c r="W435">
        <f t="shared" si="152"/>
        <v>153720</v>
      </c>
      <c r="X435" s="9">
        <f t="shared" si="156"/>
        <v>2774.4303694980922</v>
      </c>
      <c r="Y435" s="2">
        <f t="shared" si="157"/>
        <v>5574734.8603183888</v>
      </c>
      <c r="Z435" s="2">
        <f t="shared" si="142"/>
        <v>-0.11590564882872126</v>
      </c>
      <c r="AA435" s="2">
        <f t="shared" si="143"/>
        <v>-0.11857635218882963</v>
      </c>
      <c r="AB435" s="2">
        <f t="shared" si="144"/>
        <v>-0.11857071539423122</v>
      </c>
      <c r="AC435" s="2">
        <f t="shared" si="145"/>
        <v>-0.12072286417642704</v>
      </c>
      <c r="AD435" s="2">
        <f t="shared" si="146"/>
        <v>2731.7750106078161</v>
      </c>
      <c r="AE435" s="10">
        <f t="shared" si="147"/>
        <v>6565851.8287374526</v>
      </c>
    </row>
    <row r="436" spans="1:31" x14ac:dyDescent="0.25">
      <c r="A436" s="1">
        <f t="shared" si="148"/>
        <v>1.7833333333333334</v>
      </c>
      <c r="B436" s="7">
        <f t="shared" si="149"/>
        <v>27099355.323579401</v>
      </c>
      <c r="C436" s="7">
        <f t="shared" si="150"/>
        <v>6565851.8287374526</v>
      </c>
      <c r="D436" s="7"/>
      <c r="E436" s="7"/>
      <c r="F436" s="7"/>
      <c r="G436" s="7"/>
      <c r="H436" s="7"/>
      <c r="I436" s="7"/>
      <c r="J436" s="7"/>
      <c r="K436" s="7"/>
      <c r="L436" s="1">
        <f t="shared" si="153"/>
        <v>1.7833333333333334</v>
      </c>
      <c r="M436">
        <f t="shared" si="151"/>
        <v>154080</v>
      </c>
      <c r="N436" s="9">
        <f t="shared" si="154"/>
        <v>2468.1805874350889</v>
      </c>
      <c r="O436" s="7">
        <f t="shared" si="155"/>
        <v>27099355.323579401</v>
      </c>
      <c r="P436" s="2">
        <f t="shared" si="136"/>
        <v>-0.49826300301137472</v>
      </c>
      <c r="Q436" s="2">
        <f t="shared" si="137"/>
        <v>-0.4778858153893274</v>
      </c>
      <c r="R436" s="2">
        <f t="shared" si="138"/>
        <v>-0.47787576678228999</v>
      </c>
      <c r="S436" s="2">
        <f t="shared" si="139"/>
        <v>-0.45898913218381809</v>
      </c>
      <c r="T436" s="9">
        <f t="shared" si="140"/>
        <v>2296.0540694627834</v>
      </c>
      <c r="U436" s="7">
        <f t="shared" si="141"/>
        <v>27956917.561821017</v>
      </c>
      <c r="W436">
        <f t="shared" si="152"/>
        <v>154080</v>
      </c>
      <c r="X436" s="9">
        <f t="shared" si="156"/>
        <v>2731.7750106078161</v>
      </c>
      <c r="Y436" s="2">
        <f t="shared" si="157"/>
        <v>6565851.8287374526</v>
      </c>
      <c r="Z436" s="2">
        <f t="shared" si="142"/>
        <v>-0.12072320579035599</v>
      </c>
      <c r="AA436" s="2">
        <f t="shared" si="143"/>
        <v>-0.12245180830731611</v>
      </c>
      <c r="AB436" s="2">
        <f t="shared" si="144"/>
        <v>-0.12244727953144445</v>
      </c>
      <c r="AC436" s="2">
        <f t="shared" si="145"/>
        <v>-0.12381188015670272</v>
      </c>
      <c r="AD436" s="2">
        <f t="shared" si="146"/>
        <v>2687.7150149103413</v>
      </c>
      <c r="AE436" s="10">
        <f t="shared" si="147"/>
        <v>7541360.0333307208</v>
      </c>
    </row>
    <row r="437" spans="1:31" x14ac:dyDescent="0.25">
      <c r="A437" s="1">
        <f t="shared" si="148"/>
        <v>1.7875000000000001</v>
      </c>
      <c r="B437" s="7">
        <f t="shared" si="149"/>
        <v>27956917.561821017</v>
      </c>
      <c r="C437" s="7">
        <f t="shared" si="150"/>
        <v>7541360.0333307208</v>
      </c>
      <c r="D437" s="7"/>
      <c r="E437" s="7"/>
      <c r="F437" s="7"/>
      <c r="G437" s="7"/>
      <c r="H437" s="7"/>
      <c r="I437" s="7"/>
      <c r="J437" s="7"/>
      <c r="K437" s="7"/>
      <c r="L437" s="1">
        <f t="shared" si="153"/>
        <v>1.7875000000000001</v>
      </c>
      <c r="M437">
        <f t="shared" si="151"/>
        <v>154440</v>
      </c>
      <c r="N437" s="9">
        <f t="shared" si="154"/>
        <v>2296.0540694627834</v>
      </c>
      <c r="O437" s="7">
        <f t="shared" si="155"/>
        <v>27956917.561821017</v>
      </c>
      <c r="P437" s="2">
        <f t="shared" si="136"/>
        <v>-0.45898956972064381</v>
      </c>
      <c r="Q437" s="2">
        <f t="shared" si="137"/>
        <v>-0.4414625089501249</v>
      </c>
      <c r="R437" s="2">
        <f t="shared" si="138"/>
        <v>-0.44145486382877336</v>
      </c>
      <c r="S437" s="2">
        <f t="shared" si="139"/>
        <v>-0.42513998012729465</v>
      </c>
      <c r="T437" s="9">
        <f t="shared" si="140"/>
        <v>2137.0562117384393</v>
      </c>
      <c r="U437" s="7">
        <f t="shared" si="141"/>
        <v>28754877.412437238</v>
      </c>
      <c r="W437">
        <f t="shared" si="152"/>
        <v>154440</v>
      </c>
      <c r="X437" s="9">
        <f t="shared" si="156"/>
        <v>2687.7150149103413</v>
      </c>
      <c r="Y437" s="2">
        <f t="shared" si="157"/>
        <v>7541360.0333307208</v>
      </c>
      <c r="Z437" s="2">
        <f t="shared" si="142"/>
        <v>-0.12381213304910098</v>
      </c>
      <c r="AA437" s="2">
        <f t="shared" si="143"/>
        <v>-0.12487907992297309</v>
      </c>
      <c r="AB437" s="2">
        <f t="shared" si="144"/>
        <v>-0.12487539815429005</v>
      </c>
      <c r="AC437" s="2">
        <f t="shared" si="145"/>
        <v>-0.12568468173404937</v>
      </c>
      <c r="AD437" s="2">
        <f t="shared" si="146"/>
        <v>2642.7746686540809</v>
      </c>
      <c r="AE437" s="10">
        <f t="shared" si="147"/>
        <v>8500848.1763723176</v>
      </c>
    </row>
    <row r="438" spans="1:31" x14ac:dyDescent="0.25">
      <c r="A438" s="1">
        <f t="shared" si="148"/>
        <v>1.7916666666666667</v>
      </c>
      <c r="B438" s="7">
        <f t="shared" si="149"/>
        <v>28754877.412437238</v>
      </c>
      <c r="C438" s="7">
        <f t="shared" si="150"/>
        <v>8500848.1763723176</v>
      </c>
      <c r="D438" s="7"/>
      <c r="E438" s="7"/>
      <c r="F438" s="7"/>
      <c r="G438" s="7"/>
      <c r="H438" s="7"/>
      <c r="I438" s="7"/>
      <c r="J438" s="7"/>
      <c r="K438" s="7"/>
      <c r="L438" s="1">
        <f t="shared" si="153"/>
        <v>1.7916666666666667</v>
      </c>
      <c r="M438">
        <f t="shared" si="151"/>
        <v>154800</v>
      </c>
      <c r="N438" s="9">
        <f t="shared" si="154"/>
        <v>2137.0562117384393</v>
      </c>
      <c r="O438" s="7">
        <f t="shared" si="155"/>
        <v>28754877.412437238</v>
      </c>
      <c r="P438" s="2">
        <f t="shared" si="136"/>
        <v>-0.42514029489507921</v>
      </c>
      <c r="Q438" s="2">
        <f t="shared" si="137"/>
        <v>-0.4099366647830644</v>
      </c>
      <c r="R438" s="2">
        <f t="shared" si="138"/>
        <v>-0.40993074971574928</v>
      </c>
      <c r="S438" s="2">
        <f t="shared" si="139"/>
        <v>-0.39572418608057092</v>
      </c>
      <c r="T438" s="9">
        <f t="shared" si="140"/>
        <v>1989.4202531400426</v>
      </c>
      <c r="U438" s="7">
        <f t="shared" si="141"/>
        <v>29497643.176115364</v>
      </c>
      <c r="W438">
        <f t="shared" si="152"/>
        <v>154800</v>
      </c>
      <c r="X438" s="9">
        <f t="shared" si="156"/>
        <v>2642.7746686540809</v>
      </c>
      <c r="Y438" s="2">
        <f t="shared" si="157"/>
        <v>8500848.1763723176</v>
      </c>
      <c r="Z438" s="2">
        <f t="shared" si="142"/>
        <v>-0.12568487247307988</v>
      </c>
      <c r="AA438" s="2">
        <f t="shared" si="143"/>
        <v>-0.12628374095430045</v>
      </c>
      <c r="AB438" s="2">
        <f t="shared" si="144"/>
        <v>-0.12628071463809495</v>
      </c>
      <c r="AC438" s="2">
        <f t="shared" si="145"/>
        <v>-0.12669633147361326</v>
      </c>
      <c r="AD438" s="2">
        <f t="shared" si="146"/>
        <v>2597.324061746192</v>
      </c>
      <c r="AE438" s="10">
        <f t="shared" si="147"/>
        <v>9444065.9478443675</v>
      </c>
    </row>
    <row r="439" spans="1:31" x14ac:dyDescent="0.25">
      <c r="A439" s="1">
        <f t="shared" si="148"/>
        <v>1.7958333333333334</v>
      </c>
      <c r="B439" s="7">
        <f t="shared" si="149"/>
        <v>29497643.176115364</v>
      </c>
      <c r="C439" s="7">
        <f t="shared" si="150"/>
        <v>9444065.9478443675</v>
      </c>
      <c r="D439" s="7"/>
      <c r="E439" s="7"/>
      <c r="F439" s="7"/>
      <c r="G439" s="7"/>
      <c r="H439" s="7"/>
      <c r="I439" s="7"/>
      <c r="J439" s="7"/>
      <c r="K439" s="7"/>
      <c r="L439" s="1">
        <f t="shared" si="153"/>
        <v>1.7958333333333334</v>
      </c>
      <c r="M439">
        <f t="shared" si="151"/>
        <v>155160</v>
      </c>
      <c r="N439" s="9">
        <f t="shared" si="154"/>
        <v>1989.4202531400426</v>
      </c>
      <c r="O439" s="7">
        <f t="shared" si="155"/>
        <v>29497643.176115364</v>
      </c>
      <c r="P439" s="2">
        <f t="shared" si="136"/>
        <v>-0.39572441715079792</v>
      </c>
      <c r="Q439" s="2">
        <f t="shared" si="137"/>
        <v>-0.38243609693284963</v>
      </c>
      <c r="R439" s="2">
        <f t="shared" si="138"/>
        <v>-0.38243145183229832</v>
      </c>
      <c r="S439" s="2">
        <f t="shared" si="139"/>
        <v>-0.36997171805133866</v>
      </c>
      <c r="T439" s="9">
        <f t="shared" si="140"/>
        <v>1851.6943791760966</v>
      </c>
      <c r="U439" s="7">
        <f t="shared" si="141"/>
        <v>30189043.809932269</v>
      </c>
      <c r="W439">
        <f t="shared" si="152"/>
        <v>155160</v>
      </c>
      <c r="X439" s="9">
        <f t="shared" si="156"/>
        <v>2597.324061746192</v>
      </c>
      <c r="Y439" s="2">
        <f t="shared" si="157"/>
        <v>9444065.9478443675</v>
      </c>
      <c r="Z439" s="2">
        <f t="shared" si="142"/>
        <v>-0.12669647776370518</v>
      </c>
      <c r="AA439" s="2">
        <f t="shared" si="143"/>
        <v>-0.12696308109740478</v>
      </c>
      <c r="AB439" s="2">
        <f t="shared" si="144"/>
        <v>-0.12696056802962807</v>
      </c>
      <c r="AC439" s="2">
        <f t="shared" si="145"/>
        <v>-0.12709675464553949</v>
      </c>
      <c r="AD439" s="2">
        <f t="shared" si="146"/>
        <v>2551.6256299063934</v>
      </c>
      <c r="AE439" s="10">
        <f t="shared" si="147"/>
        <v>10370876.892341834</v>
      </c>
    </row>
    <row r="440" spans="1:31" x14ac:dyDescent="0.25">
      <c r="A440" s="1">
        <f t="shared" si="148"/>
        <v>1.8</v>
      </c>
      <c r="B440" s="7">
        <f t="shared" si="149"/>
        <v>30189043.809932269</v>
      </c>
      <c r="C440" s="7">
        <f t="shared" si="150"/>
        <v>10370876.892341834</v>
      </c>
      <c r="D440" s="7"/>
      <c r="E440" s="7"/>
      <c r="F440" s="7"/>
      <c r="G440" s="7"/>
      <c r="H440" s="7"/>
      <c r="I440" s="7"/>
      <c r="J440" s="7"/>
      <c r="K440" s="7"/>
      <c r="L440" s="1">
        <f t="shared" si="153"/>
        <v>1.8</v>
      </c>
      <c r="M440">
        <f t="shared" si="151"/>
        <v>155520</v>
      </c>
      <c r="N440" s="9">
        <f t="shared" si="154"/>
        <v>1851.6943791760966</v>
      </c>
      <c r="O440" s="7">
        <f t="shared" si="155"/>
        <v>30189043.809932269</v>
      </c>
      <c r="P440" s="2">
        <f t="shared" si="136"/>
        <v>-0.36997189077209597</v>
      </c>
      <c r="Q440" s="2">
        <f t="shared" si="137"/>
        <v>-0.35827842034844298</v>
      </c>
      <c r="R440" s="2">
        <f t="shared" si="138"/>
        <v>-0.35827472394090309</v>
      </c>
      <c r="S440" s="2">
        <f t="shared" si="139"/>
        <v>-0.34727625958344338</v>
      </c>
      <c r="T440" s="9">
        <f t="shared" si="140"/>
        <v>1722.6731128400427</v>
      </c>
      <c r="U440" s="7">
        <f t="shared" si="141"/>
        <v>30832429.958495174</v>
      </c>
      <c r="W440">
        <f t="shared" si="152"/>
        <v>155520</v>
      </c>
      <c r="X440" s="9">
        <f t="shared" si="156"/>
        <v>2551.6256299063934</v>
      </c>
      <c r="Y440" s="2">
        <f t="shared" si="157"/>
        <v>10370876.892341834</v>
      </c>
      <c r="Z440" s="2">
        <f t="shared" si="142"/>
        <v>-0.12709686855209334</v>
      </c>
      <c r="AA440" s="2">
        <f t="shared" si="143"/>
        <v>-0.12712784033760013</v>
      </c>
      <c r="AB440" s="2">
        <f t="shared" si="144"/>
        <v>-0.12712573370215785</v>
      </c>
      <c r="AC440" s="2">
        <f t="shared" si="145"/>
        <v>-0.12706427743715698</v>
      </c>
      <c r="AD440" s="2">
        <f t="shared" si="146"/>
        <v>2505.8655322622676</v>
      </c>
      <c r="AE440" s="10">
        <f t="shared" si="147"/>
        <v>11281225.301532192</v>
      </c>
    </row>
    <row r="441" spans="1:31" x14ac:dyDescent="0.25">
      <c r="A441" s="1">
        <f t="shared" si="148"/>
        <v>1.8041666666666667</v>
      </c>
      <c r="B441" s="7">
        <f t="shared" si="149"/>
        <v>30832429.958495174</v>
      </c>
      <c r="C441" s="7">
        <f t="shared" si="150"/>
        <v>11281225.301532192</v>
      </c>
      <c r="D441" s="7"/>
      <c r="E441" s="7"/>
      <c r="F441" s="7"/>
      <c r="G441" s="7"/>
      <c r="H441" s="7"/>
      <c r="I441" s="7"/>
      <c r="J441" s="7"/>
      <c r="K441" s="7"/>
      <c r="L441" s="1">
        <f t="shared" si="153"/>
        <v>1.8041666666666667</v>
      </c>
      <c r="M441">
        <f t="shared" si="151"/>
        <v>155880</v>
      </c>
      <c r="N441" s="9">
        <f t="shared" si="154"/>
        <v>1722.6731128400427</v>
      </c>
      <c r="O441" s="7">
        <f t="shared" si="155"/>
        <v>30832429.958495174</v>
      </c>
      <c r="P441" s="2">
        <f t="shared" si="136"/>
        <v>-0.34727639080467548</v>
      </c>
      <c r="Q441" s="2">
        <f t="shared" si="137"/>
        <v>-0.33692310076259468</v>
      </c>
      <c r="R441" s="2">
        <f t="shared" si="138"/>
        <v>-0.33692012427510332</v>
      </c>
      <c r="S441" s="2">
        <f t="shared" si="139"/>
        <v>-0.32715474674975153</v>
      </c>
      <c r="T441" s="9">
        <f t="shared" si="140"/>
        <v>1601.3460575822533</v>
      </c>
      <c r="U441" s="7">
        <f t="shared" si="141"/>
        <v>31430753.409171186</v>
      </c>
      <c r="W441">
        <f t="shared" si="152"/>
        <v>155880</v>
      </c>
      <c r="X441" s="9">
        <f t="shared" si="156"/>
        <v>2505.8655322622676</v>
      </c>
      <c r="Y441" s="2">
        <f t="shared" si="157"/>
        <v>11281225.301532192</v>
      </c>
      <c r="Z441" s="2">
        <f t="shared" si="142"/>
        <v>-0.12706436735100896</v>
      </c>
      <c r="AA441" s="2">
        <f t="shared" si="143"/>
        <v>-0.1269292981232587</v>
      </c>
      <c r="AB441" s="2">
        <f t="shared" si="144"/>
        <v>-0.12692751675237918</v>
      </c>
      <c r="AC441" s="2">
        <f t="shared" si="145"/>
        <v>-0.12672762918000105</v>
      </c>
      <c r="AD441" s="2">
        <f t="shared" si="146"/>
        <v>2460.1751946853306</v>
      </c>
      <c r="AE441" s="10">
        <f t="shared" si="147"/>
        <v>12175112.63238276</v>
      </c>
    </row>
    <row r="442" spans="1:31" x14ac:dyDescent="0.25">
      <c r="A442" s="1">
        <f t="shared" si="148"/>
        <v>1.8083333333333333</v>
      </c>
      <c r="B442" s="7">
        <f t="shared" si="149"/>
        <v>31430753.409171186</v>
      </c>
      <c r="C442" s="7">
        <f t="shared" si="150"/>
        <v>12175112.63238276</v>
      </c>
      <c r="D442" s="7"/>
      <c r="E442" s="7"/>
      <c r="F442" s="7"/>
      <c r="G442" s="7"/>
      <c r="H442" s="7"/>
      <c r="I442" s="7"/>
      <c r="J442" s="7"/>
      <c r="K442" s="7"/>
      <c r="L442" s="1">
        <f t="shared" si="153"/>
        <v>1.8083333333333333</v>
      </c>
      <c r="M442">
        <f t="shared" si="151"/>
        <v>156240</v>
      </c>
      <c r="N442" s="9">
        <f t="shared" si="154"/>
        <v>1601.3460575822533</v>
      </c>
      <c r="O442" s="7">
        <f t="shared" si="155"/>
        <v>31430753.409171186</v>
      </c>
      <c r="P442" s="2">
        <f t="shared" si="136"/>
        <v>-0.32715484791967703</v>
      </c>
      <c r="Q442" s="2">
        <f t="shared" si="137"/>
        <v>-0.31793712900684062</v>
      </c>
      <c r="R442" s="2">
        <f t="shared" si="138"/>
        <v>-0.31793470664095808</v>
      </c>
      <c r="S442" s="2">
        <f t="shared" si="139"/>
        <v>-0.30921816655121503</v>
      </c>
      <c r="T442" s="9">
        <f t="shared" si="140"/>
        <v>1486.8590564362639</v>
      </c>
      <c r="U442" s="7">
        <f t="shared" si="141"/>
        <v>31986630.329694521</v>
      </c>
      <c r="W442">
        <f t="shared" si="152"/>
        <v>156240</v>
      </c>
      <c r="X442" s="9">
        <f t="shared" si="156"/>
        <v>2460.1751946853306</v>
      </c>
      <c r="Y442" s="2">
        <f t="shared" si="157"/>
        <v>12175112.63238276</v>
      </c>
      <c r="Z442" s="2">
        <f t="shared" si="142"/>
        <v>-0.12672770104485889</v>
      </c>
      <c r="AA442" s="2">
        <f t="shared" si="143"/>
        <v>-0.12647722446612913</v>
      </c>
      <c r="AB442" s="2">
        <f t="shared" si="144"/>
        <v>-0.12647570599101693</v>
      </c>
      <c r="AC442" s="2">
        <f t="shared" si="145"/>
        <v>-0.12618066190781368</v>
      </c>
      <c r="AD442" s="2">
        <f t="shared" si="146"/>
        <v>2414.6463412533126</v>
      </c>
      <c r="AE442" s="10">
        <f t="shared" si="147"/>
        <v>13052580.508851716</v>
      </c>
    </row>
    <row r="443" spans="1:31" x14ac:dyDescent="0.25">
      <c r="A443" s="1">
        <f t="shared" si="148"/>
        <v>1.8125</v>
      </c>
      <c r="B443" s="7">
        <f t="shared" si="149"/>
        <v>31986630.329694521</v>
      </c>
      <c r="C443" s="7">
        <f t="shared" si="150"/>
        <v>13052580.508851716</v>
      </c>
      <c r="D443" s="7"/>
      <c r="E443" s="7"/>
      <c r="F443" s="7"/>
      <c r="G443" s="7"/>
      <c r="H443" s="7"/>
      <c r="I443" s="7"/>
      <c r="J443" s="7"/>
      <c r="K443" s="7"/>
      <c r="L443" s="1">
        <f t="shared" si="153"/>
        <v>1.8125</v>
      </c>
      <c r="M443">
        <f t="shared" si="151"/>
        <v>156600</v>
      </c>
      <c r="N443" s="9">
        <f t="shared" si="154"/>
        <v>1486.8590564362639</v>
      </c>
      <c r="O443" s="7">
        <f t="shared" si="155"/>
        <v>31986630.329694521</v>
      </c>
      <c r="P443" s="2">
        <f t="shared" si="136"/>
        <v>-0.30921824560285044</v>
      </c>
      <c r="Q443" s="2">
        <f t="shared" si="137"/>
        <v>-0.30097006074027183</v>
      </c>
      <c r="R443" s="2">
        <f t="shared" si="138"/>
        <v>-0.30096807040798534</v>
      </c>
      <c r="S443" s="2">
        <f t="shared" si="139"/>
        <v>-0.29315016478505618</v>
      </c>
      <c r="T443" s="9">
        <f t="shared" si="140"/>
        <v>1378.4843760751987</v>
      </c>
      <c r="U443" s="7">
        <f t="shared" si="141"/>
        <v>32502392.147546586</v>
      </c>
      <c r="W443">
        <f t="shared" si="152"/>
        <v>156600</v>
      </c>
      <c r="X443" s="9">
        <f t="shared" si="156"/>
        <v>2414.6463412533126</v>
      </c>
      <c r="Y443" s="2">
        <f t="shared" si="157"/>
        <v>13052580.508851716</v>
      </c>
      <c r="Z443" s="2">
        <f t="shared" si="142"/>
        <v>-0.12618072000507682</v>
      </c>
      <c r="AA443" s="2">
        <f t="shared" si="143"/>
        <v>-0.12585199797179175</v>
      </c>
      <c r="AB443" s="2">
        <f t="shared" si="144"/>
        <v>-0.12585069395797563</v>
      </c>
      <c r="AC443" s="2">
        <f t="shared" si="145"/>
        <v>-0.12549237210784725</v>
      </c>
      <c r="AD443" s="2">
        <f t="shared" si="146"/>
        <v>2369.341632694965</v>
      </c>
      <c r="AE443" s="10">
        <f t="shared" si="147"/>
        <v>13913698.344162406</v>
      </c>
    </row>
    <row r="444" spans="1:31" x14ac:dyDescent="0.25">
      <c r="A444" s="1">
        <f t="shared" si="148"/>
        <v>1.8166666666666667</v>
      </c>
      <c r="B444" s="7">
        <f t="shared" si="149"/>
        <v>32502392.147546586</v>
      </c>
      <c r="C444" s="7">
        <f t="shared" si="150"/>
        <v>13913698.344162406</v>
      </c>
      <c r="D444" s="7"/>
      <c r="E444" s="7"/>
      <c r="F444" s="7"/>
      <c r="G444" s="7"/>
      <c r="H444" s="7"/>
      <c r="I444" s="7"/>
      <c r="J444" s="7"/>
      <c r="K444" s="7"/>
      <c r="L444" s="1">
        <f t="shared" si="153"/>
        <v>1.8166666666666667</v>
      </c>
      <c r="M444">
        <f t="shared" si="151"/>
        <v>156960</v>
      </c>
      <c r="N444" s="9">
        <f t="shared" si="154"/>
        <v>1378.4843760751987</v>
      </c>
      <c r="O444" s="7">
        <f t="shared" si="155"/>
        <v>32502392.147546586</v>
      </c>
      <c r="P444" s="2">
        <f t="shared" si="136"/>
        <v>-0.29315022731472279</v>
      </c>
      <c r="Q444" s="2">
        <f t="shared" si="137"/>
        <v>-0.28573560399654574</v>
      </c>
      <c r="R444" s="2">
        <f t="shared" si="138"/>
        <v>-0.28573395448615552</v>
      </c>
      <c r="S444" s="2">
        <f t="shared" si="139"/>
        <v>-0.27869115816095952</v>
      </c>
      <c r="T444" s="9">
        <f t="shared" si="140"/>
        <v>1275.5975459287336</v>
      </c>
      <c r="U444" s="7">
        <f t="shared" si="141"/>
        <v>32980126.893507294</v>
      </c>
      <c r="W444">
        <f t="shared" si="152"/>
        <v>156960</v>
      </c>
      <c r="X444" s="9">
        <f t="shared" si="156"/>
        <v>2369.341632694965</v>
      </c>
      <c r="Y444" s="2">
        <f t="shared" si="157"/>
        <v>13913698.344162406</v>
      </c>
      <c r="Z444" s="2">
        <f t="shared" si="142"/>
        <v>-0.12549241956911089</v>
      </c>
      <c r="AA444" s="2">
        <f t="shared" si="143"/>
        <v>-0.12511292346301631</v>
      </c>
      <c r="AB444" s="2">
        <f t="shared" si="144"/>
        <v>-0.12511179591839219</v>
      </c>
      <c r="AC444" s="2">
        <f t="shared" si="145"/>
        <v>-0.12471383258290868</v>
      </c>
      <c r="AD444" s="2">
        <f t="shared" si="146"/>
        <v>2324.3022912400747</v>
      </c>
      <c r="AE444" s="10">
        <f t="shared" si="147"/>
        <v>14758554.250470713</v>
      </c>
    </row>
    <row r="445" spans="1:31" x14ac:dyDescent="0.25">
      <c r="A445" s="1">
        <f t="shared" si="148"/>
        <v>1.8208333333333333</v>
      </c>
      <c r="B445" s="7">
        <f t="shared" si="149"/>
        <v>32980126.893507294</v>
      </c>
      <c r="C445" s="7">
        <f t="shared" si="150"/>
        <v>14758554.250470713</v>
      </c>
      <c r="D445" s="7"/>
      <c r="E445" s="7"/>
      <c r="F445" s="7"/>
      <c r="G445" s="7"/>
      <c r="H445" s="7"/>
      <c r="I445" s="7"/>
      <c r="J445" s="7"/>
      <c r="K445" s="7"/>
      <c r="L445" s="1">
        <f t="shared" si="153"/>
        <v>1.8208333333333333</v>
      </c>
      <c r="M445">
        <f t="shared" si="151"/>
        <v>157320</v>
      </c>
      <c r="N445" s="9">
        <f t="shared" si="154"/>
        <v>1275.5975459287336</v>
      </c>
      <c r="O445" s="7">
        <f t="shared" si="155"/>
        <v>32980126.893507294</v>
      </c>
      <c r="P445" s="2">
        <f t="shared" si="136"/>
        <v>-0.27869120818138349</v>
      </c>
      <c r="Q445" s="2">
        <f t="shared" si="137"/>
        <v>-0.27199785661901099</v>
      </c>
      <c r="R445" s="2">
        <f t="shared" si="138"/>
        <v>-0.27199647888080064</v>
      </c>
      <c r="S445" s="2">
        <f t="shared" si="139"/>
        <v>-0.26562638436464781</v>
      </c>
      <c r="T445" s="9">
        <f t="shared" si="140"/>
        <v>1177.6591701159944</v>
      </c>
      <c r="U445" s="7">
        <f t="shared" si="141"/>
        <v>33421713.102395345</v>
      </c>
      <c r="W445">
        <f t="shared" si="152"/>
        <v>157320</v>
      </c>
      <c r="X445" s="9">
        <f t="shared" si="156"/>
        <v>2324.3022912400747</v>
      </c>
      <c r="Y445" s="2">
        <f t="shared" si="157"/>
        <v>14758554.250470713</v>
      </c>
      <c r="Z445" s="2">
        <f t="shared" si="142"/>
        <v>-0.12471387173115771</v>
      </c>
      <c r="AA445" s="2">
        <f t="shared" si="143"/>
        <v>-0.12430402733295814</v>
      </c>
      <c r="AB445" s="2">
        <f t="shared" si="144"/>
        <v>-0.12430304617394243</v>
      </c>
      <c r="AC445" s="2">
        <f t="shared" si="145"/>
        <v>-0.12388305593198265</v>
      </c>
      <c r="AD445" s="2">
        <f t="shared" si="146"/>
        <v>2279.5536267594584</v>
      </c>
      <c r="AE445" s="10">
        <f t="shared" si="147"/>
        <v>15587248.315710628</v>
      </c>
    </row>
    <row r="446" spans="1:31" x14ac:dyDescent="0.25">
      <c r="A446" s="1">
        <f t="shared" si="148"/>
        <v>1.825</v>
      </c>
      <c r="B446" s="7">
        <f t="shared" si="149"/>
        <v>33421713.102395345</v>
      </c>
      <c r="C446" s="7">
        <f t="shared" si="150"/>
        <v>15587248.315710628</v>
      </c>
      <c r="D446" s="7"/>
      <c r="E446" s="7"/>
      <c r="F446" s="7"/>
      <c r="G446" s="7"/>
      <c r="H446" s="7"/>
      <c r="I446" s="7"/>
      <c r="J446" s="7"/>
      <c r="K446" s="7"/>
      <c r="L446" s="1">
        <f t="shared" si="153"/>
        <v>1.825</v>
      </c>
      <c r="M446">
        <f t="shared" si="151"/>
        <v>157680</v>
      </c>
      <c r="N446" s="9">
        <f t="shared" si="154"/>
        <v>1177.6591701159944</v>
      </c>
      <c r="O446" s="7">
        <f t="shared" si="155"/>
        <v>33421713.102395345</v>
      </c>
      <c r="P446" s="2">
        <f t="shared" si="136"/>
        <v>-0.26562642479625237</v>
      </c>
      <c r="Q446" s="2">
        <f t="shared" si="137"/>
        <v>-0.25956089363645574</v>
      </c>
      <c r="R446" s="2">
        <f t="shared" si="138"/>
        <v>-0.25955973476217342</v>
      </c>
      <c r="S446" s="2">
        <f t="shared" si="139"/>
        <v>-0.2537768086544297</v>
      </c>
      <c r="T446" s="9">
        <f t="shared" si="140"/>
        <v>1084.200500701118</v>
      </c>
      <c r="U446" s="7">
        <f t="shared" si="141"/>
        <v>33828847.843142428</v>
      </c>
      <c r="W446">
        <f t="shared" si="152"/>
        <v>157680</v>
      </c>
      <c r="X446" s="9">
        <f t="shared" si="156"/>
        <v>2279.5536267594584</v>
      </c>
      <c r="Y446" s="2">
        <f t="shared" si="157"/>
        <v>15587248.315710628</v>
      </c>
      <c r="Z446" s="2">
        <f t="shared" si="142"/>
        <v>-0.12388308851280502</v>
      </c>
      <c r="AA446" s="2">
        <f t="shared" si="143"/>
        <v>-0.12345815061853598</v>
      </c>
      <c r="AB446" s="2">
        <f t="shared" si="144"/>
        <v>-0.12345729181171476</v>
      </c>
      <c r="AC446" s="2">
        <f t="shared" si="145"/>
        <v>-0.12302845115402648</v>
      </c>
      <c r="AD446" s="2">
        <f t="shared" si="146"/>
        <v>2235.1090812878183</v>
      </c>
      <c r="AE446" s="10">
        <f t="shared" si="147"/>
        <v>16399887.603159139</v>
      </c>
    </row>
    <row r="447" spans="1:31" x14ac:dyDescent="0.25">
      <c r="A447" s="1">
        <f t="shared" si="148"/>
        <v>1.8291666666666666</v>
      </c>
      <c r="B447" s="7">
        <f t="shared" si="149"/>
        <v>33828847.843142428</v>
      </c>
      <c r="C447" s="7">
        <f t="shared" si="150"/>
        <v>16399887.603159139</v>
      </c>
      <c r="D447" s="7"/>
      <c r="E447" s="7"/>
      <c r="F447" s="7"/>
      <c r="G447" s="7"/>
      <c r="H447" s="7"/>
      <c r="I447" s="7"/>
      <c r="J447" s="7"/>
      <c r="K447" s="7"/>
      <c r="L447" s="1">
        <f t="shared" si="153"/>
        <v>1.8291666666666666</v>
      </c>
      <c r="M447">
        <f t="shared" si="151"/>
        <v>158040</v>
      </c>
      <c r="N447" s="9">
        <f t="shared" si="154"/>
        <v>1084.200500701118</v>
      </c>
      <c r="O447" s="7">
        <f t="shared" si="155"/>
        <v>33828847.843142428</v>
      </c>
      <c r="P447" s="2">
        <f t="shared" si="136"/>
        <v>-0.25377684165194209</v>
      </c>
      <c r="Q447" s="2">
        <f t="shared" si="137"/>
        <v>-0.24826080035276399</v>
      </c>
      <c r="R447" s="2">
        <f t="shared" si="138"/>
        <v>-0.24825981934956515</v>
      </c>
      <c r="S447" s="2">
        <f t="shared" si="139"/>
        <v>-0.24299212919191243</v>
      </c>
      <c r="T447" s="9">
        <f t="shared" si="140"/>
        <v>994.81188808620732</v>
      </c>
      <c r="U447" s="7">
        <f t="shared" si="141"/>
        <v>34203070.073124148</v>
      </c>
      <c r="W447">
        <f t="shared" si="152"/>
        <v>158040</v>
      </c>
      <c r="X447" s="9">
        <f t="shared" si="156"/>
        <v>2235.1090812878183</v>
      </c>
      <c r="Y447" s="2">
        <f t="shared" si="157"/>
        <v>16399887.603159139</v>
      </c>
      <c r="Z447" s="2">
        <f t="shared" si="142"/>
        <v>-0.12302847849487855</v>
      </c>
      <c r="AA447" s="2">
        <f t="shared" si="143"/>
        <v>-0.1225998755605333</v>
      </c>
      <c r="AB447" s="2">
        <f t="shared" si="144"/>
        <v>-0.12259911974551202</v>
      </c>
      <c r="AC447" s="2">
        <f t="shared" si="145"/>
        <v>-0.12217130929228204</v>
      </c>
      <c r="AD447" s="2">
        <f t="shared" si="146"/>
        <v>2190.9732145838634</v>
      </c>
      <c r="AE447" s="10">
        <f t="shared" si="147"/>
        <v>17196582.416416042</v>
      </c>
    </row>
    <row r="448" spans="1:31" x14ac:dyDescent="0.25">
      <c r="A448" s="1">
        <f t="shared" si="148"/>
        <v>1.8333333333333333</v>
      </c>
      <c r="B448" s="7">
        <f t="shared" si="149"/>
        <v>34203070.073124148</v>
      </c>
      <c r="C448" s="7">
        <f t="shared" si="150"/>
        <v>17196582.416416042</v>
      </c>
      <c r="D448" s="7"/>
      <c r="E448" s="7"/>
      <c r="F448" s="7"/>
      <c r="G448" s="7"/>
      <c r="H448" s="7"/>
      <c r="I448" s="7"/>
      <c r="J448" s="7"/>
      <c r="K448" s="7"/>
      <c r="L448" s="1">
        <f t="shared" si="153"/>
        <v>1.8333333333333333</v>
      </c>
      <c r="M448">
        <f t="shared" si="151"/>
        <v>158400</v>
      </c>
      <c r="N448" s="9">
        <f t="shared" si="154"/>
        <v>994.81188808620732</v>
      </c>
      <c r="O448" s="7">
        <f t="shared" si="155"/>
        <v>34203070.073124148</v>
      </c>
      <c r="P448" s="2">
        <f t="shared" si="136"/>
        <v>-0.24299215636528421</v>
      </c>
      <c r="Q448" s="2">
        <f t="shared" si="137"/>
        <v>-0.23795951311393096</v>
      </c>
      <c r="R448" s="2">
        <f t="shared" si="138"/>
        <v>-0.2379586778942592</v>
      </c>
      <c r="S448" s="2">
        <f t="shared" si="139"/>
        <v>-0.23314534271696699</v>
      </c>
      <c r="T448" s="9">
        <f t="shared" si="140"/>
        <v>909.13345522028942</v>
      </c>
      <c r="U448" s="7">
        <f t="shared" si="141"/>
        <v>34545780.234919317</v>
      </c>
      <c r="W448">
        <f t="shared" si="152"/>
        <v>158400</v>
      </c>
      <c r="X448" s="9">
        <f t="shared" si="156"/>
        <v>2190.9732145838634</v>
      </c>
      <c r="Y448" s="2">
        <f t="shared" si="157"/>
        <v>17196582.416416042</v>
      </c>
      <c r="Z448" s="2">
        <f t="shared" si="142"/>
        <v>-0.12217133241386201</v>
      </c>
      <c r="AA448" s="2">
        <f t="shared" si="143"/>
        <v>-0.12174764160176857</v>
      </c>
      <c r="AB448" s="2">
        <f t="shared" si="144"/>
        <v>-0.12174697306038401</v>
      </c>
      <c r="AC448" s="2">
        <f t="shared" si="145"/>
        <v>-0.12132761000346586</v>
      </c>
      <c r="AD448" s="2">
        <f t="shared" si="146"/>
        <v>2147.1439242793654</v>
      </c>
      <c r="AE448" s="10">
        <f t="shared" si="147"/>
        <v>17977443.501411423</v>
      </c>
    </row>
    <row r="449" spans="1:31" x14ac:dyDescent="0.25">
      <c r="A449" s="1">
        <f t="shared" si="148"/>
        <v>1.8374999999999999</v>
      </c>
      <c r="B449" s="7">
        <f t="shared" si="149"/>
        <v>34545780.234919317</v>
      </c>
      <c r="C449" s="7">
        <f t="shared" si="150"/>
        <v>17977443.501411423</v>
      </c>
      <c r="D449" s="7"/>
      <c r="E449" s="7"/>
      <c r="F449" s="7"/>
      <c r="G449" s="7"/>
      <c r="H449" s="7"/>
      <c r="I449" s="7"/>
      <c r="J449" s="7"/>
      <c r="K449" s="7"/>
      <c r="L449" s="1">
        <f t="shared" si="153"/>
        <v>1.8374999999999999</v>
      </c>
      <c r="M449">
        <f t="shared" si="151"/>
        <v>158760</v>
      </c>
      <c r="N449" s="9">
        <f t="shared" si="154"/>
        <v>909.13345522028942</v>
      </c>
      <c r="O449" s="7">
        <f t="shared" si="155"/>
        <v>34545780.234919317</v>
      </c>
      <c r="P449" s="2">
        <f t="shared" si="136"/>
        <v>-0.23314536528320806</v>
      </c>
      <c r="Q449" s="2">
        <f t="shared" si="137"/>
        <v>-0.22854001151937517</v>
      </c>
      <c r="R449" s="2">
        <f t="shared" si="138"/>
        <v>-0.22853929672782569</v>
      </c>
      <c r="S449" s="2">
        <f t="shared" si="139"/>
        <v>-0.22412848313046074</v>
      </c>
      <c r="T449" s="9">
        <f t="shared" si="140"/>
        <v>826.84750732580517</v>
      </c>
      <c r="U449" s="7">
        <f t="shared" si="141"/>
        <v>34858256.808177613</v>
      </c>
      <c r="W449">
        <f t="shared" si="152"/>
        <v>158760</v>
      </c>
      <c r="X449" s="9">
        <f t="shared" si="156"/>
        <v>2147.1439242793654</v>
      </c>
      <c r="Y449" s="2">
        <f t="shared" si="157"/>
        <v>17977443.501411423</v>
      </c>
      <c r="Z449" s="2">
        <f t="shared" si="142"/>
        <v>-0.12132762969869547</v>
      </c>
      <c r="AA449" s="2">
        <f t="shared" si="143"/>
        <v>-0.12091529095412894</v>
      </c>
      <c r="AB449" s="2">
        <f t="shared" si="144"/>
        <v>-0.12091469683151025</v>
      </c>
      <c r="AC449" s="2">
        <f t="shared" si="145"/>
        <v>-0.12050934737931826</v>
      </c>
      <c r="AD449" s="2">
        <f t="shared" si="146"/>
        <v>2103.6141071204079</v>
      </c>
      <c r="AE449" s="10">
        <f t="shared" si="147"/>
        <v>18742579.947063383</v>
      </c>
    </row>
    <row r="450" spans="1:31" x14ac:dyDescent="0.25">
      <c r="A450" s="1">
        <f t="shared" si="148"/>
        <v>1.8416666666666666</v>
      </c>
      <c r="B450" s="7">
        <f t="shared" si="149"/>
        <v>34858256.808177613</v>
      </c>
      <c r="C450" s="7">
        <f t="shared" si="150"/>
        <v>18742579.947063383</v>
      </c>
      <c r="D450" s="7"/>
      <c r="E450" s="7"/>
      <c r="F450" s="7"/>
      <c r="G450" s="7"/>
      <c r="H450" s="7"/>
      <c r="I450" s="7"/>
      <c r="J450" s="7"/>
      <c r="K450" s="7"/>
      <c r="L450" s="1">
        <f t="shared" si="153"/>
        <v>1.8416666666666666</v>
      </c>
      <c r="M450">
        <f t="shared" si="151"/>
        <v>159120</v>
      </c>
      <c r="N450" s="9">
        <f t="shared" si="154"/>
        <v>826.84750732580517</v>
      </c>
      <c r="O450" s="7">
        <f t="shared" si="155"/>
        <v>34858256.808177613</v>
      </c>
      <c r="P450" s="2">
        <f t="shared" si="136"/>
        <v>-0.22412850201954232</v>
      </c>
      <c r="Q450" s="2">
        <f t="shared" si="137"/>
        <v>-0.21990253178508157</v>
      </c>
      <c r="R450" s="2">
        <f t="shared" si="138"/>
        <v>-0.21990191720982405</v>
      </c>
      <c r="S450" s="2">
        <f t="shared" si="139"/>
        <v>-0.21584925083280779</v>
      </c>
      <c r="T450" s="9">
        <f t="shared" si="140"/>
        <v>747.67230827527555</v>
      </c>
      <c r="U450" s="7">
        <f t="shared" si="141"/>
        <v>35141670.374985807</v>
      </c>
      <c r="W450">
        <f t="shared" si="152"/>
        <v>159120</v>
      </c>
      <c r="X450" s="9">
        <f t="shared" si="156"/>
        <v>2103.6141071204079</v>
      </c>
      <c r="Y450" s="2">
        <f t="shared" si="157"/>
        <v>18742579.947063383</v>
      </c>
      <c r="Z450" s="2">
        <f t="shared" si="142"/>
        <v>-0.12050936427008467</v>
      </c>
      <c r="AA450" s="2">
        <f t="shared" si="143"/>
        <v>-0.12011320802407241</v>
      </c>
      <c r="AB450" s="2">
        <f t="shared" si="144"/>
        <v>-0.12011267773464121</v>
      </c>
      <c r="AC450" s="2">
        <f t="shared" si="145"/>
        <v>-0.11972551160891057</v>
      </c>
      <c r="AD450" s="2">
        <f t="shared" si="146"/>
        <v>2060.3729082766226</v>
      </c>
      <c r="AE450" s="10">
        <f t="shared" si="147"/>
        <v>19492097.60983485</v>
      </c>
    </row>
    <row r="451" spans="1:31" x14ac:dyDescent="0.25">
      <c r="A451" s="1">
        <f t="shared" si="148"/>
        <v>1.8458333333333334</v>
      </c>
      <c r="B451" s="7">
        <f t="shared" si="149"/>
        <v>35141670.374985807</v>
      </c>
      <c r="C451" s="7">
        <f t="shared" si="150"/>
        <v>19492097.60983485</v>
      </c>
      <c r="D451" s="7"/>
      <c r="E451" s="7"/>
      <c r="F451" s="7"/>
      <c r="G451" s="7"/>
      <c r="H451" s="7"/>
      <c r="I451" s="7"/>
      <c r="J451" s="7"/>
      <c r="K451" s="7"/>
      <c r="L451" s="1">
        <f t="shared" si="153"/>
        <v>1.8458333333333334</v>
      </c>
      <c r="M451">
        <f t="shared" si="151"/>
        <v>159480</v>
      </c>
      <c r="N451" s="9">
        <f t="shared" si="154"/>
        <v>747.67230827527555</v>
      </c>
      <c r="O451" s="7">
        <f t="shared" si="155"/>
        <v>35141670.374985807</v>
      </c>
      <c r="P451" s="2">
        <f t="shared" si="136"/>
        <v>-0.21584926676254376</v>
      </c>
      <c r="Q451" s="2">
        <f t="shared" si="137"/>
        <v>-0.21196155936933256</v>
      </c>
      <c r="R451" s="2">
        <f t="shared" si="138"/>
        <v>-0.21196102876732906</v>
      </c>
      <c r="S451" s="2">
        <f t="shared" si="139"/>
        <v>-0.20822832504104677</v>
      </c>
      <c r="T451" s="9">
        <f t="shared" si="140"/>
        <v>671.35694219066067</v>
      </c>
      <c r="U451" s="7">
        <f t="shared" si="141"/>
        <v>35397095.640069678</v>
      </c>
      <c r="W451">
        <f t="shared" si="152"/>
        <v>159480</v>
      </c>
      <c r="X451" s="9">
        <f t="shared" si="156"/>
        <v>2060.3729082766226</v>
      </c>
      <c r="Y451" s="2">
        <f t="shared" si="157"/>
        <v>19492097.60983485</v>
      </c>
      <c r="Z451" s="2">
        <f t="shared" si="142"/>
        <v>-0.11972552618732736</v>
      </c>
      <c r="AA451" s="2">
        <f t="shared" si="143"/>
        <v>-0.11934916656389154</v>
      </c>
      <c r="AB451" s="2">
        <f t="shared" si="144"/>
        <v>-0.11934869133446196</v>
      </c>
      <c r="AC451" s="2">
        <f t="shared" si="145"/>
        <v>-0.11898282172877502</v>
      </c>
      <c r="AD451" s="2">
        <f t="shared" si="146"/>
        <v>2017.4066644538541</v>
      </c>
      <c r="AE451" s="10">
        <f t="shared" si="147"/>
        <v>20226097.932926334</v>
      </c>
    </row>
    <row r="452" spans="1:31" x14ac:dyDescent="0.25">
      <c r="A452" s="1">
        <f t="shared" si="148"/>
        <v>1.85</v>
      </c>
      <c r="B452" s="7">
        <f t="shared" si="149"/>
        <v>35397095.640069678</v>
      </c>
      <c r="C452" s="7">
        <f t="shared" si="150"/>
        <v>20226097.932926334</v>
      </c>
      <c r="D452" s="7"/>
      <c r="E452" s="7"/>
      <c r="F452" s="7"/>
      <c r="G452" s="7"/>
      <c r="H452" s="7"/>
      <c r="I452" s="7"/>
      <c r="J452" s="7"/>
      <c r="K452" s="7"/>
      <c r="L452" s="1">
        <f t="shared" si="153"/>
        <v>1.85</v>
      </c>
      <c r="M452">
        <f t="shared" si="151"/>
        <v>159840</v>
      </c>
      <c r="N452" s="9">
        <f t="shared" si="154"/>
        <v>671.35694219066067</v>
      </c>
      <c r="O452" s="7">
        <f t="shared" si="155"/>
        <v>35397095.640069678</v>
      </c>
      <c r="P452" s="2">
        <f t="shared" si="136"/>
        <v>-0.2082283385707164</v>
      </c>
      <c r="Q452" s="2">
        <f t="shared" si="137"/>
        <v>-0.20464342179662839</v>
      </c>
      <c r="R452" s="2">
        <f t="shared" si="138"/>
        <v>-0.2046429620154562</v>
      </c>
      <c r="S452" s="2">
        <f t="shared" si="139"/>
        <v>-0.2011972044769163</v>
      </c>
      <c r="T452" s="9">
        <f t="shared" si="140"/>
        <v>597.67704355035255</v>
      </c>
      <c r="U452" s="7">
        <f t="shared" si="141"/>
        <v>35625521.757503062</v>
      </c>
      <c r="W452">
        <f t="shared" si="152"/>
        <v>159840</v>
      </c>
      <c r="X452" s="9">
        <f t="shared" si="156"/>
        <v>2017.4066644538541</v>
      </c>
      <c r="Y452" s="2">
        <f t="shared" si="157"/>
        <v>20226097.932926334</v>
      </c>
      <c r="Z452" s="2">
        <f t="shared" si="142"/>
        <v>-0.11898283438752674</v>
      </c>
      <c r="AA452" s="2">
        <f t="shared" si="143"/>
        <v>-0.11862896441932338</v>
      </c>
      <c r="AB452" s="2">
        <f t="shared" si="144"/>
        <v>-0.11862853693476523</v>
      </c>
      <c r="AC452" s="2">
        <f t="shared" si="145"/>
        <v>-0.11828627664878505</v>
      </c>
      <c r="AD452" s="2">
        <f t="shared" si="146"/>
        <v>1974.6996176291848</v>
      </c>
      <c r="AE452" s="10">
        <f t="shared" si="147"/>
        <v>20944677.063701283</v>
      </c>
    </row>
    <row r="453" spans="1:31" x14ac:dyDescent="0.25">
      <c r="A453" s="1">
        <f t="shared" si="148"/>
        <v>1.8541666666666667</v>
      </c>
      <c r="B453" s="7">
        <f t="shared" si="149"/>
        <v>35625521.757503062</v>
      </c>
      <c r="C453" s="7">
        <f t="shared" si="150"/>
        <v>20944677.063701283</v>
      </c>
      <c r="D453" s="7"/>
      <c r="E453" s="7"/>
      <c r="F453" s="7"/>
      <c r="G453" s="7"/>
      <c r="H453" s="7"/>
      <c r="I453" s="7"/>
      <c r="J453" s="7"/>
      <c r="K453" s="7"/>
      <c r="L453" s="1">
        <f t="shared" si="153"/>
        <v>1.8541666666666667</v>
      </c>
      <c r="M453">
        <f t="shared" si="151"/>
        <v>160200</v>
      </c>
      <c r="N453" s="9">
        <f t="shared" si="154"/>
        <v>597.67704355035255</v>
      </c>
      <c r="O453" s="7">
        <f t="shared" si="155"/>
        <v>35625521.757503062</v>
      </c>
      <c r="P453" s="2">
        <f t="shared" si="136"/>
        <v>-0.20119721604612037</v>
      </c>
      <c r="Q453" s="2">
        <f t="shared" si="137"/>
        <v>-0.19788434778131611</v>
      </c>
      <c r="R453" s="2">
        <f t="shared" si="138"/>
        <v>-0.19788394809608534</v>
      </c>
      <c r="S453" s="2">
        <f t="shared" si="139"/>
        <v>-0.19469646025590601</v>
      </c>
      <c r="T453" s="9">
        <f t="shared" si="140"/>
        <v>526.4312274669428</v>
      </c>
      <c r="U453" s="7">
        <f t="shared" si="141"/>
        <v>35827861.246286176</v>
      </c>
      <c r="W453">
        <f t="shared" si="152"/>
        <v>160200</v>
      </c>
      <c r="X453" s="9">
        <f t="shared" si="156"/>
        <v>1974.6996176291848</v>
      </c>
      <c r="Y453" s="2">
        <f t="shared" si="157"/>
        <v>20944677.063701283</v>
      </c>
      <c r="Z453" s="2">
        <f t="shared" si="142"/>
        <v>-0.11828628770368024</v>
      </c>
      <c r="AA453" s="2">
        <f t="shared" si="143"/>
        <v>-0.11795690252218949</v>
      </c>
      <c r="AB453" s="2">
        <f t="shared" si="144"/>
        <v>-0.11795651664848583</v>
      </c>
      <c r="AC453" s="2">
        <f t="shared" si="145"/>
        <v>-0.117639572357467</v>
      </c>
      <c r="AD453" s="2">
        <f t="shared" si="146"/>
        <v>1932.2344557250349</v>
      </c>
      <c r="AE453" s="10">
        <f t="shared" si="147"/>
        <v>21647925.196905043</v>
      </c>
    </row>
    <row r="454" spans="1:31" x14ac:dyDescent="0.25">
      <c r="A454" s="1">
        <f t="shared" si="148"/>
        <v>1.8583333333333334</v>
      </c>
      <c r="B454" s="7">
        <f t="shared" si="149"/>
        <v>35827861.246286176</v>
      </c>
      <c r="C454" s="7">
        <f t="shared" si="150"/>
        <v>21647925.196905043</v>
      </c>
      <c r="D454" s="7"/>
      <c r="E454" s="7"/>
      <c r="F454" s="7"/>
      <c r="G454" s="7"/>
      <c r="H454" s="7"/>
      <c r="I454" s="7"/>
      <c r="J454" s="7"/>
      <c r="K454" s="7"/>
      <c r="L454" s="1">
        <f t="shared" si="153"/>
        <v>1.8583333333333334</v>
      </c>
      <c r="M454">
        <f t="shared" si="151"/>
        <v>160560</v>
      </c>
      <c r="N454" s="9">
        <f t="shared" si="154"/>
        <v>526.4312274669428</v>
      </c>
      <c r="O454" s="7">
        <f t="shared" si="155"/>
        <v>35827861.246286176</v>
      </c>
      <c r="P454" s="2">
        <f t="shared" si="136"/>
        <v>-0.19469647021303518</v>
      </c>
      <c r="Q454" s="2">
        <f t="shared" si="137"/>
        <v>-0.19162889157644133</v>
      </c>
      <c r="R454" s="2">
        <f t="shared" si="138"/>
        <v>-0.19162854318440536</v>
      </c>
      <c r="S454" s="2">
        <f t="shared" si="139"/>
        <v>-0.18867431288721931</v>
      </c>
      <c r="T454" s="9">
        <f t="shared" si="140"/>
        <v>457.43808830962593</v>
      </c>
      <c r="U454" s="7">
        <f t="shared" si="141"/>
        <v>36004957.723125957</v>
      </c>
      <c r="W454">
        <f t="shared" si="152"/>
        <v>160560</v>
      </c>
      <c r="X454" s="9">
        <f t="shared" si="156"/>
        <v>1932.2344557250349</v>
      </c>
      <c r="Y454" s="2">
        <f t="shared" si="157"/>
        <v>21647925.196905043</v>
      </c>
      <c r="Z454" s="2">
        <f t="shared" si="142"/>
        <v>-0.11763958206436691</v>
      </c>
      <c r="AA454" s="2">
        <f t="shared" si="143"/>
        <v>-0.11733614872214132</v>
      </c>
      <c r="AB454" s="2">
        <f t="shared" si="144"/>
        <v>-0.11733579928833811</v>
      </c>
      <c r="AC454" s="2">
        <f t="shared" si="145"/>
        <v>-0.11704541980179094</v>
      </c>
      <c r="AD454" s="2">
        <f t="shared" si="146"/>
        <v>1889.9927218518078</v>
      </c>
      <c r="AE454" s="10">
        <f t="shared" si="147"/>
        <v>22335926.088868875</v>
      </c>
    </row>
    <row r="455" spans="1:31" x14ac:dyDescent="0.25">
      <c r="A455" s="1">
        <f t="shared" si="148"/>
        <v>1.8625</v>
      </c>
      <c r="B455" s="7">
        <f t="shared" si="149"/>
        <v>36004957.723125957</v>
      </c>
      <c r="C455" s="7">
        <f t="shared" si="150"/>
        <v>22335926.088868875</v>
      </c>
      <c r="D455" s="7"/>
      <c r="E455" s="7"/>
      <c r="F455" s="7"/>
      <c r="G455" s="7"/>
      <c r="H455" s="7"/>
      <c r="I455" s="7"/>
      <c r="J455" s="7"/>
      <c r="K455" s="7"/>
      <c r="L455" s="1">
        <f t="shared" si="153"/>
        <v>1.8625</v>
      </c>
      <c r="M455">
        <f t="shared" si="151"/>
        <v>160920</v>
      </c>
      <c r="N455" s="9">
        <f t="shared" si="154"/>
        <v>457.43808830962593</v>
      </c>
      <c r="O455" s="7">
        <f t="shared" si="155"/>
        <v>36004957.723125957</v>
      </c>
      <c r="P455" s="2">
        <f t="shared" si="136"/>
        <v>-0.1886743215105291</v>
      </c>
      <c r="Q455" s="2">
        <f t="shared" si="137"/>
        <v>-0.18582864557159057</v>
      </c>
      <c r="R455" s="2">
        <f t="shared" si="138"/>
        <v>-0.18582834120355046</v>
      </c>
      <c r="S455" s="2">
        <f t="shared" si="139"/>
        <v>-0.18308546601096165</v>
      </c>
      <c r="T455" s="9">
        <f t="shared" si="140"/>
        <v>390.53366264531957</v>
      </c>
      <c r="U455" s="7">
        <f t="shared" si="141"/>
        <v>36157592.638297848</v>
      </c>
      <c r="W455">
        <f t="shared" si="152"/>
        <v>160920</v>
      </c>
      <c r="X455" s="9">
        <f t="shared" si="156"/>
        <v>1889.9927218518078</v>
      </c>
      <c r="Y455" s="2">
        <f t="shared" si="157"/>
        <v>22335926.088868875</v>
      </c>
      <c r="Z455" s="2">
        <f t="shared" si="142"/>
        <v>-0.11704542836943466</v>
      </c>
      <c r="AA455" s="2">
        <f t="shared" si="143"/>
        <v>-0.11676901582685083</v>
      </c>
      <c r="AB455" s="2">
        <f t="shared" si="144"/>
        <v>-0.11676869845217171</v>
      </c>
      <c r="AC455" s="2">
        <f t="shared" si="145"/>
        <v>-0.11650578851174581</v>
      </c>
      <c r="AD455" s="2">
        <f t="shared" si="146"/>
        <v>1847.9551231254543</v>
      </c>
      <c r="AE455" s="10">
        <f t="shared" si="147"/>
        <v>23008756.700964782</v>
      </c>
    </row>
    <row r="456" spans="1:31" x14ac:dyDescent="0.25">
      <c r="A456" s="1">
        <f t="shared" si="148"/>
        <v>1.8666666666666667</v>
      </c>
      <c r="B456" s="7">
        <f t="shared" si="149"/>
        <v>36157592.638297848</v>
      </c>
      <c r="C456" s="7">
        <f t="shared" si="150"/>
        <v>23008756.700964782</v>
      </c>
      <c r="D456" s="7"/>
      <c r="E456" s="7"/>
      <c r="F456" s="7"/>
      <c r="G456" s="7"/>
      <c r="H456" s="7"/>
      <c r="I456" s="7"/>
      <c r="J456" s="7"/>
      <c r="K456" s="7"/>
      <c r="L456" s="1">
        <f t="shared" si="153"/>
        <v>1.8666666666666667</v>
      </c>
      <c r="M456">
        <f t="shared" si="151"/>
        <v>161280</v>
      </c>
      <c r="N456" s="9">
        <f t="shared" si="154"/>
        <v>390.53366264531957</v>
      </c>
      <c r="O456" s="7">
        <f t="shared" si="155"/>
        <v>36157592.638297848</v>
      </c>
      <c r="P456" s="2">
        <f t="shared" ref="P456:P519" si="158">dvdt_x($O456,$Y456)</f>
        <v>-0.18308547352432508</v>
      </c>
      <c r="Q456" s="2">
        <f t="shared" ref="Q456:Q519" si="159">dvdt_x($O456+h/4*($N456+($N456+h/2*P456)),$Y456+h/4*($X456+($X456+h/2*Z456)))</f>
        <v>-0.18044118202547646</v>
      </c>
      <c r="R456" s="2">
        <f t="shared" ref="R456:R519" si="160">dvdt_x($O456+h/4*($N456+($N456+h/2*Q456)),$Y456+h/4*($X456+($X456+h/2*AA456)))</f>
        <v>-0.1804409156445185</v>
      </c>
      <c r="S456" s="2">
        <f t="shared" ref="S456:S519" si="161">dvdt_x($O456+h/2*($N456+($N456+h*R456)),$Y456+h/2*($X456+($X456+h*AB456)))</f>
        <v>-0.17789014492493374</v>
      </c>
      <c r="T456" s="9">
        <f t="shared" ref="T456:T519" si="162">N456+h/6*(P456+2*Q456+2*R456+S456)</f>
        <v>325.56927381796464</v>
      </c>
      <c r="U456" s="7">
        <f t="shared" ref="U456:U519" si="163">O456+h/2*(N456+T456)</f>
        <v>36286491.166861236</v>
      </c>
      <c r="W456">
        <f t="shared" si="152"/>
        <v>161280</v>
      </c>
      <c r="X456" s="9">
        <f t="shared" si="156"/>
        <v>1847.9551231254543</v>
      </c>
      <c r="Y456" s="2">
        <f t="shared" si="157"/>
        <v>23008756.700964782</v>
      </c>
      <c r="Z456" s="2">
        <f t="shared" ref="Z456:Z519" si="164">dvdt_y($O456,$Y456)</f>
        <v>-0.11650579611155321</v>
      </c>
      <c r="AA456" s="2">
        <f t="shared" ref="AA456:AA519" si="165">dvdt_y($O456+h/4*($N456+($N456+h/2*P456)),$Y456+h/4*($X456+($X456+h/2*Z456)))</f>
        <v>-0.1162571752896337</v>
      </c>
      <c r="AB456" s="2">
        <f t="shared" ref="AB456:AB519" si="166">dvdt_y($O456+h/4*($N456+($N456+h/2*Q456)),$Y456+h/4*($X456+($X456+h/2*AA456)))</f>
        <v>-0.11625688624549804</v>
      </c>
      <c r="AC456" s="2">
        <f t="shared" ref="AC456:AC519" si="167">dvdt_y($O456+h/2*($N456+($N456+h*R456)),$Y456+h/2*($X456+($X456+h*AB456)))</f>
        <v>-0.11602209434827918</v>
      </c>
      <c r="AD456" s="2">
        <f t="shared" ref="AD456:AD519" si="168">X456+h/6*(Z456+2*AA456+2*AB456+AC456)</f>
        <v>1806.1017623136486</v>
      </c>
      <c r="AE456" s="10">
        <f t="shared" ref="AE456:AE519" si="169">Y456+h/2*(X456+AD456)</f>
        <v>23666486.94034382</v>
      </c>
    </row>
    <row r="457" spans="1:31" x14ac:dyDescent="0.25">
      <c r="A457" s="1">
        <f t="shared" ref="A457:A520" si="170">L457</f>
        <v>1.8708333333333333</v>
      </c>
      <c r="B457" s="7">
        <f t="shared" ref="B457:B520" si="171">O457</f>
        <v>36286491.166861236</v>
      </c>
      <c r="C457" s="7">
        <f t="shared" ref="C457:C520" si="172">Y457</f>
        <v>23666486.94034382</v>
      </c>
      <c r="D457" s="7"/>
      <c r="E457" s="7"/>
      <c r="F457" s="7"/>
      <c r="G457" s="7"/>
      <c r="H457" s="7"/>
      <c r="I457" s="7"/>
      <c r="J457" s="7"/>
      <c r="K457" s="7"/>
      <c r="L457" s="1">
        <f t="shared" si="153"/>
        <v>1.8708333333333333</v>
      </c>
      <c r="M457">
        <f t="shared" ref="M457:M520" si="173">M456+h</f>
        <v>161640</v>
      </c>
      <c r="N457" s="9">
        <f t="shared" si="154"/>
        <v>325.56927381796464</v>
      </c>
      <c r="O457" s="7">
        <f t="shared" si="155"/>
        <v>36286491.166861236</v>
      </c>
      <c r="P457" s="2">
        <f t="shared" si="158"/>
        <v>-0.17789015150972479</v>
      </c>
      <c r="Q457" s="2">
        <f t="shared" si="159"/>
        <v>-0.17542917817827458</v>
      </c>
      <c r="R457" s="2">
        <f t="shared" si="160"/>
        <v>-0.17542894474440163</v>
      </c>
      <c r="S457" s="2">
        <f t="shared" si="161"/>
        <v>-0.17305329954093182</v>
      </c>
      <c r="T457" s="9">
        <f t="shared" si="162"/>
        <v>262.40969200420409</v>
      </c>
      <c r="U457" s="7">
        <f t="shared" si="163"/>
        <v>36392327.380709223</v>
      </c>
      <c r="W457">
        <f t="shared" ref="W457:W520" si="174">W456+h</f>
        <v>161640</v>
      </c>
      <c r="X457" s="9">
        <f t="shared" si="156"/>
        <v>1806.1017623136486</v>
      </c>
      <c r="Y457" s="2">
        <f t="shared" si="157"/>
        <v>23666486.94034382</v>
      </c>
      <c r="Z457" s="2">
        <f t="shared" si="164"/>
        <v>-0.11602210112190496</v>
      </c>
      <c r="AA457" s="2">
        <f t="shared" si="165"/>
        <v>-0.11580182232575172</v>
      </c>
      <c r="AB457" s="2">
        <f t="shared" si="166"/>
        <v>-0.11580155842495948</v>
      </c>
      <c r="AC457" s="2">
        <f t="shared" si="167"/>
        <v>-0.11559534495697557</v>
      </c>
      <c r="AD457" s="2">
        <f t="shared" si="168"/>
        <v>1764.4123098588304</v>
      </c>
      <c r="AE457" s="10">
        <f t="shared" si="169"/>
        <v>24309179.473334868</v>
      </c>
    </row>
    <row r="458" spans="1:31" x14ac:dyDescent="0.25">
      <c r="A458" s="1">
        <f t="shared" si="170"/>
        <v>1.875</v>
      </c>
      <c r="B458" s="7">
        <f t="shared" si="171"/>
        <v>36392327.380709223</v>
      </c>
      <c r="C458" s="7">
        <f t="shared" si="172"/>
        <v>24309179.473334868</v>
      </c>
      <c r="D458" s="7"/>
      <c r="E458" s="7"/>
      <c r="F458" s="7"/>
      <c r="G458" s="7"/>
      <c r="H458" s="7"/>
      <c r="I458" s="7"/>
      <c r="J458" s="7"/>
      <c r="K458" s="7"/>
      <c r="L458" s="1">
        <f t="shared" ref="L458:L521" si="175">M458/(24*3600)</f>
        <v>1.875</v>
      </c>
      <c r="M458">
        <f t="shared" si="173"/>
        <v>162000</v>
      </c>
      <c r="N458" s="9">
        <f t="shared" si="154"/>
        <v>262.40969200420409</v>
      </c>
      <c r="O458" s="7">
        <f t="shared" si="155"/>
        <v>36392327.380709223</v>
      </c>
      <c r="P458" s="2">
        <f t="shared" si="158"/>
        <v>-0.17305330534506599</v>
      </c>
      <c r="Q458" s="2">
        <f t="shared" si="159"/>
        <v>-0.17075968906549205</v>
      </c>
      <c r="R458" s="2">
        <f t="shared" si="160"/>
        <v>-0.17075948435039562</v>
      </c>
      <c r="S458" s="2">
        <f t="shared" si="161"/>
        <v>-0.16854394018663479</v>
      </c>
      <c r="T458" s="9">
        <f t="shared" si="162"/>
        <v>200.93155646239552</v>
      </c>
      <c r="U458" s="7">
        <f t="shared" si="163"/>
        <v>36475728.805433214</v>
      </c>
      <c r="W458">
        <f t="shared" si="174"/>
        <v>162000</v>
      </c>
      <c r="X458" s="9">
        <f t="shared" si="156"/>
        <v>1764.4123098588304</v>
      </c>
      <c r="Y458" s="2">
        <f t="shared" si="157"/>
        <v>24309179.473334868</v>
      </c>
      <c r="Z458" s="2">
        <f t="shared" si="164"/>
        <v>-0.115595351022176</v>
      </c>
      <c r="AA458" s="2">
        <f t="shared" si="165"/>
        <v>-0.11540380416535886</v>
      </c>
      <c r="AB458" s="2">
        <f t="shared" si="166"/>
        <v>-0.11540356267256631</v>
      </c>
      <c r="AC458" s="2">
        <f t="shared" si="167"/>
        <v>-0.11522625304188787</v>
      </c>
      <c r="AD458" s="2">
        <f t="shared" si="168"/>
        <v>1722.8661295944355</v>
      </c>
      <c r="AE458" s="10">
        <f t="shared" si="169"/>
        <v>24936889.592436455</v>
      </c>
    </row>
    <row r="459" spans="1:31" x14ac:dyDescent="0.25">
      <c r="A459" s="1">
        <f t="shared" si="170"/>
        <v>1.8791666666666667</v>
      </c>
      <c r="B459" s="7">
        <f t="shared" si="171"/>
        <v>36475728.805433214</v>
      </c>
      <c r="C459" s="7">
        <f t="shared" si="172"/>
        <v>24936889.592436455</v>
      </c>
      <c r="D459" s="7"/>
      <c r="E459" s="7"/>
      <c r="F459" s="7"/>
      <c r="G459" s="7"/>
      <c r="H459" s="7"/>
      <c r="I459" s="7"/>
      <c r="J459" s="7"/>
      <c r="K459" s="7"/>
      <c r="L459" s="1">
        <f t="shared" si="175"/>
        <v>1.8791666666666667</v>
      </c>
      <c r="M459">
        <f t="shared" si="173"/>
        <v>162360</v>
      </c>
      <c r="N459" s="9">
        <f t="shared" si="154"/>
        <v>200.93155646239552</v>
      </c>
      <c r="O459" s="7">
        <f t="shared" si="155"/>
        <v>36475728.805433214</v>
      </c>
      <c r="P459" s="2">
        <f t="shared" si="158"/>
        <v>-0.16854394533150485</v>
      </c>
      <c r="Q459" s="2">
        <f t="shared" si="159"/>
        <v>-0.16640354001716648</v>
      </c>
      <c r="R459" s="2">
        <f t="shared" si="160"/>
        <v>-0.16640336045745913</v>
      </c>
      <c r="S459" s="2">
        <f t="shared" si="161"/>
        <v>-0.16433458136811604</v>
      </c>
      <c r="T459" s="9">
        <f t="shared" si="162"/>
        <v>141.0220168034632</v>
      </c>
      <c r="U459" s="7">
        <f t="shared" si="163"/>
        <v>36537280.448621072</v>
      </c>
      <c r="W459">
        <f t="shared" si="174"/>
        <v>162360</v>
      </c>
      <c r="X459" s="9">
        <f t="shared" si="156"/>
        <v>1722.8661295944355</v>
      </c>
      <c r="Y459" s="2">
        <f t="shared" si="157"/>
        <v>24936889.592436455</v>
      </c>
      <c r="Z459" s="2">
        <f t="shared" si="164"/>
        <v>-0.11522625849711148</v>
      </c>
      <c r="AA459" s="2">
        <f t="shared" si="165"/>
        <v>-0.1150637201934777</v>
      </c>
      <c r="AB459" s="2">
        <f t="shared" si="166"/>
        <v>-0.11506349875246989</v>
      </c>
      <c r="AC459" s="2">
        <f t="shared" si="167"/>
        <v>-0.11491532504571744</v>
      </c>
      <c r="AD459" s="2">
        <f t="shared" si="168"/>
        <v>1681.4423683083521</v>
      </c>
      <c r="AE459" s="10">
        <f t="shared" si="169"/>
        <v>25549665.122058958</v>
      </c>
    </row>
    <row r="460" spans="1:31" x14ac:dyDescent="0.25">
      <c r="A460" s="1">
        <f t="shared" si="170"/>
        <v>1.8833333333333333</v>
      </c>
      <c r="B460" s="7">
        <f t="shared" si="171"/>
        <v>36537280.448621072</v>
      </c>
      <c r="C460" s="7">
        <f t="shared" si="172"/>
        <v>25549665.122058958</v>
      </c>
      <c r="D460" s="7"/>
      <c r="E460" s="7"/>
      <c r="F460" s="7"/>
      <c r="G460" s="7"/>
      <c r="H460" s="7"/>
      <c r="I460" s="7"/>
      <c r="J460" s="7"/>
      <c r="K460" s="7"/>
      <c r="L460" s="1">
        <f t="shared" si="175"/>
        <v>1.8833333333333333</v>
      </c>
      <c r="M460">
        <f t="shared" si="173"/>
        <v>162720</v>
      </c>
      <c r="N460" s="9">
        <f t="shared" si="154"/>
        <v>141.0220168034632</v>
      </c>
      <c r="O460" s="7">
        <f t="shared" si="155"/>
        <v>36537280.448621072</v>
      </c>
      <c r="P460" s="2">
        <f t="shared" si="158"/>
        <v>-0.16433458595395226</v>
      </c>
      <c r="Q460" s="2">
        <f t="shared" si="159"/>
        <v>-0.16233481669646954</v>
      </c>
      <c r="R460" s="2">
        <f t="shared" si="160"/>
        <v>-0.16233465927664148</v>
      </c>
      <c r="S460" s="2">
        <f t="shared" si="161"/>
        <v>-0.16040077375924555</v>
      </c>
      <c r="T460" s="9">
        <f t="shared" si="162"/>
        <v>82.577558103898014</v>
      </c>
      <c r="U460" s="7">
        <f t="shared" si="163"/>
        <v>36577528.372104399</v>
      </c>
      <c r="W460">
        <f t="shared" si="174"/>
        <v>162720</v>
      </c>
      <c r="X460" s="9">
        <f t="shared" si="156"/>
        <v>1681.4423683083521</v>
      </c>
      <c r="Y460" s="2">
        <f t="shared" si="157"/>
        <v>25549665.122058958</v>
      </c>
      <c r="Z460" s="2">
        <f t="shared" si="164"/>
        <v>-0.11491532997372156</v>
      </c>
      <c r="AA460" s="2">
        <f t="shared" si="165"/>
        <v>-0.11478200056284416</v>
      </c>
      <c r="AB460" s="2">
        <f t="shared" si="166"/>
        <v>-0.11478179713714295</v>
      </c>
      <c r="AC460" s="2">
        <f t="shared" si="167"/>
        <v>-0.1146629309652541</v>
      </c>
      <c r="AD460" s="2">
        <f t="shared" si="168"/>
        <v>1640.120016928015</v>
      </c>
      <c r="AE460" s="10">
        <f t="shared" si="169"/>
        <v>26147546.351401504</v>
      </c>
    </row>
    <row r="461" spans="1:31" x14ac:dyDescent="0.25">
      <c r="A461" s="1">
        <f t="shared" si="170"/>
        <v>1.8875</v>
      </c>
      <c r="B461" s="7">
        <f t="shared" si="171"/>
        <v>36577528.372104399</v>
      </c>
      <c r="C461" s="7">
        <f t="shared" si="172"/>
        <v>26147546.351401504</v>
      </c>
      <c r="D461" s="7"/>
      <c r="E461" s="7"/>
      <c r="F461" s="7"/>
      <c r="G461" s="7"/>
      <c r="H461" s="7"/>
      <c r="I461" s="7"/>
      <c r="J461" s="7"/>
      <c r="K461" s="7"/>
      <c r="L461" s="1">
        <f t="shared" si="175"/>
        <v>1.8875</v>
      </c>
      <c r="M461">
        <f t="shared" si="173"/>
        <v>163080</v>
      </c>
      <c r="N461" s="9">
        <f t="shared" si="154"/>
        <v>82.577558103898014</v>
      </c>
      <c r="O461" s="7">
        <f t="shared" si="155"/>
        <v>36577528.372104399</v>
      </c>
      <c r="P461" s="2">
        <f t="shared" si="158"/>
        <v>-0.16040077786929002</v>
      </c>
      <c r="Q461" s="2">
        <f t="shared" si="159"/>
        <v>-0.15853043506175199</v>
      </c>
      <c r="R461" s="2">
        <f t="shared" si="160"/>
        <v>-0.1585302972202676</v>
      </c>
      <c r="S461" s="2">
        <f t="shared" si="161"/>
        <v>-0.15672070867315865</v>
      </c>
      <c r="T461" s="9">
        <f t="shared" si="162"/>
        <v>25.502981037508746</v>
      </c>
      <c r="U461" s="7">
        <f t="shared" si="163"/>
        <v>36596982.869149849</v>
      </c>
      <c r="W461">
        <f t="shared" si="174"/>
        <v>163080</v>
      </c>
      <c r="X461" s="9">
        <f t="shared" si="156"/>
        <v>1640.120016928015</v>
      </c>
      <c r="Y461" s="2">
        <f t="shared" si="157"/>
        <v>26147546.351401504</v>
      </c>
      <c r="Z461" s="2">
        <f t="shared" si="164"/>
        <v>-0.11466293543597419</v>
      </c>
      <c r="AA461" s="2">
        <f t="shared" si="165"/>
        <v>-0.11455896826956359</v>
      </c>
      <c r="AB461" s="2">
        <f t="shared" si="166"/>
        <v>-0.11455878109368695</v>
      </c>
      <c r="AC461" s="2">
        <f t="shared" si="167"/>
        <v>-0.11446935965686396</v>
      </c>
      <c r="AD461" s="2">
        <f t="shared" si="168"/>
        <v>1598.8779492988547</v>
      </c>
      <c r="AE461" s="10">
        <f t="shared" si="169"/>
        <v>26730565.985322341</v>
      </c>
    </row>
    <row r="462" spans="1:31" x14ac:dyDescent="0.25">
      <c r="A462" s="1">
        <f t="shared" si="170"/>
        <v>1.8916666666666666</v>
      </c>
      <c r="B462" s="7">
        <f t="shared" si="171"/>
        <v>36596982.869149849</v>
      </c>
      <c r="C462" s="7">
        <f t="shared" si="172"/>
        <v>26730565.985322341</v>
      </c>
      <c r="D462" s="7"/>
      <c r="E462" s="7"/>
      <c r="F462" s="7"/>
      <c r="G462" s="7"/>
      <c r="H462" s="7"/>
      <c r="I462" s="7"/>
      <c r="J462" s="7"/>
      <c r="K462" s="7"/>
      <c r="L462" s="1">
        <f t="shared" si="175"/>
        <v>1.8916666666666666</v>
      </c>
      <c r="M462">
        <f t="shared" si="173"/>
        <v>163440</v>
      </c>
      <c r="N462" s="9">
        <f t="shared" si="154"/>
        <v>25.502981037508746</v>
      </c>
      <c r="O462" s="7">
        <f t="shared" si="155"/>
        <v>36596982.869149849</v>
      </c>
      <c r="P462" s="2">
        <f t="shared" si="158"/>
        <v>-0.15672071237693777</v>
      </c>
      <c r="Q462" s="2">
        <f t="shared" si="159"/>
        <v>-0.15496977715563642</v>
      </c>
      <c r="R462" s="2">
        <f t="shared" si="160"/>
        <v>-0.15496965670916552</v>
      </c>
      <c r="S462" s="2">
        <f t="shared" si="161"/>
        <v>-0.15327488238037171</v>
      </c>
      <c r="T462" s="9">
        <f t="shared" si="162"/>
        <v>-30.289486711706054</v>
      </c>
      <c r="U462" s="7">
        <f t="shared" si="163"/>
        <v>36596121.298128493</v>
      </c>
      <c r="W462">
        <f t="shared" si="174"/>
        <v>163440</v>
      </c>
      <c r="X462" s="9">
        <f t="shared" si="156"/>
        <v>1598.8779492988547</v>
      </c>
      <c r="Y462" s="2">
        <f t="shared" si="157"/>
        <v>26730565.985322341</v>
      </c>
      <c r="Z462" s="2">
        <f t="shared" si="164"/>
        <v>-0.11446936372970394</v>
      </c>
      <c r="AA462" s="2">
        <f t="shared" si="165"/>
        <v>-0.11439488849681355</v>
      </c>
      <c r="AB462" s="2">
        <f t="shared" si="166"/>
        <v>-0.11439471603609243</v>
      </c>
      <c r="AC462" s="2">
        <f t="shared" si="167"/>
        <v>-0.11433486296343615</v>
      </c>
      <c r="AD462" s="2">
        <f t="shared" si="168"/>
        <v>1557.6949431533176</v>
      </c>
      <c r="AE462" s="10">
        <f t="shared" si="169"/>
        <v>27298749.105963733</v>
      </c>
    </row>
    <row r="463" spans="1:31" x14ac:dyDescent="0.25">
      <c r="A463" s="1">
        <f t="shared" si="170"/>
        <v>1.8958333333333333</v>
      </c>
      <c r="B463" s="7">
        <f t="shared" si="171"/>
        <v>36596121.298128493</v>
      </c>
      <c r="C463" s="7">
        <f t="shared" si="172"/>
        <v>27298749.105963733</v>
      </c>
      <c r="D463" s="7"/>
      <c r="E463" s="7"/>
      <c r="F463" s="7"/>
      <c r="G463" s="7"/>
      <c r="H463" s="7"/>
      <c r="I463" s="7"/>
      <c r="J463" s="7"/>
      <c r="K463" s="7"/>
      <c r="L463" s="1">
        <f t="shared" si="175"/>
        <v>1.8958333333333333</v>
      </c>
      <c r="M463">
        <f t="shared" si="173"/>
        <v>163800</v>
      </c>
      <c r="N463" s="9">
        <f t="shared" si="154"/>
        <v>-30.289486711706054</v>
      </c>
      <c r="O463" s="7">
        <f t="shared" si="155"/>
        <v>36596121.298128493</v>
      </c>
      <c r="P463" s="2">
        <f t="shared" si="158"/>
        <v>-0.15327488573627934</v>
      </c>
      <c r="Q463" s="2">
        <f t="shared" si="159"/>
        <v>-0.15163438137704838</v>
      </c>
      <c r="R463" s="2">
        <f t="shared" si="160"/>
        <v>-0.15163427645900632</v>
      </c>
      <c r="S463" s="2">
        <f t="shared" si="161"/>
        <v>-0.15004581007728635</v>
      </c>
      <c r="T463" s="9">
        <f t="shared" si="162"/>
        <v>-84.880967400846572</v>
      </c>
      <c r="U463" s="7">
        <f t="shared" si="163"/>
        <v>36575390.616388232</v>
      </c>
      <c r="W463">
        <f t="shared" si="174"/>
        <v>163800</v>
      </c>
      <c r="X463" s="9">
        <f t="shared" si="156"/>
        <v>1557.6949431533176</v>
      </c>
      <c r="Y463" s="2">
        <f t="shared" si="157"/>
        <v>27298749.105963733</v>
      </c>
      <c r="Z463" s="2">
        <f t="shared" si="164"/>
        <v>-0.11433486668910804</v>
      </c>
      <c r="AA463" s="2">
        <f t="shared" si="165"/>
        <v>-0.11429000814679091</v>
      </c>
      <c r="AB463" s="2">
        <f t="shared" si="166"/>
        <v>-0.11428984906410121</v>
      </c>
      <c r="AC463" s="2">
        <f t="shared" si="167"/>
        <v>-0.11425969122743741</v>
      </c>
      <c r="AD463" s="2">
        <f t="shared" si="168"/>
        <v>1516.5496868130178</v>
      </c>
      <c r="AE463" s="10">
        <f t="shared" si="169"/>
        <v>27852113.139357675</v>
      </c>
    </row>
    <row r="464" spans="1:31" x14ac:dyDescent="0.25">
      <c r="A464" s="1">
        <f t="shared" si="170"/>
        <v>1.9</v>
      </c>
      <c r="B464" s="7">
        <f t="shared" si="171"/>
        <v>36575390.616388232</v>
      </c>
      <c r="C464" s="7">
        <f t="shared" si="172"/>
        <v>27852113.139357675</v>
      </c>
      <c r="D464" s="7"/>
      <c r="E464" s="7"/>
      <c r="F464" s="7"/>
      <c r="G464" s="7"/>
      <c r="H464" s="7"/>
      <c r="I464" s="7"/>
      <c r="J464" s="7"/>
      <c r="K464" s="7"/>
      <c r="L464" s="1">
        <f t="shared" si="175"/>
        <v>1.9</v>
      </c>
      <c r="M464">
        <f t="shared" si="173"/>
        <v>164160</v>
      </c>
      <c r="N464" s="9">
        <f t="shared" si="154"/>
        <v>-84.880967400846572</v>
      </c>
      <c r="O464" s="7">
        <f t="shared" si="155"/>
        <v>36575390.616388232</v>
      </c>
      <c r="P464" s="2">
        <f t="shared" si="158"/>
        <v>-0.15004581313463611</v>
      </c>
      <c r="Q464" s="2">
        <f t="shared" si="159"/>
        <v>-0.14850767805763398</v>
      </c>
      <c r="R464" s="2">
        <f t="shared" si="160"/>
        <v>-0.14850758706807909</v>
      </c>
      <c r="S464" s="2">
        <f t="shared" si="161"/>
        <v>-0.1470177812337112</v>
      </c>
      <c r="T464" s="9">
        <f t="shared" si="162"/>
        <v>-138.34661487803299</v>
      </c>
      <c r="U464" s="7">
        <f t="shared" si="163"/>
        <v>36535209.651578031</v>
      </c>
      <c r="W464">
        <f t="shared" si="174"/>
        <v>164160</v>
      </c>
      <c r="X464" s="9">
        <f t="shared" si="156"/>
        <v>1516.5496868130178</v>
      </c>
      <c r="Y464" s="2">
        <f t="shared" si="157"/>
        <v>27852113.139357675</v>
      </c>
      <c r="Z464" s="2">
        <f t="shared" si="164"/>
        <v>-0.11425969464944798</v>
      </c>
      <c r="AA464" s="2">
        <f t="shared" si="165"/>
        <v>-0.11424458781613231</v>
      </c>
      <c r="AB464" s="2">
        <f t="shared" si="166"/>
        <v>-0.11424444094424606</v>
      </c>
      <c r="AC464" s="2">
        <f t="shared" si="167"/>
        <v>-0.11424412217709252</v>
      </c>
      <c r="AD464" s="2">
        <f t="shared" si="168"/>
        <v>1475.4207743521799</v>
      </c>
      <c r="AE464" s="10">
        <f t="shared" si="169"/>
        <v>28390667.822367411</v>
      </c>
    </row>
    <row r="465" spans="1:31" x14ac:dyDescent="0.25">
      <c r="A465" s="1">
        <f t="shared" si="170"/>
        <v>1.9041666666666666</v>
      </c>
      <c r="B465" s="7">
        <f t="shared" si="171"/>
        <v>36535209.651578031</v>
      </c>
      <c r="C465" s="7">
        <f t="shared" si="172"/>
        <v>28390667.822367411</v>
      </c>
      <c r="D465" s="7"/>
      <c r="E465" s="7"/>
      <c r="F465" s="7"/>
      <c r="G465" s="7"/>
      <c r="H465" s="7"/>
      <c r="I465" s="7"/>
      <c r="J465" s="7"/>
      <c r="K465" s="7"/>
      <c r="L465" s="1">
        <f t="shared" si="175"/>
        <v>1.9041666666666666</v>
      </c>
      <c r="M465">
        <f t="shared" si="173"/>
        <v>164520</v>
      </c>
      <c r="N465" s="9">
        <f t="shared" si="154"/>
        <v>-138.34661487803299</v>
      </c>
      <c r="O465" s="7">
        <f t="shared" si="155"/>
        <v>36535209.651578031</v>
      </c>
      <c r="P465" s="2">
        <f t="shared" si="158"/>
        <v>-0.14701778403437621</v>
      </c>
      <c r="Q465" s="2">
        <f t="shared" si="159"/>
        <v>-0.145574762877899</v>
      </c>
      <c r="R465" s="2">
        <f t="shared" si="160"/>
        <v>-0.14557468444250146</v>
      </c>
      <c r="S465" s="2">
        <f t="shared" si="161"/>
        <v>-0.14417664957577153</v>
      </c>
      <c r="T465" s="9">
        <f t="shared" si="162"/>
        <v>-190.75621457308992</v>
      </c>
      <c r="U465" s="7">
        <f t="shared" si="163"/>
        <v>36475971.142276831</v>
      </c>
      <c r="W465">
        <f t="shared" si="174"/>
        <v>164520</v>
      </c>
      <c r="X465" s="9">
        <f t="shared" si="156"/>
        <v>1475.4207743521799</v>
      </c>
      <c r="Y465" s="2">
        <f t="shared" si="157"/>
        <v>28390667.822367411</v>
      </c>
      <c r="Z465" s="2">
        <f t="shared" si="164"/>
        <v>-0.11424412533295117</v>
      </c>
      <c r="AA465" s="2">
        <f t="shared" si="165"/>
        <v>-0.11425892796783864</v>
      </c>
      <c r="AB465" s="2">
        <f t="shared" si="166"/>
        <v>-0.11425879228636519</v>
      </c>
      <c r="AC465" s="2">
        <f t="shared" si="167"/>
        <v>-0.11428848473545468</v>
      </c>
      <c r="AD465" s="2">
        <f t="shared" si="168"/>
        <v>1434.286691317571</v>
      </c>
      <c r="AE465" s="10">
        <f t="shared" si="169"/>
        <v>28914415.166187968</v>
      </c>
    </row>
    <row r="466" spans="1:31" x14ac:dyDescent="0.25">
      <c r="A466" s="1">
        <f t="shared" si="170"/>
        <v>1.9083333333333334</v>
      </c>
      <c r="B466" s="7">
        <f t="shared" si="171"/>
        <v>36475971.142276831</v>
      </c>
      <c r="C466" s="7">
        <f t="shared" si="172"/>
        <v>28914415.166187968</v>
      </c>
      <c r="D466" s="7"/>
      <c r="E466" s="7"/>
      <c r="F466" s="7"/>
      <c r="G466" s="7"/>
      <c r="H466" s="7"/>
      <c r="I466" s="7"/>
      <c r="J466" s="7"/>
      <c r="K466" s="7"/>
      <c r="L466" s="1">
        <f t="shared" si="175"/>
        <v>1.9083333333333334</v>
      </c>
      <c r="M466">
        <f t="shared" si="173"/>
        <v>164880</v>
      </c>
      <c r="N466" s="9">
        <f t="shared" si="154"/>
        <v>-190.75621457308992</v>
      </c>
      <c r="O466" s="7">
        <f t="shared" si="155"/>
        <v>36475971.142276831</v>
      </c>
      <c r="P466" s="2">
        <f t="shared" si="158"/>
        <v>-0.14417665215550335</v>
      </c>
      <c r="Q466" s="2">
        <f t="shared" si="159"/>
        <v>-0.14282220202242088</v>
      </c>
      <c r="R466" s="2">
        <f t="shared" si="160"/>
        <v>-0.14282213495871759</v>
      </c>
      <c r="S466" s="2">
        <f t="shared" si="161"/>
        <v>-0.1415096521797157</v>
      </c>
      <c r="T466" s="9">
        <f t="shared" si="162"/>
        <v>-242.17471327093969</v>
      </c>
      <c r="U466" s="7">
        <f t="shared" si="163"/>
        <v>36398043.575264908</v>
      </c>
      <c r="W466">
        <f t="shared" si="174"/>
        <v>164880</v>
      </c>
      <c r="X466" s="9">
        <f t="shared" si="156"/>
        <v>1434.286691317571</v>
      </c>
      <c r="Y466" s="2">
        <f t="shared" si="157"/>
        <v>28914415.166187968</v>
      </c>
      <c r="Z466" s="2">
        <f t="shared" si="164"/>
        <v>-0.11428848765766075</v>
      </c>
      <c r="AA466" s="2">
        <f t="shared" si="165"/>
        <v>-0.11433339067177424</v>
      </c>
      <c r="AB466" s="2">
        <f t="shared" si="166"/>
        <v>-0.11433326528787292</v>
      </c>
      <c r="AC466" s="2">
        <f t="shared" si="167"/>
        <v>-0.11439317896981052</v>
      </c>
      <c r="AD466" s="2">
        <f t="shared" si="168"/>
        <v>1393.1257926047651</v>
      </c>
      <c r="AE466" s="10">
        <f t="shared" si="169"/>
        <v>29423349.413293988</v>
      </c>
    </row>
    <row r="467" spans="1:31" x14ac:dyDescent="0.25">
      <c r="A467" s="1">
        <f t="shared" si="170"/>
        <v>1.9125000000000001</v>
      </c>
      <c r="B467" s="7">
        <f t="shared" si="171"/>
        <v>36398043.575264908</v>
      </c>
      <c r="C467" s="7">
        <f t="shared" si="172"/>
        <v>29423349.413293988</v>
      </c>
      <c r="D467" s="7"/>
      <c r="E467" s="7"/>
      <c r="F467" s="7"/>
      <c r="G467" s="7"/>
      <c r="H467" s="7"/>
      <c r="I467" s="7"/>
      <c r="J467" s="7"/>
      <c r="K467" s="7"/>
      <c r="L467" s="1">
        <f t="shared" si="175"/>
        <v>1.9125000000000001</v>
      </c>
      <c r="M467">
        <f t="shared" si="173"/>
        <v>165240</v>
      </c>
      <c r="N467" s="9">
        <f t="shared" si="154"/>
        <v>-242.17471327093969</v>
      </c>
      <c r="O467" s="7">
        <f t="shared" si="155"/>
        <v>36398043.575264908</v>
      </c>
      <c r="P467" s="2">
        <f t="shared" si="158"/>
        <v>-0.14150965456921097</v>
      </c>
      <c r="Q467" s="2">
        <f t="shared" si="159"/>
        <v>-0.14023786406480451</v>
      </c>
      <c r="R467" s="2">
        <f t="shared" si="160"/>
        <v>-0.1402378073543411</v>
      </c>
      <c r="S467" s="2">
        <f t="shared" si="161"/>
        <v>-0.13900525313004877</v>
      </c>
      <c r="T467" s="9">
        <f t="shared" si="162"/>
        <v>-292.66268830319274</v>
      </c>
      <c r="U467" s="7">
        <f t="shared" si="163"/>
        <v>36301772.842981562</v>
      </c>
      <c r="W467">
        <f t="shared" si="174"/>
        <v>165240</v>
      </c>
      <c r="X467" s="9">
        <f t="shared" si="156"/>
        <v>1393.1257926047651</v>
      </c>
      <c r="Y467" s="2">
        <f t="shared" si="157"/>
        <v>29423349.413293988</v>
      </c>
      <c r="Z467" s="2">
        <f t="shared" si="164"/>
        <v>-0.11439318168666505</v>
      </c>
      <c r="AA467" s="2">
        <f t="shared" si="165"/>
        <v>-0.11446841799579238</v>
      </c>
      <c r="AB467" s="2">
        <f t="shared" si="166"/>
        <v>-0.11446830212800022</v>
      </c>
      <c r="AC467" s="2">
        <f t="shared" si="167"/>
        <v>-0.11455869314550866</v>
      </c>
      <c r="AD467" s="2">
        <f t="shared" si="168"/>
        <v>1351.9162736999797</v>
      </c>
      <c r="AE467" s="10">
        <f t="shared" si="169"/>
        <v>29917456.98522884</v>
      </c>
    </row>
    <row r="468" spans="1:31" x14ac:dyDescent="0.25">
      <c r="A468" s="1">
        <f t="shared" si="170"/>
        <v>1.9166666666666667</v>
      </c>
      <c r="B468" s="7">
        <f t="shared" si="171"/>
        <v>36301772.842981562</v>
      </c>
      <c r="C468" s="7">
        <f t="shared" si="172"/>
        <v>29917456.98522884</v>
      </c>
      <c r="D468" s="7"/>
      <c r="E468" s="7"/>
      <c r="F468" s="7"/>
      <c r="G468" s="7"/>
      <c r="H468" s="7"/>
      <c r="I468" s="7"/>
      <c r="J468" s="7"/>
      <c r="K468" s="7"/>
      <c r="L468" s="1">
        <f t="shared" si="175"/>
        <v>1.9166666666666667</v>
      </c>
      <c r="M468">
        <f t="shared" si="173"/>
        <v>165600</v>
      </c>
      <c r="N468" s="9">
        <f t="shared" si="154"/>
        <v>-292.66268830319274</v>
      </c>
      <c r="O468" s="7">
        <f t="shared" si="155"/>
        <v>36301772.842981562</v>
      </c>
      <c r="P468" s="2">
        <f t="shared" si="158"/>
        <v>-0.13900525535581684</v>
      </c>
      <c r="Q468" s="2">
        <f t="shared" si="159"/>
        <v>-0.13781077445063389</v>
      </c>
      <c r="R468" s="2">
        <f t="shared" si="160"/>
        <v>-0.13781072721588858</v>
      </c>
      <c r="S468" s="2">
        <f t="shared" si="161"/>
        <v>-0.13665300798373078</v>
      </c>
      <c r="T468" s="9">
        <f t="shared" si="162"/>
        <v>-342.2767643035483</v>
      </c>
      <c r="U468" s="7">
        <f t="shared" si="163"/>
        <v>36187483.741512351</v>
      </c>
      <c r="W468">
        <f t="shared" si="174"/>
        <v>165600</v>
      </c>
      <c r="X468" s="9">
        <f t="shared" si="156"/>
        <v>1351.9162736999797</v>
      </c>
      <c r="Y468" s="2">
        <f t="shared" si="157"/>
        <v>29917456.98522884</v>
      </c>
      <c r="Z468" s="2">
        <f t="shared" si="164"/>
        <v>-0.11455869568178467</v>
      </c>
      <c r="AA468" s="2">
        <f t="shared" si="165"/>
        <v>-0.11466454790818405</v>
      </c>
      <c r="AB468" s="2">
        <f t="shared" si="166"/>
        <v>-0.11466444087283183</v>
      </c>
      <c r="AC468" s="2">
        <f t="shared" si="167"/>
        <v>-0.11478561865478749</v>
      </c>
      <c r="AD468" s="2">
        <f t="shared" si="168"/>
        <v>1310.6361361860634</v>
      </c>
      <c r="AE468" s="10">
        <f t="shared" si="169"/>
        <v>30396716.41900833</v>
      </c>
    </row>
    <row r="469" spans="1:31" x14ac:dyDescent="0.25">
      <c r="A469" s="1">
        <f t="shared" si="170"/>
        <v>1.9208333333333334</v>
      </c>
      <c r="B469" s="7">
        <f t="shared" si="171"/>
        <v>36187483.741512351</v>
      </c>
      <c r="C469" s="7">
        <f t="shared" si="172"/>
        <v>30396716.41900833</v>
      </c>
      <c r="D469" s="7"/>
      <c r="E469" s="7"/>
      <c r="F469" s="7"/>
      <c r="G469" s="7"/>
      <c r="H469" s="7"/>
      <c r="I469" s="7"/>
      <c r="J469" s="7"/>
      <c r="K469" s="7"/>
      <c r="L469" s="1">
        <f t="shared" si="175"/>
        <v>1.9208333333333334</v>
      </c>
      <c r="M469">
        <f t="shared" si="173"/>
        <v>165960</v>
      </c>
      <c r="N469" s="9">
        <f t="shared" si="154"/>
        <v>-342.2767643035483</v>
      </c>
      <c r="O469" s="7">
        <f t="shared" si="155"/>
        <v>36187483.741512351</v>
      </c>
      <c r="P469" s="2">
        <f t="shared" si="158"/>
        <v>-0.13665301006880351</v>
      </c>
      <c r="Q469" s="2">
        <f t="shared" si="159"/>
        <v>-0.13553098915576542</v>
      </c>
      <c r="R469" s="2">
        <f t="shared" si="160"/>
        <v>-0.13553095064097873</v>
      </c>
      <c r="S469" s="2">
        <f t="shared" si="161"/>
        <v>-0.13444344592062185</v>
      </c>
      <c r="T469" s="9">
        <f t="shared" si="162"/>
        <v>-391.06998443852314</v>
      </c>
      <c r="U469" s="7">
        <f t="shared" si="163"/>
        <v>36055481.326738775</v>
      </c>
      <c r="W469">
        <f t="shared" si="174"/>
        <v>165960</v>
      </c>
      <c r="X469" s="9">
        <f t="shared" si="156"/>
        <v>1310.6361361860634</v>
      </c>
      <c r="Y469" s="2">
        <f t="shared" si="157"/>
        <v>30396716.41900833</v>
      </c>
      <c r="Z469" s="2">
        <f t="shared" si="164"/>
        <v>-0.11478562103228769</v>
      </c>
      <c r="AA469" s="2">
        <f t="shared" si="165"/>
        <v>-0.11492242838302326</v>
      </c>
      <c r="AB469" s="2">
        <f t="shared" si="166"/>
        <v>-0.11492232958281344</v>
      </c>
      <c r="AC469" s="2">
        <f t="shared" si="167"/>
        <v>-0.11507466344334939</v>
      </c>
      <c r="AD469" s="2">
        <f t="shared" si="168"/>
        <v>1269.2631481616247</v>
      </c>
      <c r="AE469" s="10">
        <f t="shared" si="169"/>
        <v>30861098.290190913</v>
      </c>
    </row>
    <row r="470" spans="1:31" x14ac:dyDescent="0.25">
      <c r="A470" s="1">
        <f t="shared" si="170"/>
        <v>1.925</v>
      </c>
      <c r="B470" s="7">
        <f t="shared" si="171"/>
        <v>36055481.326738775</v>
      </c>
      <c r="C470" s="7">
        <f t="shared" si="172"/>
        <v>30861098.290190913</v>
      </c>
      <c r="D470" s="7"/>
      <c r="E470" s="7"/>
      <c r="F470" s="7"/>
      <c r="G470" s="7"/>
      <c r="H470" s="7"/>
      <c r="I470" s="7"/>
      <c r="J470" s="7"/>
      <c r="K470" s="7"/>
      <c r="L470" s="1">
        <f t="shared" si="175"/>
        <v>1.925</v>
      </c>
      <c r="M470">
        <f t="shared" si="173"/>
        <v>166320</v>
      </c>
      <c r="N470" s="9">
        <f t="shared" si="154"/>
        <v>-391.06998443852314</v>
      </c>
      <c r="O470" s="7">
        <f t="shared" si="155"/>
        <v>36055481.326738775</v>
      </c>
      <c r="P470" s="2">
        <f t="shared" si="158"/>
        <v>-0.13444344788513873</v>
      </c>
      <c r="Q470" s="2">
        <f t="shared" si="159"/>
        <v>-0.13338948467289394</v>
      </c>
      <c r="R470" s="2">
        <f t="shared" si="160"/>
        <v>-0.13338945422810802</v>
      </c>
      <c r="S470" s="2">
        <f t="shared" si="161"/>
        <v>-0.13236796697974063</v>
      </c>
      <c r="T470" s="9">
        <f t="shared" si="162"/>
        <v>-439.09214199853614</v>
      </c>
      <c r="U470" s="7">
        <f t="shared" si="163"/>
        <v>35906052.143980101</v>
      </c>
      <c r="W470">
        <f t="shared" si="174"/>
        <v>166320</v>
      </c>
      <c r="X470" s="9">
        <f t="shared" si="156"/>
        <v>1269.2631481616247</v>
      </c>
      <c r="Y470" s="2">
        <f t="shared" si="157"/>
        <v>30861098.290190913</v>
      </c>
      <c r="Z470" s="2">
        <f t="shared" si="164"/>
        <v>-0.11507466568137224</v>
      </c>
      <c r="AA470" s="2">
        <f t="shared" si="165"/>
        <v>-0.11524283027087509</v>
      </c>
      <c r="AB470" s="2">
        <f t="shared" si="166"/>
        <v>-0.11524273918527943</v>
      </c>
      <c r="AC470" s="2">
        <f t="shared" si="167"/>
        <v>-0.11542666444473941</v>
      </c>
      <c r="AD470" s="2">
        <f t="shared" si="168"/>
        <v>1227.7748000193194</v>
      </c>
      <c r="AE470" s="10">
        <f t="shared" si="169"/>
        <v>31310565.120863482</v>
      </c>
    </row>
    <row r="471" spans="1:31" x14ac:dyDescent="0.25">
      <c r="A471" s="1">
        <f t="shared" si="170"/>
        <v>1.9291666666666667</v>
      </c>
      <c r="B471" s="7">
        <f t="shared" si="171"/>
        <v>35906052.143980101</v>
      </c>
      <c r="C471" s="7">
        <f t="shared" si="172"/>
        <v>31310565.120863482</v>
      </c>
      <c r="D471" s="7"/>
      <c r="E471" s="7"/>
      <c r="F471" s="7"/>
      <c r="G471" s="7"/>
      <c r="H471" s="7"/>
      <c r="I471" s="7"/>
      <c r="J471" s="7"/>
      <c r="K471" s="7"/>
      <c r="L471" s="1">
        <f t="shared" si="175"/>
        <v>1.9291666666666667</v>
      </c>
      <c r="M471">
        <f t="shared" si="173"/>
        <v>166680</v>
      </c>
      <c r="N471" s="9">
        <f t="shared" si="154"/>
        <v>-439.09214199853614</v>
      </c>
      <c r="O471" s="7">
        <f t="shared" si="155"/>
        <v>35906052.143980101</v>
      </c>
      <c r="P471" s="2">
        <f t="shared" si="158"/>
        <v>-0.13236796884143237</v>
      </c>
      <c r="Q471" s="2">
        <f t="shared" si="159"/>
        <v>-0.13137806194856724</v>
      </c>
      <c r="R471" s="2">
        <f t="shared" si="160"/>
        <v>-0.1313780390163159</v>
      </c>
      <c r="S471" s="2">
        <f t="shared" si="161"/>
        <v>-0.13041875220520491</v>
      </c>
      <c r="T471" s="9">
        <f t="shared" si="162"/>
        <v>-486.39007737712035</v>
      </c>
      <c r="U471" s="7">
        <f t="shared" si="163"/>
        <v>35739465.34449248</v>
      </c>
      <c r="W471">
        <f t="shared" si="174"/>
        <v>166680</v>
      </c>
      <c r="X471" s="9">
        <f t="shared" si="156"/>
        <v>1227.7748000193194</v>
      </c>
      <c r="Y471" s="2">
        <f t="shared" si="157"/>
        <v>31310565.120863482</v>
      </c>
      <c r="Z471" s="2">
        <f t="shared" si="164"/>
        <v>-0.1154266665604716</v>
      </c>
      <c r="AA471" s="2">
        <f t="shared" si="165"/>
        <v>-0.11562665939915055</v>
      </c>
      <c r="AB471" s="2">
        <f t="shared" si="166"/>
        <v>-0.11562657557634802</v>
      </c>
      <c r="AC471" s="2">
        <f t="shared" si="167"/>
        <v>-0.11584259944717866</v>
      </c>
      <c r="AD471" s="2">
        <f t="shared" si="168"/>
        <v>1186.1482558618006</v>
      </c>
      <c r="AE471" s="10">
        <f t="shared" si="169"/>
        <v>31745071.270922083</v>
      </c>
    </row>
    <row r="472" spans="1:31" x14ac:dyDescent="0.25">
      <c r="A472" s="1">
        <f t="shared" si="170"/>
        <v>1.9333333333333333</v>
      </c>
      <c r="B472" s="7">
        <f t="shared" si="171"/>
        <v>35739465.34449248</v>
      </c>
      <c r="C472" s="7">
        <f t="shared" si="172"/>
        <v>31745071.270922083</v>
      </c>
      <c r="D472" s="7"/>
      <c r="E472" s="7"/>
      <c r="F472" s="7"/>
      <c r="G472" s="7"/>
      <c r="H472" s="7"/>
      <c r="I472" s="7"/>
      <c r="J472" s="7"/>
      <c r="K472" s="7"/>
      <c r="L472" s="1">
        <f t="shared" si="175"/>
        <v>1.9333333333333333</v>
      </c>
      <c r="M472">
        <f t="shared" si="173"/>
        <v>167040</v>
      </c>
      <c r="N472" s="9">
        <f t="shared" si="154"/>
        <v>-486.39007737712035</v>
      </c>
      <c r="O472" s="7">
        <f t="shared" si="155"/>
        <v>35739465.34449248</v>
      </c>
      <c r="P472" s="2">
        <f t="shared" si="158"/>
        <v>-0.13041875397979763</v>
      </c>
      <c r="Q472" s="2">
        <f t="shared" si="159"/>
        <v>-0.12948926227694507</v>
      </c>
      <c r="R472" s="2">
        <f t="shared" si="160"/>
        <v>-0.12948924638114748</v>
      </c>
      <c r="S472" s="2">
        <f t="shared" si="161"/>
        <v>-0.12858868487374489</v>
      </c>
      <c r="T472" s="9">
        <f t="shared" si="162"/>
        <v>-533.00794474730401</v>
      </c>
      <c r="U472" s="7">
        <f t="shared" si="163"/>
        <v>35555973.700510085</v>
      </c>
      <c r="W472">
        <f t="shared" si="174"/>
        <v>167040</v>
      </c>
      <c r="X472" s="9">
        <f t="shared" si="156"/>
        <v>1186.1482558618006</v>
      </c>
      <c r="Y472" s="2">
        <f t="shared" si="157"/>
        <v>31745071.270922083</v>
      </c>
      <c r="Z472" s="2">
        <f t="shared" si="164"/>
        <v>-0.11584260145602703</v>
      </c>
      <c r="AA472" s="2">
        <f t="shared" si="165"/>
        <v>-0.11607496829232217</v>
      </c>
      <c r="AB472" s="2">
        <f t="shared" si="166"/>
        <v>-0.11607489134245194</v>
      </c>
      <c r="AC472" s="2">
        <f t="shared" si="167"/>
        <v>-0.11632359875348203</v>
      </c>
      <c r="AD472" s="2">
        <f t="shared" si="168"/>
        <v>1144.3603006930573</v>
      </c>
      <c r="AE472" s="10">
        <f t="shared" si="169"/>
        <v>32164562.811101958</v>
      </c>
    </row>
    <row r="473" spans="1:31" x14ac:dyDescent="0.25">
      <c r="A473" s="1">
        <f t="shared" si="170"/>
        <v>1.9375</v>
      </c>
      <c r="B473" s="7">
        <f t="shared" si="171"/>
        <v>35555973.700510085</v>
      </c>
      <c r="C473" s="7">
        <f t="shared" si="172"/>
        <v>32164562.811101958</v>
      </c>
      <c r="D473" s="7"/>
      <c r="E473" s="7"/>
      <c r="F473" s="7"/>
      <c r="G473" s="7"/>
      <c r="H473" s="7"/>
      <c r="I473" s="7"/>
      <c r="J473" s="7"/>
      <c r="K473" s="7"/>
      <c r="L473" s="1">
        <f t="shared" si="175"/>
        <v>1.9375</v>
      </c>
      <c r="M473">
        <f t="shared" si="173"/>
        <v>167400</v>
      </c>
      <c r="N473" s="9">
        <f t="shared" si="154"/>
        <v>-533.00794474730401</v>
      </c>
      <c r="O473" s="7">
        <f t="shared" si="155"/>
        <v>35555973.700510085</v>
      </c>
      <c r="P473" s="2">
        <f t="shared" si="158"/>
        <v>-0.12858868657529904</v>
      </c>
      <c r="Q473" s="2">
        <f t="shared" si="159"/>
        <v>-0.12771629347224356</v>
      </c>
      <c r="R473" s="2">
        <f t="shared" si="160"/>
        <v>-0.12771628420894174</v>
      </c>
      <c r="S473" s="2">
        <f t="shared" si="161"/>
        <v>-0.12687128126217384</v>
      </c>
      <c r="T473" s="9">
        <f t="shared" si="162"/>
        <v>-578.98745213929465</v>
      </c>
      <c r="U473" s="7">
        <f t="shared" si="163"/>
        <v>35355814.529070497</v>
      </c>
      <c r="W473">
        <f t="shared" si="174"/>
        <v>167400</v>
      </c>
      <c r="X473" s="9">
        <f t="shared" si="156"/>
        <v>1144.3603006930573</v>
      </c>
      <c r="Y473" s="2">
        <f t="shared" si="157"/>
        <v>32164562.811101958</v>
      </c>
      <c r="Z473" s="2">
        <f t="shared" si="164"/>
        <v>-0.11632360066935754</v>
      </c>
      <c r="AA473" s="2">
        <f t="shared" si="165"/>
        <v>-0.11658896784717554</v>
      </c>
      <c r="AB473" s="2">
        <f t="shared" si="166"/>
        <v>-0.11658889743672228</v>
      </c>
      <c r="AC473" s="2">
        <f t="shared" si="167"/>
        <v>-0.11687095694766221</v>
      </c>
      <c r="AD473" s="2">
        <f t="shared" si="168"/>
        <v>1102.3872834019683</v>
      </c>
      <c r="AE473" s="10">
        <f t="shared" si="169"/>
        <v>32568977.376239061</v>
      </c>
    </row>
    <row r="474" spans="1:31" x14ac:dyDescent="0.25">
      <c r="A474" s="1">
        <f t="shared" si="170"/>
        <v>1.9416666666666667</v>
      </c>
      <c r="B474" s="7">
        <f t="shared" si="171"/>
        <v>35355814.529070497</v>
      </c>
      <c r="C474" s="7">
        <f t="shared" si="172"/>
        <v>32568977.376239061</v>
      </c>
      <c r="D474" s="7"/>
      <c r="E474" s="7"/>
      <c r="F474" s="7"/>
      <c r="G474" s="7"/>
      <c r="H474" s="7"/>
      <c r="I474" s="7"/>
      <c r="J474" s="7"/>
      <c r="K474" s="7"/>
      <c r="L474" s="1">
        <f t="shared" si="175"/>
        <v>1.9416666666666667</v>
      </c>
      <c r="M474">
        <f t="shared" si="173"/>
        <v>167760</v>
      </c>
      <c r="N474" s="9">
        <f t="shared" si="154"/>
        <v>-578.98745213929465</v>
      </c>
      <c r="O474" s="7">
        <f t="shared" si="155"/>
        <v>35355814.529070497</v>
      </c>
      <c r="P474" s="2">
        <f t="shared" si="158"/>
        <v>-0.12687128290337124</v>
      </c>
      <c r="Q474" s="2">
        <f t="shared" si="159"/>
        <v>-0.12605296490211051</v>
      </c>
      <c r="R474" s="2">
        <f t="shared" si="160"/>
        <v>-0.12605296193175916</v>
      </c>
      <c r="S474" s="2">
        <f t="shared" si="161"/>
        <v>-0.12526062964986384</v>
      </c>
      <c r="T474" s="9">
        <f t="shared" si="162"/>
        <v>-624.36807811255312</v>
      </c>
      <c r="U474" s="7">
        <f t="shared" si="163"/>
        <v>35139210.533625163</v>
      </c>
      <c r="W474">
        <f t="shared" si="174"/>
        <v>167760</v>
      </c>
      <c r="X474" s="9">
        <f t="shared" si="156"/>
        <v>1102.3872834019683</v>
      </c>
      <c r="Y474" s="2">
        <f t="shared" si="157"/>
        <v>32568977.376239061</v>
      </c>
      <c r="Z474" s="2">
        <f t="shared" si="164"/>
        <v>-0.11687095878322437</v>
      </c>
      <c r="AA474" s="2">
        <f t="shared" si="165"/>
        <v>-0.11717003925845321</v>
      </c>
      <c r="AB474" s="2">
        <f t="shared" si="166"/>
        <v>-0.11716997510561829</v>
      </c>
      <c r="AC474" s="2">
        <f t="shared" si="167"/>
        <v>-0.11748614504849501</v>
      </c>
      <c r="AD474" s="2">
        <f t="shared" si="168"/>
        <v>1060.2050554483765</v>
      </c>
      <c r="AE474" s="10">
        <f t="shared" si="169"/>
        <v>32958243.997232124</v>
      </c>
    </row>
    <row r="475" spans="1:31" x14ac:dyDescent="0.25">
      <c r="A475" s="1">
        <f t="shared" si="170"/>
        <v>1.9458333333333333</v>
      </c>
      <c r="B475" s="7">
        <f t="shared" si="171"/>
        <v>35139210.533625163</v>
      </c>
      <c r="C475" s="7">
        <f t="shared" si="172"/>
        <v>32958243.997232124</v>
      </c>
      <c r="D475" s="7"/>
      <c r="E475" s="7"/>
      <c r="F475" s="7"/>
      <c r="G475" s="7"/>
      <c r="H475" s="7"/>
      <c r="I475" s="7"/>
      <c r="J475" s="7"/>
      <c r="K475" s="7"/>
      <c r="L475" s="1">
        <f t="shared" si="175"/>
        <v>1.9458333333333333</v>
      </c>
      <c r="M475">
        <f t="shared" si="173"/>
        <v>168120</v>
      </c>
      <c r="N475" s="9">
        <f t="shared" si="154"/>
        <v>-624.36807811255312</v>
      </c>
      <c r="O475" s="7">
        <f t="shared" si="155"/>
        <v>35139210.533625163</v>
      </c>
      <c r="P475" s="2">
        <f t="shared" si="158"/>
        <v>-0.12526063124225273</v>
      </c>
      <c r="Q475" s="2">
        <f t="shared" si="159"/>
        <v>-0.12449363017953498</v>
      </c>
      <c r="R475" s="2">
        <f t="shared" si="160"/>
        <v>-0.12449363322061065</v>
      </c>
      <c r="S475" s="2">
        <f t="shared" si="161"/>
        <v>-0.12375133644736058</v>
      </c>
      <c r="T475" s="9">
        <f t="shared" si="162"/>
        <v>-669.18726778194741</v>
      </c>
      <c r="U475" s="7">
        <f t="shared" si="163"/>
        <v>34906370.571364149</v>
      </c>
      <c r="W475">
        <f t="shared" si="174"/>
        <v>168120</v>
      </c>
      <c r="X475" s="9">
        <f t="shared" si="156"/>
        <v>1060.2050554483765</v>
      </c>
      <c r="Y475" s="2">
        <f t="shared" si="157"/>
        <v>32958243.997232124</v>
      </c>
      <c r="Z475" s="2">
        <f t="shared" si="164"/>
        <v>-0.11748614681536435</v>
      </c>
      <c r="AA475" s="2">
        <f t="shared" si="165"/>
        <v>-0.11781974646282471</v>
      </c>
      <c r="AB475" s="2">
        <f t="shared" si="166"/>
        <v>-0.11781968833376426</v>
      </c>
      <c r="AC475" s="2">
        <f t="shared" si="167"/>
        <v>-0.11817082330826935</v>
      </c>
      <c r="AD475" s="2">
        <f t="shared" si="168"/>
        <v>1017.7889050653678</v>
      </c>
      <c r="AE475" s="10">
        <f t="shared" si="169"/>
        <v>33332282.9101246</v>
      </c>
    </row>
    <row r="476" spans="1:31" x14ac:dyDescent="0.25">
      <c r="A476" s="1">
        <f t="shared" si="170"/>
        <v>1.95</v>
      </c>
      <c r="B476" s="7">
        <f t="shared" si="171"/>
        <v>34906370.571364149</v>
      </c>
      <c r="C476" s="7">
        <f t="shared" si="172"/>
        <v>33332282.9101246</v>
      </c>
      <c r="D476" s="7"/>
      <c r="E476" s="7"/>
      <c r="F476" s="7"/>
      <c r="G476" s="7"/>
      <c r="H476" s="7"/>
      <c r="I476" s="7"/>
      <c r="J476" s="7"/>
      <c r="K476" s="7"/>
      <c r="L476" s="1">
        <f t="shared" si="175"/>
        <v>1.95</v>
      </c>
      <c r="M476">
        <f t="shared" si="173"/>
        <v>168480</v>
      </c>
      <c r="N476" s="9">
        <f t="shared" si="154"/>
        <v>-669.18726778194741</v>
      </c>
      <c r="O476" s="7">
        <f t="shared" si="155"/>
        <v>34906370.571364149</v>
      </c>
      <c r="P476" s="2">
        <f t="shared" si="158"/>
        <v>-0.12375133800156761</v>
      </c>
      <c r="Q476" s="2">
        <f t="shared" si="159"/>
        <v>-0.12303313648957385</v>
      </c>
      <c r="R476" s="2">
        <f t="shared" si="160"/>
        <v>-0.12303314531331325</v>
      </c>
      <c r="S476" s="2">
        <f t="shared" si="161"/>
        <v>-0.12233847850516208</v>
      </c>
      <c r="T476" s="9">
        <f t="shared" si="162"/>
        <v>-713.48061058869769</v>
      </c>
      <c r="U476" s="7">
        <f t="shared" si="163"/>
        <v>34657490.353257433</v>
      </c>
      <c r="W476">
        <f t="shared" si="174"/>
        <v>168480</v>
      </c>
      <c r="X476" s="9">
        <f t="shared" si="156"/>
        <v>1017.7889050653678</v>
      </c>
      <c r="Y476" s="2">
        <f t="shared" si="157"/>
        <v>33332282.9101246</v>
      </c>
      <c r="Z476" s="2">
        <f t="shared" si="164"/>
        <v>-0.11817082501721415</v>
      </c>
      <c r="AA476" s="2">
        <f t="shared" si="165"/>
        <v>-0.11853984935200979</v>
      </c>
      <c r="AB476" s="2">
        <f t="shared" si="166"/>
        <v>-0.11853979705784871</v>
      </c>
      <c r="AC476" s="2">
        <f t="shared" si="167"/>
        <v>-0.11892685490240783</v>
      </c>
      <c r="AD476" s="2">
        <f t="shared" si="168"/>
        <v>975.11348670100745</v>
      </c>
      <c r="AE476" s="10">
        <f t="shared" si="169"/>
        <v>33691005.340642549</v>
      </c>
    </row>
    <row r="477" spans="1:31" x14ac:dyDescent="0.25">
      <c r="A477" s="1">
        <f t="shared" si="170"/>
        <v>1.9541666666666666</v>
      </c>
      <c r="B477" s="7">
        <f t="shared" si="171"/>
        <v>34657490.353257433</v>
      </c>
      <c r="C477" s="7">
        <f t="shared" si="172"/>
        <v>33691005.340642549</v>
      </c>
      <c r="D477" s="7"/>
      <c r="E477" s="7"/>
      <c r="F477" s="7"/>
      <c r="G477" s="7"/>
      <c r="H477" s="7"/>
      <c r="I477" s="7"/>
      <c r="J477" s="7"/>
      <c r="K477" s="7"/>
      <c r="L477" s="1">
        <f t="shared" si="175"/>
        <v>1.9541666666666666</v>
      </c>
      <c r="M477">
        <f t="shared" si="173"/>
        <v>168840</v>
      </c>
      <c r="N477" s="9">
        <f t="shared" si="154"/>
        <v>-713.48061058869769</v>
      </c>
      <c r="O477" s="7">
        <f t="shared" si="155"/>
        <v>34657490.353257433</v>
      </c>
      <c r="P477" s="2">
        <f t="shared" si="158"/>
        <v>-0.12233848003107695</v>
      </c>
      <c r="Q477" s="2">
        <f t="shared" si="159"/>
        <v>-0.1216667796757686</v>
      </c>
      <c r="R477" s="2">
        <f t="shared" si="160"/>
        <v>-0.12166679410188536</v>
      </c>
      <c r="S477" s="2">
        <f t="shared" si="161"/>
        <v>-0.12101756079227501</v>
      </c>
      <c r="T477" s="9">
        <f t="shared" si="162"/>
        <v>-757.28200189141728</v>
      </c>
      <c r="U477" s="7">
        <f t="shared" si="163"/>
        <v>34392753.083011009</v>
      </c>
      <c r="W477">
        <f t="shared" si="174"/>
        <v>168840</v>
      </c>
      <c r="X477" s="9">
        <f t="shared" si="156"/>
        <v>975.11348670100745</v>
      </c>
      <c r="Y477" s="2">
        <f t="shared" si="157"/>
        <v>33691005.340642549</v>
      </c>
      <c r="Z477" s="2">
        <f t="shared" si="164"/>
        <v>-0.11892685656351086</v>
      </c>
      <c r="AA477" s="2">
        <f t="shared" si="165"/>
        <v>-0.11933231799760911</v>
      </c>
      <c r="AB477" s="2">
        <f t="shared" si="166"/>
        <v>-0.11933227139215802</v>
      </c>
      <c r="AC477" s="2">
        <f t="shared" si="167"/>
        <v>-0.11975632075136888</v>
      </c>
      <c r="AD477" s="2">
        <f t="shared" si="168"/>
        <v>932.15274533534262</v>
      </c>
      <c r="AE477" s="10">
        <f t="shared" si="169"/>
        <v>34034313.262409091</v>
      </c>
    </row>
    <row r="478" spans="1:31" x14ac:dyDescent="0.25">
      <c r="A478" s="1">
        <f t="shared" si="170"/>
        <v>1.9583333333333333</v>
      </c>
      <c r="B478" s="7">
        <f t="shared" si="171"/>
        <v>34392753.083011009</v>
      </c>
      <c r="C478" s="7">
        <f t="shared" si="172"/>
        <v>34034313.262409091</v>
      </c>
      <c r="D478" s="7"/>
      <c r="E478" s="7"/>
      <c r="F478" s="7"/>
      <c r="G478" s="7"/>
      <c r="H478" s="7"/>
      <c r="I478" s="7"/>
      <c r="J478" s="7"/>
      <c r="K478" s="7"/>
      <c r="L478" s="1">
        <f t="shared" si="175"/>
        <v>1.9583333333333333</v>
      </c>
      <c r="M478">
        <f t="shared" si="173"/>
        <v>169200</v>
      </c>
      <c r="N478" s="9">
        <f t="shared" si="154"/>
        <v>-757.28200189141728</v>
      </c>
      <c r="O478" s="7">
        <f t="shared" si="155"/>
        <v>34392753.083011009</v>
      </c>
      <c r="P478" s="2">
        <f t="shared" si="158"/>
        <v>-0.12101756229921456</v>
      </c>
      <c r="Q478" s="2">
        <f t="shared" si="159"/>
        <v>-0.12039026433490727</v>
      </c>
      <c r="R478" s="2">
        <f t="shared" si="160"/>
        <v>-0.12039028422816546</v>
      </c>
      <c r="S478" s="2">
        <f t="shared" si="161"/>
        <v>-0.11978447874717163</v>
      </c>
      <c r="T478" s="9">
        <f t="shared" si="162"/>
        <v>-800.62379018176921</v>
      </c>
      <c r="U478" s="7">
        <f t="shared" si="163"/>
        <v>34112330.040437832</v>
      </c>
      <c r="W478">
        <f t="shared" si="174"/>
        <v>169200</v>
      </c>
      <c r="X478" s="9">
        <f t="shared" si="156"/>
        <v>932.15274533534262</v>
      </c>
      <c r="Y478" s="2">
        <f t="shared" si="157"/>
        <v>34034313.262409091</v>
      </c>
      <c r="Z478" s="2">
        <f t="shared" si="164"/>
        <v>-0.11975632237417813</v>
      </c>
      <c r="AA478" s="2">
        <f t="shared" si="165"/>
        <v>-0.12019934812972707</v>
      </c>
      <c r="AB478" s="2">
        <f t="shared" si="166"/>
        <v>-0.12019930710784946</v>
      </c>
      <c r="AC478" s="2">
        <f t="shared" si="167"/>
        <v>-0.12066153571941722</v>
      </c>
      <c r="AD478" s="2">
        <f t="shared" si="168"/>
        <v>888.87983522121772</v>
      </c>
      <c r="AE478" s="10">
        <f t="shared" si="169"/>
        <v>34362099.126909271</v>
      </c>
    </row>
    <row r="479" spans="1:31" x14ac:dyDescent="0.25">
      <c r="A479" s="1">
        <f t="shared" si="170"/>
        <v>1.9624999999999999</v>
      </c>
      <c r="B479" s="7">
        <f t="shared" si="171"/>
        <v>34112330.040437832</v>
      </c>
      <c r="C479" s="7">
        <f t="shared" si="172"/>
        <v>34362099.126909271</v>
      </c>
      <c r="D479" s="7"/>
      <c r="E479" s="7"/>
      <c r="F479" s="7"/>
      <c r="G479" s="7"/>
      <c r="H479" s="7"/>
      <c r="I479" s="7"/>
      <c r="J479" s="7"/>
      <c r="K479" s="7"/>
      <c r="L479" s="1">
        <f t="shared" si="175"/>
        <v>1.9624999999999999</v>
      </c>
      <c r="M479">
        <f t="shared" si="173"/>
        <v>169560</v>
      </c>
      <c r="N479" s="9">
        <f t="shared" si="154"/>
        <v>-800.62379018176921</v>
      </c>
      <c r="O479" s="7">
        <f t="shared" si="155"/>
        <v>34112330.040437832</v>
      </c>
      <c r="P479" s="2">
        <f t="shared" si="158"/>
        <v>-0.11978448024402695</v>
      </c>
      <c r="Q479" s="2">
        <f t="shared" si="159"/>
        <v>-0.11919966827197233</v>
      </c>
      <c r="R479" s="2">
        <f t="shared" si="160"/>
        <v>-0.11919969353952152</v>
      </c>
      <c r="S479" s="2">
        <f t="shared" si="161"/>
        <v>-0.11863548469797144</v>
      </c>
      <c r="T479" s="9">
        <f t="shared" si="162"/>
        <v>-843.53691149566839</v>
      </c>
      <c r="U479" s="7">
        <f t="shared" si="163"/>
        <v>33816381.114135891</v>
      </c>
      <c r="W479">
        <f t="shared" si="174"/>
        <v>169560</v>
      </c>
      <c r="X479" s="9">
        <f t="shared" si="156"/>
        <v>888.87983522121772</v>
      </c>
      <c r="Y479" s="2">
        <f t="shared" si="157"/>
        <v>34362099.126909271</v>
      </c>
      <c r="Z479" s="2">
        <f t="shared" si="164"/>
        <v>-0.12066153731308499</v>
      </c>
      <c r="AA479" s="2">
        <f t="shared" si="165"/>
        <v>-0.12114337811817777</v>
      </c>
      <c r="AB479" s="2">
        <f t="shared" si="166"/>
        <v>-0.12114334261477214</v>
      </c>
      <c r="AC479" s="2">
        <f t="shared" si="167"/>
        <v>-0.12164506644500428</v>
      </c>
      <c r="AD479" s="2">
        <f t="shared" si="168"/>
        <v>845.26703250777837</v>
      </c>
      <c r="AE479" s="10">
        <f t="shared" si="169"/>
        <v>34674245.563100487</v>
      </c>
    </row>
    <row r="480" spans="1:31" x14ac:dyDescent="0.25">
      <c r="A480" s="1">
        <f t="shared" si="170"/>
        <v>1.9666666666666666</v>
      </c>
      <c r="B480" s="7">
        <f t="shared" si="171"/>
        <v>33816381.114135891</v>
      </c>
      <c r="C480" s="7">
        <f t="shared" si="172"/>
        <v>34674245.563100487</v>
      </c>
      <c r="D480" s="7"/>
      <c r="E480" s="7"/>
      <c r="F480" s="7"/>
      <c r="G480" s="7"/>
      <c r="H480" s="7"/>
      <c r="I480" s="7"/>
      <c r="J480" s="7"/>
      <c r="K480" s="7"/>
      <c r="L480" s="1">
        <f t="shared" si="175"/>
        <v>1.9666666666666666</v>
      </c>
      <c r="M480">
        <f t="shared" si="173"/>
        <v>169920</v>
      </c>
      <c r="N480" s="9">
        <f t="shared" si="154"/>
        <v>-843.53691149566839</v>
      </c>
      <c r="O480" s="7">
        <f t="shared" si="155"/>
        <v>33816381.114135891</v>
      </c>
      <c r="P480" s="2">
        <f t="shared" si="158"/>
        <v>-0.11863548619334328</v>
      </c>
      <c r="Q480" s="2">
        <f t="shared" si="159"/>
        <v>-0.11809141075310002</v>
      </c>
      <c r="R480" s="2">
        <f t="shared" si="160"/>
        <v>-0.11809144134249762</v>
      </c>
      <c r="S480" s="2">
        <f t="shared" si="161"/>
        <v>-0.1175671578270992</v>
      </c>
      <c r="T480" s="9">
        <f t="shared" si="162"/>
        <v>-886.05101238836664</v>
      </c>
      <c r="U480" s="7">
        <f t="shared" si="163"/>
        <v>33505055.287836764</v>
      </c>
      <c r="W480">
        <f t="shared" si="174"/>
        <v>169920</v>
      </c>
      <c r="X480" s="9">
        <f t="shared" si="156"/>
        <v>845.26703250777837</v>
      </c>
      <c r="Y480" s="2">
        <f t="shared" si="157"/>
        <v>34674245.563100487</v>
      </c>
      <c r="Z480" s="2">
        <f t="shared" si="164"/>
        <v>-0.12164506801841792</v>
      </c>
      <c r="AA480" s="2">
        <f t="shared" si="165"/>
        <v>-0.12216710771863612</v>
      </c>
      <c r="AB480" s="2">
        <f t="shared" si="166"/>
        <v>-0.12216707770821075</v>
      </c>
      <c r="AC480" s="2">
        <f t="shared" si="167"/>
        <v>-0.12270975107447861</v>
      </c>
      <c r="AD480" s="2">
        <f t="shared" si="168"/>
        <v>801.28564111098297</v>
      </c>
      <c r="AE480" s="10">
        <f t="shared" si="169"/>
        <v>34970625.044351861</v>
      </c>
    </row>
    <row r="481" spans="1:31" x14ac:dyDescent="0.25">
      <c r="A481" s="1">
        <f t="shared" si="170"/>
        <v>1.9708333333333334</v>
      </c>
      <c r="B481" s="7">
        <f t="shared" si="171"/>
        <v>33505055.287836764</v>
      </c>
      <c r="C481" s="7">
        <f t="shared" si="172"/>
        <v>34970625.044351861</v>
      </c>
      <c r="D481" s="7"/>
      <c r="E481" s="7"/>
      <c r="F481" s="7"/>
      <c r="G481" s="7"/>
      <c r="H481" s="7"/>
      <c r="I481" s="7"/>
      <c r="J481" s="7"/>
      <c r="K481" s="7"/>
      <c r="L481" s="1">
        <f t="shared" si="175"/>
        <v>1.9708333333333334</v>
      </c>
      <c r="M481">
        <f t="shared" si="173"/>
        <v>170280</v>
      </c>
      <c r="N481" s="9">
        <f t="shared" si="154"/>
        <v>-886.05101238836664</v>
      </c>
      <c r="O481" s="7">
        <f t="shared" si="155"/>
        <v>33505055.287836764</v>
      </c>
      <c r="P481" s="2">
        <f t="shared" si="158"/>
        <v>-0.11756715932942464</v>
      </c>
      <c r="Q481" s="2">
        <f t="shared" si="159"/>
        <v>-0.11706222406585468</v>
      </c>
      <c r="R481" s="2">
        <f t="shared" si="160"/>
        <v>-0.1170622599637217</v>
      </c>
      <c r="S481" s="2">
        <f t="shared" si="161"/>
        <v>-0.11657637722073563</v>
      </c>
      <c r="T481" s="9">
        <f t="shared" si="162"/>
        <v>-928.19456266492546</v>
      </c>
      <c r="U481" s="7">
        <f t="shared" si="163"/>
        <v>33178491.084327172</v>
      </c>
      <c r="W481">
        <f t="shared" si="174"/>
        <v>170280</v>
      </c>
      <c r="X481" s="9">
        <f t="shared" si="156"/>
        <v>801.28564111098297</v>
      </c>
      <c r="Y481" s="2">
        <f t="shared" si="157"/>
        <v>34970625.044351861</v>
      </c>
      <c r="Z481" s="2">
        <f t="shared" si="164"/>
        <v>-0.12270975263638588</v>
      </c>
      <c r="AA481" s="2">
        <f t="shared" si="165"/>
        <v>-0.12327351886650983</v>
      </c>
      <c r="AB481" s="2">
        <f t="shared" si="166"/>
        <v>-0.12327349436334525</v>
      </c>
      <c r="AC481" s="2">
        <f t="shared" si="167"/>
        <v>-0.12385872119476028</v>
      </c>
      <c r="AD481" s="2">
        <f t="shared" si="168"/>
        <v>756.90589109353164</v>
      </c>
      <c r="AE481" s="10">
        <f t="shared" si="169"/>
        <v>35251099.520148672</v>
      </c>
    </row>
    <row r="482" spans="1:31" x14ac:dyDescent="0.25">
      <c r="A482" s="1">
        <f t="shared" si="170"/>
        <v>1.9750000000000001</v>
      </c>
      <c r="B482" s="7">
        <f t="shared" si="171"/>
        <v>33178491.084327172</v>
      </c>
      <c r="C482" s="7">
        <f t="shared" si="172"/>
        <v>35251099.520148672</v>
      </c>
      <c r="D482" s="7"/>
      <c r="E482" s="7"/>
      <c r="F482" s="7"/>
      <c r="G482" s="7"/>
      <c r="H482" s="7"/>
      <c r="I482" s="7"/>
      <c r="J482" s="7"/>
      <c r="K482" s="7"/>
      <c r="L482" s="1">
        <f t="shared" si="175"/>
        <v>1.9750000000000001</v>
      </c>
      <c r="M482">
        <f t="shared" si="173"/>
        <v>170640</v>
      </c>
      <c r="N482" s="9">
        <f t="shared" si="154"/>
        <v>-928.19456266492546</v>
      </c>
      <c r="O482" s="7">
        <f t="shared" si="155"/>
        <v>33178491.084327172</v>
      </c>
      <c r="P482" s="2">
        <f t="shared" si="158"/>
        <v>-0.11657637873840901</v>
      </c>
      <c r="Q482" s="2">
        <f t="shared" si="159"/>
        <v>-0.1161091279552517</v>
      </c>
      <c r="R482" s="2">
        <f t="shared" si="160"/>
        <v>-0.11610916918652284</v>
      </c>
      <c r="S482" s="2">
        <f t="shared" si="161"/>
        <v>-0.11566029759698425</v>
      </c>
      <c r="T482" s="9">
        <f t="shared" si="162"/>
        <v>-969.99495890206197</v>
      </c>
      <c r="U482" s="7">
        <f t="shared" si="163"/>
        <v>32836816.970445115</v>
      </c>
      <c r="W482">
        <f t="shared" si="174"/>
        <v>170640</v>
      </c>
      <c r="X482" s="9">
        <f t="shared" si="156"/>
        <v>756.90589109353164</v>
      </c>
      <c r="Y482" s="2">
        <f t="shared" si="157"/>
        <v>35251099.520148672</v>
      </c>
      <c r="Z482" s="2">
        <f t="shared" si="164"/>
        <v>-0.12385872275389329</v>
      </c>
      <c r="AA482" s="2">
        <f t="shared" si="165"/>
        <v>-0.12446589882882608</v>
      </c>
      <c r="AB482" s="2">
        <f t="shared" si="166"/>
        <v>-0.12446587988773272</v>
      </c>
      <c r="AC482" s="2">
        <f t="shared" si="167"/>
        <v>-0.12509542629186252</v>
      </c>
      <c r="AD482" s="2">
        <f t="shared" si="168"/>
        <v>712.09682870479924</v>
      </c>
      <c r="AE482" s="10">
        <f t="shared" si="169"/>
        <v>35515520.009712368</v>
      </c>
    </row>
    <row r="483" spans="1:31" x14ac:dyDescent="0.25">
      <c r="A483" s="1">
        <f t="shared" si="170"/>
        <v>1.9791666666666667</v>
      </c>
      <c r="B483" s="7">
        <f t="shared" si="171"/>
        <v>32836816.970445115</v>
      </c>
      <c r="C483" s="7">
        <f t="shared" si="172"/>
        <v>35515520.009712368</v>
      </c>
      <c r="D483" s="7"/>
      <c r="E483" s="7"/>
      <c r="F483" s="7"/>
      <c r="G483" s="7"/>
      <c r="H483" s="7"/>
      <c r="I483" s="7"/>
      <c r="J483" s="7"/>
      <c r="K483" s="7"/>
      <c r="L483" s="1">
        <f t="shared" si="175"/>
        <v>1.9791666666666667</v>
      </c>
      <c r="M483">
        <f t="shared" si="173"/>
        <v>171000</v>
      </c>
      <c r="N483" s="9">
        <f t="shared" si="154"/>
        <v>-969.99495890206197</v>
      </c>
      <c r="O483" s="7">
        <f t="shared" si="155"/>
        <v>32836816.970445115</v>
      </c>
      <c r="P483" s="2">
        <f t="shared" si="158"/>
        <v>-0.11566029913847627</v>
      </c>
      <c r="Q483" s="2">
        <f t="shared" si="159"/>
        <v>-0.11522940655242678</v>
      </c>
      <c r="R483" s="2">
        <f t="shared" si="160"/>
        <v>-0.11522945318017216</v>
      </c>
      <c r="S483" s="2">
        <f t="shared" si="161"/>
        <v>-0.11481632735032243</v>
      </c>
      <c r="T483" s="9">
        <f t="shared" si="162"/>
        <v>-1011.4786196593018</v>
      </c>
      <c r="U483" s="7">
        <f t="shared" si="163"/>
        <v>32480151.726304069</v>
      </c>
      <c r="W483">
        <f t="shared" si="174"/>
        <v>171000</v>
      </c>
      <c r="X483" s="9">
        <f t="shared" si="156"/>
        <v>712.09682870479924</v>
      </c>
      <c r="Y483" s="2">
        <f t="shared" si="157"/>
        <v>35515520.009712368</v>
      </c>
      <c r="Z483" s="2">
        <f t="shared" si="164"/>
        <v>-0.12509542785706215</v>
      </c>
      <c r="AA483" s="2">
        <f t="shared" si="165"/>
        <v>-0.12574786605956592</v>
      </c>
      <c r="AB483" s="2">
        <f t="shared" si="166"/>
        <v>-0.12574785277726061</v>
      </c>
      <c r="AC483" s="2">
        <f t="shared" si="167"/>
        <v>-0.12642366110137643</v>
      </c>
      <c r="AD483" s="2">
        <f t="shared" si="168"/>
        <v>666.82619710687368</v>
      </c>
      <c r="AE483" s="10">
        <f t="shared" si="169"/>
        <v>35763726.154358469</v>
      </c>
    </row>
    <row r="484" spans="1:31" x14ac:dyDescent="0.25">
      <c r="A484" s="1">
        <f t="shared" si="170"/>
        <v>1.9833333333333334</v>
      </c>
      <c r="B484" s="7">
        <f t="shared" si="171"/>
        <v>32480151.726304069</v>
      </c>
      <c r="C484" s="7">
        <f t="shared" si="172"/>
        <v>35763726.154358469</v>
      </c>
      <c r="D484" s="7"/>
      <c r="E484" s="7"/>
      <c r="F484" s="7"/>
      <c r="G484" s="7"/>
      <c r="H484" s="7"/>
      <c r="I484" s="7"/>
      <c r="J484" s="7"/>
      <c r="K484" s="7"/>
      <c r="L484" s="1">
        <f t="shared" si="175"/>
        <v>1.9833333333333334</v>
      </c>
      <c r="M484">
        <f t="shared" si="173"/>
        <v>171360</v>
      </c>
      <c r="N484" s="9">
        <f t="shared" si="154"/>
        <v>-1011.4786196593018</v>
      </c>
      <c r="O484" s="7">
        <f t="shared" si="155"/>
        <v>32480151.726304069</v>
      </c>
      <c r="P484" s="2">
        <f t="shared" si="158"/>
        <v>-0.11481632892429923</v>
      </c>
      <c r="Q484" s="2">
        <f t="shared" si="159"/>
        <v>-0.11442058745195248</v>
      </c>
      <c r="R484" s="2">
        <f t="shared" si="160"/>
        <v>-0.11442063957776206</v>
      </c>
      <c r="S484" s="2">
        <f t="shared" si="161"/>
        <v>-0.11404210858470376</v>
      </c>
      <c r="T484" s="9">
        <f t="shared" si="162"/>
        <v>-1052.6710731534076</v>
      </c>
      <c r="U484" s="7">
        <f t="shared" si="163"/>
        <v>32108604.781597782</v>
      </c>
      <c r="W484">
        <f t="shared" si="174"/>
        <v>171360</v>
      </c>
      <c r="X484" s="9">
        <f t="shared" si="156"/>
        <v>666.82619710687368</v>
      </c>
      <c r="Y484" s="2">
        <f t="shared" si="157"/>
        <v>35763726.154358469</v>
      </c>
      <c r="Z484" s="2">
        <f t="shared" si="164"/>
        <v>-0.12642366268172106</v>
      </c>
      <c r="AA484" s="2">
        <f t="shared" si="165"/>
        <v>-0.1271233991474463</v>
      </c>
      <c r="AB484" s="2">
        <f t="shared" si="166"/>
        <v>-0.12712339166458689</v>
      </c>
      <c r="AC484" s="2">
        <f t="shared" si="167"/>
        <v>-0.12784759626521197</v>
      </c>
      <c r="AD484" s="2">
        <f t="shared" si="168"/>
        <v>621.06030667261371</v>
      </c>
      <c r="AE484" s="10">
        <f t="shared" si="169"/>
        <v>35995545.725038774</v>
      </c>
    </row>
    <row r="485" spans="1:31" x14ac:dyDescent="0.25">
      <c r="A485" s="1">
        <f t="shared" si="170"/>
        <v>1.9875</v>
      </c>
      <c r="B485" s="7">
        <f t="shared" si="171"/>
        <v>32108604.781597782</v>
      </c>
      <c r="C485" s="7">
        <f t="shared" si="172"/>
        <v>35995545.725038774</v>
      </c>
      <c r="D485" s="7"/>
      <c r="E485" s="7"/>
      <c r="F485" s="7"/>
      <c r="G485" s="7"/>
      <c r="H485" s="7"/>
      <c r="I485" s="7"/>
      <c r="J485" s="7"/>
      <c r="K485" s="7"/>
      <c r="L485" s="1">
        <f t="shared" si="175"/>
        <v>1.9875</v>
      </c>
      <c r="M485">
        <f t="shared" si="173"/>
        <v>171720</v>
      </c>
      <c r="N485" s="9">
        <f t="shared" si="154"/>
        <v>-1052.6710731534076</v>
      </c>
      <c r="O485" s="7">
        <f t="shared" si="155"/>
        <v>32108604.781597782</v>
      </c>
      <c r="P485" s="2">
        <f t="shared" si="158"/>
        <v>-0.11404211020014988</v>
      </c>
      <c r="Q485" s="2">
        <f t="shared" si="159"/>
        <v>-0.11368042262450349</v>
      </c>
      <c r="R485" s="2">
        <f t="shared" si="160"/>
        <v>-0.11368048038943915</v>
      </c>
      <c r="S485" s="2">
        <f t="shared" si="161"/>
        <v>-0.11333549883444302</v>
      </c>
      <c r="T485" s="9">
        <f t="shared" si="162"/>
        <v>-1093.5970380571564</v>
      </c>
      <c r="U485" s="7">
        <f t="shared" si="163"/>
        <v>31722276.52157988</v>
      </c>
      <c r="W485">
        <f t="shared" si="174"/>
        <v>171720</v>
      </c>
      <c r="X485" s="9">
        <f t="shared" si="156"/>
        <v>621.06030667261371</v>
      </c>
      <c r="Y485" s="2">
        <f t="shared" si="157"/>
        <v>35995545.725038774</v>
      </c>
      <c r="Z485" s="2">
        <f t="shared" si="164"/>
        <v>-0.12784759787015371</v>
      </c>
      <c r="AA485" s="2">
        <f t="shared" si="165"/>
        <v>-0.12859686929825209</v>
      </c>
      <c r="AB485" s="2">
        <f t="shared" si="166"/>
        <v>-0.12859686780218602</v>
      </c>
      <c r="AC485" s="2">
        <f t="shared" si="167"/>
        <v>-0.12937181276728105</v>
      </c>
      <c r="AD485" s="2">
        <f t="shared" si="168"/>
        <v>574.76389358231506</v>
      </c>
      <c r="AE485" s="10">
        <f t="shared" si="169"/>
        <v>36210794.081084661</v>
      </c>
    </row>
    <row r="486" spans="1:31" x14ac:dyDescent="0.25">
      <c r="A486" s="1">
        <f t="shared" si="170"/>
        <v>1.9916666666666667</v>
      </c>
      <c r="B486" s="7">
        <f t="shared" si="171"/>
        <v>31722276.52157988</v>
      </c>
      <c r="C486" s="7">
        <f t="shared" si="172"/>
        <v>36210794.081084661</v>
      </c>
      <c r="D486" s="7"/>
      <c r="E486" s="7"/>
      <c r="F486" s="7"/>
      <c r="G486" s="7"/>
      <c r="H486" s="7"/>
      <c r="I486" s="7"/>
      <c r="J486" s="7"/>
      <c r="K486" s="7"/>
      <c r="L486" s="1">
        <f t="shared" si="175"/>
        <v>1.9916666666666667</v>
      </c>
      <c r="M486">
        <f t="shared" si="173"/>
        <v>172080</v>
      </c>
      <c r="N486" s="9">
        <f t="shared" si="154"/>
        <v>-1093.5970380571564</v>
      </c>
      <c r="O486" s="7">
        <f t="shared" si="155"/>
        <v>31722276.52157988</v>
      </c>
      <c r="P486" s="2">
        <f t="shared" si="158"/>
        <v>-0.11333550050079054</v>
      </c>
      <c r="Q486" s="2">
        <f t="shared" si="159"/>
        <v>-0.11300687087452747</v>
      </c>
      <c r="R486" s="2">
        <f t="shared" si="160"/>
        <v>-0.1130069344606618</v>
      </c>
      <c r="S486" s="2">
        <f t="shared" si="161"/>
        <v>-0.11269455419125202</v>
      </c>
      <c r="T486" s="9">
        <f t="shared" si="162"/>
        <v>-1134.2804979789016</v>
      </c>
      <c r="U486" s="7">
        <f t="shared" si="163"/>
        <v>31321258.565093391</v>
      </c>
      <c r="W486">
        <f t="shared" si="174"/>
        <v>172080</v>
      </c>
      <c r="X486" s="9">
        <f t="shared" si="156"/>
        <v>574.76389358231506</v>
      </c>
      <c r="Y486" s="2">
        <f t="shared" si="157"/>
        <v>36210794.081084661</v>
      </c>
      <c r="Z486" s="2">
        <f t="shared" si="164"/>
        <v>-0.1293718144067928</v>
      </c>
      <c r="AA486" s="2">
        <f t="shared" si="165"/>
        <v>-0.13017307685790852</v>
      </c>
      <c r="AB486" s="2">
        <f t="shared" si="166"/>
        <v>-0.13017308158621199</v>
      </c>
      <c r="AC486" s="2">
        <f t="shared" si="167"/>
        <v>-0.13100134069106351</v>
      </c>
      <c r="AD486" s="2">
        <f t="shared" si="168"/>
        <v>527.89996526314917</v>
      </c>
      <c r="AE486" s="10">
        <f t="shared" si="169"/>
        <v>36409273.575676844</v>
      </c>
    </row>
    <row r="487" spans="1:31" x14ac:dyDescent="0.25">
      <c r="A487" s="1">
        <f t="shared" si="170"/>
        <v>1.9958333333333333</v>
      </c>
      <c r="B487" s="7">
        <f t="shared" si="171"/>
        <v>31321258.565093391</v>
      </c>
      <c r="C487" s="7">
        <f t="shared" si="172"/>
        <v>36409273.575676844</v>
      </c>
      <c r="D487" s="7"/>
      <c r="E487" s="7"/>
      <c r="F487" s="7"/>
      <c r="G487" s="7"/>
      <c r="H487" s="7"/>
      <c r="I487" s="7"/>
      <c r="J487" s="7"/>
      <c r="K487" s="7"/>
      <c r="L487" s="1">
        <f t="shared" si="175"/>
        <v>1.9958333333333333</v>
      </c>
      <c r="M487">
        <f t="shared" si="173"/>
        <v>172440</v>
      </c>
      <c r="N487" s="9">
        <f t="shared" si="154"/>
        <v>-1134.2804979789016</v>
      </c>
      <c r="O487" s="7">
        <f t="shared" si="155"/>
        <v>31321258.565093391</v>
      </c>
      <c r="P487" s="2">
        <f t="shared" si="158"/>
        <v>-0.1126945559185194</v>
      </c>
      <c r="Q487" s="2">
        <f t="shared" si="159"/>
        <v>-0.11239808156815251</v>
      </c>
      <c r="R487" s="2">
        <f t="shared" si="160"/>
        <v>-0.11239815120072817</v>
      </c>
      <c r="S487" s="2">
        <f t="shared" si="161"/>
        <v>-0.11211751356773465</v>
      </c>
      <c r="T487" s="9">
        <f t="shared" si="162"/>
        <v>-1174.7447700803425</v>
      </c>
      <c r="U487" s="7">
        <f t="shared" si="163"/>
        <v>30905634.016842727</v>
      </c>
      <c r="W487">
        <f t="shared" si="174"/>
        <v>172440</v>
      </c>
      <c r="X487" s="9">
        <f t="shared" si="156"/>
        <v>527.89996526314917</v>
      </c>
      <c r="Y487" s="2">
        <f t="shared" si="157"/>
        <v>36409273.575676844</v>
      </c>
      <c r="Z487" s="2">
        <f t="shared" si="164"/>
        <v>-0.13100134237580094</v>
      </c>
      <c r="AA487" s="2">
        <f t="shared" si="165"/>
        <v>-0.13185729245942421</v>
      </c>
      <c r="AB487" s="2">
        <f t="shared" si="166"/>
        <v>-0.1318573037043301</v>
      </c>
      <c r="AC487" s="2">
        <f t="shared" si="167"/>
        <v>-0.1327417029262036</v>
      </c>
      <c r="AD487" s="2">
        <f t="shared" si="168"/>
        <v>480.42963100537838</v>
      </c>
      <c r="AE487" s="10">
        <f t="shared" si="169"/>
        <v>36590772.903005175</v>
      </c>
    </row>
    <row r="488" spans="1:31" x14ac:dyDescent="0.25">
      <c r="A488" s="1">
        <f t="shared" si="170"/>
        <v>2</v>
      </c>
      <c r="B488" s="7">
        <f t="shared" si="171"/>
        <v>30905634.016842727</v>
      </c>
      <c r="C488" s="7">
        <f t="shared" si="172"/>
        <v>36590772.903005175</v>
      </c>
      <c r="D488" s="7"/>
      <c r="E488" s="7"/>
      <c r="F488" s="7"/>
      <c r="G488" s="7"/>
      <c r="H488" s="7"/>
      <c r="I488" s="7"/>
      <c r="J488" s="7"/>
      <c r="K488" s="7"/>
      <c r="L488" s="1">
        <f t="shared" si="175"/>
        <v>2</v>
      </c>
      <c r="M488">
        <f t="shared" si="173"/>
        <v>172800</v>
      </c>
      <c r="N488" s="9">
        <f t="shared" si="154"/>
        <v>-1174.7447700803425</v>
      </c>
      <c r="O488" s="7">
        <f t="shared" si="155"/>
        <v>30905634.016842727</v>
      </c>
      <c r="P488" s="2">
        <f t="shared" si="158"/>
        <v>-0.11211751536667901</v>
      </c>
      <c r="Q488" s="2">
        <f t="shared" si="159"/>
        <v>-0.11185237936485171</v>
      </c>
      <c r="R488" s="2">
        <f t="shared" si="160"/>
        <v>-0.11185245531510991</v>
      </c>
      <c r="S488" s="2">
        <f t="shared" si="161"/>
        <v>-0.1116027838322291</v>
      </c>
      <c r="T488" s="9">
        <f t="shared" si="162"/>
        <v>-1215.0125681938723</v>
      </c>
      <c r="U488" s="7">
        <f t="shared" si="163"/>
        <v>30475477.695953369</v>
      </c>
      <c r="W488">
        <f t="shared" si="174"/>
        <v>172800</v>
      </c>
      <c r="X488" s="9">
        <f t="shared" si="156"/>
        <v>480.42963100537838</v>
      </c>
      <c r="Y488" s="2">
        <f t="shared" si="157"/>
        <v>36590772.903005175</v>
      </c>
      <c r="Z488" s="2">
        <f t="shared" si="164"/>
        <v>-0.13274170466768662</v>
      </c>
      <c r="AA488" s="2">
        <f t="shared" si="165"/>
        <v>-0.1336553034689564</v>
      </c>
      <c r="AB488" s="2">
        <f t="shared" si="166"/>
        <v>-0.13365532158279661</v>
      </c>
      <c r="AC488" s="2">
        <f t="shared" si="167"/>
        <v>-0.13459896455206496</v>
      </c>
      <c r="AD488" s="2">
        <f t="shared" si="168"/>
        <v>432.31191584598292</v>
      </c>
      <c r="AE488" s="10">
        <f t="shared" si="169"/>
        <v>36755066.381438419</v>
      </c>
    </row>
    <row r="489" spans="1:31" x14ac:dyDescent="0.25">
      <c r="A489" s="1">
        <f t="shared" si="170"/>
        <v>2.0041666666666669</v>
      </c>
      <c r="B489" s="7">
        <f t="shared" si="171"/>
        <v>30475477.695953369</v>
      </c>
      <c r="C489" s="7">
        <f t="shared" si="172"/>
        <v>36755066.381438419</v>
      </c>
      <c r="D489" s="7"/>
      <c r="E489" s="7"/>
      <c r="F489" s="7"/>
      <c r="G489" s="7"/>
      <c r="H489" s="7"/>
      <c r="I489" s="7"/>
      <c r="J489" s="7"/>
      <c r="K489" s="7"/>
      <c r="L489" s="1">
        <f t="shared" si="175"/>
        <v>2.0041666666666669</v>
      </c>
      <c r="M489">
        <f t="shared" si="173"/>
        <v>173160</v>
      </c>
      <c r="N489" s="9">
        <f t="shared" ref="N489:N552" si="176">T488</f>
        <v>-1215.0125681938723</v>
      </c>
      <c r="O489" s="7">
        <f t="shared" ref="O489:O552" si="177">U488</f>
        <v>30475477.695953369</v>
      </c>
      <c r="P489" s="2">
        <f t="shared" si="158"/>
        <v>-0.11160278571451548</v>
      </c>
      <c r="Q489" s="2">
        <f t="shared" si="159"/>
        <v>-0.11136824968716452</v>
      </c>
      <c r="R489" s="2">
        <f t="shared" si="160"/>
        <v>-0.11136833227590998</v>
      </c>
      <c r="S489" s="2">
        <f t="shared" si="161"/>
        <v>-0.11114892554674338</v>
      </c>
      <c r="T489" s="9">
        <f t="shared" si="162"/>
        <v>-1255.1060607051168</v>
      </c>
      <c r="U489" s="7">
        <f t="shared" si="163"/>
        <v>30030856.342751551</v>
      </c>
      <c r="W489">
        <f t="shared" si="174"/>
        <v>173160</v>
      </c>
      <c r="X489" s="9">
        <f t="shared" ref="X489:X552" si="178">AD488</f>
        <v>432.31191584598292</v>
      </c>
      <c r="Y489" s="2">
        <f t="shared" ref="Y489:Y552" si="179">AE488</f>
        <v>36755066.381438419</v>
      </c>
      <c r="Z489" s="2">
        <f t="shared" si="164"/>
        <v>-0.13459896636288451</v>
      </c>
      <c r="AA489" s="2">
        <f t="shared" si="165"/>
        <v>-0.13557346651649141</v>
      </c>
      <c r="AB489" s="2">
        <f t="shared" si="166"/>
        <v>-0.13557349191831047</v>
      </c>
      <c r="AC489" s="2">
        <f t="shared" si="167"/>
        <v>-0.13657978874679005</v>
      </c>
      <c r="AD489" s="2">
        <f t="shared" si="168"/>
        <v>383.50355552722624</v>
      </c>
      <c r="AE489" s="10">
        <f t="shared" si="169"/>
        <v>36901913.166285597</v>
      </c>
    </row>
    <row r="490" spans="1:31" x14ac:dyDescent="0.25">
      <c r="A490" s="1">
        <f t="shared" si="170"/>
        <v>2.0083333333333333</v>
      </c>
      <c r="B490" s="7">
        <f t="shared" si="171"/>
        <v>30030856.342751551</v>
      </c>
      <c r="C490" s="7">
        <f t="shared" si="172"/>
        <v>36901913.166285597</v>
      </c>
      <c r="D490" s="7"/>
      <c r="E490" s="7"/>
      <c r="F490" s="7"/>
      <c r="G490" s="7"/>
      <c r="H490" s="7"/>
      <c r="I490" s="7"/>
      <c r="J490" s="7"/>
      <c r="K490" s="7"/>
      <c r="L490" s="1">
        <f t="shared" si="175"/>
        <v>2.0083333333333333</v>
      </c>
      <c r="M490">
        <f t="shared" si="173"/>
        <v>173520</v>
      </c>
      <c r="N490" s="9">
        <f t="shared" si="176"/>
        <v>-1255.1060607051168</v>
      </c>
      <c r="O490" s="7">
        <f t="shared" si="177"/>
        <v>30030856.342751551</v>
      </c>
      <c r="P490" s="2">
        <f t="shared" si="158"/>
        <v>-0.11114892752513605</v>
      </c>
      <c r="Q490" s="2">
        <f t="shared" si="159"/>
        <v>-0.11094432465552551</v>
      </c>
      <c r="R490" s="2">
        <f t="shared" si="160"/>
        <v>-0.11094441425751511</v>
      </c>
      <c r="S490" s="2">
        <f t="shared" si="161"/>
        <v>-0.11075463902814739</v>
      </c>
      <c r="T490" s="9">
        <f t="shared" si="162"/>
        <v>-1295.0469233678787</v>
      </c>
      <c r="U490" s="7">
        <f t="shared" si="163"/>
        <v>29571828.805618413</v>
      </c>
      <c r="W490">
        <f t="shared" si="174"/>
        <v>173520</v>
      </c>
      <c r="X490" s="9">
        <f t="shared" si="178"/>
        <v>383.50355552722624</v>
      </c>
      <c r="Y490" s="2">
        <f t="shared" si="179"/>
        <v>36901913.166285597</v>
      </c>
      <c r="Z490" s="2">
        <f t="shared" si="164"/>
        <v>-0.13657979064084652</v>
      </c>
      <c r="AA490" s="2">
        <f t="shared" si="165"/>
        <v>-0.13761876702863618</v>
      </c>
      <c r="AB490" s="2">
        <f t="shared" si="166"/>
        <v>-0.13761880021217199</v>
      </c>
      <c r="AC490" s="2">
        <f t="shared" si="167"/>
        <v>-0.13869150021494567</v>
      </c>
      <c r="AD490" s="2">
        <f t="shared" si="168"/>
        <v>333.95877000698169</v>
      </c>
      <c r="AE490" s="10">
        <f t="shared" si="169"/>
        <v>37031056.384881757</v>
      </c>
    </row>
    <row r="491" spans="1:31" x14ac:dyDescent="0.25">
      <c r="A491" s="1">
        <f t="shared" si="170"/>
        <v>2.0125000000000002</v>
      </c>
      <c r="B491" s="7">
        <f t="shared" si="171"/>
        <v>29571828.805618413</v>
      </c>
      <c r="C491" s="7">
        <f t="shared" si="172"/>
        <v>37031056.384881757</v>
      </c>
      <c r="D491" s="7"/>
      <c r="E491" s="7"/>
      <c r="F491" s="7"/>
      <c r="G491" s="7"/>
      <c r="H491" s="7"/>
      <c r="I491" s="7"/>
      <c r="J491" s="7"/>
      <c r="K491" s="7"/>
      <c r="L491" s="1">
        <f t="shared" si="175"/>
        <v>2.0125000000000002</v>
      </c>
      <c r="M491">
        <f t="shared" si="173"/>
        <v>173880</v>
      </c>
      <c r="N491" s="9">
        <f t="shared" si="176"/>
        <v>-1295.0469233678787</v>
      </c>
      <c r="O491" s="7">
        <f t="shared" si="177"/>
        <v>29571828.805618413</v>
      </c>
      <c r="P491" s="2">
        <f t="shared" si="158"/>
        <v>-0.11075464111672874</v>
      </c>
      <c r="Q491" s="2">
        <f t="shared" si="159"/>
        <v>-0.11057936919905578</v>
      </c>
      <c r="R491" s="2">
        <f t="shared" si="160"/>
        <v>-0.11057946624831956</v>
      </c>
      <c r="S491" s="2">
        <f t="shared" si="161"/>
        <v>-0.11041875043164696</v>
      </c>
      <c r="T491" s="9">
        <f t="shared" si="162"/>
        <v>-1334.8563871144663</v>
      </c>
      <c r="U491" s="7">
        <f t="shared" si="163"/>
        <v>29098446.20973159</v>
      </c>
      <c r="W491">
        <f t="shared" si="174"/>
        <v>173880</v>
      </c>
      <c r="X491" s="9">
        <f t="shared" si="178"/>
        <v>333.95877000698169</v>
      </c>
      <c r="Y491" s="2">
        <f t="shared" si="179"/>
        <v>37031056.384881757</v>
      </c>
      <c r="Z491" s="2">
        <f t="shared" si="164"/>
        <v>-0.13869150220772614</v>
      </c>
      <c r="AA491" s="2">
        <f t="shared" si="165"/>
        <v>-0.139798886839333</v>
      </c>
      <c r="AB491" s="2">
        <f t="shared" si="166"/>
        <v>-0.1397989283826076</v>
      </c>
      <c r="AC491" s="2">
        <f t="shared" si="167"/>
        <v>-0.14094215730036341</v>
      </c>
      <c r="AD491" s="2">
        <f t="shared" si="168"/>
        <v>283.62901260986342</v>
      </c>
      <c r="AE491" s="10">
        <f t="shared" si="169"/>
        <v>37142222.185752787</v>
      </c>
    </row>
    <row r="492" spans="1:31" x14ac:dyDescent="0.25">
      <c r="A492" s="1">
        <f t="shared" si="170"/>
        <v>2.0166666666666666</v>
      </c>
      <c r="B492" s="7">
        <f t="shared" si="171"/>
        <v>29098446.20973159</v>
      </c>
      <c r="C492" s="7">
        <f t="shared" si="172"/>
        <v>37142222.185752787</v>
      </c>
      <c r="D492" s="7"/>
      <c r="E492" s="7"/>
      <c r="F492" s="7"/>
      <c r="G492" s="7"/>
      <c r="H492" s="7"/>
      <c r="I492" s="7"/>
      <c r="J492" s="7"/>
      <c r="K492" s="7"/>
      <c r="L492" s="1">
        <f t="shared" si="175"/>
        <v>2.0166666666666666</v>
      </c>
      <c r="M492">
        <f t="shared" si="173"/>
        <v>174240</v>
      </c>
      <c r="N492" s="9">
        <f t="shared" si="176"/>
        <v>-1334.8563871144663</v>
      </c>
      <c r="O492" s="7">
        <f t="shared" si="177"/>
        <v>29098446.20973159</v>
      </c>
      <c r="P492" s="2">
        <f t="shared" si="158"/>
        <v>-0.11041875264607033</v>
      </c>
      <c r="Q492" s="2">
        <f t="shared" si="159"/>
        <v>-0.1102722670266811</v>
      </c>
      <c r="R492" s="2">
        <f t="shared" si="160"/>
        <v>-0.11027237202291465</v>
      </c>
      <c r="S492" s="2">
        <f t="shared" si="161"/>
        <v>-0.11014019752325781</v>
      </c>
      <c r="T492" s="9">
        <f t="shared" si="162"/>
        <v>-1374.5552808105774</v>
      </c>
      <c r="U492" s="7">
        <f t="shared" si="163"/>
        <v>28610752.109505083</v>
      </c>
      <c r="W492">
        <f t="shared" si="174"/>
        <v>174240</v>
      </c>
      <c r="X492" s="9">
        <f t="shared" si="178"/>
        <v>283.62901260986342</v>
      </c>
      <c r="Y492" s="2">
        <f t="shared" si="179"/>
        <v>37142222.185752787</v>
      </c>
      <c r="Z492" s="2">
        <f t="shared" si="164"/>
        <v>-0.14094215940926885</v>
      </c>
      <c r="AA492" s="2">
        <f t="shared" si="165"/>
        <v>-0.14212228114461301</v>
      </c>
      <c r="AB492" s="2">
        <f t="shared" si="166"/>
        <v>-0.14212233172143449</v>
      </c>
      <c r="AC492" s="2">
        <f t="shared" si="167"/>
        <v>-0.14334063415965032</v>
      </c>
      <c r="AD492" s="2">
        <f t="shared" si="168"/>
        <v>232.46269145180258</v>
      </c>
      <c r="AE492" s="10">
        <f t="shared" si="169"/>
        <v>37235118.692483887</v>
      </c>
    </row>
    <row r="493" spans="1:31" x14ac:dyDescent="0.25">
      <c r="A493" s="1">
        <f t="shared" si="170"/>
        <v>2.0208333333333335</v>
      </c>
      <c r="B493" s="7">
        <f t="shared" si="171"/>
        <v>28610752.109505083</v>
      </c>
      <c r="C493" s="7">
        <f t="shared" si="172"/>
        <v>37235118.692483887</v>
      </c>
      <c r="D493" s="7"/>
      <c r="E493" s="7"/>
      <c r="F493" s="7"/>
      <c r="G493" s="7"/>
      <c r="H493" s="7"/>
      <c r="I493" s="7"/>
      <c r="J493" s="7"/>
      <c r="K493" s="7"/>
      <c r="L493" s="1">
        <f t="shared" si="175"/>
        <v>2.0208333333333335</v>
      </c>
      <c r="M493">
        <f t="shared" si="173"/>
        <v>174600</v>
      </c>
      <c r="N493" s="9">
        <f t="shared" si="176"/>
        <v>-1374.5552808105774</v>
      </c>
      <c r="O493" s="7">
        <f t="shared" si="177"/>
        <v>28610752.109505083</v>
      </c>
      <c r="P493" s="2">
        <f t="shared" si="158"/>
        <v>-0.1101401998810423</v>
      </c>
      <c r="Q493" s="2">
        <f t="shared" si="159"/>
        <v>-0.1100220061042501</v>
      </c>
      <c r="R493" s="2">
        <f t="shared" si="160"/>
        <v>-0.11002211962044835</v>
      </c>
      <c r="S493" s="2">
        <f t="shared" si="161"/>
        <v>-0.10991801476228438</v>
      </c>
      <c r="T493" s="9">
        <f t="shared" si="162"/>
        <v>-1414.1640687761408</v>
      </c>
      <c r="U493" s="7">
        <f t="shared" si="163"/>
        <v>28108782.626579475</v>
      </c>
      <c r="W493">
        <f t="shared" si="174"/>
        <v>174600</v>
      </c>
      <c r="X493" s="9">
        <f t="shared" si="178"/>
        <v>232.46269145180258</v>
      </c>
      <c r="Y493" s="2">
        <f t="shared" si="179"/>
        <v>37235118.692483887</v>
      </c>
      <c r="Z493" s="2">
        <f t="shared" si="164"/>
        <v>-0.14334063640438327</v>
      </c>
      <c r="AA493" s="2">
        <f t="shared" si="165"/>
        <v>-0.14459826629688363</v>
      </c>
      <c r="AB493" s="2">
        <f t="shared" si="166"/>
        <v>-0.14459832669063261</v>
      </c>
      <c r="AC493" s="2">
        <f t="shared" si="167"/>
        <v>-0.14589671462398529</v>
      </c>
      <c r="AD493" s="2">
        <f t="shared" si="168"/>
        <v>180.40485923159852</v>
      </c>
      <c r="AE493" s="10">
        <f t="shared" si="169"/>
        <v>37309434.851606898</v>
      </c>
    </row>
    <row r="494" spans="1:31" x14ac:dyDescent="0.25">
      <c r="A494" s="1">
        <f t="shared" si="170"/>
        <v>2.0249999999999999</v>
      </c>
      <c r="B494" s="7">
        <f t="shared" si="171"/>
        <v>28108782.626579475</v>
      </c>
      <c r="C494" s="7">
        <f t="shared" si="172"/>
        <v>37309434.851606898</v>
      </c>
      <c r="D494" s="7"/>
      <c r="E494" s="7"/>
      <c r="F494" s="7"/>
      <c r="G494" s="7"/>
      <c r="H494" s="7"/>
      <c r="I494" s="7"/>
      <c r="J494" s="7"/>
      <c r="K494" s="7"/>
      <c r="L494" s="1">
        <f t="shared" si="175"/>
        <v>2.0249999999999999</v>
      </c>
      <c r="M494">
        <f t="shared" si="173"/>
        <v>174960</v>
      </c>
      <c r="N494" s="9">
        <f t="shared" si="176"/>
        <v>-1414.1640687761408</v>
      </c>
      <c r="O494" s="7">
        <f t="shared" si="177"/>
        <v>28108782.626579475</v>
      </c>
      <c r="P494" s="2">
        <f t="shared" si="158"/>
        <v>-0.10991801728316157</v>
      </c>
      <c r="Q494" s="2">
        <f t="shared" si="159"/>
        <v>-0.10982766322983609</v>
      </c>
      <c r="R494" s="2">
        <f t="shared" si="160"/>
        <v>-0.10982778592137867</v>
      </c>
      <c r="S494" s="2">
        <f t="shared" si="161"/>
        <v>-0.10975131725268278</v>
      </c>
      <c r="T494" s="9">
        <f t="shared" si="162"/>
        <v>-1453.7028827464371</v>
      </c>
      <c r="U494" s="7">
        <f t="shared" si="163"/>
        <v>27592566.57530541</v>
      </c>
      <c r="W494">
        <f t="shared" si="174"/>
        <v>174960</v>
      </c>
      <c r="X494" s="9">
        <f t="shared" si="178"/>
        <v>180.40485923159852</v>
      </c>
      <c r="Y494" s="2">
        <f t="shared" si="179"/>
        <v>37309434.851606898</v>
      </c>
      <c r="Z494" s="2">
        <f t="shared" si="164"/>
        <v>-0.14589671702701418</v>
      </c>
      <c r="AA494" s="2">
        <f t="shared" si="165"/>
        <v>-0.14723712021160396</v>
      </c>
      <c r="AB494" s="2">
        <f t="shared" si="166"/>
        <v>-0.14723719133176927</v>
      </c>
      <c r="AC494" s="2">
        <f t="shared" si="167"/>
        <v>-0.14862119968221496</v>
      </c>
      <c r="AD494" s="2">
        <f t="shared" si="168"/>
        <v>127.39686684383997</v>
      </c>
      <c r="AE494" s="10">
        <f t="shared" si="169"/>
        <v>37364839.162300475</v>
      </c>
    </row>
    <row r="495" spans="1:31" x14ac:dyDescent="0.25">
      <c r="A495" s="1">
        <f t="shared" si="170"/>
        <v>2.0291666666666668</v>
      </c>
      <c r="B495" s="7">
        <f t="shared" si="171"/>
        <v>27592566.57530541</v>
      </c>
      <c r="C495" s="7">
        <f t="shared" si="172"/>
        <v>37364839.162300475</v>
      </c>
      <c r="D495" s="7"/>
      <c r="E495" s="7"/>
      <c r="F495" s="7"/>
      <c r="G495" s="7"/>
      <c r="H495" s="7"/>
      <c r="I495" s="7"/>
      <c r="J495" s="7"/>
      <c r="K495" s="7"/>
      <c r="L495" s="1">
        <f t="shared" si="175"/>
        <v>2.0291666666666668</v>
      </c>
      <c r="M495">
        <f t="shared" si="173"/>
        <v>175320</v>
      </c>
      <c r="N495" s="9">
        <f t="shared" si="176"/>
        <v>-1453.7028827464371</v>
      </c>
      <c r="O495" s="7">
        <f t="shared" si="177"/>
        <v>27592566.57530541</v>
      </c>
      <c r="P495" s="2">
        <f t="shared" si="158"/>
        <v>-0.10975131995900737</v>
      </c>
      <c r="Q495" s="2">
        <f t="shared" si="159"/>
        <v>-0.1096883872276149</v>
      </c>
      <c r="R495" s="2">
        <f t="shared" si="160"/>
        <v>-0.10968851984306295</v>
      </c>
      <c r="S495" s="2">
        <f t="shared" si="161"/>
        <v>-0.1096392830395929</v>
      </c>
      <c r="T495" s="9">
        <f t="shared" si="162"/>
        <v>-1493.1915477748346</v>
      </c>
      <c r="U495" s="7">
        <f t="shared" si="163"/>
        <v>27062125.57781158</v>
      </c>
      <c r="W495">
        <f t="shared" si="174"/>
        <v>175320</v>
      </c>
      <c r="X495" s="9">
        <f t="shared" si="178"/>
        <v>127.39686684383997</v>
      </c>
      <c r="Y495" s="2">
        <f t="shared" si="179"/>
        <v>37364839.162300475</v>
      </c>
      <c r="Z495" s="2">
        <f t="shared" si="164"/>
        <v>-0.14862120226933248</v>
      </c>
      <c r="AA495" s="2">
        <f t="shared" si="165"/>
        <v>-0.15005019749573142</v>
      </c>
      <c r="AB495" s="2">
        <f t="shared" si="166"/>
        <v>-0.15005028039777404</v>
      </c>
      <c r="AC495" s="2">
        <f t="shared" si="167"/>
        <v>-0.15152603088949737</v>
      </c>
      <c r="AD495" s="2">
        <f t="shared" si="168"/>
        <v>73.375975507089521</v>
      </c>
      <c r="AE495" s="10">
        <f t="shared" si="169"/>
        <v>37400978.273923643</v>
      </c>
    </row>
    <row r="496" spans="1:31" x14ac:dyDescent="0.25">
      <c r="A496" s="1">
        <f t="shared" si="170"/>
        <v>2.0333333333333332</v>
      </c>
      <c r="B496" s="7">
        <f t="shared" si="171"/>
        <v>27062125.57781158</v>
      </c>
      <c r="C496" s="7">
        <f t="shared" si="172"/>
        <v>37400978.273923643</v>
      </c>
      <c r="D496" s="7"/>
      <c r="E496" s="7"/>
      <c r="F496" s="7"/>
      <c r="G496" s="7"/>
      <c r="H496" s="7"/>
      <c r="I496" s="7"/>
      <c r="J496" s="7"/>
      <c r="K496" s="7"/>
      <c r="L496" s="1">
        <f t="shared" si="175"/>
        <v>2.0333333333333332</v>
      </c>
      <c r="M496">
        <f t="shared" si="173"/>
        <v>175680</v>
      </c>
      <c r="N496" s="9">
        <f t="shared" si="176"/>
        <v>-1493.1915477748346</v>
      </c>
      <c r="O496" s="7">
        <f t="shared" si="177"/>
        <v>27062125.57781158</v>
      </c>
      <c r="P496" s="2">
        <f t="shared" si="158"/>
        <v>-0.10963928595683171</v>
      </c>
      <c r="Q496" s="2">
        <f t="shared" si="159"/>
        <v>-0.10960338018596175</v>
      </c>
      <c r="R496" s="2">
        <f t="shared" si="160"/>
        <v>-0.10960352357988691</v>
      </c>
      <c r="S496" s="2">
        <f t="shared" si="161"/>
        <v>-0.10958113311889307</v>
      </c>
      <c r="T496" s="9">
        <f t="shared" si="162"/>
        <v>-1532.6496013712799</v>
      </c>
      <c r="U496" s="7">
        <f t="shared" si="163"/>
        <v>26517474.17096528</v>
      </c>
      <c r="W496">
        <f t="shared" si="174"/>
        <v>175680</v>
      </c>
      <c r="X496" s="9">
        <f t="shared" si="178"/>
        <v>73.375975507089521</v>
      </c>
      <c r="Y496" s="2">
        <f t="shared" si="179"/>
        <v>37400978.273923643</v>
      </c>
      <c r="Z496" s="2">
        <f t="shared" si="164"/>
        <v>-0.15152603369049797</v>
      </c>
      <c r="AA496" s="2">
        <f t="shared" si="165"/>
        <v>-0.15305006181718622</v>
      </c>
      <c r="AB496" s="2">
        <f t="shared" si="166"/>
        <v>-0.15305015772645486</v>
      </c>
      <c r="AC496" s="2">
        <f t="shared" si="167"/>
        <v>-0.15462443245876561</v>
      </c>
      <c r="AD496" s="2">
        <f t="shared" si="168"/>
        <v>18.274921192896777</v>
      </c>
      <c r="AE496" s="10">
        <f t="shared" si="169"/>
        <v>37417475.435329638</v>
      </c>
    </row>
    <row r="497" spans="1:31" x14ac:dyDescent="0.25">
      <c r="A497" s="1">
        <f t="shared" si="170"/>
        <v>2.0375000000000001</v>
      </c>
      <c r="B497" s="7">
        <f t="shared" si="171"/>
        <v>26517474.17096528</v>
      </c>
      <c r="C497" s="7">
        <f t="shared" si="172"/>
        <v>37417475.435329638</v>
      </c>
      <c r="D497" s="7"/>
      <c r="E497" s="7"/>
      <c r="F497" s="7"/>
      <c r="G497" s="7"/>
      <c r="H497" s="7"/>
      <c r="I497" s="7"/>
      <c r="J497" s="7"/>
      <c r="K497" s="7"/>
      <c r="L497" s="1">
        <f t="shared" si="175"/>
        <v>2.0375000000000001</v>
      </c>
      <c r="M497">
        <f t="shared" si="173"/>
        <v>176040</v>
      </c>
      <c r="N497" s="9">
        <f t="shared" si="176"/>
        <v>-1532.6496013712799</v>
      </c>
      <c r="O497" s="7">
        <f t="shared" si="177"/>
        <v>26517474.17096528</v>
      </c>
      <c r="P497" s="2">
        <f t="shared" si="158"/>
        <v>-0.1095811362762119</v>
      </c>
      <c r="Q497" s="2">
        <f t="shared" si="159"/>
        <v>-0.10957187604149041</v>
      </c>
      <c r="R497" s="2">
        <f t="shared" si="160"/>
        <v>-0.10957203118973026</v>
      </c>
      <c r="S497" s="2">
        <f t="shared" si="161"/>
        <v>-0.10957610838619483</v>
      </c>
      <c r="T497" s="9">
        <f t="shared" si="162"/>
        <v>-1572.0963049187708</v>
      </c>
      <c r="U497" s="7">
        <f t="shared" si="163"/>
        <v>25958619.90783307</v>
      </c>
      <c r="W497">
        <f t="shared" si="174"/>
        <v>176040</v>
      </c>
      <c r="X497" s="9">
        <f t="shared" si="178"/>
        <v>18.274921192896777</v>
      </c>
      <c r="Y497" s="2">
        <f t="shared" si="179"/>
        <v>37417475.435329638</v>
      </c>
      <c r="Z497" s="2">
        <f t="shared" si="164"/>
        <v>-0.15462443550827124</v>
      </c>
      <c r="AA497" s="2">
        <f t="shared" si="165"/>
        <v>-0.1562506385357425</v>
      </c>
      <c r="AB497" s="2">
        <f t="shared" si="166"/>
        <v>-0.15625074887635068</v>
      </c>
      <c r="AC497" s="2">
        <f t="shared" si="167"/>
        <v>-0.15793107534737275</v>
      </c>
      <c r="AD497" s="2">
        <f t="shared" si="168"/>
        <v>-37.978575947893034</v>
      </c>
      <c r="AE497" s="10">
        <f t="shared" si="169"/>
        <v>37413928.77747374</v>
      </c>
    </row>
    <row r="498" spans="1:31" x14ac:dyDescent="0.25">
      <c r="A498" s="1">
        <f t="shared" si="170"/>
        <v>2.0416666666666665</v>
      </c>
      <c r="B498" s="7">
        <f t="shared" si="171"/>
        <v>25958619.90783307</v>
      </c>
      <c r="C498" s="7">
        <f t="shared" si="172"/>
        <v>37413928.77747374</v>
      </c>
      <c r="D498" s="7"/>
      <c r="E498" s="7"/>
      <c r="F498" s="7"/>
      <c r="G498" s="7"/>
      <c r="H498" s="7"/>
      <c r="I498" s="7"/>
      <c r="J498" s="7"/>
      <c r="K498" s="7"/>
      <c r="L498" s="1">
        <f t="shared" si="175"/>
        <v>2.0416666666666665</v>
      </c>
      <c r="M498">
        <f t="shared" si="173"/>
        <v>176400</v>
      </c>
      <c r="N498" s="9">
        <f t="shared" si="176"/>
        <v>-1572.0963049187708</v>
      </c>
      <c r="O498" s="7">
        <f t="shared" si="177"/>
        <v>25958619.90783307</v>
      </c>
      <c r="P498" s="2">
        <f t="shared" si="158"/>
        <v>-0.10957611181716607</v>
      </c>
      <c r="Q498" s="2">
        <f t="shared" si="159"/>
        <v>-0.10959311564940281</v>
      </c>
      <c r="R498" s="2">
        <f t="shared" si="160"/>
        <v>-0.10959328366723206</v>
      </c>
      <c r="S498" s="2">
        <f t="shared" si="161"/>
        <v>-0.1096234425677188</v>
      </c>
      <c r="T498" s="9">
        <f t="shared" si="162"/>
        <v>-1611.5506460998602</v>
      </c>
      <c r="U498" s="7">
        <f t="shared" si="163"/>
        <v>25385563.456649717</v>
      </c>
      <c r="W498">
        <f t="shared" si="174"/>
        <v>176400</v>
      </c>
      <c r="X498" s="9">
        <f t="shared" si="178"/>
        <v>-37.978575947893034</v>
      </c>
      <c r="Y498" s="2">
        <f t="shared" si="179"/>
        <v>37413928.77747374</v>
      </c>
      <c r="Z498" s="2">
        <f t="shared" si="164"/>
        <v>-0.15793107868584591</v>
      </c>
      <c r="AA498" s="2">
        <f t="shared" si="165"/>
        <v>-0.1596673912311497</v>
      </c>
      <c r="AB498" s="2">
        <f t="shared" si="166"/>
        <v>-0.15966751766096232</v>
      </c>
      <c r="AC498" s="2">
        <f t="shared" si="167"/>
        <v>-0.16146226733439975</v>
      </c>
      <c r="AD498" s="2">
        <f t="shared" si="168"/>
        <v>-95.462365776161221</v>
      </c>
      <c r="AE498" s="10">
        <f t="shared" si="169"/>
        <v>37389909.40796341</v>
      </c>
    </row>
    <row r="499" spans="1:31" x14ac:dyDescent="0.25">
      <c r="A499" s="1">
        <f t="shared" si="170"/>
        <v>2.0458333333333334</v>
      </c>
      <c r="B499" s="7">
        <f t="shared" si="171"/>
        <v>25385563.456649717</v>
      </c>
      <c r="C499" s="7">
        <f t="shared" si="172"/>
        <v>37389909.40796341</v>
      </c>
      <c r="D499" s="7"/>
      <c r="E499" s="7"/>
      <c r="F499" s="7"/>
      <c r="G499" s="7"/>
      <c r="H499" s="7"/>
      <c r="I499" s="7"/>
      <c r="J499" s="7"/>
      <c r="K499" s="7"/>
      <c r="L499" s="1">
        <f t="shared" si="175"/>
        <v>2.0458333333333334</v>
      </c>
      <c r="M499">
        <f t="shared" si="173"/>
        <v>176760</v>
      </c>
      <c r="N499" s="9">
        <f t="shared" si="176"/>
        <v>-1611.5506460998602</v>
      </c>
      <c r="O499" s="7">
        <f t="shared" si="177"/>
        <v>25385563.456649717</v>
      </c>
      <c r="P499" s="2">
        <f t="shared" si="158"/>
        <v>-0.10962344631117955</v>
      </c>
      <c r="Q499" s="2">
        <f t="shared" si="159"/>
        <v>-0.10966631727070891</v>
      </c>
      <c r="R499" s="2">
        <f t="shared" si="160"/>
        <v>-0.10966649943453462</v>
      </c>
      <c r="S499" s="2">
        <f t="shared" si="161"/>
        <v>-0.10972232993622781</v>
      </c>
      <c r="T499" s="9">
        <f t="shared" si="162"/>
        <v>-1651.0313306793339</v>
      </c>
      <c r="U499" s="7">
        <f t="shared" si="163"/>
        <v>24798298.700829461</v>
      </c>
      <c r="W499">
        <f t="shared" si="174"/>
        <v>176760</v>
      </c>
      <c r="X499" s="9">
        <f t="shared" si="178"/>
        <v>-95.462365776161221</v>
      </c>
      <c r="Y499" s="2">
        <f t="shared" si="179"/>
        <v>37389909.40796341</v>
      </c>
      <c r="Z499" s="2">
        <f t="shared" si="164"/>
        <v>-0.16146227100939395</v>
      </c>
      <c r="AA499" s="2">
        <f t="shared" si="165"/>
        <v>-0.16331752652332052</v>
      </c>
      <c r="AB499" s="2">
        <f t="shared" si="166"/>
        <v>-0.16331767097650346</v>
      </c>
      <c r="AC499" s="2">
        <f t="shared" si="167"/>
        <v>-0.16523617392861584</v>
      </c>
      <c r="AD499" s="2">
        <f t="shared" si="168"/>
        <v>-154.26049617242069</v>
      </c>
      <c r="AE499" s="10">
        <f t="shared" si="169"/>
        <v>37344959.292812668</v>
      </c>
    </row>
    <row r="500" spans="1:31" x14ac:dyDescent="0.25">
      <c r="A500" s="1">
        <f t="shared" si="170"/>
        <v>2.0499999999999998</v>
      </c>
      <c r="B500" s="7">
        <f t="shared" si="171"/>
        <v>24798298.700829461</v>
      </c>
      <c r="C500" s="7">
        <f t="shared" si="172"/>
        <v>37344959.292812668</v>
      </c>
      <c r="D500" s="7"/>
      <c r="E500" s="7"/>
      <c r="F500" s="7"/>
      <c r="G500" s="7"/>
      <c r="H500" s="7"/>
      <c r="I500" s="7"/>
      <c r="J500" s="7"/>
      <c r="K500" s="7"/>
      <c r="L500" s="1">
        <f t="shared" si="175"/>
        <v>2.0499999999999998</v>
      </c>
      <c r="M500">
        <f t="shared" si="173"/>
        <v>177120</v>
      </c>
      <c r="N500" s="9">
        <f t="shared" si="176"/>
        <v>-1651.0313306793339</v>
      </c>
      <c r="O500" s="7">
        <f t="shared" si="177"/>
        <v>24798298.700829461</v>
      </c>
      <c r="P500" s="2">
        <f t="shared" si="158"/>
        <v>-0.10972233403732623</v>
      </c>
      <c r="Q500" s="2">
        <f t="shared" si="159"/>
        <v>-0.1097906411338553</v>
      </c>
      <c r="R500" s="2">
        <f t="shared" si="160"/>
        <v>-0.10979083890719188</v>
      </c>
      <c r="S500" s="2">
        <f t="shared" si="161"/>
        <v>-0.10987188630353671</v>
      </c>
      <c r="T500" s="9">
        <f t="shared" si="162"/>
        <v>-1690.5567615047114</v>
      </c>
      <c r="U500" s="7">
        <f t="shared" si="163"/>
        <v>24196812.844236333</v>
      </c>
      <c r="W500">
        <f t="shared" si="174"/>
        <v>177120</v>
      </c>
      <c r="X500" s="9">
        <f t="shared" si="178"/>
        <v>-154.26049617242069</v>
      </c>
      <c r="Y500" s="2">
        <f t="shared" si="179"/>
        <v>37344959.292812668</v>
      </c>
      <c r="Z500" s="2">
        <f t="shared" si="164"/>
        <v>-0.16523617799632703</v>
      </c>
      <c r="AA500" s="2">
        <f t="shared" si="165"/>
        <v>-0.16722023251998272</v>
      </c>
      <c r="AB500" s="2">
        <f t="shared" si="166"/>
        <v>-0.16722039725897211</v>
      </c>
      <c r="AC500" s="2">
        <f t="shared" si="167"/>
        <v>-0.16927307599610975</v>
      </c>
      <c r="AD500" s="2">
        <f t="shared" si="168"/>
        <v>-214.46392698544145</v>
      </c>
      <c r="AE500" s="10">
        <f t="shared" si="169"/>
        <v>37278588.89664425</v>
      </c>
    </row>
    <row r="501" spans="1:31" x14ac:dyDescent="0.25">
      <c r="A501" s="1">
        <f t="shared" si="170"/>
        <v>2.0541666666666667</v>
      </c>
      <c r="B501" s="7">
        <f t="shared" si="171"/>
        <v>24196812.844236333</v>
      </c>
      <c r="C501" s="7">
        <f t="shared" si="172"/>
        <v>37278588.89664425</v>
      </c>
      <c r="D501" s="7"/>
      <c r="E501" s="7"/>
      <c r="F501" s="7"/>
      <c r="G501" s="7"/>
      <c r="H501" s="7"/>
      <c r="I501" s="7"/>
      <c r="J501" s="7"/>
      <c r="K501" s="7"/>
      <c r="L501" s="1">
        <f t="shared" si="175"/>
        <v>2.0541666666666667</v>
      </c>
      <c r="M501">
        <f t="shared" si="173"/>
        <v>177480</v>
      </c>
      <c r="N501" s="9">
        <f t="shared" si="176"/>
        <v>-1690.5567615047114</v>
      </c>
      <c r="O501" s="7">
        <f t="shared" si="177"/>
        <v>24196812.844236333</v>
      </c>
      <c r="P501" s="2">
        <f t="shared" si="158"/>
        <v>-0.10987189081501628</v>
      </c>
      <c r="Q501" s="2">
        <f t="shared" si="159"/>
        <v>-0.10996514637221069</v>
      </c>
      <c r="R501" s="2">
        <f t="shared" si="160"/>
        <v>-0.1099653614368833</v>
      </c>
      <c r="S501" s="2">
        <f t="shared" si="161"/>
        <v>-0.11007110137400418</v>
      </c>
      <c r="T501" s="9">
        <f t="shared" si="162"/>
        <v>-1730.145001973144</v>
      </c>
      <c r="U501" s="7">
        <f t="shared" si="163"/>
        <v>23581086.526810318</v>
      </c>
      <c r="W501">
        <f t="shared" si="174"/>
        <v>177480</v>
      </c>
      <c r="X501" s="9">
        <f t="shared" si="178"/>
        <v>-214.46392698544145</v>
      </c>
      <c r="Y501" s="2">
        <f t="shared" si="179"/>
        <v>37278588.89664425</v>
      </c>
      <c r="Z501" s="2">
        <f t="shared" si="164"/>
        <v>-0.16927308052331397</v>
      </c>
      <c r="AA501" s="2">
        <f t="shared" si="165"/>
        <v>-0.17139695739844316</v>
      </c>
      <c r="AB501" s="2">
        <f t="shared" si="166"/>
        <v>-0.17139714507771212</v>
      </c>
      <c r="AC501" s="2">
        <f t="shared" si="167"/>
        <v>-0.1735956713062525</v>
      </c>
      <c r="AD501" s="2">
        <f t="shared" si="168"/>
        <v>-276.17134439235406</v>
      </c>
      <c r="AE501" s="10">
        <f t="shared" si="169"/>
        <v>37190274.547796249</v>
      </c>
    </row>
    <row r="502" spans="1:31" x14ac:dyDescent="0.25">
      <c r="A502" s="1">
        <f t="shared" si="170"/>
        <v>2.0583333333333331</v>
      </c>
      <c r="B502" s="7">
        <f t="shared" si="171"/>
        <v>23581086.526810318</v>
      </c>
      <c r="C502" s="7">
        <f t="shared" si="172"/>
        <v>37190274.547796249</v>
      </c>
      <c r="D502" s="7"/>
      <c r="E502" s="7"/>
      <c r="F502" s="7"/>
      <c r="G502" s="7"/>
      <c r="H502" s="7"/>
      <c r="I502" s="7"/>
      <c r="J502" s="7"/>
      <c r="K502" s="7"/>
      <c r="L502" s="1">
        <f t="shared" si="175"/>
        <v>2.0583333333333331</v>
      </c>
      <c r="M502">
        <f t="shared" si="173"/>
        <v>177840</v>
      </c>
      <c r="N502" s="9">
        <f t="shared" si="176"/>
        <v>-1730.145001973144</v>
      </c>
      <c r="O502" s="7">
        <f t="shared" si="177"/>
        <v>23581086.526810318</v>
      </c>
      <c r="P502" s="2">
        <f t="shared" si="158"/>
        <v>-0.11007110635778622</v>
      </c>
      <c r="Q502" s="2">
        <f t="shared" si="159"/>
        <v>-0.11018873817285051</v>
      </c>
      <c r="R502" s="2">
        <f t="shared" si="160"/>
        <v>-0.11018897246661725</v>
      </c>
      <c r="S502" s="2">
        <f t="shared" si="161"/>
        <v>-0.11031878000953538</v>
      </c>
      <c r="T502" s="9">
        <f t="shared" si="162"/>
        <v>-1769.8137204319194</v>
      </c>
      <c r="U502" s="7">
        <f t="shared" si="163"/>
        <v>22951093.956777409</v>
      </c>
      <c r="W502">
        <f t="shared" si="174"/>
        <v>177840</v>
      </c>
      <c r="X502" s="9">
        <f t="shared" si="178"/>
        <v>-276.17134439235406</v>
      </c>
      <c r="Y502" s="2">
        <f t="shared" si="179"/>
        <v>37190274.547796249</v>
      </c>
      <c r="Z502" s="2">
        <f t="shared" si="164"/>
        <v>-0.17359567637274026</v>
      </c>
      <c r="AA502" s="2">
        <f t="shared" si="165"/>
        <v>-0.17587173609411924</v>
      </c>
      <c r="AB502" s="2">
        <f t="shared" si="166"/>
        <v>-0.17587194983881058</v>
      </c>
      <c r="AC502" s="2">
        <f t="shared" si="167"/>
        <v>-0.17822942883826745</v>
      </c>
      <c r="AD502" s="2">
        <f t="shared" si="168"/>
        <v>-339.49009301696611</v>
      </c>
      <c r="AE502" s="10">
        <f t="shared" si="169"/>
        <v>37079455.48906257</v>
      </c>
    </row>
    <row r="503" spans="1:31" x14ac:dyDescent="0.25">
      <c r="A503" s="1">
        <f t="shared" si="170"/>
        <v>2.0625</v>
      </c>
      <c r="B503" s="7">
        <f t="shared" si="171"/>
        <v>22951093.956777409</v>
      </c>
      <c r="C503" s="7">
        <f t="shared" si="172"/>
        <v>37079455.48906257</v>
      </c>
      <c r="D503" s="7"/>
      <c r="E503" s="7"/>
      <c r="F503" s="7"/>
      <c r="G503" s="7"/>
      <c r="H503" s="7"/>
      <c r="I503" s="7"/>
      <c r="J503" s="7"/>
      <c r="K503" s="7"/>
      <c r="L503" s="1">
        <f t="shared" si="175"/>
        <v>2.0625</v>
      </c>
      <c r="M503">
        <f t="shared" si="173"/>
        <v>178200</v>
      </c>
      <c r="N503" s="9">
        <f t="shared" si="176"/>
        <v>-1769.8137204319194</v>
      </c>
      <c r="O503" s="7">
        <f t="shared" si="177"/>
        <v>22951093.956777409</v>
      </c>
      <c r="P503" s="2">
        <f t="shared" si="158"/>
        <v>-0.11031878553868324</v>
      </c>
      <c r="Q503" s="2">
        <f t="shared" si="159"/>
        <v>-0.11046010235962596</v>
      </c>
      <c r="R503" s="2">
        <f t="shared" si="160"/>
        <v>-0.11046035812172499</v>
      </c>
      <c r="S503" s="2">
        <f t="shared" si="161"/>
        <v>-0.11061346925328693</v>
      </c>
      <c r="T503" s="9">
        <f t="shared" si="162"/>
        <v>-1809.5801109771996</v>
      </c>
      <c r="U503" s="7">
        <f t="shared" si="163"/>
        <v>22306803.067123767</v>
      </c>
      <c r="W503">
        <f t="shared" si="174"/>
        <v>178200</v>
      </c>
      <c r="X503" s="9">
        <f t="shared" si="178"/>
        <v>-339.49009301696611</v>
      </c>
      <c r="Y503" s="2">
        <f t="shared" si="179"/>
        <v>37079455.48906257</v>
      </c>
      <c r="Z503" s="2">
        <f t="shared" si="164"/>
        <v>-0.17822943453992143</v>
      </c>
      <c r="AA503" s="2">
        <f t="shared" si="165"/>
        <v>-0.18067157491336469</v>
      </c>
      <c r="AB503" s="2">
        <f t="shared" si="166"/>
        <v>-0.18067181841677532</v>
      </c>
      <c r="AC503" s="2">
        <f t="shared" si="167"/>
        <v>-0.18320300676486029</v>
      </c>
      <c r="AD503" s="2">
        <f t="shared" si="168"/>
        <v>-404.53724669486985</v>
      </c>
      <c r="AE503" s="10">
        <f t="shared" si="169"/>
        <v>36945530.567914441</v>
      </c>
    </row>
    <row r="504" spans="1:31" x14ac:dyDescent="0.25">
      <c r="A504" s="1">
        <f t="shared" si="170"/>
        <v>2.0666666666666669</v>
      </c>
      <c r="B504" s="7">
        <f t="shared" si="171"/>
        <v>22306803.067123767</v>
      </c>
      <c r="C504" s="7">
        <f t="shared" si="172"/>
        <v>36945530.567914441</v>
      </c>
      <c r="D504" s="7"/>
      <c r="E504" s="7"/>
      <c r="F504" s="7"/>
      <c r="G504" s="7"/>
      <c r="H504" s="7"/>
      <c r="I504" s="7"/>
      <c r="J504" s="7"/>
      <c r="K504" s="7"/>
      <c r="L504" s="1">
        <f t="shared" si="175"/>
        <v>2.0666666666666669</v>
      </c>
      <c r="M504">
        <f t="shared" si="173"/>
        <v>178560</v>
      </c>
      <c r="N504" s="9">
        <f t="shared" si="176"/>
        <v>-1809.5801109771996</v>
      </c>
      <c r="O504" s="7">
        <f t="shared" si="177"/>
        <v>22306803.067123767</v>
      </c>
      <c r="P504" s="2">
        <f t="shared" si="158"/>
        <v>-0.11061347541445665</v>
      </c>
      <c r="Q504" s="2">
        <f t="shared" si="159"/>
        <v>-0.11077762382454821</v>
      </c>
      <c r="R504" s="2">
        <f t="shared" si="160"/>
        <v>-0.11077790365108001</v>
      </c>
      <c r="S504" s="2">
        <f t="shared" si="161"/>
        <v>-0.11095336702773038</v>
      </c>
      <c r="T504" s="9">
        <f t="shared" si="162"/>
        <v>-1849.4607848208063</v>
      </c>
      <c r="U504" s="7">
        <f t="shared" si="163"/>
        <v>21648175.705880124</v>
      </c>
      <c r="W504">
        <f t="shared" si="174"/>
        <v>178560</v>
      </c>
      <c r="X504" s="9">
        <f t="shared" si="178"/>
        <v>-404.53724669486985</v>
      </c>
      <c r="Y504" s="2">
        <f t="shared" si="179"/>
        <v>36945530.567914441</v>
      </c>
      <c r="Z504" s="2">
        <f t="shared" si="164"/>
        <v>-0.1832030132175724</v>
      </c>
      <c r="AA504" s="2">
        <f t="shared" si="165"/>
        <v>-0.18582690622292067</v>
      </c>
      <c r="AB504" s="2">
        <f t="shared" si="166"/>
        <v>-0.18582718386804736</v>
      </c>
      <c r="AC504" s="2">
        <f t="shared" si="167"/>
        <v>-0.18854874766210314</v>
      </c>
      <c r="AD504" s="2">
        <f t="shared" si="168"/>
        <v>-471.44084315856651</v>
      </c>
      <c r="AE504" s="10">
        <f t="shared" si="169"/>
        <v>36787854.511740826</v>
      </c>
    </row>
    <row r="505" spans="1:31" x14ac:dyDescent="0.25">
      <c r="A505" s="1">
        <f t="shared" si="170"/>
        <v>2.0708333333333333</v>
      </c>
      <c r="B505" s="7">
        <f t="shared" si="171"/>
        <v>21648175.705880124</v>
      </c>
      <c r="C505" s="7">
        <f t="shared" si="172"/>
        <v>36787854.511740826</v>
      </c>
      <c r="D505" s="7"/>
      <c r="E505" s="7"/>
      <c r="F505" s="7"/>
      <c r="G505" s="7"/>
      <c r="H505" s="7"/>
      <c r="I505" s="7"/>
      <c r="J505" s="7"/>
      <c r="K505" s="7"/>
      <c r="L505" s="1">
        <f t="shared" si="175"/>
        <v>2.0708333333333333</v>
      </c>
      <c r="M505">
        <f t="shared" si="173"/>
        <v>178920</v>
      </c>
      <c r="N505" s="9">
        <f t="shared" si="176"/>
        <v>-1849.4607848208063</v>
      </c>
      <c r="O505" s="7">
        <f t="shared" si="177"/>
        <v>21648175.705880124</v>
      </c>
      <c r="P505" s="2">
        <f t="shared" si="158"/>
        <v>-0.11095337392424817</v>
      </c>
      <c r="Q505" s="2">
        <f t="shared" si="159"/>
        <v>-0.11113928414703442</v>
      </c>
      <c r="R505" s="2">
        <f t="shared" si="160"/>
        <v>-0.11113959105862381</v>
      </c>
      <c r="S505" s="2">
        <f t="shared" si="161"/>
        <v>-0.11133620718171684</v>
      </c>
      <c r="T505" s="9">
        <f t="shared" si="162"/>
        <v>-1889.4716247118433</v>
      </c>
      <c r="U505" s="7">
        <f t="shared" si="163"/>
        <v>20975167.872164246</v>
      </c>
      <c r="W505">
        <f t="shared" si="174"/>
        <v>178920</v>
      </c>
      <c r="X505" s="9">
        <f t="shared" si="178"/>
        <v>-471.44084315856651</v>
      </c>
      <c r="Y505" s="2">
        <f t="shared" si="179"/>
        <v>36787854.511740826</v>
      </c>
      <c r="Z505" s="2">
        <f t="shared" si="164"/>
        <v>-0.18854875500679399</v>
      </c>
      <c r="AA505" s="2">
        <f t="shared" si="165"/>
        <v>-0.19137212834076531</v>
      </c>
      <c r="AB505" s="2">
        <f t="shared" si="166"/>
        <v>-0.19137244535277337</v>
      </c>
      <c r="AC505" s="2">
        <f t="shared" si="167"/>
        <v>-0.1943032678568884</v>
      </c>
      <c r="AD505" s="2">
        <f t="shared" si="168"/>
        <v>-540.34131337361214</v>
      </c>
      <c r="AE505" s="10">
        <f t="shared" si="169"/>
        <v>36605733.723565035</v>
      </c>
    </row>
    <row r="506" spans="1:31" x14ac:dyDescent="0.25">
      <c r="A506" s="1">
        <f t="shared" si="170"/>
        <v>2.0750000000000002</v>
      </c>
      <c r="B506" s="7">
        <f t="shared" si="171"/>
        <v>20975167.872164246</v>
      </c>
      <c r="C506" s="7">
        <f t="shared" si="172"/>
        <v>36605733.723565035</v>
      </c>
      <c r="D506" s="7"/>
      <c r="E506" s="7"/>
      <c r="F506" s="7"/>
      <c r="G506" s="7"/>
      <c r="H506" s="7"/>
      <c r="I506" s="7"/>
      <c r="J506" s="7"/>
      <c r="K506" s="7"/>
      <c r="L506" s="1">
        <f t="shared" si="175"/>
        <v>2.0750000000000002</v>
      </c>
      <c r="M506">
        <f t="shared" si="173"/>
        <v>179280</v>
      </c>
      <c r="N506" s="9">
        <f t="shared" si="176"/>
        <v>-1889.4716247118433</v>
      </c>
      <c r="O506" s="7">
        <f t="shared" si="177"/>
        <v>20975167.872164246</v>
      </c>
      <c r="P506" s="2">
        <f t="shared" si="158"/>
        <v>-0.1113362149374683</v>
      </c>
      <c r="Q506" s="2">
        <f t="shared" si="159"/>
        <v>-0.11154253230460529</v>
      </c>
      <c r="R506" s="2">
        <f t="shared" si="160"/>
        <v>-0.11154286982947773</v>
      </c>
      <c r="S506" s="2">
        <f t="shared" si="161"/>
        <v>-0.11175911389722824</v>
      </c>
      <c r="T506" s="9">
        <f t="shared" si="162"/>
        <v>-1929.6275926980152</v>
      </c>
      <c r="U506" s="7">
        <f t="shared" si="163"/>
        <v>20287730.013030469</v>
      </c>
      <c r="W506">
        <f t="shared" si="174"/>
        <v>179280</v>
      </c>
      <c r="X506" s="9">
        <f t="shared" si="178"/>
        <v>-540.34131337361214</v>
      </c>
      <c r="Y506" s="2">
        <f t="shared" si="179"/>
        <v>36605733.723565035</v>
      </c>
      <c r="Z506" s="2">
        <f t="shared" si="164"/>
        <v>-0.19430327626598623</v>
      </c>
      <c r="AA506" s="2">
        <f t="shared" si="165"/>
        <v>-0.19734624956104316</v>
      </c>
      <c r="AB506" s="2">
        <f t="shared" si="166"/>
        <v>-0.19734661219976435</v>
      </c>
      <c r="AC506" s="2">
        <f t="shared" si="167"/>
        <v>-0.20050816214442027</v>
      </c>
      <c r="AD506" s="2">
        <f t="shared" si="168"/>
        <v>-611.3931430895334</v>
      </c>
      <c r="AE506" s="10">
        <f t="shared" si="169"/>
        <v>36398421.521401666</v>
      </c>
    </row>
    <row r="507" spans="1:31" x14ac:dyDescent="0.25">
      <c r="A507" s="1">
        <f t="shared" si="170"/>
        <v>2.0791666666666666</v>
      </c>
      <c r="B507" s="7">
        <f t="shared" si="171"/>
        <v>20287730.013030469</v>
      </c>
      <c r="C507" s="7">
        <f t="shared" si="172"/>
        <v>36398421.521401666</v>
      </c>
      <c r="D507" s="7"/>
      <c r="E507" s="7"/>
      <c r="F507" s="7"/>
      <c r="G507" s="7"/>
      <c r="H507" s="7"/>
      <c r="I507" s="7"/>
      <c r="J507" s="7"/>
      <c r="K507" s="7"/>
      <c r="L507" s="1">
        <f t="shared" si="175"/>
        <v>2.0791666666666666</v>
      </c>
      <c r="M507">
        <f t="shared" si="173"/>
        <v>179640</v>
      </c>
      <c r="N507" s="9">
        <f t="shared" si="176"/>
        <v>-1929.6275926980152</v>
      </c>
      <c r="O507" s="7">
        <f t="shared" si="177"/>
        <v>20287730.013030469</v>
      </c>
      <c r="P507" s="2">
        <f t="shared" si="158"/>
        <v>-0.11175912266160647</v>
      </c>
      <c r="Q507" s="2">
        <f t="shared" si="159"/>
        <v>-0.11198412044673579</v>
      </c>
      <c r="R507" s="2">
        <f t="shared" si="160"/>
        <v>-0.11198449272326377</v>
      </c>
      <c r="S507" s="2">
        <f t="shared" si="161"/>
        <v>-0.11221841621997955</v>
      </c>
      <c r="T507" s="9">
        <f t="shared" si="162"/>
        <v>-1969.9424786113102</v>
      </c>
      <c r="U507" s="7">
        <f t="shared" si="163"/>
        <v>19585807.40019479</v>
      </c>
      <c r="W507">
        <f t="shared" si="174"/>
        <v>179640</v>
      </c>
      <c r="X507" s="9">
        <f t="shared" si="178"/>
        <v>-611.3931430895334</v>
      </c>
      <c r="Y507" s="2">
        <f t="shared" si="179"/>
        <v>36398421.521401666</v>
      </c>
      <c r="Z507" s="2">
        <f t="shared" si="164"/>
        <v>-0.20050817183028705</v>
      </c>
      <c r="AA507" s="2">
        <f t="shared" si="165"/>
        <v>-0.20379366015608835</v>
      </c>
      <c r="AB507" s="2">
        <f t="shared" si="166"/>
        <v>-0.20379407596073248</v>
      </c>
      <c r="AC507" s="2">
        <f t="shared" si="167"/>
        <v>-0.20721085069949519</v>
      </c>
      <c r="AD507" s="2">
        <f t="shared" si="168"/>
        <v>-684.76681277533885</v>
      </c>
      <c r="AE507" s="10">
        <f t="shared" si="169"/>
        <v>36165112.729345992</v>
      </c>
    </row>
    <row r="508" spans="1:31" x14ac:dyDescent="0.25">
      <c r="A508" s="1">
        <f t="shared" si="170"/>
        <v>2.0833333333333335</v>
      </c>
      <c r="B508" s="7">
        <f t="shared" si="171"/>
        <v>19585807.40019479</v>
      </c>
      <c r="C508" s="7">
        <f t="shared" si="172"/>
        <v>36165112.729345992</v>
      </c>
      <c r="D508" s="7"/>
      <c r="E508" s="7"/>
      <c r="F508" s="7"/>
      <c r="G508" s="7"/>
      <c r="H508" s="7"/>
      <c r="I508" s="7"/>
      <c r="J508" s="7"/>
      <c r="K508" s="7"/>
      <c r="L508" s="1">
        <f t="shared" si="175"/>
        <v>2.0833333333333335</v>
      </c>
      <c r="M508">
        <f t="shared" si="173"/>
        <v>180000</v>
      </c>
      <c r="N508" s="9">
        <f t="shared" si="176"/>
        <v>-1969.9424786113102</v>
      </c>
      <c r="O508" s="7">
        <f t="shared" si="177"/>
        <v>19585807.40019479</v>
      </c>
      <c r="P508" s="2">
        <f t="shared" si="158"/>
        <v>-0.11221842617422596</v>
      </c>
      <c r="Q508" s="2">
        <f t="shared" si="159"/>
        <v>-0.1124598940857504</v>
      </c>
      <c r="R508" s="2">
        <f t="shared" si="160"/>
        <v>-0.11246030598974541</v>
      </c>
      <c r="S508" s="2">
        <f t="shared" si="161"/>
        <v>-0.1127094104223295</v>
      </c>
      <c r="T508" s="9">
        <f t="shared" si="162"/>
        <v>-2010.4285728161631</v>
      </c>
      <c r="U508" s="7">
        <f t="shared" si="163"/>
        <v>18869340.610937845</v>
      </c>
      <c r="W508">
        <f t="shared" si="174"/>
        <v>180000</v>
      </c>
      <c r="X508" s="9">
        <f t="shared" si="178"/>
        <v>-684.76681277533885</v>
      </c>
      <c r="Y508" s="2">
        <f t="shared" si="179"/>
        <v>36165112.729345992</v>
      </c>
      <c r="Z508" s="2">
        <f t="shared" si="164"/>
        <v>-0.20721086192547325</v>
      </c>
      <c r="AA508" s="2">
        <f t="shared" si="165"/>
        <v>-0.21076506257441677</v>
      </c>
      <c r="AB508" s="2">
        <f t="shared" si="166"/>
        <v>-0.21076554067693826</v>
      </c>
      <c r="AC508" s="2">
        <f t="shared" si="167"/>
        <v>-0.21446560229164885</v>
      </c>
      <c r="AD508" s="2">
        <f t="shared" si="168"/>
        <v>-760.65107301852879</v>
      </c>
      <c r="AE508" s="10">
        <f t="shared" si="169"/>
        <v>35904937.509903096</v>
      </c>
    </row>
    <row r="509" spans="1:31" x14ac:dyDescent="0.25">
      <c r="A509" s="1">
        <f t="shared" si="170"/>
        <v>2.0874999999999999</v>
      </c>
      <c r="B509" s="7">
        <f t="shared" si="171"/>
        <v>18869340.610937845</v>
      </c>
      <c r="C509" s="7">
        <f t="shared" si="172"/>
        <v>35904937.509903096</v>
      </c>
      <c r="D509" s="7"/>
      <c r="E509" s="7"/>
      <c r="F509" s="7"/>
      <c r="G509" s="7"/>
      <c r="H509" s="7"/>
      <c r="I509" s="7"/>
      <c r="J509" s="7"/>
      <c r="K509" s="7"/>
      <c r="L509" s="1">
        <f t="shared" si="175"/>
        <v>2.0874999999999999</v>
      </c>
      <c r="M509">
        <f t="shared" si="173"/>
        <v>180360</v>
      </c>
      <c r="N509" s="9">
        <f t="shared" si="176"/>
        <v>-2010.4285728161631</v>
      </c>
      <c r="O509" s="7">
        <f t="shared" si="177"/>
        <v>18869340.610937845</v>
      </c>
      <c r="P509" s="2">
        <f t="shared" si="158"/>
        <v>-0.11270942178772012</v>
      </c>
      <c r="Q509" s="2">
        <f t="shared" si="159"/>
        <v>-0.11296452248396523</v>
      </c>
      <c r="R509" s="2">
        <f t="shared" si="160"/>
        <v>-0.11296497978761759</v>
      </c>
      <c r="S509" s="2">
        <f t="shared" si="161"/>
        <v>-0.11322605371736455</v>
      </c>
      <c r="T509" s="9">
        <f t="shared" si="162"/>
        <v>-2051.0962416190582</v>
      </c>
      <c r="U509" s="7">
        <f t="shared" si="163"/>
        <v>18138266.144339506</v>
      </c>
      <c r="W509">
        <f t="shared" si="174"/>
        <v>180360</v>
      </c>
      <c r="X509" s="9">
        <f t="shared" si="178"/>
        <v>-760.65107301852879</v>
      </c>
      <c r="Y509" s="2">
        <f t="shared" si="179"/>
        <v>35904937.509903096</v>
      </c>
      <c r="Z509" s="2">
        <f t="shared" si="164"/>
        <v>-0.2144656153866665</v>
      </c>
      <c r="AA509" s="2">
        <f t="shared" si="165"/>
        <v>-0.21831859839294651</v>
      </c>
      <c r="AB509" s="2">
        <f t="shared" si="166"/>
        <v>-0.21831914992245843</v>
      </c>
      <c r="AC509" s="2">
        <f t="shared" si="167"/>
        <v>-0.2223347774809051</v>
      </c>
      <c r="AD509" s="2">
        <f t="shared" si="168"/>
        <v>-839.25562638843166</v>
      </c>
      <c r="AE509" s="10">
        <f t="shared" si="169"/>
        <v>35616954.30400984</v>
      </c>
    </row>
    <row r="510" spans="1:31" x14ac:dyDescent="0.25">
      <c r="A510" s="1">
        <f t="shared" si="170"/>
        <v>2.0916666666666668</v>
      </c>
      <c r="B510" s="7">
        <f t="shared" si="171"/>
        <v>18138266.144339506</v>
      </c>
      <c r="C510" s="7">
        <f t="shared" si="172"/>
        <v>35616954.30400984</v>
      </c>
      <c r="D510" s="7"/>
      <c r="E510" s="7"/>
      <c r="F510" s="7"/>
      <c r="G510" s="7"/>
      <c r="H510" s="7"/>
      <c r="I510" s="7"/>
      <c r="J510" s="7"/>
      <c r="K510" s="7"/>
      <c r="L510" s="1">
        <f t="shared" si="175"/>
        <v>2.0916666666666668</v>
      </c>
      <c r="M510">
        <f t="shared" si="173"/>
        <v>180720</v>
      </c>
      <c r="N510" s="9">
        <f t="shared" si="176"/>
        <v>-2051.0962416190582</v>
      </c>
      <c r="O510" s="7">
        <f t="shared" si="177"/>
        <v>18138266.144339506</v>
      </c>
      <c r="P510" s="2">
        <f t="shared" si="158"/>
        <v>-0.11322606676586082</v>
      </c>
      <c r="Q510" s="2">
        <f t="shared" si="159"/>
        <v>-0.11349115009453385</v>
      </c>
      <c r="R510" s="2">
        <f t="shared" si="160"/>
        <v>-0.11349165966610654</v>
      </c>
      <c r="S510" s="2">
        <f t="shared" si="161"/>
        <v>-0.11376056704962566</v>
      </c>
      <c r="T510" s="9">
        <f t="shared" si="162"/>
        <v>-2091.9533768192641</v>
      </c>
      <c r="U510" s="7">
        <f t="shared" si="163"/>
        <v>17392517.213020608</v>
      </c>
      <c r="W510">
        <f t="shared" si="174"/>
        <v>180720</v>
      </c>
      <c r="X510" s="9">
        <f t="shared" si="178"/>
        <v>-839.25562638843166</v>
      </c>
      <c r="Y510" s="2">
        <f t="shared" si="179"/>
        <v>35616954.30400984</v>
      </c>
      <c r="Z510" s="2">
        <f t="shared" si="164"/>
        <v>-0.22233479285896113</v>
      </c>
      <c r="AA510" s="2">
        <f t="shared" si="165"/>
        <v>-0.2265212215736204</v>
      </c>
      <c r="AB510" s="2">
        <f t="shared" si="166"/>
        <v>-0.22652186018264805</v>
      </c>
      <c r="AC510" s="2">
        <f t="shared" si="167"/>
        <v>-0.23089034813137613</v>
      </c>
      <c r="AD510" s="2">
        <f t="shared" si="168"/>
        <v>-920.8143046586041</v>
      </c>
      <c r="AE510" s="10">
        <f t="shared" si="169"/>
        <v>35300141.716421373</v>
      </c>
    </row>
    <row r="511" spans="1:31" x14ac:dyDescent="0.25">
      <c r="A511" s="1">
        <f t="shared" si="170"/>
        <v>2.0958333333333332</v>
      </c>
      <c r="B511" s="7">
        <f t="shared" si="171"/>
        <v>17392517.213020608</v>
      </c>
      <c r="C511" s="7">
        <f t="shared" si="172"/>
        <v>35300141.716421373</v>
      </c>
      <c r="D511" s="7"/>
      <c r="E511" s="7"/>
      <c r="F511" s="7"/>
      <c r="G511" s="7"/>
      <c r="H511" s="7"/>
      <c r="I511" s="7"/>
      <c r="J511" s="7"/>
      <c r="K511" s="7"/>
      <c r="L511" s="1">
        <f t="shared" si="175"/>
        <v>2.0958333333333332</v>
      </c>
      <c r="M511">
        <f t="shared" si="173"/>
        <v>181080</v>
      </c>
      <c r="N511" s="9">
        <f t="shared" si="176"/>
        <v>-2091.9533768192641</v>
      </c>
      <c r="O511" s="7">
        <f t="shared" si="177"/>
        <v>17392517.213020608</v>
      </c>
      <c r="P511" s="2">
        <f t="shared" si="158"/>
        <v>-0.1137605821178493</v>
      </c>
      <c r="Q511" s="2">
        <f t="shared" si="159"/>
        <v>-0.11403094307711262</v>
      </c>
      <c r="R511" s="2">
        <f t="shared" si="160"/>
        <v>-0.1140315131334715</v>
      </c>
      <c r="S511" s="2">
        <f t="shared" si="161"/>
        <v>-0.11430291660349505</v>
      </c>
      <c r="T511" s="9">
        <f t="shared" si="162"/>
        <v>-2133.0046814878147</v>
      </c>
      <c r="U511" s="7">
        <f t="shared" si="163"/>
        <v>16632024.762525333</v>
      </c>
      <c r="W511">
        <f t="shared" si="174"/>
        <v>181080</v>
      </c>
      <c r="X511" s="9">
        <f t="shared" si="178"/>
        <v>-920.8143046586041</v>
      </c>
      <c r="Y511" s="2">
        <f t="shared" si="179"/>
        <v>35300141.716421373</v>
      </c>
      <c r="Z511" s="2">
        <f t="shared" si="164"/>
        <v>-0.23089036631778276</v>
      </c>
      <c r="AA511" s="2">
        <f t="shared" si="165"/>
        <v>-0.23545038218120515</v>
      </c>
      <c r="AB511" s="2">
        <f t="shared" si="166"/>
        <v>-0.23545112473655974</v>
      </c>
      <c r="AC511" s="2">
        <f t="shared" si="167"/>
        <v>-0.24021576647587814</v>
      </c>
      <c r="AD511" s="2">
        <f t="shared" si="168"/>
        <v>-1005.5888534563555</v>
      </c>
      <c r="AE511" s="10">
        <f t="shared" si="169"/>
        <v>34953389.147960678</v>
      </c>
    </row>
    <row r="512" spans="1:31" x14ac:dyDescent="0.25">
      <c r="A512" s="1">
        <f t="shared" si="170"/>
        <v>2.1</v>
      </c>
      <c r="B512" s="7">
        <f t="shared" si="171"/>
        <v>16632024.762525333</v>
      </c>
      <c r="C512" s="7">
        <f t="shared" si="172"/>
        <v>34953389.147960678</v>
      </c>
      <c r="D512" s="7"/>
      <c r="E512" s="7"/>
      <c r="F512" s="7"/>
      <c r="G512" s="7"/>
      <c r="H512" s="7"/>
      <c r="I512" s="7"/>
      <c r="J512" s="7"/>
      <c r="K512" s="7"/>
      <c r="L512" s="1">
        <f t="shared" si="175"/>
        <v>2.1</v>
      </c>
      <c r="M512">
        <f t="shared" si="173"/>
        <v>181440</v>
      </c>
      <c r="N512" s="9">
        <f t="shared" si="176"/>
        <v>-2133.0046814878147</v>
      </c>
      <c r="O512" s="7">
        <f t="shared" si="177"/>
        <v>16632024.762525333</v>
      </c>
      <c r="P512" s="2">
        <f t="shared" si="158"/>
        <v>-0.11430293411122559</v>
      </c>
      <c r="Q512" s="2">
        <f t="shared" si="159"/>
        <v>-0.11457249532381004</v>
      </c>
      <c r="R512" s="2">
        <f t="shared" si="160"/>
        <v>-0.11457313575194905</v>
      </c>
      <c r="S512" s="2">
        <f t="shared" si="161"/>
        <v>-0.11484013227824566</v>
      </c>
      <c r="T512" s="9">
        <f t="shared" si="162"/>
        <v>-2174.2507412002742</v>
      </c>
      <c r="U512" s="7">
        <f t="shared" si="163"/>
        <v>15856718.786441477</v>
      </c>
      <c r="W512">
        <f t="shared" si="174"/>
        <v>181440</v>
      </c>
      <c r="X512" s="9">
        <f t="shared" si="178"/>
        <v>-1005.5888534563555</v>
      </c>
      <c r="Y512" s="2">
        <f t="shared" si="179"/>
        <v>34953389.147960678</v>
      </c>
      <c r="Z512" s="2">
        <f t="shared" si="164"/>
        <v>-0.24021578814296771</v>
      </c>
      <c r="AA512" s="2">
        <f t="shared" si="165"/>
        <v>-0.24519610429706198</v>
      </c>
      <c r="AB512" s="2">
        <f t="shared" si="166"/>
        <v>-0.24519697179542865</v>
      </c>
      <c r="AC512" s="2">
        <f t="shared" si="167"/>
        <v>-0.25040827971402696</v>
      </c>
      <c r="AD512" s="2">
        <f t="shared" si="168"/>
        <v>-1093.8734666588741</v>
      </c>
      <c r="AE512" s="10">
        <f t="shared" si="169"/>
        <v>34575485.93033994</v>
      </c>
    </row>
    <row r="513" spans="1:31" x14ac:dyDescent="0.25">
      <c r="A513" s="1">
        <f t="shared" si="170"/>
        <v>2.1041666666666665</v>
      </c>
      <c r="B513" s="7">
        <f t="shared" si="171"/>
        <v>15856718.786441477</v>
      </c>
      <c r="C513" s="7">
        <f t="shared" si="172"/>
        <v>34575485.93033994</v>
      </c>
      <c r="D513" s="7"/>
      <c r="E513" s="7"/>
      <c r="F513" s="7"/>
      <c r="G513" s="7"/>
      <c r="H513" s="7"/>
      <c r="I513" s="7"/>
      <c r="J513" s="7"/>
      <c r="K513" s="7"/>
      <c r="L513" s="1">
        <f t="shared" si="175"/>
        <v>2.1041666666666665</v>
      </c>
      <c r="M513">
        <f t="shared" si="173"/>
        <v>181800</v>
      </c>
      <c r="N513" s="9">
        <f t="shared" si="176"/>
        <v>-2174.2507412002742</v>
      </c>
      <c r="O513" s="7">
        <f t="shared" si="177"/>
        <v>15856718.786441477</v>
      </c>
      <c r="P513" s="2">
        <f t="shared" si="158"/>
        <v>-0.11484015275313325</v>
      </c>
      <c r="Q513" s="2">
        <f t="shared" si="159"/>
        <v>-0.11510104485410205</v>
      </c>
      <c r="R513" s="2">
        <f t="shared" si="160"/>
        <v>-0.11510176762342608</v>
      </c>
      <c r="S513" s="2">
        <f t="shared" si="161"/>
        <v>-0.11535540515762653</v>
      </c>
      <c r="T513" s="9">
        <f t="shared" si="162"/>
        <v>-2215.6868121722232</v>
      </c>
      <c r="U513" s="7">
        <f t="shared" si="163"/>
        <v>15066530.026834428</v>
      </c>
      <c r="W513">
        <f t="shared" si="174"/>
        <v>181800</v>
      </c>
      <c r="X513" s="9">
        <f t="shared" si="178"/>
        <v>-1093.8734666588741</v>
      </c>
      <c r="Y513" s="2">
        <f t="shared" si="179"/>
        <v>34575485.93033994</v>
      </c>
      <c r="Z513" s="2">
        <f t="shared" si="164"/>
        <v>-0.2504083057302634</v>
      </c>
      <c r="AA513" s="2">
        <f t="shared" si="165"/>
        <v>-0.25586356834615565</v>
      </c>
      <c r="AB513" s="2">
        <f t="shared" si="166"/>
        <v>-0.25586458713980653</v>
      </c>
      <c r="AC513" s="2">
        <f t="shared" si="167"/>
        <v>-0.26158181704677852</v>
      </c>
      <c r="AD513" s="2">
        <f t="shared" si="168"/>
        <v>-1186.0002526838121</v>
      </c>
      <c r="AE513" s="10">
        <f t="shared" si="169"/>
        <v>34165108.660858259</v>
      </c>
    </row>
    <row r="514" spans="1:31" x14ac:dyDescent="0.25">
      <c r="A514" s="1">
        <f t="shared" si="170"/>
        <v>2.1083333333333334</v>
      </c>
      <c r="B514" s="7">
        <f t="shared" si="171"/>
        <v>15066530.026834428</v>
      </c>
      <c r="C514" s="7">
        <f t="shared" si="172"/>
        <v>34165108.660858259</v>
      </c>
      <c r="D514" s="7"/>
      <c r="E514" s="7"/>
      <c r="F514" s="7"/>
      <c r="G514" s="7"/>
      <c r="H514" s="7"/>
      <c r="I514" s="7"/>
      <c r="J514" s="7"/>
      <c r="K514" s="7"/>
      <c r="L514" s="1">
        <f t="shared" si="175"/>
        <v>2.1083333333333334</v>
      </c>
      <c r="M514">
        <f t="shared" si="173"/>
        <v>182160</v>
      </c>
      <c r="N514" s="9">
        <f t="shared" si="176"/>
        <v>-2215.6868121722232</v>
      </c>
      <c r="O514" s="7">
        <f t="shared" si="177"/>
        <v>15066530.026834428</v>
      </c>
      <c r="P514" s="2">
        <f t="shared" si="158"/>
        <v>-0.11535542926853801</v>
      </c>
      <c r="Q514" s="2">
        <f t="shared" si="159"/>
        <v>-0.11559743199891723</v>
      </c>
      <c r="R514" s="2">
        <f t="shared" si="160"/>
        <v>-0.11559825169381188</v>
      </c>
      <c r="S514" s="2">
        <f t="shared" si="161"/>
        <v>-0.11582688264474447</v>
      </c>
      <c r="T514" s="9">
        <f t="shared" si="162"/>
        <v>-2257.3012329301478</v>
      </c>
      <c r="U514" s="7">
        <f t="shared" si="163"/>
        <v>14261392.178716002</v>
      </c>
      <c r="W514">
        <f t="shared" si="174"/>
        <v>182160</v>
      </c>
      <c r="X514" s="9">
        <f t="shared" si="178"/>
        <v>-1186.0002526838121</v>
      </c>
      <c r="Y514" s="2">
        <f t="shared" si="179"/>
        <v>34165108.660858259</v>
      </c>
      <c r="Z514" s="2">
        <f t="shared" si="164"/>
        <v>-0.26158184854509647</v>
      </c>
      <c r="AA514" s="2">
        <f t="shared" si="165"/>
        <v>-0.26757634422588344</v>
      </c>
      <c r="AB514" s="2">
        <f t="shared" si="166"/>
        <v>-0.26757754768143721</v>
      </c>
      <c r="AC514" s="2">
        <f t="shared" si="167"/>
        <v>-0.2738706185000111</v>
      </c>
      <c r="AD514" s="2">
        <f t="shared" si="168"/>
        <v>-1282.345867735397</v>
      </c>
      <c r="AE514" s="10">
        <f t="shared" si="169"/>
        <v>33720806.359182797</v>
      </c>
    </row>
    <row r="515" spans="1:31" x14ac:dyDescent="0.25">
      <c r="A515" s="1">
        <f t="shared" si="170"/>
        <v>2.1124999999999998</v>
      </c>
      <c r="B515" s="7">
        <f t="shared" si="171"/>
        <v>14261392.178716002</v>
      </c>
      <c r="C515" s="7">
        <f t="shared" si="172"/>
        <v>33720806.359182797</v>
      </c>
      <c r="D515" s="7"/>
      <c r="E515" s="7"/>
      <c r="F515" s="7"/>
      <c r="G515" s="7"/>
      <c r="H515" s="7"/>
      <c r="I515" s="7"/>
      <c r="J515" s="7"/>
      <c r="K515" s="7"/>
      <c r="L515" s="1">
        <f t="shared" si="175"/>
        <v>2.1124999999999998</v>
      </c>
      <c r="M515">
        <f t="shared" si="173"/>
        <v>182520</v>
      </c>
      <c r="N515" s="9">
        <f t="shared" si="176"/>
        <v>-2257.3012329301478</v>
      </c>
      <c r="O515" s="7">
        <f t="shared" si="177"/>
        <v>14261392.178716002</v>
      </c>
      <c r="P515" s="2">
        <f t="shared" si="158"/>
        <v>-0.11582691124723439</v>
      </c>
      <c r="Q515" s="2">
        <f t="shared" si="159"/>
        <v>-0.11603670263879697</v>
      </c>
      <c r="R515" s="2">
        <f t="shared" si="160"/>
        <v>-0.11603763715184207</v>
      </c>
      <c r="S515" s="2">
        <f t="shared" si="161"/>
        <v>-0.11622604589423807</v>
      </c>
      <c r="T515" s="9">
        <f t="shared" si="162"/>
        <v>-2299.073331133513</v>
      </c>
      <c r="U515" s="7">
        <f t="shared" si="163"/>
        <v>13441244.757184543</v>
      </c>
      <c r="W515">
        <f t="shared" si="174"/>
        <v>182520</v>
      </c>
      <c r="X515" s="9">
        <f t="shared" si="178"/>
        <v>-1282.345867735397</v>
      </c>
      <c r="Y515" s="2">
        <f t="shared" si="179"/>
        <v>33720806.359182797</v>
      </c>
      <c r="Z515" s="2">
        <f t="shared" si="164"/>
        <v>-0.27387065697410001</v>
      </c>
      <c r="AA515" s="2">
        <f t="shared" si="165"/>
        <v>-0.28048047154289762</v>
      </c>
      <c r="AB515" s="2">
        <f t="shared" si="166"/>
        <v>-0.28048190231243109</v>
      </c>
      <c r="AC515" s="2">
        <f t="shared" si="167"/>
        <v>-0.28743383379182869</v>
      </c>
      <c r="AD515" s="2">
        <f t="shared" si="168"/>
        <v>-1383.3396220439922</v>
      </c>
      <c r="AE515" s="10">
        <f t="shared" si="169"/>
        <v>33240982.971022509</v>
      </c>
    </row>
    <row r="516" spans="1:31" x14ac:dyDescent="0.25">
      <c r="A516" s="1">
        <f t="shared" si="170"/>
        <v>2.1166666666666667</v>
      </c>
      <c r="B516" s="7">
        <f t="shared" si="171"/>
        <v>13441244.757184543</v>
      </c>
      <c r="C516" s="7">
        <f t="shared" si="172"/>
        <v>33240982.971022509</v>
      </c>
      <c r="D516" s="7"/>
      <c r="E516" s="7"/>
      <c r="F516" s="7"/>
      <c r="G516" s="7"/>
      <c r="H516" s="7"/>
      <c r="I516" s="7"/>
      <c r="J516" s="7"/>
      <c r="K516" s="7"/>
      <c r="L516" s="1">
        <f t="shared" si="175"/>
        <v>2.1166666666666667</v>
      </c>
      <c r="M516">
        <f t="shared" si="173"/>
        <v>182880</v>
      </c>
      <c r="N516" s="9">
        <f t="shared" si="176"/>
        <v>-2299.073331133513</v>
      </c>
      <c r="O516" s="7">
        <f t="shared" si="177"/>
        <v>13441244.757184543</v>
      </c>
      <c r="P516" s="2">
        <f t="shared" si="158"/>
        <v>-0.11622608009325432</v>
      </c>
      <c r="Q516" s="2">
        <f t="shared" si="159"/>
        <v>-0.11638621846892878</v>
      </c>
      <c r="R516" s="2">
        <f t="shared" si="160"/>
        <v>-0.11638728991029683</v>
      </c>
      <c r="S516" s="2">
        <f t="shared" si="161"/>
        <v>-0.11651550392314713</v>
      </c>
      <c r="T516" s="9">
        <f t="shared" si="162"/>
        <v>-2340.9706471800041</v>
      </c>
      <c r="U516" s="7">
        <f t="shared" si="163"/>
        <v>12606036.841088109</v>
      </c>
      <c r="W516">
        <f t="shared" si="174"/>
        <v>182880</v>
      </c>
      <c r="X516" s="9">
        <f t="shared" si="178"/>
        <v>-1383.3396220439922</v>
      </c>
      <c r="Y516" s="2">
        <f t="shared" si="179"/>
        <v>33240982.971022509</v>
      </c>
      <c r="Z516" s="2">
        <f t="shared" si="164"/>
        <v>-0.28743388123361741</v>
      </c>
      <c r="AA516" s="2">
        <f t="shared" si="165"/>
        <v>-0.29474965291381822</v>
      </c>
      <c r="AB516" s="2">
        <f t="shared" si="166"/>
        <v>-0.29475136608369168</v>
      </c>
      <c r="AC516" s="2">
        <f t="shared" si="167"/>
        <v>-0.30246140216343964</v>
      </c>
      <c r="AD516" s="2">
        <f t="shared" si="168"/>
        <v>-1489.4734613275168</v>
      </c>
      <c r="AE516" s="10">
        <f t="shared" si="169"/>
        <v>32723876.616015639</v>
      </c>
    </row>
    <row r="517" spans="1:31" x14ac:dyDescent="0.25">
      <c r="A517" s="1">
        <f t="shared" si="170"/>
        <v>2.1208333333333331</v>
      </c>
      <c r="B517" s="7">
        <f t="shared" si="171"/>
        <v>12606036.841088109</v>
      </c>
      <c r="C517" s="7">
        <f t="shared" si="172"/>
        <v>32723876.616015639</v>
      </c>
      <c r="D517" s="7"/>
      <c r="E517" s="7"/>
      <c r="F517" s="7"/>
      <c r="G517" s="7"/>
      <c r="H517" s="7"/>
      <c r="I517" s="7"/>
      <c r="J517" s="7"/>
      <c r="K517" s="7"/>
      <c r="L517" s="1">
        <f t="shared" si="175"/>
        <v>2.1208333333333331</v>
      </c>
      <c r="M517">
        <f t="shared" si="173"/>
        <v>183240</v>
      </c>
      <c r="N517" s="9">
        <f t="shared" si="176"/>
        <v>-2340.9706471800041</v>
      </c>
      <c r="O517" s="7">
        <f t="shared" si="177"/>
        <v>12606036.841088109</v>
      </c>
      <c r="P517" s="2">
        <f t="shared" si="158"/>
        <v>-0.11651554516054601</v>
      </c>
      <c r="Q517" s="2">
        <f t="shared" si="159"/>
        <v>-0.11660307488756586</v>
      </c>
      <c r="R517" s="2">
        <f t="shared" si="160"/>
        <v>-0.1166043107875285</v>
      </c>
      <c r="S517" s="2">
        <f t="shared" si="161"/>
        <v>-0.11664596355696293</v>
      </c>
      <c r="T517" s="9">
        <f t="shared" si="162"/>
        <v>-2382.9452239840662</v>
      </c>
      <c r="U517" s="7">
        <f t="shared" si="163"/>
        <v>11755731.984278576</v>
      </c>
      <c r="W517">
        <f t="shared" si="174"/>
        <v>183240</v>
      </c>
      <c r="X517" s="9">
        <f t="shared" si="178"/>
        <v>-1489.4734613275168</v>
      </c>
      <c r="Y517" s="2">
        <f t="shared" si="179"/>
        <v>32723876.616015639</v>
      </c>
      <c r="Z517" s="2">
        <f t="shared" si="164"/>
        <v>-0.30246146126226897</v>
      </c>
      <c r="AA517" s="2">
        <f t="shared" si="165"/>
        <v>-0.31059192461446788</v>
      </c>
      <c r="AB517" s="2">
        <f t="shared" si="166"/>
        <v>-0.31059399213075323</v>
      </c>
      <c r="AC517" s="2">
        <f t="shared" si="167"/>
        <v>-0.31918164152491779</v>
      </c>
      <c r="AD517" s="2">
        <f t="shared" si="168"/>
        <v>-1601.3143575041745</v>
      </c>
      <c r="AE517" s="10">
        <f t="shared" si="169"/>
        <v>32167534.808625937</v>
      </c>
    </row>
    <row r="518" spans="1:31" x14ac:dyDescent="0.25">
      <c r="A518" s="1">
        <f t="shared" si="170"/>
        <v>2.125</v>
      </c>
      <c r="B518" s="7">
        <f t="shared" si="171"/>
        <v>11755731.984278576</v>
      </c>
      <c r="C518" s="7">
        <f t="shared" si="172"/>
        <v>32167534.808625937</v>
      </c>
      <c r="D518" s="7"/>
      <c r="E518" s="7"/>
      <c r="F518" s="7"/>
      <c r="G518" s="7"/>
      <c r="H518" s="7"/>
      <c r="I518" s="7"/>
      <c r="J518" s="7"/>
      <c r="K518" s="7"/>
      <c r="L518" s="1">
        <f t="shared" si="175"/>
        <v>2.125</v>
      </c>
      <c r="M518">
        <f t="shared" si="173"/>
        <v>183600</v>
      </c>
      <c r="N518" s="9">
        <f t="shared" si="176"/>
        <v>-2382.9452239840662</v>
      </c>
      <c r="O518" s="7">
        <f t="shared" si="177"/>
        <v>11755731.984278576</v>
      </c>
      <c r="P518" s="2">
        <f t="shared" si="158"/>
        <v>-0.11664601373521979</v>
      </c>
      <c r="Q518" s="2">
        <f t="shared" si="159"/>
        <v>-0.11663053454400515</v>
      </c>
      <c r="R518" s="2">
        <f t="shared" si="160"/>
        <v>-0.11663196945563992</v>
      </c>
      <c r="S518" s="2">
        <f t="shared" si="161"/>
        <v>-0.11655202004635809</v>
      </c>
      <c r="T518" s="9">
        <f t="shared" si="162"/>
        <v>-2424.9286064909184</v>
      </c>
      <c r="U518" s="7">
        <f t="shared" si="163"/>
        <v>10890314.694793079</v>
      </c>
      <c r="W518">
        <f t="shared" si="174"/>
        <v>183600</v>
      </c>
      <c r="X518" s="9">
        <f t="shared" si="178"/>
        <v>-1601.3143575041745</v>
      </c>
      <c r="Y518" s="2">
        <f t="shared" si="179"/>
        <v>32167534.808625937</v>
      </c>
      <c r="Z518" s="2">
        <f t="shared" si="164"/>
        <v>-0.31918171596061684</v>
      </c>
      <c r="AA518" s="2">
        <f t="shared" si="165"/>
        <v>-0.32825830943011874</v>
      </c>
      <c r="AB518" s="2">
        <f t="shared" si="166"/>
        <v>-0.32826082641043031</v>
      </c>
      <c r="AC518" s="2">
        <f t="shared" si="167"/>
        <v>-0.33787114426519038</v>
      </c>
      <c r="AD518" s="2">
        <f t="shared" si="168"/>
        <v>-1719.5198254185889</v>
      </c>
      <c r="AE518" s="10">
        <f t="shared" si="169"/>
        <v>31569784.655699838</v>
      </c>
    </row>
    <row r="519" spans="1:31" x14ac:dyDescent="0.25">
      <c r="A519" s="1">
        <f t="shared" si="170"/>
        <v>2.1291666666666669</v>
      </c>
      <c r="B519" s="7">
        <f t="shared" si="171"/>
        <v>10890314.694793079</v>
      </c>
      <c r="C519" s="7">
        <f t="shared" si="172"/>
        <v>31569784.655699838</v>
      </c>
      <c r="D519" s="7"/>
      <c r="E519" s="7"/>
      <c r="F519" s="7"/>
      <c r="G519" s="7"/>
      <c r="H519" s="7"/>
      <c r="I519" s="7"/>
      <c r="J519" s="7"/>
      <c r="K519" s="7"/>
      <c r="L519" s="1">
        <f t="shared" si="175"/>
        <v>2.1291666666666669</v>
      </c>
      <c r="M519">
        <f t="shared" si="173"/>
        <v>183960</v>
      </c>
      <c r="N519" s="9">
        <f t="shared" si="176"/>
        <v>-2424.9286064909184</v>
      </c>
      <c r="O519" s="7">
        <f t="shared" si="177"/>
        <v>10890314.694793079</v>
      </c>
      <c r="P519" s="2">
        <f t="shared" si="158"/>
        <v>-0.11655208170585271</v>
      </c>
      <c r="Q519" s="2">
        <f t="shared" si="159"/>
        <v>-0.11639304278791597</v>
      </c>
      <c r="R519" s="2">
        <f t="shared" si="160"/>
        <v>-0.11639472043958363</v>
      </c>
      <c r="S519" s="2">
        <f t="shared" si="161"/>
        <v>-0.11614623659295398</v>
      </c>
      <c r="T519" s="9">
        <f t="shared" si="162"/>
        <v>-2466.8250371761469</v>
      </c>
      <c r="U519" s="7">
        <f t="shared" si="163"/>
        <v>10009799.038933007</v>
      </c>
      <c r="W519">
        <f t="shared" si="174"/>
        <v>183960</v>
      </c>
      <c r="X519" s="9">
        <f t="shared" si="178"/>
        <v>-1719.5198254185889</v>
      </c>
      <c r="Y519" s="2">
        <f t="shared" si="179"/>
        <v>31569784.655699838</v>
      </c>
      <c r="Z519" s="2">
        <f t="shared" si="164"/>
        <v>-0.33787123914670458</v>
      </c>
      <c r="AA519" s="2">
        <f t="shared" si="165"/>
        <v>-0.3480541602246584</v>
      </c>
      <c r="AB519" s="2">
        <f t="shared" si="166"/>
        <v>-0.34805725410580618</v>
      </c>
      <c r="AC519" s="2">
        <f t="shared" si="167"/>
        <v>-0.35886782368753489</v>
      </c>
      <c r="AD519" s="2">
        <f t="shared" si="168"/>
        <v>-1844.8575389082989</v>
      </c>
      <c r="AE519" s="10">
        <f t="shared" si="169"/>
        <v>30928196.730120998</v>
      </c>
    </row>
    <row r="520" spans="1:31" x14ac:dyDescent="0.25">
      <c r="A520" s="1">
        <f t="shared" si="170"/>
        <v>2.1333333333333333</v>
      </c>
      <c r="B520" s="7">
        <f t="shared" si="171"/>
        <v>10009799.038933007</v>
      </c>
      <c r="C520" s="7">
        <f t="shared" si="172"/>
        <v>30928196.730120998</v>
      </c>
      <c r="D520" s="7"/>
      <c r="E520" s="7"/>
      <c r="F520" s="7"/>
      <c r="G520" s="7"/>
      <c r="H520" s="7"/>
      <c r="I520" s="7"/>
      <c r="J520" s="7"/>
      <c r="K520" s="7"/>
      <c r="L520" s="1">
        <f t="shared" si="175"/>
        <v>2.1333333333333333</v>
      </c>
      <c r="M520">
        <f t="shared" si="173"/>
        <v>184320</v>
      </c>
      <c r="N520" s="9">
        <f t="shared" si="176"/>
        <v>-2466.8250371761469</v>
      </c>
      <c r="O520" s="7">
        <f t="shared" si="177"/>
        <v>10009799.038933007</v>
      </c>
      <c r="P520" s="2">
        <f t="shared" ref="P520:P583" si="180">dvdt_x($O520,$Y520)</f>
        <v>-0.11614631316977291</v>
      </c>
      <c r="Q520" s="2">
        <f t="shared" ref="Q520:Q583" si="181">dvdt_x($O520+h/4*($N520+($N520+h/2*P520)),$Y520+h/4*($X520+($X520+h/2*Z520)))</f>
        <v>-0.11578917031617299</v>
      </c>
      <c r="R520" s="2">
        <f t="shared" ref="R520:R583" si="182">dvdt_x($O520+h/4*($N520+($N520+h/2*Q520)),$Y520+h/4*($X520+($X520+h/2*AA520)))</f>
        <v>-0.11579114652260307</v>
      </c>
      <c r="S520" s="2">
        <f t="shared" ref="S520:S583" si="183">dvdt_x($O520+h/2*($N520+($N520+h*R520)),$Y520+h/2*($X520+($X520+h*AB520)))</f>
        <v>-0.1153107033366414</v>
      </c>
      <c r="T520" s="9">
        <f t="shared" ref="T520:T583" si="184">N520+h/6*(P520+2*Q520+2*R520+S520)</f>
        <v>-2508.5020961871851</v>
      </c>
      <c r="U520" s="7">
        <f t="shared" ref="U520:U583" si="185">O520+h/2*(N520+T520)</f>
        <v>9114240.1549276076</v>
      </c>
      <c r="W520">
        <f t="shared" si="174"/>
        <v>184320</v>
      </c>
      <c r="X520" s="9">
        <f t="shared" si="178"/>
        <v>-1844.8575389082989</v>
      </c>
      <c r="Y520" s="2">
        <f t="shared" si="179"/>
        <v>30928196.730120998</v>
      </c>
      <c r="Z520" s="2">
        <f t="shared" ref="Z520:Z583" si="186">dvdt_y($O520,$Y520)</f>
        <v>-0.35886794622161466</v>
      </c>
      <c r="AA520" s="2">
        <f t="shared" ref="AA520:AA583" si="187">dvdt_y($O520+h/4*($N520+($N520+h/2*P520)),$Y520+h/4*($X520+($X520+h/2*Z520)))</f>
        <v>-0.37035420210422954</v>
      </c>
      <c r="AB520" s="2">
        <f t="shared" ref="AB520:AB583" si="188">dvdt_y($O520+h/4*($N520+($N520+h/2*Q520)),$Y520+h/4*($X520+($X520+h/2*AA520)))</f>
        <v>-0.37035804613357276</v>
      </c>
      <c r="AC520" s="2">
        <f t="shared" ref="AC520:AC583" si="189">dvdt_y($O520+h/2*($N520+($N520+h*R520)),$Y520+h/2*($X520+($X520+h*AB520)))</f>
        <v>-0.38258832030480094</v>
      </c>
      <c r="AD520" s="2">
        <f t="shared" ref="AD520:AD583" si="190">X520+h/6*(Z520+2*AA520+2*AB520+AC520)</f>
        <v>-1978.2303846884201</v>
      </c>
      <c r="AE520" s="10">
        <f t="shared" ref="AE520:AE583" si="191">Y520+h/2*(X520+AD520)</f>
        <v>30240040.903873589</v>
      </c>
    </row>
    <row r="521" spans="1:31" x14ac:dyDescent="0.25">
      <c r="A521" s="1">
        <f t="shared" ref="A521:A584" si="192">L521</f>
        <v>2.1375000000000002</v>
      </c>
      <c r="B521" s="7">
        <f t="shared" ref="B521:B584" si="193">O521</f>
        <v>9114240.1549276076</v>
      </c>
      <c r="C521" s="7">
        <f t="shared" ref="C521:C584" si="194">Y521</f>
        <v>30240040.903873589</v>
      </c>
      <c r="D521" s="7"/>
      <c r="E521" s="7"/>
      <c r="F521" s="7"/>
      <c r="G521" s="7"/>
      <c r="H521" s="7"/>
      <c r="I521" s="7"/>
      <c r="J521" s="7"/>
      <c r="K521" s="7"/>
      <c r="L521" s="1">
        <f t="shared" si="175"/>
        <v>2.1375000000000002</v>
      </c>
      <c r="M521">
        <f t="shared" ref="M521:M584" si="195">M520+h</f>
        <v>184680</v>
      </c>
      <c r="N521" s="9">
        <f t="shared" si="176"/>
        <v>-2508.5020961871851</v>
      </c>
      <c r="O521" s="7">
        <f t="shared" si="177"/>
        <v>9114240.1549276076</v>
      </c>
      <c r="P521" s="2">
        <f t="shared" si="180"/>
        <v>-0.11531079954337178</v>
      </c>
      <c r="Q521" s="2">
        <f t="shared" si="181"/>
        <v>-0.11468147759244364</v>
      </c>
      <c r="R521" s="2">
        <f t="shared" si="182"/>
        <v>-0.11468382421412648</v>
      </c>
      <c r="S521" s="2">
        <f t="shared" si="183"/>
        <v>-0.11388482117631214</v>
      </c>
      <c r="T521" s="9">
        <f t="shared" si="184"/>
        <v>-2549.7776696471547</v>
      </c>
      <c r="U521" s="7">
        <f t="shared" si="185"/>
        <v>8203749.7970774267</v>
      </c>
      <c r="W521">
        <f t="shared" ref="W521:W584" si="196">W520+h</f>
        <v>184680</v>
      </c>
      <c r="X521" s="9">
        <f t="shared" si="178"/>
        <v>-1978.2303846884201</v>
      </c>
      <c r="Y521" s="2">
        <f t="shared" si="179"/>
        <v>30240040.903873589</v>
      </c>
      <c r="Z521" s="2">
        <f t="shared" si="186"/>
        <v>-0.38258848083618741</v>
      </c>
      <c r="AA521" s="2">
        <f t="shared" si="187"/>
        <v>-0.39562272789711189</v>
      </c>
      <c r="AB521" s="2">
        <f t="shared" si="188"/>
        <v>-0.39562756141500982</v>
      </c>
      <c r="AC521" s="2">
        <f t="shared" si="189"/>
        <v>-0.40955152697911906</v>
      </c>
      <c r="AD521" s="2">
        <f t="shared" si="190"/>
        <v>-2120.7088198747933</v>
      </c>
      <c r="AE521" s="10">
        <f t="shared" si="191"/>
        <v>29502231.847052209</v>
      </c>
    </row>
    <row r="522" spans="1:31" x14ac:dyDescent="0.25">
      <c r="A522" s="1">
        <f t="shared" si="192"/>
        <v>2.1416666666666666</v>
      </c>
      <c r="B522" s="7">
        <f t="shared" si="193"/>
        <v>8203749.7970774267</v>
      </c>
      <c r="C522" s="7">
        <f t="shared" si="194"/>
        <v>29502231.847052209</v>
      </c>
      <c r="D522" s="7"/>
      <c r="E522" s="7"/>
      <c r="F522" s="7"/>
      <c r="G522" s="7"/>
      <c r="H522" s="7"/>
      <c r="I522" s="7"/>
      <c r="J522" s="7"/>
      <c r="K522" s="7"/>
      <c r="L522" s="1">
        <f t="shared" ref="L522:L585" si="197">M522/(24*3600)</f>
        <v>2.1416666666666666</v>
      </c>
      <c r="M522">
        <f t="shared" si="195"/>
        <v>185040</v>
      </c>
      <c r="N522" s="9">
        <f t="shared" si="176"/>
        <v>-2549.7776696471547</v>
      </c>
      <c r="O522" s="7">
        <f t="shared" si="177"/>
        <v>8203749.7970774267</v>
      </c>
      <c r="P522" s="2">
        <f t="shared" si="180"/>
        <v>-0.11388494357396756</v>
      </c>
      <c r="Q522" s="2">
        <f t="shared" si="181"/>
        <v>-0.1128817275035723</v>
      </c>
      <c r="R522" s="2">
        <f t="shared" si="182"/>
        <v>-0.11288453784906943</v>
      </c>
      <c r="S522" s="2">
        <f t="shared" si="183"/>
        <v>-0.11164732679551574</v>
      </c>
      <c r="T522" s="9">
        <f t="shared" si="184"/>
        <v>-2590.4015577116406</v>
      </c>
      <c r="U522" s="7">
        <f t="shared" si="185"/>
        <v>7278517.5361528434</v>
      </c>
      <c r="W522">
        <f t="shared" si="196"/>
        <v>185040</v>
      </c>
      <c r="X522" s="9">
        <f t="shared" si="178"/>
        <v>-2120.7088198747933</v>
      </c>
      <c r="Y522" s="2">
        <f t="shared" si="179"/>
        <v>29502231.847052209</v>
      </c>
      <c r="Z522" s="2">
        <f t="shared" si="186"/>
        <v>-0.40955174064482003</v>
      </c>
      <c r="AA522" s="2">
        <f t="shared" si="187"/>
        <v>-0.42444107979781132</v>
      </c>
      <c r="AB522" s="2">
        <f t="shared" si="188"/>
        <v>-0.42444723937918311</v>
      </c>
      <c r="AC522" s="2">
        <f t="shared" si="189"/>
        <v>-0.44041083361492495</v>
      </c>
      <c r="AD522" s="2">
        <f t="shared" si="190"/>
        <v>-2273.5731726316176</v>
      </c>
      <c r="AE522" s="10">
        <f t="shared" si="191"/>
        <v>28711261.088401057</v>
      </c>
    </row>
    <row r="523" spans="1:31" x14ac:dyDescent="0.25">
      <c r="A523" s="1">
        <f t="shared" si="192"/>
        <v>2.1458333333333335</v>
      </c>
      <c r="B523" s="7">
        <f t="shared" si="193"/>
        <v>7278517.5361528434</v>
      </c>
      <c r="C523" s="7">
        <f t="shared" si="194"/>
        <v>28711261.088401057</v>
      </c>
      <c r="D523" s="7"/>
      <c r="E523" s="7"/>
      <c r="F523" s="7"/>
      <c r="G523" s="7"/>
      <c r="H523" s="7"/>
      <c r="I523" s="7"/>
      <c r="J523" s="7"/>
      <c r="K523" s="7"/>
      <c r="L523" s="1">
        <f t="shared" si="197"/>
        <v>2.1458333333333335</v>
      </c>
      <c r="M523">
        <f t="shared" si="195"/>
        <v>185400</v>
      </c>
      <c r="N523" s="9">
        <f t="shared" si="176"/>
        <v>-2590.4015577116406</v>
      </c>
      <c r="O523" s="7">
        <f t="shared" si="177"/>
        <v>7278517.5361528434</v>
      </c>
      <c r="P523" s="2">
        <f t="shared" si="180"/>
        <v>-0.11164748466792428</v>
      </c>
      <c r="Q523" s="2">
        <f t="shared" si="181"/>
        <v>-0.11012893180048595</v>
      </c>
      <c r="R523" s="2">
        <f t="shared" si="182"/>
        <v>-0.11013232798680039</v>
      </c>
      <c r="S523" s="2">
        <f t="shared" si="183"/>
        <v>-0.10828935335500618</v>
      </c>
      <c r="T523" s="9">
        <f t="shared" si="184"/>
        <v>-2630.029119167491</v>
      </c>
      <c r="U523" s="7">
        <f t="shared" si="185"/>
        <v>6338840.0143145993</v>
      </c>
      <c r="W523">
        <f t="shared" si="196"/>
        <v>185400</v>
      </c>
      <c r="X523" s="9">
        <f t="shared" si="178"/>
        <v>-2273.5731726316176</v>
      </c>
      <c r="Y523" s="2">
        <f t="shared" si="179"/>
        <v>28711261.088401057</v>
      </c>
      <c r="Z523" s="2">
        <f t="shared" si="186"/>
        <v>-0.44041112304008545</v>
      </c>
      <c r="AA523" s="2">
        <f t="shared" si="187"/>
        <v>-0.45754559756850377</v>
      </c>
      <c r="AB523" s="2">
        <f t="shared" si="188"/>
        <v>-0.45755356596486307</v>
      </c>
      <c r="AC523" s="2">
        <f t="shared" si="189"/>
        <v>-0.47599900484096441</v>
      </c>
      <c r="AD523" s="2">
        <f t="shared" si="190"/>
        <v>-2438.3696799284844</v>
      </c>
      <c r="AE523" s="10">
        <f t="shared" si="191"/>
        <v>27863111.374940239</v>
      </c>
    </row>
    <row r="524" spans="1:31" x14ac:dyDescent="0.25">
      <c r="A524" s="1">
        <f t="shared" si="192"/>
        <v>2.15</v>
      </c>
      <c r="B524" s="7">
        <f t="shared" si="193"/>
        <v>6338840.0143145993</v>
      </c>
      <c r="C524" s="7">
        <f t="shared" si="194"/>
        <v>27863111.374940239</v>
      </c>
      <c r="D524" s="7"/>
      <c r="E524" s="7"/>
      <c r="F524" s="7"/>
      <c r="G524" s="7"/>
      <c r="H524" s="7"/>
      <c r="I524" s="7"/>
      <c r="J524" s="7"/>
      <c r="K524" s="7"/>
      <c r="L524" s="1">
        <f t="shared" si="197"/>
        <v>2.15</v>
      </c>
      <c r="M524">
        <f t="shared" si="195"/>
        <v>185760</v>
      </c>
      <c r="N524" s="9">
        <f t="shared" si="176"/>
        <v>-2630.029119167491</v>
      </c>
      <c r="O524" s="7">
        <f t="shared" si="177"/>
        <v>6338840.0143145993</v>
      </c>
      <c r="P524" s="2">
        <f t="shared" si="180"/>
        <v>-0.10828956007097941</v>
      </c>
      <c r="Q524" s="2">
        <f t="shared" si="181"/>
        <v>-0.10605611992583845</v>
      </c>
      <c r="R524" s="2">
        <f t="shared" si="182"/>
        <v>-0.10606026280371311</v>
      </c>
      <c r="S524" s="2">
        <f t="shared" si="183"/>
        <v>-0.10337321986613385</v>
      </c>
      <c r="T524" s="9">
        <f t="shared" si="184"/>
        <v>-2668.1828518912639</v>
      </c>
      <c r="U524" s="7">
        <f t="shared" si="185"/>
        <v>5385161.8595240237</v>
      </c>
      <c r="W524">
        <f t="shared" si="196"/>
        <v>185760</v>
      </c>
      <c r="X524" s="9">
        <f t="shared" si="178"/>
        <v>-2438.3696799284844</v>
      </c>
      <c r="Y524" s="2">
        <f t="shared" si="179"/>
        <v>27863111.374940239</v>
      </c>
      <c r="Z524" s="2">
        <f t="shared" si="186"/>
        <v>-0.4759994046524666</v>
      </c>
      <c r="AA524" s="2">
        <f t="shared" si="187"/>
        <v>-0.49588086298240147</v>
      </c>
      <c r="AB524" s="2">
        <f t="shared" si="188"/>
        <v>-0.49589134805715895</v>
      </c>
      <c r="AC524" s="2">
        <f t="shared" si="189"/>
        <v>-0.51739169219371905</v>
      </c>
      <c r="AD524" s="2">
        <f t="shared" si="190"/>
        <v>-2616.985811064003</v>
      </c>
      <c r="AE524" s="10">
        <f t="shared" si="191"/>
        <v>26953147.386561591</v>
      </c>
    </row>
    <row r="525" spans="1:31" x14ac:dyDescent="0.25">
      <c r="A525" s="1">
        <f t="shared" si="192"/>
        <v>2.1541666666666668</v>
      </c>
      <c r="B525" s="7">
        <f t="shared" si="193"/>
        <v>5385161.8595240237</v>
      </c>
      <c r="C525" s="7">
        <f t="shared" si="194"/>
        <v>26953147.386561591</v>
      </c>
      <c r="D525" s="7"/>
      <c r="E525" s="7"/>
      <c r="F525" s="7"/>
      <c r="G525" s="7"/>
      <c r="H525" s="7"/>
      <c r="I525" s="7"/>
      <c r="J525" s="7"/>
      <c r="K525" s="7"/>
      <c r="L525" s="1">
        <f t="shared" si="197"/>
        <v>2.1541666666666668</v>
      </c>
      <c r="M525">
        <f t="shared" si="195"/>
        <v>186120</v>
      </c>
      <c r="N525" s="9">
        <f t="shared" si="176"/>
        <v>-2668.1828518912639</v>
      </c>
      <c r="O525" s="7">
        <f t="shared" si="177"/>
        <v>5385161.8595240237</v>
      </c>
      <c r="P525" s="2">
        <f t="shared" si="180"/>
        <v>-0.10337349504363916</v>
      </c>
      <c r="Q525" s="2">
        <f t="shared" si="181"/>
        <v>-0.10013893414241404</v>
      </c>
      <c r="R525" s="2">
        <f t="shared" si="182"/>
        <v>-0.10014403630406625</v>
      </c>
      <c r="S525" s="2">
        <f t="shared" si="183"/>
        <v>-9.6267923647941303E-2</v>
      </c>
      <c r="T525" s="9">
        <f t="shared" si="184"/>
        <v>-2704.1952934663364</v>
      </c>
      <c r="U525" s="7">
        <f t="shared" si="185"/>
        <v>4418133.7933596559</v>
      </c>
      <c r="W525">
        <f t="shared" si="196"/>
        <v>186120</v>
      </c>
      <c r="X525" s="9">
        <f t="shared" si="178"/>
        <v>-2616.985811064003</v>
      </c>
      <c r="Y525" s="2">
        <f t="shared" si="179"/>
        <v>26953147.386561591</v>
      </c>
      <c r="Z525" s="2">
        <f t="shared" si="186"/>
        <v>-0.51739225680794421</v>
      </c>
      <c r="AA525" s="2">
        <f t="shared" si="187"/>
        <v>-0.54067572019905763</v>
      </c>
      <c r="AB525" s="2">
        <f t="shared" si="188"/>
        <v>-0.54068978597530604</v>
      </c>
      <c r="AC525" s="2">
        <f t="shared" si="189"/>
        <v>-0.56599897427412427</v>
      </c>
      <c r="AD525" s="2">
        <f t="shared" si="190"/>
        <v>-2811.7531456698507</v>
      </c>
      <c r="AE525" s="10">
        <f t="shared" si="191"/>
        <v>25975974.374349497</v>
      </c>
    </row>
    <row r="526" spans="1:31" x14ac:dyDescent="0.25">
      <c r="A526" s="1">
        <f t="shared" si="192"/>
        <v>2.1583333333333332</v>
      </c>
      <c r="B526" s="7">
        <f t="shared" si="193"/>
        <v>4418133.7933596559</v>
      </c>
      <c r="C526" s="7">
        <f t="shared" si="194"/>
        <v>25975974.374349497</v>
      </c>
      <c r="D526" s="7"/>
      <c r="E526" s="7"/>
      <c r="F526" s="7"/>
      <c r="G526" s="7"/>
      <c r="H526" s="7"/>
      <c r="I526" s="7"/>
      <c r="J526" s="7"/>
      <c r="K526" s="7"/>
      <c r="L526" s="1">
        <f t="shared" si="197"/>
        <v>2.1583333333333332</v>
      </c>
      <c r="M526">
        <f t="shared" si="195"/>
        <v>186480</v>
      </c>
      <c r="N526" s="9">
        <f t="shared" si="176"/>
        <v>-2704.1952934663364</v>
      </c>
      <c r="O526" s="7">
        <f t="shared" si="177"/>
        <v>4418133.7933596559</v>
      </c>
      <c r="P526" s="2">
        <f t="shared" si="180"/>
        <v>-9.6268296662286049E-2</v>
      </c>
      <c r="Q526" s="2">
        <f t="shared" si="181"/>
        <v>-9.161415086323775E-2</v>
      </c>
      <c r="R526" s="2">
        <f t="shared" si="182"/>
        <v>-9.1620492512979962E-2</v>
      </c>
      <c r="S526" s="2">
        <f t="shared" si="183"/>
        <v>-8.6045517588896572E-2</v>
      </c>
      <c r="T526" s="9">
        <f t="shared" si="184"/>
        <v>-2737.1222795265535</v>
      </c>
      <c r="U526" s="7">
        <f t="shared" si="185"/>
        <v>3438696.6302209357</v>
      </c>
      <c r="W526">
        <f t="shared" si="196"/>
        <v>186480</v>
      </c>
      <c r="X526" s="9">
        <f t="shared" si="178"/>
        <v>-2811.7531456698507</v>
      </c>
      <c r="Y526" s="2">
        <f t="shared" si="179"/>
        <v>25975974.374349497</v>
      </c>
      <c r="Z526" s="2">
        <f t="shared" si="186"/>
        <v>-0.56599979179450244</v>
      </c>
      <c r="AA526" s="2">
        <f t="shared" si="187"/>
        <v>-0.59355390242632</v>
      </c>
      <c r="AB526" s="2">
        <f t="shared" si="188"/>
        <v>-0.59357319384825213</v>
      </c>
      <c r="AC526" s="2">
        <f t="shared" si="189"/>
        <v>-0.62369995210222284</v>
      </c>
      <c r="AD526" s="2">
        <f t="shared" si="190"/>
        <v>-3025.590381856603</v>
      </c>
      <c r="AE526" s="10">
        <f t="shared" si="191"/>
        <v>24925252.539394736</v>
      </c>
    </row>
    <row r="527" spans="1:31" x14ac:dyDescent="0.25">
      <c r="A527" s="1">
        <f t="shared" si="192"/>
        <v>2.1625000000000001</v>
      </c>
      <c r="B527" s="7">
        <f t="shared" si="193"/>
        <v>3438696.6302209357</v>
      </c>
      <c r="C527" s="7">
        <f t="shared" si="194"/>
        <v>24925252.539394736</v>
      </c>
      <c r="D527" s="7"/>
      <c r="E527" s="7"/>
      <c r="F527" s="7"/>
      <c r="G527" s="7"/>
      <c r="H527" s="7"/>
      <c r="I527" s="7"/>
      <c r="J527" s="7"/>
      <c r="K527" s="7"/>
      <c r="L527" s="1">
        <f t="shared" si="197"/>
        <v>2.1625000000000001</v>
      </c>
      <c r="M527">
        <f t="shared" si="195"/>
        <v>186840</v>
      </c>
      <c r="N527" s="9">
        <f t="shared" si="176"/>
        <v>-2737.1222795265535</v>
      </c>
      <c r="O527" s="7">
        <f t="shared" si="177"/>
        <v>3438696.6302209357</v>
      </c>
      <c r="P527" s="2">
        <f t="shared" si="180"/>
        <v>-8.6046033372419853E-2</v>
      </c>
      <c r="Q527" s="2">
        <f t="shared" si="181"/>
        <v>-7.9346928884741152E-2</v>
      </c>
      <c r="R527" s="2">
        <f t="shared" si="182"/>
        <v>-7.9354873580490315E-2</v>
      </c>
      <c r="S527" s="2">
        <f t="shared" si="183"/>
        <v>-7.1309696246686802E-2</v>
      </c>
      <c r="T527" s="9">
        <f t="shared" si="184"/>
        <v>-2765.6078395995278</v>
      </c>
      <c r="U527" s="7">
        <f t="shared" si="185"/>
        <v>2448205.2087782412</v>
      </c>
      <c r="W527">
        <f t="shared" si="196"/>
        <v>186840</v>
      </c>
      <c r="X527" s="9">
        <f t="shared" si="178"/>
        <v>-3025.590381856603</v>
      </c>
      <c r="Y527" s="2">
        <f t="shared" si="179"/>
        <v>24925252.539394736</v>
      </c>
      <c r="Z527" s="2">
        <f t="shared" si="186"/>
        <v>-0.62370117008052439</v>
      </c>
      <c r="AA527" s="2">
        <f t="shared" si="187"/>
        <v>-0.65669840080079367</v>
      </c>
      <c r="AB527" s="2">
        <f t="shared" si="188"/>
        <v>-0.65672554369428648</v>
      </c>
      <c r="AC527" s="2">
        <f t="shared" si="189"/>
        <v>-0.69304500191287199</v>
      </c>
      <c r="AD527" s="2">
        <f t="shared" si="190"/>
        <v>-3262.2060255156166</v>
      </c>
      <c r="AE527" s="10">
        <f t="shared" si="191"/>
        <v>23793449.186067738</v>
      </c>
    </row>
    <row r="528" spans="1:31" x14ac:dyDescent="0.25">
      <c r="A528" s="1">
        <f t="shared" si="192"/>
        <v>2.1666666666666665</v>
      </c>
      <c r="B528" s="7">
        <f t="shared" si="193"/>
        <v>2448205.2087782412</v>
      </c>
      <c r="C528" s="7">
        <f t="shared" si="194"/>
        <v>23793449.186067738</v>
      </c>
      <c r="D528" s="7"/>
      <c r="E528" s="7"/>
      <c r="F528" s="7"/>
      <c r="G528" s="7"/>
      <c r="H528" s="7"/>
      <c r="I528" s="7"/>
      <c r="J528" s="7"/>
      <c r="K528" s="7"/>
      <c r="L528" s="1">
        <f t="shared" si="197"/>
        <v>2.1666666666666665</v>
      </c>
      <c r="M528">
        <f t="shared" si="195"/>
        <v>187200</v>
      </c>
      <c r="N528" s="9">
        <f t="shared" si="176"/>
        <v>-2765.6078395995278</v>
      </c>
      <c r="O528" s="7">
        <f t="shared" si="177"/>
        <v>2448205.2087782412</v>
      </c>
      <c r="P528" s="2">
        <f t="shared" si="180"/>
        <v>-7.1310425043490264E-2</v>
      </c>
      <c r="Q528" s="2">
        <f t="shared" si="181"/>
        <v>-6.1607639548624797E-2</v>
      </c>
      <c r="R528" s="2">
        <f t="shared" si="182"/>
        <v>-6.1617637856303545E-2</v>
      </c>
      <c r="S528" s="2">
        <f t="shared" si="183"/>
        <v>-4.9902580349316994E-2</v>
      </c>
      <c r="T528" s="9">
        <f t="shared" si="184"/>
        <v>-2787.6676532116876</v>
      </c>
      <c r="U528" s="7">
        <f t="shared" si="185"/>
        <v>1448615.6200722223</v>
      </c>
      <c r="W528">
        <f t="shared" si="196"/>
        <v>187200</v>
      </c>
      <c r="X528" s="9">
        <f t="shared" si="178"/>
        <v>-3262.2060255156166</v>
      </c>
      <c r="Y528" s="2">
        <f t="shared" si="179"/>
        <v>23793449.186067738</v>
      </c>
      <c r="Z528" s="2">
        <f t="shared" si="186"/>
        <v>-0.69304687720843339</v>
      </c>
      <c r="AA528" s="2">
        <f t="shared" si="187"/>
        <v>-0.73310126339930348</v>
      </c>
      <c r="AB528" s="2">
        <f t="shared" si="188"/>
        <v>-0.733140606761714</v>
      </c>
      <c r="AC528" s="2">
        <f t="shared" si="189"/>
        <v>-0.77756693893757978</v>
      </c>
      <c r="AD528" s="2">
        <f t="shared" si="190"/>
        <v>-3526.3918789036993</v>
      </c>
      <c r="AE528" s="10">
        <f t="shared" si="191"/>
        <v>22571501.56327226</v>
      </c>
    </row>
    <row r="529" spans="1:31" x14ac:dyDescent="0.25">
      <c r="A529" s="1">
        <f t="shared" si="192"/>
        <v>2.1708333333333334</v>
      </c>
      <c r="B529" s="7">
        <f t="shared" si="193"/>
        <v>1448615.6200722223</v>
      </c>
      <c r="C529" s="7">
        <f t="shared" si="194"/>
        <v>22571501.56327226</v>
      </c>
      <c r="D529" s="7"/>
      <c r="E529" s="7"/>
      <c r="F529" s="7"/>
      <c r="G529" s="7"/>
      <c r="H529" s="7"/>
      <c r="I529" s="7"/>
      <c r="J529" s="7"/>
      <c r="K529" s="7"/>
      <c r="L529" s="1">
        <f t="shared" si="197"/>
        <v>2.1708333333333334</v>
      </c>
      <c r="M529">
        <f t="shared" si="195"/>
        <v>187560</v>
      </c>
      <c r="N529" s="9">
        <f t="shared" si="176"/>
        <v>-2787.6676532116876</v>
      </c>
      <c r="O529" s="7">
        <f t="shared" si="177"/>
        <v>1448615.6200722223</v>
      </c>
      <c r="P529" s="2">
        <f t="shared" si="180"/>
        <v>-4.9903634294486299E-2</v>
      </c>
      <c r="Q529" s="2">
        <f t="shared" si="181"/>
        <v>-3.5682993074890354E-2</v>
      </c>
      <c r="R529" s="2">
        <f t="shared" si="182"/>
        <v>-3.5695534167332274E-2</v>
      </c>
      <c r="S529" s="2">
        <f t="shared" si="183"/>
        <v>-1.838344614217877E-2</v>
      </c>
      <c r="T529" s="9">
        <f t="shared" si="184"/>
        <v>-2800.3303013069544</v>
      </c>
      <c r="U529" s="7">
        <f t="shared" si="185"/>
        <v>442775.98825886683</v>
      </c>
      <c r="W529">
        <f t="shared" si="196"/>
        <v>187560</v>
      </c>
      <c r="X529" s="9">
        <f t="shared" si="178"/>
        <v>-3526.3918789036993</v>
      </c>
      <c r="Y529" s="2">
        <f t="shared" si="179"/>
        <v>22571501.56327226</v>
      </c>
      <c r="Z529" s="2">
        <f t="shared" si="186"/>
        <v>-0.77756993910835226</v>
      </c>
      <c r="AA529" s="2">
        <f t="shared" si="187"/>
        <v>-0.82695255669468049</v>
      </c>
      <c r="AB529" s="2">
        <f t="shared" si="188"/>
        <v>-0.82701161862528205</v>
      </c>
      <c r="AC529" s="2">
        <f t="shared" si="189"/>
        <v>-0.88227191429269292</v>
      </c>
      <c r="AD529" s="2">
        <f t="shared" si="190"/>
        <v>-3824.4580911461576</v>
      </c>
      <c r="AE529" s="10">
        <f t="shared" si="191"/>
        <v>21248348.568663284</v>
      </c>
    </row>
    <row r="530" spans="1:31" x14ac:dyDescent="0.25">
      <c r="A530" s="1">
        <f t="shared" si="192"/>
        <v>2.1749999999999998</v>
      </c>
      <c r="B530" s="7">
        <f t="shared" si="193"/>
        <v>442775.98825886683</v>
      </c>
      <c r="C530" s="7">
        <f t="shared" si="194"/>
        <v>21248348.568663284</v>
      </c>
      <c r="D530" s="7"/>
      <c r="E530" s="7"/>
      <c r="F530" s="7"/>
      <c r="G530" s="7"/>
      <c r="H530" s="7"/>
      <c r="I530" s="7"/>
      <c r="J530" s="7"/>
      <c r="K530" s="7"/>
      <c r="L530" s="1">
        <f t="shared" si="197"/>
        <v>2.1749999999999998</v>
      </c>
      <c r="M530">
        <f t="shared" si="195"/>
        <v>187920</v>
      </c>
      <c r="N530" s="9">
        <f t="shared" si="176"/>
        <v>-2800.3303013069544</v>
      </c>
      <c r="O530" s="7">
        <f t="shared" si="177"/>
        <v>442775.98825886683</v>
      </c>
      <c r="P530" s="2">
        <f t="shared" si="180"/>
        <v>-1.8385007237338196E-2</v>
      </c>
      <c r="Q530" s="2">
        <f t="shared" si="181"/>
        <v>2.8302269646967217E-3</v>
      </c>
      <c r="R530" s="2">
        <f t="shared" si="182"/>
        <v>2.8148445151764093E-3</v>
      </c>
      <c r="S530" s="2">
        <f t="shared" si="183"/>
        <v>2.8940333140935054E-2</v>
      </c>
      <c r="T530" s="9">
        <f t="shared" si="184"/>
        <v>-2799.0195731751537</v>
      </c>
      <c r="U530" s="7">
        <f t="shared" si="185"/>
        <v>-565106.98914791259</v>
      </c>
      <c r="W530">
        <f t="shared" si="196"/>
        <v>187920</v>
      </c>
      <c r="X530" s="9">
        <f t="shared" si="178"/>
        <v>-3824.4580911461576</v>
      </c>
      <c r="Y530" s="2">
        <f t="shared" si="179"/>
        <v>21248348.568663284</v>
      </c>
      <c r="Z530" s="2">
        <f t="shared" si="186"/>
        <v>-0.88227693591182321</v>
      </c>
      <c r="AA530" s="2">
        <f t="shared" si="187"/>
        <v>-0.94426163211951841</v>
      </c>
      <c r="AB530" s="2">
        <f t="shared" si="188"/>
        <v>-0.94435407934182958</v>
      </c>
      <c r="AC530" s="2">
        <f t="shared" si="189"/>
        <v>-1.014434122608403</v>
      </c>
      <c r="AD530" s="2">
        <f t="shared" si="190"/>
        <v>-4164.8946400327332</v>
      </c>
      <c r="AE530" s="10">
        <f t="shared" si="191"/>
        <v>19810265.077051084</v>
      </c>
    </row>
    <row r="531" spans="1:31" x14ac:dyDescent="0.25">
      <c r="A531" s="1">
        <f t="shared" si="192"/>
        <v>2.1791666666666667</v>
      </c>
      <c r="B531" s="7">
        <f t="shared" si="193"/>
        <v>-565106.98914791259</v>
      </c>
      <c r="C531" s="7">
        <f t="shared" si="194"/>
        <v>19810265.077051084</v>
      </c>
      <c r="D531" s="7"/>
      <c r="E531" s="7"/>
      <c r="F531" s="7"/>
      <c r="G531" s="7"/>
      <c r="H531" s="7"/>
      <c r="I531" s="7"/>
      <c r="J531" s="7"/>
      <c r="K531" s="7"/>
      <c r="L531" s="1">
        <f t="shared" si="197"/>
        <v>2.1791666666666667</v>
      </c>
      <c r="M531">
        <f t="shared" si="195"/>
        <v>188280</v>
      </c>
      <c r="N531" s="9">
        <f t="shared" si="176"/>
        <v>-2799.0195731751537</v>
      </c>
      <c r="O531" s="7">
        <f t="shared" si="177"/>
        <v>-565106.98914791259</v>
      </c>
      <c r="P531" s="2">
        <f t="shared" si="180"/>
        <v>2.893796845611506E-2</v>
      </c>
      <c r="Q531" s="2">
        <f t="shared" si="181"/>
        <v>6.1371248041455342E-2</v>
      </c>
      <c r="R531" s="2">
        <f t="shared" si="182"/>
        <v>6.1353749448473618E-2</v>
      </c>
      <c r="S531" s="2">
        <f t="shared" si="183"/>
        <v>0.10191152211208875</v>
      </c>
      <c r="T531" s="9">
        <f t="shared" si="184"/>
        <v>-2776.4416040422702</v>
      </c>
      <c r="U531" s="7">
        <f t="shared" si="185"/>
        <v>-1568690.001047049</v>
      </c>
      <c r="W531">
        <f t="shared" si="196"/>
        <v>188280</v>
      </c>
      <c r="X531" s="9">
        <f t="shared" si="178"/>
        <v>-4164.8946400327332</v>
      </c>
      <c r="Y531" s="2">
        <f t="shared" si="179"/>
        <v>19810265.077051084</v>
      </c>
      <c r="Z531" s="2">
        <f t="shared" si="186"/>
        <v>-1.0144429938326809</v>
      </c>
      <c r="AA531" s="2">
        <f t="shared" si="187"/>
        <v>-1.0938747159126387</v>
      </c>
      <c r="AB531" s="2">
        <f t="shared" si="188"/>
        <v>-1.094026922781157</v>
      </c>
      <c r="AC531" s="2">
        <f t="shared" si="189"/>
        <v>-1.1849138746498173</v>
      </c>
      <c r="AD531" s="2">
        <f t="shared" si="190"/>
        <v>-4559.4042487849383</v>
      </c>
      <c r="AE531" s="10">
        <f t="shared" si="191"/>
        <v>18239891.277063902</v>
      </c>
    </row>
    <row r="532" spans="1:31" x14ac:dyDescent="0.25">
      <c r="A532" s="1">
        <f t="shared" si="192"/>
        <v>2.1833333333333331</v>
      </c>
      <c r="B532" s="7">
        <f t="shared" si="193"/>
        <v>-1568690.001047049</v>
      </c>
      <c r="C532" s="7">
        <f t="shared" si="194"/>
        <v>18239891.277063902</v>
      </c>
      <c r="D532" s="7"/>
      <c r="E532" s="7"/>
      <c r="F532" s="7"/>
      <c r="G532" s="7"/>
      <c r="H532" s="7"/>
      <c r="I532" s="7"/>
      <c r="J532" s="7"/>
      <c r="K532" s="7"/>
      <c r="L532" s="1">
        <f t="shared" si="197"/>
        <v>2.1833333333333331</v>
      </c>
      <c r="M532">
        <f t="shared" si="195"/>
        <v>188640</v>
      </c>
      <c r="N532" s="9">
        <f t="shared" si="176"/>
        <v>-2776.4416040422702</v>
      </c>
      <c r="O532" s="7">
        <f t="shared" si="177"/>
        <v>-1568690.001047049</v>
      </c>
      <c r="P532" s="2">
        <f t="shared" si="180"/>
        <v>0.10190788790152451</v>
      </c>
      <c r="Q532" s="2">
        <f t="shared" si="181"/>
        <v>0.15313036941527242</v>
      </c>
      <c r="R532" s="2">
        <f t="shared" si="182"/>
        <v>0.15311541196834175</v>
      </c>
      <c r="S532" s="2">
        <f t="shared" si="183"/>
        <v>0.21847816371505646</v>
      </c>
      <c r="T532" s="9">
        <f t="shared" si="184"/>
        <v>-2720.4689471792417</v>
      </c>
      <c r="U532" s="7">
        <f t="shared" si="185"/>
        <v>-2558133.9002669211</v>
      </c>
      <c r="W532">
        <f t="shared" si="196"/>
        <v>188640</v>
      </c>
      <c r="X532" s="9">
        <f t="shared" si="178"/>
        <v>-4559.4042487849383</v>
      </c>
      <c r="Y532" s="2">
        <f t="shared" si="179"/>
        <v>18239891.277063902</v>
      </c>
      <c r="Z532" s="2">
        <f t="shared" si="186"/>
        <v>-1.1849306072954753</v>
      </c>
      <c r="AA532" s="2">
        <f t="shared" si="187"/>
        <v>-1.2891768238872812</v>
      </c>
      <c r="AB532" s="2">
        <f t="shared" si="188"/>
        <v>-1.289443490622374</v>
      </c>
      <c r="AC532" s="2">
        <f t="shared" si="189"/>
        <v>-1.4103795889275883</v>
      </c>
      <c r="AD532" s="2">
        <f t="shared" si="190"/>
        <v>-5024.5572982994809</v>
      </c>
      <c r="AE532" s="10">
        <f t="shared" si="191"/>
        <v>16514778.198588707</v>
      </c>
    </row>
    <row r="533" spans="1:31" x14ac:dyDescent="0.25">
      <c r="A533" s="1">
        <f t="shared" si="192"/>
        <v>2.1875</v>
      </c>
      <c r="B533" s="7">
        <f t="shared" si="193"/>
        <v>-2558133.9002669211</v>
      </c>
      <c r="C533" s="7">
        <f t="shared" si="194"/>
        <v>16514778.198588707</v>
      </c>
      <c r="D533" s="7"/>
      <c r="E533" s="7"/>
      <c r="F533" s="7"/>
      <c r="G533" s="7"/>
      <c r="H533" s="7"/>
      <c r="I533" s="7"/>
      <c r="J533" s="7"/>
      <c r="K533" s="7"/>
      <c r="L533" s="1">
        <f t="shared" si="197"/>
        <v>2.1875</v>
      </c>
      <c r="M533">
        <f t="shared" si="195"/>
        <v>189000</v>
      </c>
      <c r="N533" s="9">
        <f t="shared" si="176"/>
        <v>-2720.4689471792417</v>
      </c>
      <c r="O533" s="7">
        <f t="shared" si="177"/>
        <v>-2558133.9002669211</v>
      </c>
      <c r="P533" s="2">
        <f t="shared" si="180"/>
        <v>0.21847265109935451</v>
      </c>
      <c r="Q533" s="2">
        <f t="shared" si="181"/>
        <v>0.30290510412926347</v>
      </c>
      <c r="R533" s="2">
        <f t="shared" si="182"/>
        <v>0.30291184057063036</v>
      </c>
      <c r="S533" s="2">
        <f t="shared" si="183"/>
        <v>0.41356194895505061</v>
      </c>
      <c r="T533" s="9">
        <f t="shared" si="184"/>
        <v>-2609.8488378119901</v>
      </c>
      <c r="U533" s="7">
        <f t="shared" si="185"/>
        <v>-3517591.1015653429</v>
      </c>
      <c r="W533">
        <f t="shared" si="196"/>
        <v>189000</v>
      </c>
      <c r="X533" s="9">
        <f t="shared" si="178"/>
        <v>-5024.5572982994809</v>
      </c>
      <c r="Y533" s="2">
        <f t="shared" si="179"/>
        <v>16514778.198588707</v>
      </c>
      <c r="Z533" s="2">
        <f t="shared" si="186"/>
        <v>-1.410413807888252</v>
      </c>
      <c r="AA533" s="2">
        <f t="shared" si="187"/>
        <v>-1.5509537753242739</v>
      </c>
      <c r="AB533" s="2">
        <f t="shared" si="188"/>
        <v>-1.5514588028863403</v>
      </c>
      <c r="AC533" s="2">
        <f t="shared" si="189"/>
        <v>-1.717013994380719</v>
      </c>
      <c r="AD533" s="2">
        <f t="shared" si="190"/>
        <v>-5584.4924758208927</v>
      </c>
      <c r="AE533" s="10">
        <f t="shared" si="191"/>
        <v>14605149.239247039</v>
      </c>
    </row>
    <row r="534" spans="1:31" x14ac:dyDescent="0.25">
      <c r="A534" s="1">
        <f t="shared" si="192"/>
        <v>2.1916666666666669</v>
      </c>
      <c r="B534" s="7">
        <f t="shared" si="193"/>
        <v>-3517591.1015653429</v>
      </c>
      <c r="C534" s="7">
        <f t="shared" si="194"/>
        <v>14605149.239247039</v>
      </c>
      <c r="D534" s="7"/>
      <c r="E534" s="7"/>
      <c r="F534" s="7"/>
      <c r="G534" s="7"/>
      <c r="H534" s="7"/>
      <c r="I534" s="7"/>
      <c r="J534" s="7"/>
      <c r="K534" s="7"/>
      <c r="L534" s="1">
        <f t="shared" si="197"/>
        <v>2.1916666666666669</v>
      </c>
      <c r="M534">
        <f t="shared" si="195"/>
        <v>189360</v>
      </c>
      <c r="N534" s="9">
        <f t="shared" si="176"/>
        <v>-2609.8488378119901</v>
      </c>
      <c r="O534" s="7">
        <f t="shared" si="177"/>
        <v>-3517591.1015653429</v>
      </c>
      <c r="P534" s="2">
        <f t="shared" si="180"/>
        <v>0.41355453524180885</v>
      </c>
      <c r="Q534" s="2">
        <f t="shared" si="181"/>
        <v>0.56077880033744276</v>
      </c>
      <c r="R534" s="2">
        <f t="shared" si="182"/>
        <v>0.56088296316839248</v>
      </c>
      <c r="S534" s="2">
        <f t="shared" si="183"/>
        <v>0.7607553073195259</v>
      </c>
      <c r="T534" s="9">
        <f t="shared" si="184"/>
        <v>-2404.7908356376097</v>
      </c>
      <c r="U534" s="7">
        <f t="shared" si="185"/>
        <v>-4420226.2427862706</v>
      </c>
      <c r="W534">
        <f t="shared" si="196"/>
        <v>189360</v>
      </c>
      <c r="X534" s="9">
        <f t="shared" si="178"/>
        <v>-5584.4924758208927</v>
      </c>
      <c r="Y534" s="2">
        <f t="shared" si="179"/>
        <v>14605149.239247039</v>
      </c>
      <c r="Z534" s="2">
        <f t="shared" si="186"/>
        <v>-1.7170914786218976</v>
      </c>
      <c r="AA534" s="2">
        <f t="shared" si="187"/>
        <v>-1.911982187503283</v>
      </c>
      <c r="AB534" s="2">
        <f t="shared" si="188"/>
        <v>-1.9130386782877358</v>
      </c>
      <c r="AC534" s="2">
        <f t="shared" si="189"/>
        <v>-2.1460415592339368</v>
      </c>
      <c r="AD534" s="2">
        <f t="shared" si="190"/>
        <v>-6275.2829619871645</v>
      </c>
      <c r="AE534" s="10">
        <f t="shared" si="191"/>
        <v>12470389.660441589</v>
      </c>
    </row>
    <row r="535" spans="1:31" x14ac:dyDescent="0.25">
      <c r="A535" s="1">
        <f t="shared" si="192"/>
        <v>2.1958333333333333</v>
      </c>
      <c r="B535" s="7">
        <f t="shared" si="193"/>
        <v>-4420226.2427862706</v>
      </c>
      <c r="C535" s="7">
        <f t="shared" si="194"/>
        <v>12470389.660441589</v>
      </c>
      <c r="D535" s="7"/>
      <c r="E535" s="7"/>
      <c r="F535" s="7"/>
      <c r="G535" s="7"/>
      <c r="H535" s="7"/>
      <c r="I535" s="7"/>
      <c r="J535" s="7"/>
      <c r="K535" s="7"/>
      <c r="L535" s="1">
        <f t="shared" si="197"/>
        <v>2.1958333333333333</v>
      </c>
      <c r="M535">
        <f t="shared" si="195"/>
        <v>189720</v>
      </c>
      <c r="N535" s="9">
        <f t="shared" si="176"/>
        <v>-2404.7908356376097</v>
      </c>
      <c r="O535" s="7">
        <f t="shared" si="177"/>
        <v>-4420226.2427862706</v>
      </c>
      <c r="P535" s="2">
        <f t="shared" si="180"/>
        <v>0.76075196462411021</v>
      </c>
      <c r="Q535" s="2">
        <f t="shared" si="181"/>
        <v>1.0372059537676648</v>
      </c>
      <c r="R535" s="2">
        <f t="shared" si="182"/>
        <v>1.0377331873088018</v>
      </c>
      <c r="S535" s="2">
        <f t="shared" si="183"/>
        <v>1.4310522988555365</v>
      </c>
      <c r="T535" s="9">
        <f t="shared" si="184"/>
        <v>-2024.2898828996549</v>
      </c>
      <c r="U535" s="7">
        <f t="shared" si="185"/>
        <v>-5217460.7721229782</v>
      </c>
      <c r="W535">
        <f t="shared" si="196"/>
        <v>189720</v>
      </c>
      <c r="X535" s="9">
        <f t="shared" si="178"/>
        <v>-6275.2829619871645</v>
      </c>
      <c r="Y535" s="2">
        <f t="shared" si="179"/>
        <v>12470389.660441589</v>
      </c>
      <c r="Z535" s="2">
        <f t="shared" si="186"/>
        <v>-2.1462415977669771</v>
      </c>
      <c r="AA535" s="2">
        <f t="shared" si="187"/>
        <v>-2.4224939947865409</v>
      </c>
      <c r="AB535" s="2">
        <f t="shared" si="188"/>
        <v>-2.425009572942542</v>
      </c>
      <c r="AC535" s="2">
        <f t="shared" si="189"/>
        <v>-2.7570073666350141</v>
      </c>
      <c r="AD535" s="2">
        <f t="shared" si="190"/>
        <v>-7151.1783279787742</v>
      </c>
      <c r="AE535" s="10">
        <f t="shared" si="191"/>
        <v>10053626.628247719</v>
      </c>
    </row>
    <row r="536" spans="1:31" x14ac:dyDescent="0.25">
      <c r="A536" s="1">
        <f t="shared" si="192"/>
        <v>2.2000000000000002</v>
      </c>
      <c r="B536" s="7">
        <f t="shared" si="193"/>
        <v>-5217460.7721229782</v>
      </c>
      <c r="C536" s="7">
        <f t="shared" si="194"/>
        <v>10053626.628247719</v>
      </c>
      <c r="D536" s="7"/>
      <c r="E536" s="7"/>
      <c r="F536" s="7"/>
      <c r="G536" s="7"/>
      <c r="H536" s="7"/>
      <c r="I536" s="7"/>
      <c r="J536" s="7"/>
      <c r="K536" s="7"/>
      <c r="L536" s="1">
        <f t="shared" si="197"/>
        <v>2.2000000000000002</v>
      </c>
      <c r="M536">
        <f t="shared" si="195"/>
        <v>190080</v>
      </c>
      <c r="N536" s="9">
        <f t="shared" si="176"/>
        <v>-2024.2898828996549</v>
      </c>
      <c r="O536" s="7">
        <f t="shared" si="177"/>
        <v>-5217460.7721229782</v>
      </c>
      <c r="P536" s="2">
        <f t="shared" si="180"/>
        <v>1.4311033347857216</v>
      </c>
      <c r="Q536" s="2">
        <f t="shared" si="181"/>
        <v>2.0027674510218896</v>
      </c>
      <c r="R536" s="2">
        <f t="shared" si="182"/>
        <v>2.0053774675285796</v>
      </c>
      <c r="S536" s="2">
        <f t="shared" si="183"/>
        <v>2.8690060362214105</v>
      </c>
      <c r="T536" s="9">
        <f t="shared" si="184"/>
        <v>-1285.3059304131707</v>
      </c>
      <c r="U536" s="7">
        <f t="shared" si="185"/>
        <v>-5813188.018519287</v>
      </c>
      <c r="W536">
        <f t="shared" si="196"/>
        <v>190080</v>
      </c>
      <c r="X536" s="9">
        <f t="shared" si="178"/>
        <v>-7151.1783279787742</v>
      </c>
      <c r="Y536" s="2">
        <f t="shared" si="179"/>
        <v>10053626.628247719</v>
      </c>
      <c r="Z536" s="2">
        <f t="shared" si="186"/>
        <v>-2.7576208471465842</v>
      </c>
      <c r="AA536" s="2">
        <f t="shared" si="187"/>
        <v>-3.1424216373767804</v>
      </c>
      <c r="AB536" s="2">
        <f t="shared" si="188"/>
        <v>-3.14951515052784</v>
      </c>
      <c r="AC536" s="2">
        <f t="shared" si="189"/>
        <v>-3.5886218111250363</v>
      </c>
      <c r="AD536" s="2">
        <f t="shared" si="190"/>
        <v>-8286.985302023626</v>
      </c>
      <c r="AE536" s="10">
        <f t="shared" si="191"/>
        <v>7274757.1748472871</v>
      </c>
    </row>
    <row r="537" spans="1:31" x14ac:dyDescent="0.25">
      <c r="A537" s="1">
        <f t="shared" si="192"/>
        <v>2.2041666666666666</v>
      </c>
      <c r="B537" s="7">
        <f t="shared" si="193"/>
        <v>-5813188.018519287</v>
      </c>
      <c r="C537" s="7">
        <f t="shared" si="194"/>
        <v>7274757.1748472871</v>
      </c>
      <c r="D537" s="7"/>
      <c r="E537" s="7"/>
      <c r="F537" s="7"/>
      <c r="G537" s="7"/>
      <c r="H537" s="7"/>
      <c r="I537" s="7"/>
      <c r="J537" s="7"/>
      <c r="K537" s="7"/>
      <c r="L537" s="1">
        <f t="shared" si="197"/>
        <v>2.2041666666666666</v>
      </c>
      <c r="M537">
        <f t="shared" si="195"/>
        <v>190440</v>
      </c>
      <c r="N537" s="9">
        <f t="shared" si="176"/>
        <v>-1285.3059304131707</v>
      </c>
      <c r="O537" s="7">
        <f t="shared" si="177"/>
        <v>-5813188.018519287</v>
      </c>
      <c r="P537" s="2">
        <f t="shared" si="180"/>
        <v>2.8695201296418253</v>
      </c>
      <c r="Q537" s="2">
        <f t="shared" si="181"/>
        <v>4.1939743498559237</v>
      </c>
      <c r="R537" s="2">
        <f t="shared" si="182"/>
        <v>4.209546561938196</v>
      </c>
      <c r="S537" s="2">
        <f t="shared" si="183"/>
        <v>6.3297512026190237</v>
      </c>
      <c r="T537" s="9">
        <f t="shared" si="184"/>
        <v>275.07285893777453</v>
      </c>
      <c r="U537" s="7">
        <f t="shared" si="185"/>
        <v>-5995029.9713848587</v>
      </c>
      <c r="W537">
        <f t="shared" si="196"/>
        <v>190440</v>
      </c>
      <c r="X537" s="9">
        <f t="shared" si="178"/>
        <v>-8286.985302023626</v>
      </c>
      <c r="Y537" s="2">
        <f t="shared" si="179"/>
        <v>7274757.1748472871</v>
      </c>
      <c r="Z537" s="2">
        <f t="shared" si="186"/>
        <v>-3.5909834818653952</v>
      </c>
      <c r="AA537" s="2">
        <f t="shared" si="187"/>
        <v>-4.0029951182968251</v>
      </c>
      <c r="AB537" s="2">
        <f t="shared" si="188"/>
        <v>-4.0275812791447247</v>
      </c>
      <c r="AC537" s="2">
        <f t="shared" si="189"/>
        <v>-4.2497535640190192</v>
      </c>
      <c r="AD537" s="2">
        <f t="shared" si="190"/>
        <v>-9721.0986924696772</v>
      </c>
      <c r="AE537" s="10">
        <f t="shared" si="191"/>
        <v>4033302.0558384927</v>
      </c>
    </row>
    <row r="538" spans="1:31" x14ac:dyDescent="0.25">
      <c r="A538" s="1">
        <f t="shared" si="192"/>
        <v>2.2083333333333335</v>
      </c>
      <c r="B538" s="7">
        <f t="shared" si="193"/>
        <v>-5995029.9713848587</v>
      </c>
      <c r="C538" s="7">
        <f t="shared" si="194"/>
        <v>4033302.0558384927</v>
      </c>
      <c r="D538" s="7"/>
      <c r="E538" s="7"/>
      <c r="F538" s="7"/>
      <c r="G538" s="7"/>
      <c r="H538" s="7"/>
      <c r="I538" s="7"/>
      <c r="J538" s="7"/>
      <c r="K538" s="7"/>
      <c r="L538" s="1">
        <f t="shared" si="197"/>
        <v>2.2083333333333335</v>
      </c>
      <c r="M538">
        <f t="shared" si="195"/>
        <v>190800</v>
      </c>
      <c r="N538" s="9">
        <f t="shared" si="176"/>
        <v>275.07285893777453</v>
      </c>
      <c r="O538" s="7">
        <f t="shared" si="177"/>
        <v>-5995029.9713848587</v>
      </c>
      <c r="P538" s="2">
        <f t="shared" si="180"/>
        <v>6.3346846857650014</v>
      </c>
      <c r="Q538" s="2">
        <f t="shared" si="181"/>
        <v>9.5465608817790333</v>
      </c>
      <c r="R538" s="2">
        <f t="shared" si="182"/>
        <v>9.6684584352950864</v>
      </c>
      <c r="S538" s="2">
        <f t="shared" si="183"/>
        <v>14.288624945423363</v>
      </c>
      <c r="T538" s="9">
        <f t="shared" si="184"/>
        <v>3818.2737548579712</v>
      </c>
      <c r="U538" s="7">
        <f t="shared" si="185"/>
        <v>-5258227.5809016246</v>
      </c>
      <c r="W538">
        <f t="shared" si="196"/>
        <v>190800</v>
      </c>
      <c r="X538" s="9">
        <f t="shared" si="178"/>
        <v>-9721.0986924696772</v>
      </c>
      <c r="Y538" s="2">
        <f t="shared" si="179"/>
        <v>4033302.0558384927</v>
      </c>
      <c r="Z538" s="2">
        <f t="shared" si="186"/>
        <v>-4.2618130164714731</v>
      </c>
      <c r="AA538" s="2">
        <f t="shared" si="187"/>
        <v>-3.6181559340811091</v>
      </c>
      <c r="AB538" s="2">
        <f t="shared" si="188"/>
        <v>-3.7146897931256539</v>
      </c>
      <c r="AC538" s="2">
        <f t="shared" si="189"/>
        <v>-0.79447768728391399</v>
      </c>
      <c r="AD538" s="2">
        <f t="shared" si="190"/>
        <v>-10904.417621959812</v>
      </c>
      <c r="AE538" s="10">
        <f t="shared" si="191"/>
        <v>320709.11924118455</v>
      </c>
    </row>
    <row r="539" spans="1:31" x14ac:dyDescent="0.25">
      <c r="A539" s="1">
        <f t="shared" si="192"/>
        <v>2.2124999999999999</v>
      </c>
      <c r="B539" s="7">
        <f t="shared" si="193"/>
        <v>-5258227.5809016246</v>
      </c>
      <c r="C539" s="7">
        <f t="shared" si="194"/>
        <v>320709.11924118455</v>
      </c>
      <c r="D539" s="7"/>
      <c r="E539" s="7"/>
      <c r="F539" s="7"/>
      <c r="G539" s="7"/>
      <c r="H539" s="7"/>
      <c r="I539" s="7"/>
      <c r="J539" s="7"/>
      <c r="K539" s="7"/>
      <c r="L539" s="1">
        <f t="shared" si="197"/>
        <v>2.2124999999999999</v>
      </c>
      <c r="M539">
        <f t="shared" si="195"/>
        <v>191160</v>
      </c>
      <c r="N539" s="9">
        <f t="shared" si="176"/>
        <v>3818.2737548579712</v>
      </c>
      <c r="O539" s="7">
        <f t="shared" si="177"/>
        <v>-5258227.5809016246</v>
      </c>
      <c r="P539" s="2">
        <f t="shared" si="180"/>
        <v>14.336412011474611</v>
      </c>
      <c r="Q539" s="2">
        <f t="shared" si="181"/>
        <v>17.26634044672333</v>
      </c>
      <c r="R539" s="2">
        <f t="shared" si="182"/>
        <v>18.067954917541815</v>
      </c>
      <c r="S539" s="2">
        <f t="shared" si="183"/>
        <v>14.758116055703132</v>
      </c>
      <c r="T539" s="9">
        <f t="shared" si="184"/>
        <v>9804.0608826004518</v>
      </c>
      <c r="U539" s="7">
        <f t="shared" si="185"/>
        <v>-2806207.3461591084</v>
      </c>
      <c r="W539">
        <f t="shared" si="196"/>
        <v>191160</v>
      </c>
      <c r="X539" s="9">
        <f t="shared" si="178"/>
        <v>-10904.417621959812</v>
      </c>
      <c r="Y539" s="2">
        <f t="shared" si="179"/>
        <v>320709.11924118455</v>
      </c>
      <c r="Z539" s="2">
        <f t="shared" si="186"/>
        <v>-0.8744045400352024</v>
      </c>
      <c r="AA539" s="2">
        <f t="shared" si="187"/>
        <v>6.5912547315464387</v>
      </c>
      <c r="AB539" s="2">
        <f t="shared" si="188"/>
        <v>6.4643265955692186</v>
      </c>
      <c r="AC539" s="2">
        <f t="shared" si="189"/>
        <v>17.332078632596108</v>
      </c>
      <c r="AD539" s="2">
        <f t="shared" si="190"/>
        <v>-8350.2874171522781</v>
      </c>
      <c r="AE539" s="10">
        <f t="shared" si="191"/>
        <v>-3145137.7877989919</v>
      </c>
    </row>
    <row r="540" spans="1:31" x14ac:dyDescent="0.25">
      <c r="A540" s="1">
        <f t="shared" si="192"/>
        <v>2.2166666666666668</v>
      </c>
      <c r="B540" s="7">
        <f t="shared" si="193"/>
        <v>-2806207.3461591084</v>
      </c>
      <c r="C540" s="7">
        <f t="shared" si="194"/>
        <v>-3145137.7877989919</v>
      </c>
      <c r="D540" s="7"/>
      <c r="E540" s="7"/>
      <c r="F540" s="7"/>
      <c r="G540" s="7"/>
      <c r="H540" s="7"/>
      <c r="I540" s="7"/>
      <c r="J540" s="7"/>
      <c r="K540" s="7"/>
      <c r="L540" s="1">
        <f t="shared" si="197"/>
        <v>2.2166666666666668</v>
      </c>
      <c r="M540">
        <f t="shared" si="195"/>
        <v>191520</v>
      </c>
      <c r="N540" s="9">
        <f t="shared" si="176"/>
        <v>9804.0608826004518</v>
      </c>
      <c r="O540" s="7">
        <f t="shared" si="177"/>
        <v>-2806207.3461591084</v>
      </c>
      <c r="P540" s="2">
        <f t="shared" si="180"/>
        <v>14.936471794896928</v>
      </c>
      <c r="Q540" s="2">
        <f t="shared" si="181"/>
        <v>3.6178552783040079</v>
      </c>
      <c r="R540" s="2">
        <f t="shared" si="182"/>
        <v>4.4833802975642802</v>
      </c>
      <c r="S540" s="2">
        <f t="shared" si="183"/>
        <v>-3.2787677818969225</v>
      </c>
      <c r="T540" s="9">
        <f t="shared" si="184"/>
        <v>11475.671392484646</v>
      </c>
      <c r="U540" s="7">
        <f t="shared" si="185"/>
        <v>1024144.463356209</v>
      </c>
      <c r="W540">
        <f t="shared" si="196"/>
        <v>191520</v>
      </c>
      <c r="X540" s="9">
        <f t="shared" si="178"/>
        <v>-8350.2874171522781</v>
      </c>
      <c r="Y540" s="2">
        <f t="shared" si="179"/>
        <v>-3145137.7877989919</v>
      </c>
      <c r="Z540" s="2">
        <f t="shared" si="186"/>
        <v>16.740481391306503</v>
      </c>
      <c r="AA540" s="2">
        <f t="shared" si="187"/>
        <v>19.806404049776788</v>
      </c>
      <c r="AB540" s="2">
        <f t="shared" si="188"/>
        <v>19.739236875094218</v>
      </c>
      <c r="AC540" s="2">
        <f t="shared" si="189"/>
        <v>15.757510515237756</v>
      </c>
      <c r="AD540" s="2">
        <f t="shared" si="190"/>
        <v>-1654.9309917751016</v>
      </c>
      <c r="AE540" s="10">
        <f t="shared" si="191"/>
        <v>-4946077.1014059205</v>
      </c>
    </row>
    <row r="541" spans="1:31" x14ac:dyDescent="0.25">
      <c r="A541" s="1">
        <f t="shared" si="192"/>
        <v>2.2208333333333332</v>
      </c>
      <c r="B541" s="7">
        <f t="shared" si="193"/>
        <v>1024144.463356209</v>
      </c>
      <c r="C541" s="7">
        <f t="shared" si="194"/>
        <v>-4946077.1014059205</v>
      </c>
      <c r="D541" s="7"/>
      <c r="E541" s="7"/>
      <c r="F541" s="7"/>
      <c r="G541" s="7"/>
      <c r="H541" s="7"/>
      <c r="I541" s="7"/>
      <c r="J541" s="7"/>
      <c r="K541" s="7"/>
      <c r="L541" s="1">
        <f t="shared" si="197"/>
        <v>2.2208333333333332</v>
      </c>
      <c r="M541">
        <f t="shared" si="195"/>
        <v>191880</v>
      </c>
      <c r="N541" s="9">
        <f t="shared" si="176"/>
        <v>11475.671392484646</v>
      </c>
      <c r="O541" s="7">
        <f t="shared" si="177"/>
        <v>1024144.463356209</v>
      </c>
      <c r="P541" s="2">
        <f t="shared" si="180"/>
        <v>-3.1678784300345355</v>
      </c>
      <c r="Q541" s="2">
        <f t="shared" si="181"/>
        <v>-6.057273224052504</v>
      </c>
      <c r="R541" s="2">
        <f t="shared" si="182"/>
        <v>-5.8129865884352157</v>
      </c>
      <c r="S541" s="2">
        <f t="shared" si="183"/>
        <v>-5.9371949787580123</v>
      </c>
      <c r="T541" s="9">
        <f t="shared" si="184"/>
        <v>9504.9358104585663</v>
      </c>
      <c r="U541" s="7">
        <f t="shared" si="185"/>
        <v>4800653.7598859873</v>
      </c>
      <c r="W541">
        <f t="shared" si="196"/>
        <v>191880</v>
      </c>
      <c r="X541" s="9">
        <f t="shared" si="178"/>
        <v>-1654.9309917751016</v>
      </c>
      <c r="Y541" s="2">
        <f t="shared" si="179"/>
        <v>-4946077.1014059205</v>
      </c>
      <c r="Z541" s="2">
        <f t="shared" si="186"/>
        <v>15.299180460815366</v>
      </c>
      <c r="AA541" s="2">
        <f t="shared" si="187"/>
        <v>9.9599777895792929</v>
      </c>
      <c r="AB541" s="2">
        <f t="shared" si="188"/>
        <v>9.8759163016662814</v>
      </c>
      <c r="AC541" s="2">
        <f t="shared" si="189"/>
        <v>6.0902474701265739</v>
      </c>
      <c r="AD541" s="2">
        <f t="shared" si="190"/>
        <v>2008.7419750308836</v>
      </c>
      <c r="AE541" s="10">
        <f t="shared" si="191"/>
        <v>-4882391.1244198801</v>
      </c>
    </row>
    <row r="542" spans="1:31" x14ac:dyDescent="0.25">
      <c r="A542" s="1">
        <f t="shared" si="192"/>
        <v>2.2250000000000001</v>
      </c>
      <c r="B542" s="7">
        <f t="shared" si="193"/>
        <v>4800653.7598859873</v>
      </c>
      <c r="C542" s="7">
        <f t="shared" si="194"/>
        <v>-4882391.1244198801</v>
      </c>
      <c r="D542" s="7"/>
      <c r="E542" s="7"/>
      <c r="F542" s="7"/>
      <c r="G542" s="7"/>
      <c r="H542" s="7"/>
      <c r="I542" s="7"/>
      <c r="J542" s="7"/>
      <c r="K542" s="7"/>
      <c r="L542" s="1">
        <f t="shared" si="197"/>
        <v>2.2250000000000001</v>
      </c>
      <c r="M542">
        <f t="shared" si="195"/>
        <v>192240</v>
      </c>
      <c r="N542" s="9">
        <f t="shared" si="176"/>
        <v>9504.9358104585663</v>
      </c>
      <c r="O542" s="7">
        <f t="shared" si="177"/>
        <v>4800653.7598859873</v>
      </c>
      <c r="P542" s="2">
        <f t="shared" si="180"/>
        <v>-5.9607544147576039</v>
      </c>
      <c r="Q542" s="2">
        <f t="shared" si="181"/>
        <v>-5.4053988248518934</v>
      </c>
      <c r="R542" s="2">
        <f t="shared" si="182"/>
        <v>-5.3531369763922267</v>
      </c>
      <c r="S542" s="2">
        <f t="shared" si="183"/>
        <v>-4.6120342519145847</v>
      </c>
      <c r="T542" s="9">
        <f t="shared" si="184"/>
        <v>7579.5441943089409</v>
      </c>
      <c r="U542" s="7">
        <f t="shared" si="185"/>
        <v>7875860.160744139</v>
      </c>
      <c r="W542">
        <f t="shared" si="196"/>
        <v>192240</v>
      </c>
      <c r="X542" s="9">
        <f t="shared" si="178"/>
        <v>2008.7419750308836</v>
      </c>
      <c r="Y542" s="2">
        <f t="shared" si="179"/>
        <v>-4882391.1244198801</v>
      </c>
      <c r="Z542" s="2">
        <f t="shared" si="186"/>
        <v>6.0622439994819217</v>
      </c>
      <c r="AA542" s="2">
        <f t="shared" si="187"/>
        <v>3.7265859241145685</v>
      </c>
      <c r="AB542" s="2">
        <f t="shared" si="188"/>
        <v>3.7169173380555836</v>
      </c>
      <c r="AC542" s="2">
        <f t="shared" si="189"/>
        <v>2.2946644525444042</v>
      </c>
      <c r="AD542" s="2">
        <f t="shared" si="190"/>
        <v>3403.3768736128814</v>
      </c>
      <c r="AE542" s="10">
        <f t="shared" si="191"/>
        <v>-3908209.7316640024</v>
      </c>
    </row>
    <row r="543" spans="1:31" x14ac:dyDescent="0.25">
      <c r="A543" s="1">
        <f t="shared" si="192"/>
        <v>2.2291666666666665</v>
      </c>
      <c r="B543" s="7">
        <f t="shared" si="193"/>
        <v>7875860.160744139</v>
      </c>
      <c r="C543" s="7">
        <f t="shared" si="194"/>
        <v>-3908209.7316640024</v>
      </c>
      <c r="D543" s="7"/>
      <c r="E543" s="7"/>
      <c r="F543" s="7"/>
      <c r="G543" s="7"/>
      <c r="H543" s="7"/>
      <c r="I543" s="7"/>
      <c r="J543" s="7"/>
      <c r="K543" s="7"/>
      <c r="L543" s="1">
        <f t="shared" si="197"/>
        <v>2.2291666666666665</v>
      </c>
      <c r="M543">
        <f t="shared" si="195"/>
        <v>192600</v>
      </c>
      <c r="N543" s="9">
        <f t="shared" si="176"/>
        <v>7579.5441943089409</v>
      </c>
      <c r="O543" s="7">
        <f t="shared" si="177"/>
        <v>7875860.160744139</v>
      </c>
      <c r="P543" s="2">
        <f t="shared" si="180"/>
        <v>-4.6189073009361179</v>
      </c>
      <c r="Q543" s="2">
        <f t="shared" si="181"/>
        <v>-3.9692076830563465</v>
      </c>
      <c r="R543" s="2">
        <f t="shared" si="182"/>
        <v>-3.9558016545498575</v>
      </c>
      <c r="S543" s="2">
        <f t="shared" si="183"/>
        <v>-3.3976934616415133</v>
      </c>
      <c r="T543" s="9">
        <f t="shared" si="184"/>
        <v>6147.5470280415384</v>
      </c>
      <c r="U543" s="7">
        <f t="shared" si="185"/>
        <v>10346736.580767225</v>
      </c>
      <c r="W543">
        <f t="shared" si="196"/>
        <v>192600</v>
      </c>
      <c r="X543" s="9">
        <f t="shared" si="178"/>
        <v>3403.3768736128814</v>
      </c>
      <c r="Y543" s="2">
        <f t="shared" si="179"/>
        <v>-3908209.7316640024</v>
      </c>
      <c r="Z543" s="2">
        <f t="shared" si="186"/>
        <v>2.292023740231933</v>
      </c>
      <c r="AA543" s="2">
        <f t="shared" si="187"/>
        <v>1.4111349811477714</v>
      </c>
      <c r="AB543" s="2">
        <f t="shared" si="188"/>
        <v>1.4109077900591904</v>
      </c>
      <c r="AC543" s="2">
        <f t="shared" si="189"/>
        <v>0.85090981737320714</v>
      </c>
      <c r="AD543" s="2">
        <f t="shared" si="190"/>
        <v>3930.5980196140254</v>
      </c>
      <c r="AE543" s="10">
        <f t="shared" si="191"/>
        <v>-2588094.2508831592</v>
      </c>
    </row>
    <row r="544" spans="1:31" x14ac:dyDescent="0.25">
      <c r="A544" s="1">
        <f t="shared" si="192"/>
        <v>2.2333333333333334</v>
      </c>
      <c r="B544" s="7">
        <f t="shared" si="193"/>
        <v>10346736.580767225</v>
      </c>
      <c r="C544" s="7">
        <f t="shared" si="194"/>
        <v>-2588094.2508831592</v>
      </c>
      <c r="D544" s="7"/>
      <c r="E544" s="7"/>
      <c r="F544" s="7"/>
      <c r="G544" s="7"/>
      <c r="H544" s="7"/>
      <c r="I544" s="7"/>
      <c r="J544" s="7"/>
      <c r="K544" s="7"/>
      <c r="L544" s="1">
        <f t="shared" si="197"/>
        <v>2.2333333333333334</v>
      </c>
      <c r="M544">
        <f t="shared" si="195"/>
        <v>192960</v>
      </c>
      <c r="N544" s="9">
        <f t="shared" si="176"/>
        <v>6147.5470280415384</v>
      </c>
      <c r="O544" s="7">
        <f t="shared" si="177"/>
        <v>10346736.580767225</v>
      </c>
      <c r="P544" s="2">
        <f t="shared" si="180"/>
        <v>-3.3993518659055217</v>
      </c>
      <c r="Q544" s="2">
        <f t="shared" si="181"/>
        <v>-2.9486245438498302</v>
      </c>
      <c r="R544" s="2">
        <f t="shared" si="182"/>
        <v>-2.9442621629665604</v>
      </c>
      <c r="S544" s="2">
        <f t="shared" si="183"/>
        <v>-2.572392188700062</v>
      </c>
      <c r="T544" s="9">
        <f t="shared" si="184"/>
        <v>5082.0959799472366</v>
      </c>
      <c r="U544" s="7">
        <f t="shared" si="185"/>
        <v>12368072.322205205</v>
      </c>
      <c r="W544">
        <f t="shared" si="196"/>
        <v>192960</v>
      </c>
      <c r="X544" s="9">
        <f t="shared" si="178"/>
        <v>3930.5980196140254</v>
      </c>
      <c r="Y544" s="2">
        <f t="shared" si="179"/>
        <v>-2588094.2508831592</v>
      </c>
      <c r="Z544" s="2">
        <f t="shared" si="186"/>
        <v>0.85030124737423884</v>
      </c>
      <c r="AA544" s="2">
        <f t="shared" si="187"/>
        <v>0.48292840454785013</v>
      </c>
      <c r="AB544" s="2">
        <f t="shared" si="188"/>
        <v>0.48344154327228145</v>
      </c>
      <c r="AC544" s="2">
        <f t="shared" si="189"/>
        <v>0.23744993867073108</v>
      </c>
      <c r="AD544" s="2">
        <f t="shared" si="190"/>
        <v>4111.8274845151391</v>
      </c>
      <c r="AE544" s="10">
        <f t="shared" si="191"/>
        <v>-1140457.6601399097</v>
      </c>
    </row>
    <row r="545" spans="1:31" x14ac:dyDescent="0.25">
      <c r="A545" s="1">
        <f t="shared" si="192"/>
        <v>2.2374999999999998</v>
      </c>
      <c r="B545" s="7">
        <f t="shared" si="193"/>
        <v>12368072.322205205</v>
      </c>
      <c r="C545" s="7">
        <f t="shared" si="194"/>
        <v>-1140457.6601399097</v>
      </c>
      <c r="D545" s="7"/>
      <c r="E545" s="7"/>
      <c r="F545" s="7"/>
      <c r="G545" s="7"/>
      <c r="H545" s="7"/>
      <c r="I545" s="7"/>
      <c r="J545" s="7"/>
      <c r="K545" s="7"/>
      <c r="L545" s="1">
        <f t="shared" si="197"/>
        <v>2.2374999999999998</v>
      </c>
      <c r="M545">
        <f t="shared" si="195"/>
        <v>193320</v>
      </c>
      <c r="N545" s="9">
        <f t="shared" si="176"/>
        <v>5082.0959799472366</v>
      </c>
      <c r="O545" s="7">
        <f t="shared" si="177"/>
        <v>12368072.322205205</v>
      </c>
      <c r="P545" s="2">
        <f t="shared" si="180"/>
        <v>-2.572873924421863</v>
      </c>
      <c r="Q545" s="2">
        <f t="shared" si="181"/>
        <v>-2.2703960291712191</v>
      </c>
      <c r="R545" s="2">
        <f t="shared" si="182"/>
        <v>-2.2686765321150877</v>
      </c>
      <c r="S545" s="2">
        <f t="shared" si="183"/>
        <v>-2.0172347664810868</v>
      </c>
      <c r="T545" s="9">
        <f t="shared" si="184"/>
        <v>4262.000751138703</v>
      </c>
      <c r="U545" s="7">
        <f t="shared" si="185"/>
        <v>14050009.733800674</v>
      </c>
      <c r="W545">
        <f t="shared" si="196"/>
        <v>193320</v>
      </c>
      <c r="X545" s="9">
        <f t="shared" si="178"/>
        <v>4111.8274845151391</v>
      </c>
      <c r="Y545" s="2">
        <f t="shared" si="179"/>
        <v>-1140457.6601399097</v>
      </c>
      <c r="Z545" s="2">
        <f t="shared" si="186"/>
        <v>0.23724422846502446</v>
      </c>
      <c r="AA545" s="2">
        <f t="shared" si="187"/>
        <v>6.7983331083947551E-2</v>
      </c>
      <c r="AB545" s="2">
        <f t="shared" si="188"/>
        <v>6.8376344876341449E-2</v>
      </c>
      <c r="AC545" s="2">
        <f t="shared" si="189"/>
        <v>-4.9420947289413319E-2</v>
      </c>
      <c r="AD545" s="2">
        <f t="shared" si="190"/>
        <v>4139.4600425009103</v>
      </c>
      <c r="AE545" s="10">
        <f t="shared" si="191"/>
        <v>344774.09472297924</v>
      </c>
    </row>
    <row r="546" spans="1:31" x14ac:dyDescent="0.25">
      <c r="A546" s="1">
        <f t="shared" si="192"/>
        <v>2.2416666666666667</v>
      </c>
      <c r="B546" s="7">
        <f t="shared" si="193"/>
        <v>14050009.733800674</v>
      </c>
      <c r="C546" s="7">
        <f t="shared" si="194"/>
        <v>344774.09472297924</v>
      </c>
      <c r="D546" s="7"/>
      <c r="E546" s="7"/>
      <c r="F546" s="7"/>
      <c r="G546" s="7"/>
      <c r="H546" s="7"/>
      <c r="I546" s="7"/>
      <c r="J546" s="7"/>
      <c r="K546" s="7"/>
      <c r="L546" s="1">
        <f t="shared" si="197"/>
        <v>2.2416666666666667</v>
      </c>
      <c r="M546">
        <f t="shared" si="195"/>
        <v>193680</v>
      </c>
      <c r="N546" s="9">
        <f t="shared" si="176"/>
        <v>4262.000751138703</v>
      </c>
      <c r="O546" s="7">
        <f t="shared" si="177"/>
        <v>14050009.733800674</v>
      </c>
      <c r="P546" s="2">
        <f t="shared" si="180"/>
        <v>-2.0174031531070034</v>
      </c>
      <c r="Q546" s="2">
        <f t="shared" si="181"/>
        <v>-1.8088400850568294</v>
      </c>
      <c r="R546" s="2">
        <f t="shared" si="182"/>
        <v>-1.80805672766495</v>
      </c>
      <c r="S546" s="2">
        <f t="shared" si="183"/>
        <v>-1.631910270689799</v>
      </c>
      <c r="T546" s="9">
        <f t="shared" si="184"/>
        <v>3609.0143281842811</v>
      </c>
      <c r="U546" s="7">
        <f t="shared" si="185"/>
        <v>15466792.448078811</v>
      </c>
      <c r="W546">
        <f t="shared" si="196"/>
        <v>193680</v>
      </c>
      <c r="X546" s="9">
        <f t="shared" si="178"/>
        <v>4139.4600425009103</v>
      </c>
      <c r="Y546" s="2">
        <f t="shared" si="179"/>
        <v>344774.09472297924</v>
      </c>
      <c r="Z546" s="2">
        <f t="shared" si="186"/>
        <v>-4.9505186044846022E-2</v>
      </c>
      <c r="AA546" s="2">
        <f t="shared" si="187"/>
        <v>-0.13324522135831041</v>
      </c>
      <c r="AB546" s="2">
        <f t="shared" si="188"/>
        <v>-0.13299122106269021</v>
      </c>
      <c r="AC546" s="2">
        <f t="shared" si="189"/>
        <v>-0.19269582654013329</v>
      </c>
      <c r="AD546" s="2">
        <f t="shared" si="190"/>
        <v>4092.9796086552915</v>
      </c>
      <c r="AE546" s="10">
        <f t="shared" si="191"/>
        <v>1826613.2319310955</v>
      </c>
    </row>
    <row r="547" spans="1:31" x14ac:dyDescent="0.25">
      <c r="A547" s="1">
        <f t="shared" si="192"/>
        <v>2.2458333333333331</v>
      </c>
      <c r="B547" s="7">
        <f t="shared" si="193"/>
        <v>15466792.448078811</v>
      </c>
      <c r="C547" s="7">
        <f t="shared" si="194"/>
        <v>1826613.2319310955</v>
      </c>
      <c r="D547" s="7"/>
      <c r="E547" s="7"/>
      <c r="F547" s="7"/>
      <c r="G547" s="7"/>
      <c r="H547" s="7"/>
      <c r="I547" s="7"/>
      <c r="J547" s="7"/>
      <c r="K547" s="7"/>
      <c r="L547" s="1">
        <f t="shared" si="197"/>
        <v>2.2458333333333331</v>
      </c>
      <c r="M547">
        <f t="shared" si="195"/>
        <v>194040</v>
      </c>
      <c r="N547" s="9">
        <f t="shared" si="176"/>
        <v>3609.0143281842811</v>
      </c>
      <c r="O547" s="7">
        <f t="shared" si="177"/>
        <v>15466792.448078811</v>
      </c>
      <c r="P547" s="2">
        <f t="shared" si="180"/>
        <v>-1.6319786048279707</v>
      </c>
      <c r="Q547" s="2">
        <f t="shared" si="181"/>
        <v>-1.4829918476104211</v>
      </c>
      <c r="R547" s="2">
        <f t="shared" si="182"/>
        <v>-1.4825935410948745</v>
      </c>
      <c r="S547" s="2">
        <f t="shared" si="183"/>
        <v>-1.3547306458465873</v>
      </c>
      <c r="T547" s="9">
        <f t="shared" si="184"/>
        <v>3073.9415264991721</v>
      </c>
      <c r="U547" s="7">
        <f t="shared" si="185"/>
        <v>16669724.501921833</v>
      </c>
      <c r="W547">
        <f t="shared" si="196"/>
        <v>194040</v>
      </c>
      <c r="X547" s="9">
        <f t="shared" si="178"/>
        <v>4092.9796086552915</v>
      </c>
      <c r="Y547" s="2">
        <f t="shared" si="179"/>
        <v>1826613.2319310955</v>
      </c>
      <c r="Z547" s="2">
        <f t="shared" si="186"/>
        <v>-0.19273509512811082</v>
      </c>
      <c r="AA547" s="2">
        <f t="shared" si="187"/>
        <v>-0.23597275187809691</v>
      </c>
      <c r="AB547" s="2">
        <f t="shared" si="188"/>
        <v>-0.23580945865604705</v>
      </c>
      <c r="AC547" s="2">
        <f t="shared" si="189"/>
        <v>-0.26694875767581716</v>
      </c>
      <c r="AD547" s="2">
        <f t="shared" si="190"/>
        <v>4008.7847122229587</v>
      </c>
      <c r="AE547" s="10">
        <f t="shared" si="191"/>
        <v>3284930.8096891805</v>
      </c>
    </row>
    <row r="548" spans="1:31" x14ac:dyDescent="0.25">
      <c r="A548" s="1">
        <f t="shared" si="192"/>
        <v>2.25</v>
      </c>
      <c r="B548" s="7">
        <f t="shared" si="193"/>
        <v>16669724.501921833</v>
      </c>
      <c r="C548" s="7">
        <f t="shared" si="194"/>
        <v>3284930.8096891805</v>
      </c>
      <c r="D548" s="7"/>
      <c r="E548" s="7"/>
      <c r="F548" s="7"/>
      <c r="G548" s="7"/>
      <c r="H548" s="7"/>
      <c r="I548" s="7"/>
      <c r="J548" s="7"/>
      <c r="K548" s="7"/>
      <c r="L548" s="1">
        <f t="shared" si="197"/>
        <v>2.25</v>
      </c>
      <c r="M548">
        <f t="shared" si="195"/>
        <v>194400</v>
      </c>
      <c r="N548" s="9">
        <f t="shared" si="176"/>
        <v>3073.9415264991721</v>
      </c>
      <c r="O548" s="7">
        <f t="shared" si="177"/>
        <v>16669724.501921833</v>
      </c>
      <c r="P548" s="2">
        <f t="shared" si="180"/>
        <v>-1.3547618297691582</v>
      </c>
      <c r="Q548" s="2">
        <f t="shared" si="181"/>
        <v>-1.2447484713825152</v>
      </c>
      <c r="R548" s="2">
        <f t="shared" si="182"/>
        <v>-1.2445280087216293</v>
      </c>
      <c r="S548" s="2">
        <f t="shared" si="183"/>
        <v>-1.1487493152524819</v>
      </c>
      <c r="T548" s="9">
        <f t="shared" si="184"/>
        <v>2625.0176801853763</v>
      </c>
      <c r="U548" s="7">
        <f t="shared" si="185"/>
        <v>17695537.159125052</v>
      </c>
      <c r="W548">
        <f t="shared" si="196"/>
        <v>194400</v>
      </c>
      <c r="X548" s="9">
        <f t="shared" si="178"/>
        <v>4008.7847122229587</v>
      </c>
      <c r="Y548" s="2">
        <f t="shared" si="179"/>
        <v>3284930.8096891805</v>
      </c>
      <c r="Z548" s="2">
        <f t="shared" si="186"/>
        <v>-0.26696895163963352</v>
      </c>
      <c r="AA548" s="2">
        <f t="shared" si="187"/>
        <v>-0.28961637124766987</v>
      </c>
      <c r="AB548" s="2">
        <f t="shared" si="188"/>
        <v>-0.28950853490295325</v>
      </c>
      <c r="AC548" s="2">
        <f t="shared" si="189"/>
        <v>-0.30571516442464808</v>
      </c>
      <c r="AD548" s="2">
        <f t="shared" si="190"/>
        <v>3904.9286765210268</v>
      </c>
      <c r="AE548" s="10">
        <f t="shared" si="191"/>
        <v>4709399.2196630975</v>
      </c>
    </row>
    <row r="549" spans="1:31" x14ac:dyDescent="0.25">
      <c r="A549" s="1">
        <f t="shared" si="192"/>
        <v>2.2541666666666669</v>
      </c>
      <c r="B549" s="7">
        <f t="shared" si="193"/>
        <v>17695537.159125052</v>
      </c>
      <c r="C549" s="7">
        <f t="shared" si="194"/>
        <v>4709399.2196630975</v>
      </c>
      <c r="D549" s="7"/>
      <c r="E549" s="7"/>
      <c r="F549" s="7"/>
      <c r="G549" s="7"/>
      <c r="H549" s="7"/>
      <c r="I549" s="7"/>
      <c r="J549" s="7"/>
      <c r="K549" s="7"/>
      <c r="L549" s="1">
        <f t="shared" si="197"/>
        <v>2.2541666666666669</v>
      </c>
      <c r="M549">
        <f t="shared" si="195"/>
        <v>194760</v>
      </c>
      <c r="N549" s="9">
        <f t="shared" si="176"/>
        <v>2625.0176801853763</v>
      </c>
      <c r="O549" s="7">
        <f t="shared" si="177"/>
        <v>17695537.159125052</v>
      </c>
      <c r="P549" s="2">
        <f t="shared" si="180"/>
        <v>-1.1487649327529359</v>
      </c>
      <c r="Q549" s="2">
        <f t="shared" si="181"/>
        <v>-1.0651506909733561</v>
      </c>
      <c r="R549" s="2">
        <f t="shared" si="182"/>
        <v>-1.065020221542218</v>
      </c>
      <c r="S549" s="2">
        <f t="shared" si="183"/>
        <v>-0.99131620720947256</v>
      </c>
      <c r="T549" s="9">
        <f t="shared" si="184"/>
        <v>2240.9923022857629</v>
      </c>
      <c r="U549" s="7">
        <f t="shared" si="185"/>
        <v>18571418.955969859</v>
      </c>
      <c r="W549">
        <f t="shared" si="196"/>
        <v>194760</v>
      </c>
      <c r="X549" s="9">
        <f t="shared" si="178"/>
        <v>3904.9286765210268</v>
      </c>
      <c r="Y549" s="2">
        <f t="shared" si="179"/>
        <v>4709399.2196630975</v>
      </c>
      <c r="Z549" s="2">
        <f t="shared" si="186"/>
        <v>-0.30572638904568356</v>
      </c>
      <c r="AA549" s="2">
        <f t="shared" si="187"/>
        <v>-0.31734467827621882</v>
      </c>
      <c r="AB549" s="2">
        <f t="shared" si="188"/>
        <v>-0.31727108336781729</v>
      </c>
      <c r="AC549" s="2">
        <f t="shared" si="189"/>
        <v>-0.32531998920499861</v>
      </c>
      <c r="AD549" s="2">
        <f t="shared" si="190"/>
        <v>3790.9120024287017</v>
      </c>
      <c r="AE549" s="10">
        <f t="shared" si="191"/>
        <v>6094650.5418740492</v>
      </c>
    </row>
    <row r="550" spans="1:31" x14ac:dyDescent="0.25">
      <c r="A550" s="1">
        <f t="shared" si="192"/>
        <v>2.2583333333333333</v>
      </c>
      <c r="B550" s="7">
        <f t="shared" si="193"/>
        <v>18571418.955969859</v>
      </c>
      <c r="C550" s="7">
        <f t="shared" si="194"/>
        <v>6094650.5418740492</v>
      </c>
      <c r="D550" s="7"/>
      <c r="E550" s="7"/>
      <c r="F550" s="7"/>
      <c r="G550" s="7"/>
      <c r="H550" s="7"/>
      <c r="I550" s="7"/>
      <c r="J550" s="7"/>
      <c r="K550" s="7"/>
      <c r="L550" s="1">
        <f t="shared" si="197"/>
        <v>2.2583333333333333</v>
      </c>
      <c r="M550">
        <f t="shared" si="195"/>
        <v>195120</v>
      </c>
      <c r="N550" s="9">
        <f t="shared" si="176"/>
        <v>2240.9923022857629</v>
      </c>
      <c r="O550" s="7">
        <f t="shared" si="177"/>
        <v>18571418.955969859</v>
      </c>
      <c r="P550" s="2">
        <f t="shared" si="180"/>
        <v>-0.99132463681260041</v>
      </c>
      <c r="Q550" s="2">
        <f t="shared" si="181"/>
        <v>-0.92618610098999399</v>
      </c>
      <c r="R550" s="2">
        <f t="shared" si="182"/>
        <v>-0.92610463106436247</v>
      </c>
      <c r="S550" s="2">
        <f t="shared" si="183"/>
        <v>-0.86807183056144943</v>
      </c>
      <c r="T550" s="9">
        <f t="shared" si="184"/>
        <v>1907.1536263967971</v>
      </c>
      <c r="U550" s="7">
        <f t="shared" si="185"/>
        <v>19318085.223132718</v>
      </c>
      <c r="W550">
        <f t="shared" si="196"/>
        <v>195120</v>
      </c>
      <c r="X550" s="9">
        <f t="shared" si="178"/>
        <v>3790.9120024287017</v>
      </c>
      <c r="Y550" s="2">
        <f t="shared" si="179"/>
        <v>6094650.5418740492</v>
      </c>
      <c r="Z550" s="2">
        <f t="shared" si="186"/>
        <v>-0.32532663493549963</v>
      </c>
      <c r="AA550" s="2">
        <f t="shared" si="187"/>
        <v>-0.33081819665183221</v>
      </c>
      <c r="AB550" s="2">
        <f t="shared" si="188"/>
        <v>-0.33076634076770417</v>
      </c>
      <c r="AC550" s="2">
        <f t="shared" si="189"/>
        <v>-0.33422795803103761</v>
      </c>
      <c r="AD550" s="2">
        <f t="shared" si="190"/>
        <v>3671.948582360365</v>
      </c>
      <c r="AE550" s="10">
        <f t="shared" si="191"/>
        <v>7437965.4471360818</v>
      </c>
    </row>
    <row r="551" spans="1:31" x14ac:dyDescent="0.25">
      <c r="A551" s="1">
        <f t="shared" si="192"/>
        <v>2.2625000000000002</v>
      </c>
      <c r="B551" s="7">
        <f t="shared" si="193"/>
        <v>19318085.223132718</v>
      </c>
      <c r="C551" s="7">
        <f t="shared" si="194"/>
        <v>7437965.4471360818</v>
      </c>
      <c r="D551" s="7"/>
      <c r="E551" s="7"/>
      <c r="F551" s="7"/>
      <c r="G551" s="7"/>
      <c r="H551" s="7"/>
      <c r="I551" s="7"/>
      <c r="J551" s="7"/>
      <c r="K551" s="7"/>
      <c r="L551" s="1">
        <f t="shared" si="197"/>
        <v>2.2625000000000002</v>
      </c>
      <c r="M551">
        <f t="shared" si="195"/>
        <v>195480</v>
      </c>
      <c r="N551" s="9">
        <f t="shared" si="176"/>
        <v>1907.1536263967971</v>
      </c>
      <c r="O551" s="7">
        <f t="shared" si="177"/>
        <v>19318085.223132718</v>
      </c>
      <c r="P551" s="2">
        <f t="shared" si="180"/>
        <v>-0.86807666806398931</v>
      </c>
      <c r="Q551" s="2">
        <f t="shared" si="181"/>
        <v>-0.81625050408587119</v>
      </c>
      <c r="R551" s="2">
        <f t="shared" si="182"/>
        <v>-0.81619735790383818</v>
      </c>
      <c r="S551" s="2">
        <f t="shared" si="183"/>
        <v>-0.76960017854989937</v>
      </c>
      <c r="T551" s="9">
        <f t="shared" si="184"/>
        <v>1612.9992721611986</v>
      </c>
      <c r="U551" s="7">
        <f t="shared" si="185"/>
        <v>19951712.744873159</v>
      </c>
      <c r="W551">
        <f t="shared" si="196"/>
        <v>195480</v>
      </c>
      <c r="X551" s="9">
        <f t="shared" si="178"/>
        <v>3671.948582360365</v>
      </c>
      <c r="Y551" s="2">
        <f t="shared" si="179"/>
        <v>7437965.4471360818</v>
      </c>
      <c r="Z551" s="2">
        <f t="shared" si="186"/>
        <v>-0.33423210364520395</v>
      </c>
      <c r="AA551" s="2">
        <f t="shared" si="187"/>
        <v>-0.33624576471067175</v>
      </c>
      <c r="AB551" s="2">
        <f t="shared" si="188"/>
        <v>-0.33620814943047095</v>
      </c>
      <c r="AC551" s="2">
        <f t="shared" si="189"/>
        <v>-0.33705421176401212</v>
      </c>
      <c r="AD551" s="2">
        <f t="shared" si="190"/>
        <v>3550.9769337388748</v>
      </c>
      <c r="AE551" s="10">
        <f t="shared" si="191"/>
        <v>8738092.040033944</v>
      </c>
    </row>
    <row r="552" spans="1:31" x14ac:dyDescent="0.25">
      <c r="A552" s="1">
        <f t="shared" si="192"/>
        <v>2.2666666666666666</v>
      </c>
      <c r="B552" s="7">
        <f t="shared" si="193"/>
        <v>19951712.744873159</v>
      </c>
      <c r="C552" s="7">
        <f t="shared" si="194"/>
        <v>8738092.040033944</v>
      </c>
      <c r="D552" s="7"/>
      <c r="E552" s="7"/>
      <c r="F552" s="7"/>
      <c r="G552" s="7"/>
      <c r="H552" s="7"/>
      <c r="I552" s="7"/>
      <c r="J552" s="7"/>
      <c r="K552" s="7"/>
      <c r="L552" s="1">
        <f t="shared" si="197"/>
        <v>2.2666666666666666</v>
      </c>
      <c r="M552">
        <f t="shared" si="195"/>
        <v>195840</v>
      </c>
      <c r="N552" s="9">
        <f t="shared" si="176"/>
        <v>1612.9992721611986</v>
      </c>
      <c r="O552" s="7">
        <f t="shared" si="177"/>
        <v>19951712.744873159</v>
      </c>
      <c r="P552" s="2">
        <f t="shared" si="180"/>
        <v>-0.76960309985437825</v>
      </c>
      <c r="Q552" s="2">
        <f t="shared" si="181"/>
        <v>-0.72761698289925136</v>
      </c>
      <c r="R552" s="2">
        <f t="shared" si="182"/>
        <v>-0.72758104212057872</v>
      </c>
      <c r="S552" s="2">
        <f t="shared" si="183"/>
        <v>-0.68953149517980328</v>
      </c>
      <c r="T552" s="9">
        <f t="shared" si="184"/>
        <v>1350.8274334567682</v>
      </c>
      <c r="U552" s="7">
        <f t="shared" si="185"/>
        <v>20485201.551884394</v>
      </c>
      <c r="W552">
        <f t="shared" si="196"/>
        <v>195840</v>
      </c>
      <c r="X552" s="9">
        <f t="shared" si="178"/>
        <v>3550.9769337388748</v>
      </c>
      <c r="Y552" s="2">
        <f t="shared" si="179"/>
        <v>8738092.040033944</v>
      </c>
      <c r="Z552" s="2">
        <f t="shared" si="186"/>
        <v>-0.33705691370035512</v>
      </c>
      <c r="AA552" s="2">
        <f t="shared" si="187"/>
        <v>-0.33708483544520479</v>
      </c>
      <c r="AB552" s="2">
        <f t="shared" si="188"/>
        <v>-0.33705683601595282</v>
      </c>
      <c r="AC552" s="2">
        <f t="shared" si="189"/>
        <v>-0.3364174114327782</v>
      </c>
      <c r="AD552" s="2">
        <f t="shared" si="190"/>
        <v>3429.6714736555477</v>
      </c>
      <c r="AE552" s="10">
        <f t="shared" si="191"/>
        <v>9994608.7533649392</v>
      </c>
    </row>
    <row r="553" spans="1:31" x14ac:dyDescent="0.25">
      <c r="A553" s="1">
        <f t="shared" si="192"/>
        <v>2.2708333333333335</v>
      </c>
      <c r="B553" s="7">
        <f t="shared" si="193"/>
        <v>20485201.551884394</v>
      </c>
      <c r="C553" s="7">
        <f t="shared" si="194"/>
        <v>9994608.7533649392</v>
      </c>
      <c r="D553" s="7"/>
      <c r="E553" s="7"/>
      <c r="F553" s="7"/>
      <c r="G553" s="7"/>
      <c r="H553" s="7"/>
      <c r="I553" s="7"/>
      <c r="J553" s="7"/>
      <c r="K553" s="7"/>
      <c r="L553" s="1">
        <f t="shared" si="197"/>
        <v>2.2708333333333335</v>
      </c>
      <c r="M553">
        <f t="shared" si="195"/>
        <v>196200</v>
      </c>
      <c r="N553" s="9">
        <f t="shared" ref="N553:N589" si="198">T552</f>
        <v>1350.8274334567682</v>
      </c>
      <c r="O553" s="7">
        <f t="shared" ref="O553:O589" si="199">U552</f>
        <v>20485201.551884394</v>
      </c>
      <c r="P553" s="2">
        <f t="shared" si="180"/>
        <v>-0.68953333690373375</v>
      </c>
      <c r="Q553" s="2">
        <f t="shared" si="181"/>
        <v>-0.65498481525039776</v>
      </c>
      <c r="R553" s="2">
        <f t="shared" si="182"/>
        <v>-0.6549597718558996</v>
      </c>
      <c r="S553" s="2">
        <f t="shared" si="183"/>
        <v>-0.62343465500002893</v>
      </c>
      <c r="T553" s="9">
        <f t="shared" si="184"/>
        <v>1114.8560034897866</v>
      </c>
      <c r="U553" s="7">
        <f t="shared" si="185"/>
        <v>20929024.570534773</v>
      </c>
      <c r="W553">
        <f t="shared" si="196"/>
        <v>196200</v>
      </c>
      <c r="X553" s="9">
        <f t="shared" ref="X553:X589" si="200">AD552</f>
        <v>3429.6714736555477</v>
      </c>
      <c r="Y553" s="2">
        <f t="shared" ref="Y553:Y589" si="201">AE552</f>
        <v>9994608.7533649392</v>
      </c>
      <c r="Z553" s="2">
        <f t="shared" si="186"/>
        <v>-0.33641923938605561</v>
      </c>
      <c r="AA553" s="2">
        <f t="shared" si="187"/>
        <v>-0.33533020333327712</v>
      </c>
      <c r="AB553" s="2">
        <f t="shared" si="188"/>
        <v>-0.33530888115501806</v>
      </c>
      <c r="AC553" s="2">
        <f t="shared" si="189"/>
        <v>-0.33385080347516094</v>
      </c>
      <c r="AD553" s="2">
        <f t="shared" si="190"/>
        <v>3308.9785809452792</v>
      </c>
      <c r="AE553" s="10">
        <f t="shared" si="191"/>
        <v>11207565.763193088</v>
      </c>
    </row>
    <row r="554" spans="1:31" x14ac:dyDescent="0.25">
      <c r="A554" s="1">
        <f t="shared" si="192"/>
        <v>2.2749999999999999</v>
      </c>
      <c r="B554" s="7">
        <f t="shared" si="193"/>
        <v>20929024.570534773</v>
      </c>
      <c r="C554" s="7">
        <f t="shared" si="194"/>
        <v>11207565.763193088</v>
      </c>
      <c r="D554" s="7"/>
      <c r="E554" s="7"/>
      <c r="F554" s="7"/>
      <c r="G554" s="7"/>
      <c r="H554" s="7"/>
      <c r="I554" s="7"/>
      <c r="J554" s="7"/>
      <c r="K554" s="7"/>
      <c r="L554" s="1">
        <f t="shared" si="197"/>
        <v>2.2749999999999999</v>
      </c>
      <c r="M554">
        <f t="shared" si="195"/>
        <v>196560</v>
      </c>
      <c r="N554" s="9">
        <f t="shared" si="198"/>
        <v>1114.8560034897866</v>
      </c>
      <c r="O554" s="7">
        <f t="shared" si="199"/>
        <v>20929024.570534773</v>
      </c>
      <c r="P554" s="2">
        <f t="shared" si="180"/>
        <v>-0.62343585967945425</v>
      </c>
      <c r="Q554" s="2">
        <f t="shared" si="181"/>
        <v>-0.59462005582058564</v>
      </c>
      <c r="R554" s="2">
        <f t="shared" si="182"/>
        <v>-0.59460216475839078</v>
      </c>
      <c r="S554" s="2">
        <f t="shared" si="183"/>
        <v>-0.5681496272834099</v>
      </c>
      <c r="T554" s="9">
        <f t="shared" si="184"/>
        <v>900.6542078025376</v>
      </c>
      <c r="U554" s="7">
        <f t="shared" si="185"/>
        <v>21291816.408567391</v>
      </c>
      <c r="W554">
        <f t="shared" si="196"/>
        <v>196560</v>
      </c>
      <c r="X554" s="9">
        <f t="shared" si="200"/>
        <v>3308.9785809452792</v>
      </c>
      <c r="Y554" s="2">
        <f t="shared" si="201"/>
        <v>11207565.763193088</v>
      </c>
      <c r="Z554" s="2">
        <f t="shared" si="186"/>
        <v>-0.33385208053734766</v>
      </c>
      <c r="AA554" s="2">
        <f t="shared" si="187"/>
        <v>-0.33216505402328594</v>
      </c>
      <c r="AB554" s="2">
        <f t="shared" si="188"/>
        <v>-0.33214848758375526</v>
      </c>
      <c r="AC554" s="2">
        <f t="shared" si="189"/>
        <v>-0.33027409806538899</v>
      </c>
      <c r="AD554" s="2">
        <f t="shared" si="190"/>
        <v>3189.4133852362702</v>
      </c>
      <c r="AE554" s="10">
        <f t="shared" si="191"/>
        <v>12377276.317105766</v>
      </c>
    </row>
    <row r="555" spans="1:31" x14ac:dyDescent="0.25">
      <c r="A555" s="1">
        <f t="shared" si="192"/>
        <v>2.2791666666666668</v>
      </c>
      <c r="B555" s="7">
        <f t="shared" si="193"/>
        <v>21291816.408567391</v>
      </c>
      <c r="C555" s="7">
        <f t="shared" si="194"/>
        <v>12377276.317105766</v>
      </c>
      <c r="D555" s="7"/>
      <c r="E555" s="7"/>
      <c r="F555" s="7"/>
      <c r="G555" s="7"/>
      <c r="H555" s="7"/>
      <c r="I555" s="7"/>
      <c r="J555" s="7"/>
      <c r="K555" s="7"/>
      <c r="L555" s="1">
        <f t="shared" si="197"/>
        <v>2.2791666666666668</v>
      </c>
      <c r="M555">
        <f t="shared" si="195"/>
        <v>196920</v>
      </c>
      <c r="N555" s="9">
        <f t="shared" si="198"/>
        <v>900.6542078025376</v>
      </c>
      <c r="O555" s="7">
        <f t="shared" si="199"/>
        <v>21291816.408567391</v>
      </c>
      <c r="P555" s="2">
        <f t="shared" si="180"/>
        <v>-0.56815044085119071</v>
      </c>
      <c r="Q555" s="2">
        <f t="shared" si="181"/>
        <v>-0.5438299511832706</v>
      </c>
      <c r="R555" s="2">
        <f t="shared" si="182"/>
        <v>-0.54381690090033785</v>
      </c>
      <c r="S555" s="2">
        <f t="shared" si="183"/>
        <v>-0.52137262552301966</v>
      </c>
      <c r="T555" s="9">
        <f t="shared" si="184"/>
        <v>704.765201570052</v>
      </c>
      <c r="U555" s="7">
        <f t="shared" si="185"/>
        <v>21580791.902254459</v>
      </c>
      <c r="W555">
        <f t="shared" si="196"/>
        <v>196920</v>
      </c>
      <c r="X555" s="9">
        <f t="shared" si="200"/>
        <v>3189.4133852362702</v>
      </c>
      <c r="Y555" s="2">
        <f t="shared" si="201"/>
        <v>12377276.317105766</v>
      </c>
      <c r="Z555" s="2">
        <f t="shared" si="186"/>
        <v>-0.33027501558162259</v>
      </c>
      <c r="AA555" s="2">
        <f t="shared" si="187"/>
        <v>-0.32830600011314642</v>
      </c>
      <c r="AB555" s="2">
        <f t="shared" si="188"/>
        <v>-0.32829289911908049</v>
      </c>
      <c r="AC555" s="2">
        <f t="shared" si="189"/>
        <v>-0.32624887883993992</v>
      </c>
      <c r="AD555" s="2">
        <f t="shared" si="190"/>
        <v>3071.2300836631093</v>
      </c>
      <c r="AE555" s="10">
        <f t="shared" si="191"/>
        <v>13504192.141507655</v>
      </c>
    </row>
    <row r="556" spans="1:31" x14ac:dyDescent="0.25">
      <c r="A556" s="1">
        <f t="shared" si="192"/>
        <v>2.2833333333333332</v>
      </c>
      <c r="B556" s="7">
        <f t="shared" si="193"/>
        <v>21580791.902254459</v>
      </c>
      <c r="C556" s="7">
        <f t="shared" si="194"/>
        <v>13504192.141507655</v>
      </c>
      <c r="D556" s="7"/>
      <c r="E556" s="7"/>
      <c r="F556" s="7"/>
      <c r="G556" s="7"/>
      <c r="H556" s="7"/>
      <c r="I556" s="7"/>
      <c r="J556" s="7"/>
      <c r="K556" s="7"/>
      <c r="L556" s="1">
        <f t="shared" si="197"/>
        <v>2.2833333333333332</v>
      </c>
      <c r="M556">
        <f t="shared" si="195"/>
        <v>197280</v>
      </c>
      <c r="N556" s="9">
        <f t="shared" si="198"/>
        <v>704.765201570052</v>
      </c>
      <c r="O556" s="7">
        <f t="shared" si="199"/>
        <v>21580791.902254459</v>
      </c>
      <c r="P556" s="2">
        <f t="shared" si="180"/>
        <v>-0.52137319059642384</v>
      </c>
      <c r="Q556" s="2">
        <f t="shared" si="181"/>
        <v>-0.50063172763237485</v>
      </c>
      <c r="R556" s="2">
        <f t="shared" si="182"/>
        <v>-0.50062204260326348</v>
      </c>
      <c r="S556" s="2">
        <f t="shared" si="183"/>
        <v>-0.48139084139476818</v>
      </c>
      <c r="T556" s="9">
        <f t="shared" si="184"/>
        <v>524.44890722230389</v>
      </c>
      <c r="U556" s="7">
        <f t="shared" si="185"/>
        <v>21802050.441837084</v>
      </c>
      <c r="W556">
        <f t="shared" si="196"/>
        <v>197280</v>
      </c>
      <c r="X556" s="9">
        <f t="shared" si="200"/>
        <v>3071.2300836631093</v>
      </c>
      <c r="Y556" s="2">
        <f t="shared" si="201"/>
        <v>13504192.141507655</v>
      </c>
      <c r="Z556" s="2">
        <f t="shared" si="186"/>
        <v>-0.32624955447114423</v>
      </c>
      <c r="AA556" s="2">
        <f t="shared" si="187"/>
        <v>-0.32419351506096805</v>
      </c>
      <c r="AB556" s="2">
        <f t="shared" si="188"/>
        <v>-0.32418299181577215</v>
      </c>
      <c r="AC556" s="2">
        <f t="shared" si="189"/>
        <v>-0.32212212369400173</v>
      </c>
      <c r="AD556" s="2">
        <f t="shared" si="190"/>
        <v>2954.5226021479916</v>
      </c>
      <c r="AE556" s="10">
        <f t="shared" si="191"/>
        <v>14588827.624953654</v>
      </c>
    </row>
    <row r="557" spans="1:31" x14ac:dyDescent="0.25">
      <c r="A557" s="1">
        <f t="shared" si="192"/>
        <v>2.2875000000000001</v>
      </c>
      <c r="B557" s="7">
        <f t="shared" si="193"/>
        <v>21802050.441837084</v>
      </c>
      <c r="C557" s="7">
        <f t="shared" si="194"/>
        <v>14588827.624953654</v>
      </c>
      <c r="D557" s="7"/>
      <c r="E557" s="7"/>
      <c r="F557" s="7"/>
      <c r="G557" s="7"/>
      <c r="H557" s="7"/>
      <c r="I557" s="7"/>
      <c r="J557" s="7"/>
      <c r="K557" s="7"/>
      <c r="L557" s="1">
        <f t="shared" si="197"/>
        <v>2.2875000000000001</v>
      </c>
      <c r="M557">
        <f t="shared" si="195"/>
        <v>197640</v>
      </c>
      <c r="N557" s="9">
        <f t="shared" si="198"/>
        <v>524.44890722230389</v>
      </c>
      <c r="O557" s="7">
        <f t="shared" si="199"/>
        <v>21802050.441837084</v>
      </c>
      <c r="P557" s="2">
        <f t="shared" si="180"/>
        <v>-0.48139124379976872</v>
      </c>
      <c r="Q557" s="2">
        <f t="shared" si="181"/>
        <v>-0.46353805765633277</v>
      </c>
      <c r="R557" s="2">
        <f t="shared" si="182"/>
        <v>-0.46353076800757825</v>
      </c>
      <c r="S557" s="2">
        <f t="shared" si="183"/>
        <v>-0.44690835451990257</v>
      </c>
      <c r="T557" s="9">
        <f t="shared" si="184"/>
        <v>357.5026722434543</v>
      </c>
      <c r="U557" s="7">
        <f t="shared" si="185"/>
        <v>21960801.72614092</v>
      </c>
      <c r="W557">
        <f t="shared" si="196"/>
        <v>197640</v>
      </c>
      <c r="X557" s="9">
        <f t="shared" si="200"/>
        <v>2954.5226021479916</v>
      </c>
      <c r="Y557" s="2">
        <f t="shared" si="201"/>
        <v>14588827.624953654</v>
      </c>
      <c r="Z557" s="2">
        <f t="shared" si="186"/>
        <v>-0.32212263221261955</v>
      </c>
      <c r="AA557" s="2">
        <f t="shared" si="187"/>
        <v>-0.32010074142222322</v>
      </c>
      <c r="AB557" s="2">
        <f t="shared" si="188"/>
        <v>-0.32009217164293996</v>
      </c>
      <c r="AC557" s="2">
        <f t="shared" si="189"/>
        <v>-0.31810947848506749</v>
      </c>
      <c r="AD557" s="2">
        <f t="shared" si="190"/>
        <v>2839.2855259383109</v>
      </c>
      <c r="AE557" s="10">
        <f t="shared" si="191"/>
        <v>15631713.088009188</v>
      </c>
    </row>
    <row r="558" spans="1:31" x14ac:dyDescent="0.25">
      <c r="A558" s="1">
        <f t="shared" si="192"/>
        <v>2.2916666666666665</v>
      </c>
      <c r="B558" s="7">
        <f t="shared" si="193"/>
        <v>21960801.72614092</v>
      </c>
      <c r="C558" s="7">
        <f t="shared" si="194"/>
        <v>15631713.088009188</v>
      </c>
      <c r="D558" s="7"/>
      <c r="E558" s="7"/>
      <c r="F558" s="7"/>
      <c r="G558" s="7"/>
      <c r="H558" s="7"/>
      <c r="I558" s="7"/>
      <c r="J558" s="7"/>
      <c r="K558" s="7"/>
      <c r="L558" s="1">
        <f t="shared" si="197"/>
        <v>2.2916666666666665</v>
      </c>
      <c r="M558">
        <f t="shared" si="195"/>
        <v>198000</v>
      </c>
      <c r="N558" s="9">
        <f t="shared" si="198"/>
        <v>357.5026722434543</v>
      </c>
      <c r="O558" s="7">
        <f t="shared" si="199"/>
        <v>21960801.72614092</v>
      </c>
      <c r="P558" s="2">
        <f t="shared" si="180"/>
        <v>-0.4469086476138362</v>
      </c>
      <c r="Q558" s="2">
        <f t="shared" si="181"/>
        <v>-0.43141459316734226</v>
      </c>
      <c r="R558" s="2">
        <f t="shared" si="182"/>
        <v>-0.43140904478480663</v>
      </c>
      <c r="S558" s="2">
        <f t="shared" si="183"/>
        <v>-0.41692914696096994</v>
      </c>
      <c r="T558" s="9">
        <f t="shared" si="184"/>
        <v>202.13356801470806</v>
      </c>
      <c r="U558" s="7">
        <f t="shared" si="185"/>
        <v>22061536.249387391</v>
      </c>
      <c r="W558">
        <f t="shared" si="196"/>
        <v>198000</v>
      </c>
      <c r="X558" s="9">
        <f t="shared" si="200"/>
        <v>2839.2855259383109</v>
      </c>
      <c r="Y558" s="2">
        <f t="shared" si="201"/>
        <v>15631713.088009188</v>
      </c>
      <c r="Z558" s="2">
        <f t="shared" si="186"/>
        <v>-0.31810986880929781</v>
      </c>
      <c r="AA558" s="2">
        <f t="shared" si="187"/>
        <v>-0.3161975334507191</v>
      </c>
      <c r="AB558" s="2">
        <f t="shared" si="188"/>
        <v>-0.31619046930492356</v>
      </c>
      <c r="AC558" s="2">
        <f t="shared" si="189"/>
        <v>-0.31434492258369146</v>
      </c>
      <c r="AD558" s="2">
        <f t="shared" si="190"/>
        <v>2725.4516781240545</v>
      </c>
      <c r="AE558" s="10">
        <f t="shared" si="191"/>
        <v>16633365.784740414</v>
      </c>
    </row>
    <row r="559" spans="1:31" x14ac:dyDescent="0.25">
      <c r="A559" s="1">
        <f t="shared" si="192"/>
        <v>2.2958333333333334</v>
      </c>
      <c r="B559" s="7">
        <f t="shared" si="193"/>
        <v>22061536.249387391</v>
      </c>
      <c r="C559" s="7">
        <f t="shared" si="194"/>
        <v>16633365.784740414</v>
      </c>
      <c r="D559" s="7"/>
      <c r="E559" s="7"/>
      <c r="F559" s="7"/>
      <c r="G559" s="7"/>
      <c r="H559" s="7"/>
      <c r="I559" s="7"/>
      <c r="J559" s="7"/>
      <c r="K559" s="7"/>
      <c r="L559" s="1">
        <f t="shared" si="197"/>
        <v>2.2958333333333334</v>
      </c>
      <c r="M559">
        <f t="shared" si="195"/>
        <v>198360</v>
      </c>
      <c r="N559" s="9">
        <f t="shared" si="198"/>
        <v>202.13356801470806</v>
      </c>
      <c r="O559" s="7">
        <f t="shared" si="199"/>
        <v>22061536.249387391</v>
      </c>
      <c r="P559" s="2">
        <f t="shared" si="180"/>
        <v>-0.41692936488493426</v>
      </c>
      <c r="Q559" s="2">
        <f t="shared" si="181"/>
        <v>-0.40338319481467749</v>
      </c>
      <c r="R559" s="2">
        <f t="shared" si="182"/>
        <v>-0.40337893641474054</v>
      </c>
      <c r="S559" s="2">
        <f t="shared" si="183"/>
        <v>-0.39067678741706174</v>
      </c>
      <c r="T559" s="9">
        <f t="shared" si="184"/>
        <v>56.865743129058131</v>
      </c>
      <c r="U559" s="7">
        <f t="shared" si="185"/>
        <v>22108156.125393268</v>
      </c>
      <c r="W559">
        <f t="shared" si="196"/>
        <v>198360</v>
      </c>
      <c r="X559" s="9">
        <f t="shared" si="200"/>
        <v>2725.4516781240545</v>
      </c>
      <c r="Y559" s="2">
        <f t="shared" si="201"/>
        <v>16633365.784740414</v>
      </c>
      <c r="Z559" s="2">
        <f t="shared" si="186"/>
        <v>-0.3143452275551839</v>
      </c>
      <c r="AA559" s="2">
        <f t="shared" si="187"/>
        <v>-0.31258912666054084</v>
      </c>
      <c r="AB559" s="2">
        <f t="shared" si="188"/>
        <v>-0.31258324109424684</v>
      </c>
      <c r="AC559" s="2">
        <f t="shared" si="189"/>
        <v>-0.31091110152257118</v>
      </c>
      <c r="AD559" s="2">
        <f t="shared" si="190"/>
        <v>2612.9156142488146</v>
      </c>
      <c r="AE559" s="10">
        <f t="shared" si="191"/>
        <v>17594271.89736753</v>
      </c>
    </row>
    <row r="560" spans="1:31" x14ac:dyDescent="0.25">
      <c r="A560" s="1">
        <f t="shared" si="192"/>
        <v>2.2999999999999998</v>
      </c>
      <c r="B560" s="7">
        <f t="shared" si="193"/>
        <v>22108156.125393268</v>
      </c>
      <c r="C560" s="7">
        <f t="shared" si="194"/>
        <v>17594271.89736753</v>
      </c>
      <c r="D560" s="7"/>
      <c r="E560" s="7"/>
      <c r="F560" s="7"/>
      <c r="G560" s="7"/>
      <c r="H560" s="7"/>
      <c r="I560" s="7"/>
      <c r="J560" s="7"/>
      <c r="K560" s="7"/>
      <c r="L560" s="1">
        <f t="shared" si="197"/>
        <v>2.2999999999999998</v>
      </c>
      <c r="M560">
        <f t="shared" si="195"/>
        <v>198720</v>
      </c>
      <c r="N560" s="9">
        <f t="shared" si="198"/>
        <v>56.865743129058131</v>
      </c>
      <c r="O560" s="7">
        <f t="shared" si="199"/>
        <v>22108156.125393268</v>
      </c>
      <c r="P560" s="2">
        <f t="shared" si="180"/>
        <v>-0.39067695258517759</v>
      </c>
      <c r="Q560" s="2">
        <f t="shared" si="181"/>
        <v>-0.37875484010809524</v>
      </c>
      <c r="R560" s="2">
        <f t="shared" si="182"/>
        <v>-0.37875155401989463</v>
      </c>
      <c r="S560" s="2">
        <f t="shared" si="183"/>
        <v>-0.36753820655588915</v>
      </c>
      <c r="T560" s="9">
        <f t="shared" si="184"/>
        <v>-79.527933714764657</v>
      </c>
      <c r="U560" s="7">
        <f t="shared" si="185"/>
        <v>22104076.93108784</v>
      </c>
      <c r="W560">
        <f t="shared" si="196"/>
        <v>198720</v>
      </c>
      <c r="X560" s="9">
        <f t="shared" si="200"/>
        <v>2612.9156142488146</v>
      </c>
      <c r="Y560" s="2">
        <f t="shared" si="201"/>
        <v>17594271.89736753</v>
      </c>
      <c r="Z560" s="2">
        <f t="shared" si="186"/>
        <v>-0.310911343706476</v>
      </c>
      <c r="AA560" s="2">
        <f t="shared" si="187"/>
        <v>-0.30934000782228854</v>
      </c>
      <c r="AB560" s="2">
        <f t="shared" si="188"/>
        <v>-0.30933505810925926</v>
      </c>
      <c r="AC560" s="2">
        <f t="shared" si="189"/>
        <v>-0.30785823694554953</v>
      </c>
      <c r="AD560" s="2">
        <f t="shared" si="190"/>
        <v>2501.5484314979071</v>
      </c>
      <c r="AE560" s="10">
        <f t="shared" si="191"/>
        <v>18514875.425601941</v>
      </c>
    </row>
    <row r="561" spans="1:31" x14ac:dyDescent="0.25">
      <c r="A561" s="1">
        <f t="shared" si="192"/>
        <v>2.3041666666666667</v>
      </c>
      <c r="B561" s="7">
        <f t="shared" si="193"/>
        <v>22104076.93108784</v>
      </c>
      <c r="C561" s="7">
        <f t="shared" si="194"/>
        <v>18514875.425601941</v>
      </c>
      <c r="D561" s="7"/>
      <c r="E561" s="7"/>
      <c r="F561" s="7"/>
      <c r="G561" s="7"/>
      <c r="H561" s="7"/>
      <c r="I561" s="7"/>
      <c r="J561" s="7"/>
      <c r="K561" s="7"/>
      <c r="L561" s="1">
        <f t="shared" si="197"/>
        <v>2.3041666666666667</v>
      </c>
      <c r="M561">
        <f t="shared" si="195"/>
        <v>199080</v>
      </c>
      <c r="N561" s="9">
        <f t="shared" si="198"/>
        <v>-79.527933714764657</v>
      </c>
      <c r="O561" s="7">
        <f t="shared" si="199"/>
        <v>22104076.93108784</v>
      </c>
      <c r="P561" s="2">
        <f t="shared" si="180"/>
        <v>-0.36753833402745545</v>
      </c>
      <c r="Q561" s="2">
        <f t="shared" si="181"/>
        <v>-0.35698223413431368</v>
      </c>
      <c r="R561" s="2">
        <f t="shared" si="182"/>
        <v>-0.35697969271564262</v>
      </c>
      <c r="S561" s="2">
        <f t="shared" si="183"/>
        <v>-0.34702363303843126</v>
      </c>
      <c r="T561" s="9">
        <f t="shared" si="184"/>
        <v>-208.0770829607126</v>
      </c>
      <c r="U561" s="7">
        <f t="shared" si="185"/>
        <v>22052308.028086256</v>
      </c>
      <c r="W561">
        <f t="shared" si="196"/>
        <v>199080</v>
      </c>
      <c r="X561" s="9">
        <f t="shared" si="200"/>
        <v>2501.5484314979071</v>
      </c>
      <c r="Y561" s="2">
        <f t="shared" si="201"/>
        <v>18514875.425601941</v>
      </c>
      <c r="Z561" s="2">
        <f t="shared" si="186"/>
        <v>-0.30785843217370273</v>
      </c>
      <c r="AA561" s="2">
        <f t="shared" si="187"/>
        <v>-0.30648893450468606</v>
      </c>
      <c r="AB561" s="2">
        <f t="shared" si="188"/>
        <v>-0.30648473788182645</v>
      </c>
      <c r="AC561" s="2">
        <f t="shared" si="189"/>
        <v>-0.30521612858847952</v>
      </c>
      <c r="AD561" s="2">
        <f t="shared" si="190"/>
        <v>2391.2071171657949</v>
      </c>
      <c r="AE561" s="10">
        <f t="shared" si="191"/>
        <v>19395571.424361408</v>
      </c>
    </row>
    <row r="562" spans="1:31" x14ac:dyDescent="0.25">
      <c r="A562" s="1">
        <f t="shared" si="192"/>
        <v>2.3083333333333331</v>
      </c>
      <c r="B562" s="7">
        <f t="shared" si="193"/>
        <v>22052308.028086256</v>
      </c>
      <c r="C562" s="7">
        <f t="shared" si="194"/>
        <v>19395571.424361408</v>
      </c>
      <c r="D562" s="7"/>
      <c r="E562" s="7"/>
      <c r="F562" s="7"/>
      <c r="G562" s="7"/>
      <c r="H562" s="7"/>
      <c r="I562" s="7"/>
      <c r="J562" s="7"/>
      <c r="K562" s="7"/>
      <c r="L562" s="1">
        <f t="shared" si="197"/>
        <v>2.3083333333333331</v>
      </c>
      <c r="M562">
        <f t="shared" si="195"/>
        <v>199440</v>
      </c>
      <c r="N562" s="9">
        <f t="shared" si="198"/>
        <v>-208.0770829607126</v>
      </c>
      <c r="O562" s="7">
        <f t="shared" si="199"/>
        <v>22052308.028086256</v>
      </c>
      <c r="P562" s="2">
        <f t="shared" si="180"/>
        <v>-0.34702373314570722</v>
      </c>
      <c r="Q562" s="2">
        <f t="shared" si="181"/>
        <v>-0.33762576393424248</v>
      </c>
      <c r="R562" s="2">
        <f t="shared" si="182"/>
        <v>-0.33762380145736881</v>
      </c>
      <c r="S562" s="2">
        <f t="shared" si="183"/>
        <v>-0.32873757871182341</v>
      </c>
      <c r="T562" s="9">
        <f t="shared" si="184"/>
        <v>-329.65270951915778</v>
      </c>
      <c r="U562" s="7">
        <f t="shared" si="185"/>
        <v>21955516.665439881</v>
      </c>
      <c r="W562">
        <f t="shared" si="196"/>
        <v>199440</v>
      </c>
      <c r="X562" s="9">
        <f t="shared" si="200"/>
        <v>2391.2071171657949</v>
      </c>
      <c r="Y562" s="2">
        <f t="shared" si="201"/>
        <v>19395571.424361408</v>
      </c>
      <c r="Z562" s="2">
        <f t="shared" si="186"/>
        <v>-0.30521628818188629</v>
      </c>
      <c r="AA562" s="2">
        <f t="shared" si="187"/>
        <v>-0.30405854590630649</v>
      </c>
      <c r="AB562" s="2">
        <f t="shared" si="188"/>
        <v>-0.30405496297581514</v>
      </c>
      <c r="AC562" s="2">
        <f t="shared" si="189"/>
        <v>-0.30300189363489888</v>
      </c>
      <c r="AD562" s="2">
        <f t="shared" si="190"/>
        <v>2281.7404051909334</v>
      </c>
      <c r="AE562" s="10">
        <f t="shared" si="191"/>
        <v>20236701.97838562</v>
      </c>
    </row>
    <row r="563" spans="1:31" x14ac:dyDescent="0.25">
      <c r="A563" s="1">
        <f t="shared" si="192"/>
        <v>2.3125</v>
      </c>
      <c r="B563" s="7">
        <f t="shared" si="193"/>
        <v>21955516.665439881</v>
      </c>
      <c r="C563" s="7">
        <f t="shared" si="194"/>
        <v>20236701.97838562</v>
      </c>
      <c r="D563" s="7"/>
      <c r="E563" s="7"/>
      <c r="F563" s="7"/>
      <c r="G563" s="7"/>
      <c r="H563" s="7"/>
      <c r="I563" s="7"/>
      <c r="J563" s="7"/>
      <c r="K563" s="7"/>
      <c r="L563" s="1">
        <f t="shared" si="197"/>
        <v>2.3125</v>
      </c>
      <c r="M563">
        <f t="shared" si="195"/>
        <v>199800</v>
      </c>
      <c r="N563" s="9">
        <f t="shared" si="198"/>
        <v>-329.65270951915778</v>
      </c>
      <c r="O563" s="7">
        <f t="shared" si="199"/>
        <v>21955516.665439881</v>
      </c>
      <c r="P563" s="2">
        <f t="shared" si="180"/>
        <v>-0.32873765868134924</v>
      </c>
      <c r="Q563" s="2">
        <f t="shared" si="181"/>
        <v>-0.3203286562375135</v>
      </c>
      <c r="R563" s="2">
        <f t="shared" si="182"/>
        <v>-0.32032715035545162</v>
      </c>
      <c r="S563" s="2">
        <f t="shared" si="183"/>
        <v>-0.31235751075531915</v>
      </c>
      <c r="T563" s="9">
        <f t="shared" si="184"/>
        <v>-444.99711647651372</v>
      </c>
      <c r="U563" s="7">
        <f t="shared" si="185"/>
        <v>21816079.696760662</v>
      </c>
      <c r="W563">
        <f t="shared" si="196"/>
        <v>199800</v>
      </c>
      <c r="X563" s="9">
        <f t="shared" si="200"/>
        <v>2281.7404051909334</v>
      </c>
      <c r="Y563" s="2">
        <f t="shared" si="201"/>
        <v>20236701.97838562</v>
      </c>
      <c r="Z563" s="2">
        <f t="shared" si="186"/>
        <v>-0.30300202583155345</v>
      </c>
      <c r="AA563" s="2">
        <f t="shared" si="187"/>
        <v>-0.30206160613694932</v>
      </c>
      <c r="AB563" s="2">
        <f t="shared" si="188"/>
        <v>-0.30205852936166339</v>
      </c>
      <c r="AC563" s="2">
        <f t="shared" si="189"/>
        <v>-0.3012250302564829</v>
      </c>
      <c r="AD563" s="2">
        <f t="shared" si="190"/>
        <v>2172.9923655658176</v>
      </c>
      <c r="AE563" s="10">
        <f t="shared" si="191"/>
        <v>21038553.877121836</v>
      </c>
    </row>
    <row r="564" spans="1:31" x14ac:dyDescent="0.25">
      <c r="A564" s="1">
        <f t="shared" si="192"/>
        <v>2.3166666666666669</v>
      </c>
      <c r="B564" s="7">
        <f t="shared" si="193"/>
        <v>21816079.696760662</v>
      </c>
      <c r="C564" s="7">
        <f t="shared" si="194"/>
        <v>21038553.877121836</v>
      </c>
      <c r="D564" s="7"/>
      <c r="E564" s="7"/>
      <c r="F564" s="7"/>
      <c r="G564" s="7"/>
      <c r="H564" s="7"/>
      <c r="I564" s="7"/>
      <c r="J564" s="7"/>
      <c r="K564" s="7"/>
      <c r="L564" s="1">
        <f t="shared" si="197"/>
        <v>2.3166666666666669</v>
      </c>
      <c r="M564">
        <f t="shared" si="195"/>
        <v>200160</v>
      </c>
      <c r="N564" s="9">
        <f t="shared" si="198"/>
        <v>-444.99711647651372</v>
      </c>
      <c r="O564" s="7">
        <f t="shared" si="199"/>
        <v>21816079.696760662</v>
      </c>
      <c r="P564" s="2">
        <f t="shared" si="180"/>
        <v>-0.31235757573231943</v>
      </c>
      <c r="Q564" s="2">
        <f t="shared" si="181"/>
        <v>-0.30479858957946321</v>
      </c>
      <c r="R564" s="2">
        <f t="shared" si="182"/>
        <v>-0.30479744886587007</v>
      </c>
      <c r="S564" s="2">
        <f t="shared" si="183"/>
        <v>-0.29761795742353098</v>
      </c>
      <c r="T564" s="9">
        <f t="shared" si="184"/>
        <v>-554.74717307930473</v>
      </c>
      <c r="U564" s="7">
        <f t="shared" si="185"/>
        <v>21636125.724640615</v>
      </c>
      <c r="W564">
        <f t="shared" si="196"/>
        <v>200160</v>
      </c>
      <c r="X564" s="9">
        <f t="shared" si="200"/>
        <v>2172.9923655658176</v>
      </c>
      <c r="Y564" s="2">
        <f t="shared" si="201"/>
        <v>21038553.877121836</v>
      </c>
      <c r="Z564" s="2">
        <f t="shared" si="186"/>
        <v>-0.30122514114886295</v>
      </c>
      <c r="AA564" s="2">
        <f t="shared" si="187"/>
        <v>-0.30050511770833216</v>
      </c>
      <c r="AB564" s="2">
        <f t="shared" si="188"/>
        <v>-0.30050246331063935</v>
      </c>
      <c r="AC564" s="2">
        <f t="shared" si="189"/>
        <v>-0.2998907775252031</v>
      </c>
      <c r="AD564" s="2">
        <f t="shared" si="190"/>
        <v>2064.8045007230971</v>
      </c>
      <c r="AE564" s="10">
        <f t="shared" si="191"/>
        <v>21801357.313053839</v>
      </c>
    </row>
    <row r="565" spans="1:31" x14ac:dyDescent="0.25">
      <c r="A565" s="1">
        <f t="shared" si="192"/>
        <v>2.3208333333333333</v>
      </c>
      <c r="B565" s="7">
        <f t="shared" si="193"/>
        <v>21636125.724640615</v>
      </c>
      <c r="C565" s="7">
        <f t="shared" si="194"/>
        <v>21801357.313053839</v>
      </c>
      <c r="D565" s="7"/>
      <c r="E565" s="7"/>
      <c r="F565" s="7"/>
      <c r="G565" s="7"/>
      <c r="H565" s="7"/>
      <c r="I565" s="7"/>
      <c r="J565" s="7"/>
      <c r="K565" s="7"/>
      <c r="L565" s="1">
        <f t="shared" si="197"/>
        <v>2.3208333333333333</v>
      </c>
      <c r="M565">
        <f t="shared" si="195"/>
        <v>200520</v>
      </c>
      <c r="N565" s="9">
        <f t="shared" si="198"/>
        <v>-554.74717307930473</v>
      </c>
      <c r="O565" s="7">
        <f t="shared" si="199"/>
        <v>21636125.724640615</v>
      </c>
      <c r="P565" s="2">
        <f t="shared" si="180"/>
        <v>-0.29761801113335962</v>
      </c>
      <c r="Q565" s="2">
        <f t="shared" si="181"/>
        <v>-0.29079390240697012</v>
      </c>
      <c r="R565" s="2">
        <f t="shared" si="182"/>
        <v>-0.29079305782946013</v>
      </c>
      <c r="S565" s="2">
        <f t="shared" si="183"/>
        <v>-0.28429851084248697</v>
      </c>
      <c r="T565" s="9">
        <f t="shared" si="184"/>
        <v>-659.4525996262272</v>
      </c>
      <c r="U565" s="7">
        <f t="shared" si="185"/>
        <v>21417569.76555362</v>
      </c>
      <c r="W565">
        <f t="shared" si="196"/>
        <v>200520</v>
      </c>
      <c r="X565" s="9">
        <f t="shared" si="200"/>
        <v>2064.8045007230971</v>
      </c>
      <c r="Y565" s="2">
        <f t="shared" si="201"/>
        <v>21801357.313053839</v>
      </c>
      <c r="Z565" s="2">
        <f t="shared" si="186"/>
        <v>-0.29989087168823925</v>
      </c>
      <c r="AA565" s="2">
        <f t="shared" si="187"/>
        <v>-0.2993930710871488</v>
      </c>
      <c r="AB565" s="2">
        <f t="shared" si="188"/>
        <v>-0.29939077326287805</v>
      </c>
      <c r="AC565" s="2">
        <f t="shared" si="189"/>
        <v>-0.29900237892045517</v>
      </c>
      <c r="AD565" s="2">
        <f t="shared" si="190"/>
        <v>1957.0168443645723</v>
      </c>
      <c r="AE565" s="10">
        <f t="shared" si="191"/>
        <v>22525285.155169621</v>
      </c>
    </row>
    <row r="566" spans="1:31" x14ac:dyDescent="0.25">
      <c r="A566" s="1">
        <f t="shared" si="192"/>
        <v>2.3250000000000002</v>
      </c>
      <c r="B566" s="7">
        <f t="shared" si="193"/>
        <v>21417569.76555362</v>
      </c>
      <c r="C566" s="7">
        <f t="shared" si="194"/>
        <v>22525285.155169621</v>
      </c>
      <c r="D566" s="7"/>
      <c r="E566" s="7"/>
      <c r="F566" s="7"/>
      <c r="G566" s="7"/>
      <c r="H566" s="7"/>
      <c r="I566" s="7"/>
      <c r="J566" s="7"/>
      <c r="K566" s="7"/>
      <c r="L566" s="1">
        <f t="shared" si="197"/>
        <v>2.3250000000000002</v>
      </c>
      <c r="M566">
        <f t="shared" si="195"/>
        <v>200880</v>
      </c>
      <c r="N566" s="9">
        <f t="shared" si="198"/>
        <v>-659.4525996262272</v>
      </c>
      <c r="O566" s="7">
        <f t="shared" si="199"/>
        <v>21417569.76555362</v>
      </c>
      <c r="P566" s="2">
        <f t="shared" si="180"/>
        <v>-0.28429855602631615</v>
      </c>
      <c r="Q566" s="2">
        <f t="shared" si="181"/>
        <v>-0.27811311970995384</v>
      </c>
      <c r="R566" s="2">
        <f t="shared" si="182"/>
        <v>-0.27811251870107639</v>
      </c>
      <c r="S566" s="2">
        <f t="shared" si="183"/>
        <v>-0.27221466215147239</v>
      </c>
      <c r="T566" s="9">
        <f t="shared" si="184"/>
        <v>-759.59046932621811</v>
      </c>
      <c r="U566" s="7">
        <f t="shared" si="185"/>
        <v>21162142.01314218</v>
      </c>
      <c r="W566">
        <f t="shared" si="196"/>
        <v>200880</v>
      </c>
      <c r="X566" s="9">
        <f t="shared" si="200"/>
        <v>1957.0168443645723</v>
      </c>
      <c r="Y566" s="2">
        <f t="shared" si="201"/>
        <v>22525285.155169621</v>
      </c>
      <c r="Z566" s="2">
        <f t="shared" si="186"/>
        <v>-0.2990024598400185</v>
      </c>
      <c r="AA566" s="2">
        <f t="shared" si="187"/>
        <v>-0.29872831304363923</v>
      </c>
      <c r="AB566" s="2">
        <f t="shared" si="188"/>
        <v>-0.29872631977698483</v>
      </c>
      <c r="AC566" s="2">
        <f t="shared" si="189"/>
        <v>-0.2985626355730952</v>
      </c>
      <c r="AD566" s="2">
        <f t="shared" si="190"/>
        <v>1849.4683827013105</v>
      </c>
      <c r="AE566" s="10">
        <f t="shared" si="191"/>
        <v>23210452.49604148</v>
      </c>
    </row>
    <row r="567" spans="1:31" x14ac:dyDescent="0.25">
      <c r="A567" s="1">
        <f t="shared" si="192"/>
        <v>2.3291666666666666</v>
      </c>
      <c r="B567" s="7">
        <f t="shared" si="193"/>
        <v>21162142.01314218</v>
      </c>
      <c r="C567" s="7">
        <f t="shared" si="194"/>
        <v>23210452.49604148</v>
      </c>
      <c r="D567" s="7"/>
      <c r="E567" s="7"/>
      <c r="F567" s="7"/>
      <c r="G567" s="7"/>
      <c r="H567" s="7"/>
      <c r="I567" s="7"/>
      <c r="J567" s="7"/>
      <c r="K567" s="7"/>
      <c r="L567" s="1">
        <f t="shared" si="197"/>
        <v>2.3291666666666666</v>
      </c>
      <c r="M567">
        <f t="shared" si="195"/>
        <v>201240</v>
      </c>
      <c r="N567" s="9">
        <f t="shared" si="198"/>
        <v>-759.59046932621811</v>
      </c>
      <c r="O567" s="7">
        <f t="shared" si="199"/>
        <v>21162142.01314218</v>
      </c>
      <c r="P567" s="2">
        <f t="shared" si="180"/>
        <v>-0.2722147008586504</v>
      </c>
      <c r="Q567" s="2">
        <f t="shared" si="181"/>
        <v>-0.26658690631640153</v>
      </c>
      <c r="R567" s="2">
        <f t="shared" si="182"/>
        <v>-0.2665865085914178</v>
      </c>
      <c r="S567" s="2">
        <f t="shared" si="183"/>
        <v>-0.26121072009069751</v>
      </c>
      <c r="T567" s="9">
        <f t="shared" si="184"/>
        <v>-855.57680437211729</v>
      </c>
      <c r="U567" s="7">
        <f t="shared" si="185"/>
        <v>20871411.90387648</v>
      </c>
      <c r="W567">
        <f t="shared" si="196"/>
        <v>201240</v>
      </c>
      <c r="X567" s="9">
        <f t="shared" si="200"/>
        <v>1849.4683827013105</v>
      </c>
      <c r="Y567" s="2">
        <f t="shared" si="201"/>
        <v>23210452.49604148</v>
      </c>
      <c r="Z567" s="2">
        <f t="shared" si="186"/>
        <v>-0.29856270594347611</v>
      </c>
      <c r="AA567" s="2">
        <f t="shared" si="187"/>
        <v>-0.29851384345936266</v>
      </c>
      <c r="AB567" s="2">
        <f t="shared" si="188"/>
        <v>-0.29851211346291279</v>
      </c>
      <c r="AC567" s="2">
        <f t="shared" si="189"/>
        <v>-0.29857499909875135</v>
      </c>
      <c r="AD567" s="2">
        <f t="shared" si="190"/>
        <v>1741.9970055681038</v>
      </c>
      <c r="AE567" s="10">
        <f t="shared" si="191"/>
        <v>23856916.265929975</v>
      </c>
    </row>
    <row r="568" spans="1:31" x14ac:dyDescent="0.25">
      <c r="A568" s="1">
        <f t="shared" si="192"/>
        <v>2.3333333333333335</v>
      </c>
      <c r="B568" s="7">
        <f t="shared" si="193"/>
        <v>20871411.90387648</v>
      </c>
      <c r="C568" s="7">
        <f t="shared" si="194"/>
        <v>23856916.265929975</v>
      </c>
      <c r="D568" s="7"/>
      <c r="E568" s="7"/>
      <c r="F568" s="7"/>
      <c r="G568" s="7"/>
      <c r="H568" s="7"/>
      <c r="I568" s="7"/>
      <c r="J568" s="7"/>
      <c r="K568" s="7"/>
      <c r="L568" s="1">
        <f t="shared" si="197"/>
        <v>2.3333333333333335</v>
      </c>
      <c r="M568">
        <f t="shared" si="195"/>
        <v>201600</v>
      </c>
      <c r="N568" s="9">
        <f t="shared" si="198"/>
        <v>-855.57680437211729</v>
      </c>
      <c r="O568" s="7">
        <f t="shared" si="199"/>
        <v>20871411.90387648</v>
      </c>
      <c r="P568" s="2">
        <f t="shared" si="180"/>
        <v>-0.26121075387838361</v>
      </c>
      <c r="Q568" s="2">
        <f t="shared" si="181"/>
        <v>-0.25607181507110965</v>
      </c>
      <c r="R568" s="2">
        <f t="shared" si="182"/>
        <v>-0.25607158964037569</v>
      </c>
      <c r="S568" s="2">
        <f t="shared" si="183"/>
        <v>-0.2511542787715515</v>
      </c>
      <c r="T568" s="9">
        <f t="shared" si="184"/>
        <v>-947.7759148964916</v>
      </c>
      <c r="U568" s="7">
        <f t="shared" si="185"/>
        <v>20546808.414408129</v>
      </c>
      <c r="W568">
        <f t="shared" si="196"/>
        <v>201600</v>
      </c>
      <c r="X568" s="9">
        <f t="shared" si="200"/>
        <v>1741.9970055681038</v>
      </c>
      <c r="Y568" s="2">
        <f t="shared" si="201"/>
        <v>23856916.265929975</v>
      </c>
      <c r="Z568" s="2">
        <f t="shared" si="186"/>
        <v>-0.29857506103262826</v>
      </c>
      <c r="AA568" s="2">
        <f t="shared" si="187"/>
        <v>-0.29875374272817978</v>
      </c>
      <c r="AB568" s="2">
        <f t="shared" si="188"/>
        <v>-0.2987522431861111</v>
      </c>
      <c r="AC568" s="2">
        <f t="shared" si="189"/>
        <v>-0.29904436859268235</v>
      </c>
      <c r="AD568" s="2">
        <f t="shared" si="190"/>
        <v>1634.4391214808702</v>
      </c>
      <c r="AE568" s="10">
        <f t="shared" si="191"/>
        <v>24464674.768798791</v>
      </c>
    </row>
    <row r="569" spans="1:31" x14ac:dyDescent="0.25">
      <c r="A569" s="1">
        <f t="shared" si="192"/>
        <v>2.3374999999999999</v>
      </c>
      <c r="B569" s="7">
        <f t="shared" si="193"/>
        <v>20546808.414408129</v>
      </c>
      <c r="C569" s="7">
        <f t="shared" si="194"/>
        <v>24464674.768798791</v>
      </c>
      <c r="D569" s="7"/>
      <c r="E569" s="7"/>
      <c r="F569" s="7"/>
      <c r="G569" s="7"/>
      <c r="H569" s="7"/>
      <c r="I569" s="7"/>
      <c r="J569" s="7"/>
      <c r="K569" s="7"/>
      <c r="L569" s="1">
        <f t="shared" si="197"/>
        <v>2.3374999999999999</v>
      </c>
      <c r="M569">
        <f t="shared" si="195"/>
        <v>201960</v>
      </c>
      <c r="N569" s="9">
        <f t="shared" si="198"/>
        <v>-947.7759148964916</v>
      </c>
      <c r="O569" s="7">
        <f t="shared" si="199"/>
        <v>20546808.414408129</v>
      </c>
      <c r="P569" s="2">
        <f t="shared" si="180"/>
        <v>-0.2511543088433531</v>
      </c>
      <c r="Q569" s="2">
        <f t="shared" si="181"/>
        <v>-0.24644537613279174</v>
      </c>
      <c r="R569" s="2">
        <f t="shared" si="182"/>
        <v>-0.24644529914427607</v>
      </c>
      <c r="S569" s="2">
        <f t="shared" si="183"/>
        <v>-0.24193184829534997</v>
      </c>
      <c r="T569" s="9">
        <f t="shared" si="184"/>
        <v>-1036.5079653580619</v>
      </c>
      <c r="U569" s="7">
        <f t="shared" si="185"/>
        <v>20189637.315962311</v>
      </c>
      <c r="W569">
        <f t="shared" si="196"/>
        <v>201960</v>
      </c>
      <c r="X569" s="9">
        <f t="shared" si="200"/>
        <v>1634.4391214808702</v>
      </c>
      <c r="Y569" s="2">
        <f t="shared" si="201"/>
        <v>24464674.768798791</v>
      </c>
      <c r="Z569" s="2">
        <f t="shared" si="186"/>
        <v>-0.29904442377174317</v>
      </c>
      <c r="AA569" s="2">
        <f t="shared" si="187"/>
        <v>-0.29945386417297937</v>
      </c>
      <c r="AB569" s="2">
        <f t="shared" si="188"/>
        <v>-0.29945256906682938</v>
      </c>
      <c r="AC569" s="2">
        <f t="shared" si="189"/>
        <v>-0.29997770236738297</v>
      </c>
      <c r="AD569" s="2">
        <f t="shared" si="190"/>
        <v>1526.6290219237455</v>
      </c>
      <c r="AE569" s="10">
        <f t="shared" si="191"/>
        <v>25033667.03461162</v>
      </c>
    </row>
    <row r="570" spans="1:31" x14ac:dyDescent="0.25">
      <c r="A570" s="1">
        <f t="shared" si="192"/>
        <v>2.3416666666666668</v>
      </c>
      <c r="B570" s="7">
        <f t="shared" si="193"/>
        <v>20189637.315962311</v>
      </c>
      <c r="C570" s="7">
        <f t="shared" si="194"/>
        <v>25033667.03461162</v>
      </c>
      <c r="D570" s="7"/>
      <c r="E570" s="7"/>
      <c r="F570" s="7"/>
      <c r="G570" s="7"/>
      <c r="H570" s="7"/>
      <c r="I570" s="7"/>
      <c r="J570" s="7"/>
      <c r="K570" s="7"/>
      <c r="L570" s="1">
        <f t="shared" si="197"/>
        <v>2.3416666666666668</v>
      </c>
      <c r="M570">
        <f t="shared" si="195"/>
        <v>202320</v>
      </c>
      <c r="N570" s="9">
        <f t="shared" si="198"/>
        <v>-1036.5079653580619</v>
      </c>
      <c r="O570" s="7">
        <f t="shared" si="199"/>
        <v>20189637.315962311</v>
      </c>
      <c r="P570" s="2">
        <f t="shared" si="180"/>
        <v>-0.24193187559922544</v>
      </c>
      <c r="Q570" s="2">
        <f t="shared" si="181"/>
        <v>-0.23760219709742122</v>
      </c>
      <c r="R570" s="2">
        <f t="shared" si="182"/>
        <v>-0.23760225026507112</v>
      </c>
      <c r="S570" s="2">
        <f t="shared" si="183"/>
        <v>-0.2334453651268866</v>
      </c>
      <c r="T570" s="9">
        <f t="shared" si="184"/>
        <v>-1122.0551334851277</v>
      </c>
      <c r="U570" s="7">
        <f t="shared" si="185"/>
        <v>19801095.958170537</v>
      </c>
      <c r="W570">
        <f t="shared" si="196"/>
        <v>202320</v>
      </c>
      <c r="X570" s="9">
        <f t="shared" si="200"/>
        <v>1526.6290219237455</v>
      </c>
      <c r="Y570" s="2">
        <f t="shared" si="201"/>
        <v>25033667.03461162</v>
      </c>
      <c r="Z570" s="2">
        <f t="shared" si="186"/>
        <v>-0.29997775215217715</v>
      </c>
      <c r="AA570" s="2">
        <f t="shared" si="187"/>
        <v>-0.30062238284750331</v>
      </c>
      <c r="AB570" s="2">
        <f t="shared" si="188"/>
        <v>-0.30062127171181868</v>
      </c>
      <c r="AC570" s="2">
        <f t="shared" si="189"/>
        <v>-0.30138452058471865</v>
      </c>
      <c r="AD570" s="2">
        <f t="shared" si="190"/>
        <v>1418.3980470124131</v>
      </c>
      <c r="AE570" s="10">
        <f t="shared" si="191"/>
        <v>25563771.907020129</v>
      </c>
    </row>
    <row r="571" spans="1:31" x14ac:dyDescent="0.25">
      <c r="A571" s="1">
        <f t="shared" si="192"/>
        <v>2.3458333333333332</v>
      </c>
      <c r="B571" s="7">
        <f t="shared" si="193"/>
        <v>19801095.958170537</v>
      </c>
      <c r="C571" s="7">
        <f t="shared" si="194"/>
        <v>25563771.907020129</v>
      </c>
      <c r="D571" s="7"/>
      <c r="E571" s="7"/>
      <c r="F571" s="7"/>
      <c r="G571" s="7"/>
      <c r="H571" s="7"/>
      <c r="I571" s="7"/>
      <c r="J571" s="7"/>
      <c r="K571" s="7"/>
      <c r="L571" s="1">
        <f t="shared" si="197"/>
        <v>2.3458333333333332</v>
      </c>
      <c r="M571">
        <f t="shared" si="195"/>
        <v>202680</v>
      </c>
      <c r="N571" s="9">
        <f t="shared" si="198"/>
        <v>-1122.0551334851277</v>
      </c>
      <c r="O571" s="7">
        <f t="shared" si="199"/>
        <v>19801095.958170537</v>
      </c>
      <c r="P571" s="2">
        <f t="shared" si="180"/>
        <v>-0.23344539042549989</v>
      </c>
      <c r="Q571" s="2">
        <f t="shared" si="181"/>
        <v>-0.2294508303118003</v>
      </c>
      <c r="R571" s="2">
        <f t="shared" si="182"/>
        <v>-0.2294509997637984</v>
      </c>
      <c r="S571" s="2">
        <f t="shared" si="183"/>
        <v>-0.22560937196868072</v>
      </c>
      <c r="T571" s="9">
        <f t="shared" si="184"/>
        <v>-1204.6666388378503</v>
      </c>
      <c r="U571" s="7">
        <f t="shared" si="185"/>
        <v>19382286.039152402</v>
      </c>
      <c r="W571">
        <f t="shared" si="196"/>
        <v>202680</v>
      </c>
      <c r="X571" s="9">
        <f t="shared" si="200"/>
        <v>1418.3980470124131</v>
      </c>
      <c r="Y571" s="2">
        <f t="shared" si="201"/>
        <v>25563771.907020129</v>
      </c>
      <c r="Z571" s="2">
        <f t="shared" si="186"/>
        <v>-0.30138456609621478</v>
      </c>
      <c r="AA571" s="2">
        <f t="shared" si="187"/>
        <v>-0.30227026460684647</v>
      </c>
      <c r="AB571" s="2">
        <f t="shared" si="188"/>
        <v>-0.30226932160827163</v>
      </c>
      <c r="AC571" s="2">
        <f t="shared" si="189"/>
        <v>-0.30327735298059399</v>
      </c>
      <c r="AD571" s="2">
        <f t="shared" si="190"/>
        <v>1309.5735815219905</v>
      </c>
      <c r="AE571" s="10">
        <f t="shared" si="191"/>
        <v>26054806.800156321</v>
      </c>
    </row>
    <row r="572" spans="1:31" x14ac:dyDescent="0.25">
      <c r="A572" s="1">
        <f t="shared" si="192"/>
        <v>2.35</v>
      </c>
      <c r="B572" s="7">
        <f t="shared" si="193"/>
        <v>19382286.039152402</v>
      </c>
      <c r="C572" s="7">
        <f t="shared" si="194"/>
        <v>26054806.800156321</v>
      </c>
      <c r="D572" s="7"/>
      <c r="E572" s="7"/>
      <c r="F572" s="7"/>
      <c r="G572" s="7"/>
      <c r="H572" s="7"/>
      <c r="I572" s="7"/>
      <c r="J572" s="7"/>
      <c r="K572" s="7"/>
      <c r="L572" s="1">
        <f t="shared" si="197"/>
        <v>2.35</v>
      </c>
      <c r="M572">
        <f t="shared" si="195"/>
        <v>203040</v>
      </c>
      <c r="N572" s="9">
        <f t="shared" si="198"/>
        <v>-1204.6666388378503</v>
      </c>
      <c r="O572" s="7">
        <f t="shared" si="199"/>
        <v>19382286.039152402</v>
      </c>
      <c r="P572" s="2">
        <f t="shared" si="180"/>
        <v>-0.22560939589094292</v>
      </c>
      <c r="Q572" s="2">
        <f t="shared" si="181"/>
        <v>-0.22191122516249023</v>
      </c>
      <c r="R572" s="2">
        <f t="shared" si="182"/>
        <v>-0.22191150059534234</v>
      </c>
      <c r="S572" s="2">
        <f t="shared" si="183"/>
        <v>-0.21834870872125522</v>
      </c>
      <c r="T572" s="9">
        <f t="shared" si="184"/>
        <v>-1284.5628522055222</v>
      </c>
      <c r="U572" s="7">
        <f t="shared" si="185"/>
        <v>18934224.730764594</v>
      </c>
      <c r="W572">
        <f t="shared" si="196"/>
        <v>203040</v>
      </c>
      <c r="X572" s="9">
        <f t="shared" si="200"/>
        <v>1309.5735815219905</v>
      </c>
      <c r="Y572" s="2">
        <f t="shared" si="201"/>
        <v>26054806.800156321</v>
      </c>
      <c r="Z572" s="2">
        <f t="shared" si="186"/>
        <v>-0.30327739516197733</v>
      </c>
      <c r="AA572" s="2">
        <f t="shared" si="187"/>
        <v>-0.30441170188171129</v>
      </c>
      <c r="AB572" s="2">
        <f t="shared" si="188"/>
        <v>-0.3044109151472596</v>
      </c>
      <c r="AC572" s="2">
        <f t="shared" si="189"/>
        <v>-0.30567217206731856</v>
      </c>
      <c r="AD572" s="2">
        <f t="shared" si="190"/>
        <v>1199.9778934447563</v>
      </c>
      <c r="AE572" s="10">
        <f t="shared" si="191"/>
        <v>26506526.065650336</v>
      </c>
    </row>
    <row r="573" spans="1:31" x14ac:dyDescent="0.25">
      <c r="A573" s="1">
        <f t="shared" si="192"/>
        <v>2.3541666666666665</v>
      </c>
      <c r="B573" s="7">
        <f t="shared" si="193"/>
        <v>18934224.730764594</v>
      </c>
      <c r="C573" s="7">
        <f t="shared" si="194"/>
        <v>26506526.065650336</v>
      </c>
      <c r="D573" s="7"/>
      <c r="E573" s="7"/>
      <c r="F573" s="7"/>
      <c r="G573" s="7"/>
      <c r="H573" s="7"/>
      <c r="I573" s="7"/>
      <c r="J573" s="7"/>
      <c r="K573" s="7"/>
      <c r="L573" s="1">
        <f t="shared" si="197"/>
        <v>2.3541666666666665</v>
      </c>
      <c r="M573">
        <f t="shared" si="195"/>
        <v>203400</v>
      </c>
      <c r="N573" s="9">
        <f t="shared" si="198"/>
        <v>-1284.5628522055222</v>
      </c>
      <c r="O573" s="7">
        <f t="shared" si="199"/>
        <v>18934224.730764594</v>
      </c>
      <c r="P573" s="2">
        <f t="shared" si="180"/>
        <v>-0.21834873180094796</v>
      </c>
      <c r="Q573" s="2">
        <f t="shared" si="181"/>
        <v>-0.21491262697812241</v>
      </c>
      <c r="R573" s="2">
        <f t="shared" si="182"/>
        <v>-0.21491300103749938</v>
      </c>
      <c r="S573" s="2">
        <f t="shared" si="183"/>
        <v>-0.2115965932123231</v>
      </c>
      <c r="T573" s="9">
        <f t="shared" si="184"/>
        <v>-1361.9386470681929</v>
      </c>
      <c r="U573" s="7">
        <f t="shared" si="185"/>
        <v>18457854.460895326</v>
      </c>
      <c r="W573">
        <f t="shared" si="196"/>
        <v>203400</v>
      </c>
      <c r="X573" s="9">
        <f t="shared" si="200"/>
        <v>1199.9778934447563</v>
      </c>
      <c r="Y573" s="2">
        <f t="shared" si="201"/>
        <v>26506526.065650336</v>
      </c>
      <c r="Z573" s="2">
        <f t="shared" si="186"/>
        <v>-0.30567221173199877</v>
      </c>
      <c r="AA573" s="2">
        <f t="shared" si="187"/>
        <v>-0.3070645517830517</v>
      </c>
      <c r="AB573" s="2">
        <f t="shared" si="188"/>
        <v>-0.30706391292621354</v>
      </c>
      <c r="AC573" s="2">
        <f t="shared" si="189"/>
        <v>-0.3085888438578186</v>
      </c>
      <c r="AD573" s="2">
        <f t="shared" si="190"/>
        <v>1089.4268143442555</v>
      </c>
      <c r="AE573" s="10">
        <f t="shared" si="191"/>
        <v>26918618.913052358</v>
      </c>
    </row>
    <row r="574" spans="1:31" x14ac:dyDescent="0.25">
      <c r="A574" s="1">
        <f t="shared" si="192"/>
        <v>2.3583333333333334</v>
      </c>
      <c r="B574" s="7">
        <f t="shared" si="193"/>
        <v>18457854.460895326</v>
      </c>
      <c r="C574" s="7">
        <f t="shared" si="194"/>
        <v>26918618.913052358</v>
      </c>
      <c r="D574" s="7"/>
      <c r="E574" s="7"/>
      <c r="F574" s="7"/>
      <c r="G574" s="7"/>
      <c r="H574" s="7"/>
      <c r="I574" s="7"/>
      <c r="J574" s="7"/>
      <c r="K574" s="7"/>
      <c r="L574" s="1">
        <f t="shared" si="197"/>
        <v>2.3583333333333334</v>
      </c>
      <c r="M574">
        <f t="shared" si="195"/>
        <v>203760</v>
      </c>
      <c r="N574" s="9">
        <f t="shared" si="198"/>
        <v>-1361.9386470681929</v>
      </c>
      <c r="O574" s="7">
        <f t="shared" si="199"/>
        <v>18457854.460895326</v>
      </c>
      <c r="P574" s="2">
        <f t="shared" si="180"/>
        <v>-0.21159661591786519</v>
      </c>
      <c r="Q574" s="2">
        <f t="shared" si="181"/>
        <v>-0.20839181559561834</v>
      </c>
      <c r="R574" s="2">
        <f t="shared" si="182"/>
        <v>-0.20839228342884286</v>
      </c>
      <c r="S574" s="2">
        <f t="shared" si="183"/>
        <v>-0.20529299693525999</v>
      </c>
      <c r="T574" s="9">
        <f t="shared" si="184"/>
        <v>-1436.9661157223159</v>
      </c>
      <c r="U574" s="7">
        <f t="shared" si="185"/>
        <v>17954051.603593033</v>
      </c>
      <c r="W574">
        <f t="shared" si="196"/>
        <v>203760</v>
      </c>
      <c r="X574" s="9">
        <f t="shared" si="200"/>
        <v>1089.4268143442555</v>
      </c>
      <c r="Y574" s="2">
        <f t="shared" si="201"/>
        <v>26918618.913052358</v>
      </c>
      <c r="Z574" s="2">
        <f t="shared" si="186"/>
        <v>-0.30858888172792737</v>
      </c>
      <c r="AA574" s="2">
        <f t="shared" si="187"/>
        <v>-0.31025080590395288</v>
      </c>
      <c r="AB574" s="2">
        <f t="shared" si="188"/>
        <v>-0.31025030971415318</v>
      </c>
      <c r="AC574" s="2">
        <f t="shared" si="189"/>
        <v>-0.31205162365007183</v>
      </c>
      <c r="AD574" s="2">
        <f t="shared" si="190"/>
        <v>977.72825014740283</v>
      </c>
      <c r="AE574" s="10">
        <f t="shared" si="191"/>
        <v>27290706.824660856</v>
      </c>
    </row>
    <row r="575" spans="1:31" x14ac:dyDescent="0.25">
      <c r="A575" s="1">
        <f t="shared" si="192"/>
        <v>2.3624999999999998</v>
      </c>
      <c r="B575" s="7">
        <f t="shared" si="193"/>
        <v>17954051.603593033</v>
      </c>
      <c r="C575" s="7">
        <f t="shared" si="194"/>
        <v>27290706.824660856</v>
      </c>
      <c r="D575" s="7"/>
      <c r="E575" s="7"/>
      <c r="F575" s="7"/>
      <c r="G575" s="7"/>
      <c r="H575" s="7"/>
      <c r="I575" s="7"/>
      <c r="J575" s="7"/>
      <c r="K575" s="7"/>
      <c r="L575" s="1">
        <f t="shared" si="197"/>
        <v>2.3624999999999998</v>
      </c>
      <c r="M575">
        <f t="shared" si="195"/>
        <v>204120</v>
      </c>
      <c r="N575" s="9">
        <f t="shared" si="198"/>
        <v>-1436.9661157223159</v>
      </c>
      <c r="O575" s="7">
        <f t="shared" si="199"/>
        <v>17954051.603593033</v>
      </c>
      <c r="P575" s="2">
        <f t="shared" si="180"/>
        <v>-0.20529301969349203</v>
      </c>
      <c r="Q575" s="2">
        <f t="shared" si="181"/>
        <v>-0.20229159906385402</v>
      </c>
      <c r="R575" s="2">
        <f t="shared" si="182"/>
        <v>-0.20229215800569073</v>
      </c>
      <c r="S575" s="2">
        <f t="shared" si="183"/>
        <v>-0.19938323988435983</v>
      </c>
      <c r="T575" s="9">
        <f t="shared" si="184"/>
        <v>-1509.7967421453322</v>
      </c>
      <c r="U575" s="7">
        <f t="shared" si="185"/>
        <v>17423634.289176855</v>
      </c>
      <c r="W575">
        <f t="shared" si="196"/>
        <v>204120</v>
      </c>
      <c r="X575" s="9">
        <f t="shared" si="200"/>
        <v>977.72825014740283</v>
      </c>
      <c r="Y575" s="2">
        <f t="shared" si="201"/>
        <v>27290706.824660856</v>
      </c>
      <c r="Z575" s="2">
        <f t="shared" si="186"/>
        <v>-0.31205166038863369</v>
      </c>
      <c r="AA575" s="2">
        <f t="shared" si="187"/>
        <v>-0.31399711820433118</v>
      </c>
      <c r="AB575" s="2">
        <f t="shared" si="188"/>
        <v>-0.31399676247821906</v>
      </c>
      <c r="AC575" s="2">
        <f t="shared" si="189"/>
        <v>-0.31608972276325281</v>
      </c>
      <c r="AD575" s="2">
        <f t="shared" si="190"/>
        <v>864.6805014763836</v>
      </c>
      <c r="AE575" s="10">
        <f t="shared" si="191"/>
        <v>27622340.399953138</v>
      </c>
    </row>
    <row r="576" spans="1:31" x14ac:dyDescent="0.25">
      <c r="A576" s="1">
        <f t="shared" si="192"/>
        <v>2.3666666666666667</v>
      </c>
      <c r="B576" s="7">
        <f t="shared" si="193"/>
        <v>17423634.289176855</v>
      </c>
      <c r="C576" s="7">
        <f t="shared" si="194"/>
        <v>27622340.399953138</v>
      </c>
      <c r="D576" s="7"/>
      <c r="E576" s="7"/>
      <c r="F576" s="7"/>
      <c r="G576" s="7"/>
      <c r="H576" s="7"/>
      <c r="I576" s="7"/>
      <c r="J576" s="7"/>
      <c r="K576" s="7"/>
      <c r="L576" s="1">
        <f t="shared" si="197"/>
        <v>2.3666666666666667</v>
      </c>
      <c r="M576">
        <f t="shared" si="195"/>
        <v>204480</v>
      </c>
      <c r="N576" s="9">
        <f t="shared" si="198"/>
        <v>-1509.7967421453322</v>
      </c>
      <c r="O576" s="7">
        <f t="shared" si="199"/>
        <v>17423634.289176855</v>
      </c>
      <c r="P576" s="2">
        <f t="shared" si="180"/>
        <v>-0.1993832631004458</v>
      </c>
      <c r="Q576" s="2">
        <f t="shared" si="181"/>
        <v>-0.19655949371105161</v>
      </c>
      <c r="R576" s="2">
        <f t="shared" si="182"/>
        <v>-0.19656014307643377</v>
      </c>
      <c r="S576" s="2">
        <f t="shared" si="183"/>
        <v>-0.19381674160206255</v>
      </c>
      <c r="T576" s="9">
        <f t="shared" si="184"/>
        <v>-1580.5630988419809</v>
      </c>
      <c r="U576" s="7">
        <f t="shared" si="185"/>
        <v>16867369.517799139</v>
      </c>
      <c r="W576">
        <f t="shared" si="196"/>
        <v>204480</v>
      </c>
      <c r="X576" s="9">
        <f t="shared" si="200"/>
        <v>864.6805014763836</v>
      </c>
      <c r="Y576" s="2">
        <f t="shared" si="201"/>
        <v>27622340.399953138</v>
      </c>
      <c r="Z576" s="2">
        <f t="shared" si="186"/>
        <v>-0.31608975900251857</v>
      </c>
      <c r="AA576" s="2">
        <f t="shared" si="187"/>
        <v>-0.31833541692686806</v>
      </c>
      <c r="AB576" s="2">
        <f t="shared" si="188"/>
        <v>-0.31833520243058055</v>
      </c>
      <c r="AC576" s="2">
        <f t="shared" si="189"/>
        <v>-0.32073797279445804</v>
      </c>
      <c r="AD576" s="2">
        <f t="shared" si="190"/>
        <v>750.07036324567116</v>
      </c>
      <c r="AE576" s="10">
        <f t="shared" si="191"/>
        <v>27912995.555603109</v>
      </c>
    </row>
    <row r="577" spans="1:31" x14ac:dyDescent="0.25">
      <c r="A577" s="1">
        <f t="shared" si="192"/>
        <v>2.3708333333333331</v>
      </c>
      <c r="B577" s="7">
        <f t="shared" si="193"/>
        <v>16867369.517799139</v>
      </c>
      <c r="C577" s="7">
        <f t="shared" si="194"/>
        <v>27912995.555603109</v>
      </c>
      <c r="D577" s="7"/>
      <c r="E577" s="7"/>
      <c r="F577" s="7"/>
      <c r="G577" s="7"/>
      <c r="H577" s="7"/>
      <c r="I577" s="7"/>
      <c r="J577" s="7"/>
      <c r="K577" s="7"/>
      <c r="L577" s="1">
        <f t="shared" si="197"/>
        <v>2.3708333333333331</v>
      </c>
      <c r="M577">
        <f t="shared" si="195"/>
        <v>204840</v>
      </c>
      <c r="N577" s="9">
        <f t="shared" si="198"/>
        <v>-1580.5630988419809</v>
      </c>
      <c r="O577" s="7">
        <f t="shared" si="199"/>
        <v>16867369.517799139</v>
      </c>
      <c r="P577" s="2">
        <f t="shared" si="180"/>
        <v>-0.19381676567712486</v>
      </c>
      <c r="Q577" s="2">
        <f t="shared" si="181"/>
        <v>-0.19114653241727925</v>
      </c>
      <c r="R577" s="2">
        <f t="shared" si="182"/>
        <v>-0.19114727338344084</v>
      </c>
      <c r="S577" s="2">
        <f t="shared" si="183"/>
        <v>-0.18854587398731312</v>
      </c>
      <c r="T577" s="9">
        <f t="shared" si="184"/>
        <v>-1649.3801139179336</v>
      </c>
      <c r="U577" s="7">
        <f t="shared" si="185"/>
        <v>16285979.739502354</v>
      </c>
      <c r="W577">
        <f t="shared" si="196"/>
        <v>204840</v>
      </c>
      <c r="X577" s="9">
        <f t="shared" si="200"/>
        <v>750.07036324567116</v>
      </c>
      <c r="Y577" s="2">
        <f t="shared" si="201"/>
        <v>27912995.555603109</v>
      </c>
      <c r="Z577" s="2">
        <f t="shared" si="186"/>
        <v>-0.32073800916248951</v>
      </c>
      <c r="AA577" s="2">
        <f t="shared" si="187"/>
        <v>-0.32330362823534153</v>
      </c>
      <c r="AB577" s="2">
        <f t="shared" si="188"/>
        <v>-0.32330355879641542</v>
      </c>
      <c r="AC577" s="2">
        <f t="shared" si="189"/>
        <v>-0.3260376167495877</v>
      </c>
      <c r="AD577" s="2">
        <f t="shared" si="190"/>
        <v>633.67096324713566</v>
      </c>
      <c r="AE577" s="10">
        <f t="shared" si="191"/>
        <v>28162068.994371813</v>
      </c>
    </row>
    <row r="578" spans="1:31" x14ac:dyDescent="0.25">
      <c r="A578" s="1">
        <f t="shared" si="192"/>
        <v>2.375</v>
      </c>
      <c r="B578" s="7">
        <f t="shared" si="193"/>
        <v>16285979.739502354</v>
      </c>
      <c r="C578" s="7">
        <f t="shared" si="194"/>
        <v>28162068.994371813</v>
      </c>
      <c r="D578" s="7"/>
      <c r="E578" s="7"/>
      <c r="F578" s="7"/>
      <c r="G578" s="7"/>
      <c r="H578" s="7"/>
      <c r="I578" s="7"/>
      <c r="J578" s="7"/>
      <c r="K578" s="7"/>
      <c r="L578" s="1">
        <f t="shared" si="197"/>
        <v>2.375</v>
      </c>
      <c r="M578">
        <f t="shared" si="195"/>
        <v>205200</v>
      </c>
      <c r="N578" s="9">
        <f t="shared" si="198"/>
        <v>-1649.3801139179336</v>
      </c>
      <c r="O578" s="7">
        <f t="shared" si="199"/>
        <v>16285979.739502354</v>
      </c>
      <c r="P578" s="2">
        <f t="shared" si="180"/>
        <v>-0.18854589933512514</v>
      </c>
      <c r="Q578" s="2">
        <f t="shared" si="181"/>
        <v>-0.18600614937237059</v>
      </c>
      <c r="R578" s="2">
        <f t="shared" si="182"/>
        <v>-0.18600698493964124</v>
      </c>
      <c r="S578" s="2">
        <f t="shared" si="183"/>
        <v>-0.18352486598181791</v>
      </c>
      <c r="T578" s="9">
        <f t="shared" si="184"/>
        <v>-1716.3459359543915</v>
      </c>
      <c r="U578" s="7">
        <f t="shared" si="185"/>
        <v>15680149.050525336</v>
      </c>
      <c r="W578">
        <f t="shared" si="196"/>
        <v>205200</v>
      </c>
      <c r="X578" s="9">
        <f t="shared" si="200"/>
        <v>633.67096324713566</v>
      </c>
      <c r="Y578" s="2">
        <f t="shared" si="201"/>
        <v>28162068.994371813</v>
      </c>
      <c r="Z578" s="2">
        <f t="shared" si="186"/>
        <v>-0.32603765389701583</v>
      </c>
      <c r="AA578" s="2">
        <f t="shared" si="187"/>
        <v>-0.32894654310463772</v>
      </c>
      <c r="AB578" s="2">
        <f t="shared" si="188"/>
        <v>-0.32894662584170609</v>
      </c>
      <c r="AC578" s="2">
        <f t="shared" si="189"/>
        <v>-0.33203726133173639</v>
      </c>
      <c r="AD578" s="2">
        <f t="shared" si="190"/>
        <v>515.23928805984929</v>
      </c>
      <c r="AE578" s="10">
        <f t="shared" si="191"/>
        <v>28368872.839607071</v>
      </c>
    </row>
    <row r="579" spans="1:31" x14ac:dyDescent="0.25">
      <c r="A579" s="1">
        <f t="shared" si="192"/>
        <v>2.3791666666666669</v>
      </c>
      <c r="B579" s="7">
        <f t="shared" si="193"/>
        <v>15680149.050525336</v>
      </c>
      <c r="C579" s="7">
        <f t="shared" si="194"/>
        <v>28368872.839607071</v>
      </c>
      <c r="D579" s="7"/>
      <c r="E579" s="7"/>
      <c r="F579" s="7"/>
      <c r="G579" s="7"/>
      <c r="H579" s="7"/>
      <c r="I579" s="7"/>
      <c r="J579" s="7"/>
      <c r="K579" s="7"/>
      <c r="L579" s="1">
        <f t="shared" si="197"/>
        <v>2.3791666666666669</v>
      </c>
      <c r="M579">
        <f t="shared" si="195"/>
        <v>205560</v>
      </c>
      <c r="N579" s="9">
        <f t="shared" si="198"/>
        <v>-1716.3459359543915</v>
      </c>
      <c r="O579" s="7">
        <f t="shared" si="199"/>
        <v>15680149.050525336</v>
      </c>
      <c r="P579" s="2">
        <f t="shared" si="180"/>
        <v>-0.1835248930457419</v>
      </c>
      <c r="Q579" s="2">
        <f t="shared" si="181"/>
        <v>-0.18109309237919369</v>
      </c>
      <c r="R579" s="2">
        <f t="shared" si="182"/>
        <v>-0.18109402740521369</v>
      </c>
      <c r="S579" s="2">
        <f t="shared" si="183"/>
        <v>-0.17870871127281795</v>
      </c>
      <c r="T579" s="9">
        <f t="shared" si="184"/>
        <v>-1781.5424065876339</v>
      </c>
      <c r="U579" s="7">
        <f t="shared" si="185"/>
        <v>15050529.148867771</v>
      </c>
      <c r="W579">
        <f t="shared" si="196"/>
        <v>205560</v>
      </c>
      <c r="X579" s="9">
        <f t="shared" si="200"/>
        <v>515.23928805984929</v>
      </c>
      <c r="Y579" s="2">
        <f t="shared" si="201"/>
        <v>28368872.839607071</v>
      </c>
      <c r="Z579" s="2">
        <f t="shared" si="186"/>
        <v>-0.33203729996066011</v>
      </c>
      <c r="AA579" s="2">
        <f t="shared" si="187"/>
        <v>-0.33531686508078418</v>
      </c>
      <c r="AB579" s="2">
        <f t="shared" si="188"/>
        <v>-0.33531711078961091</v>
      </c>
      <c r="AC579" s="2">
        <f t="shared" si="189"/>
        <v>-0.33879403201846042</v>
      </c>
      <c r="AD579" s="2">
        <f t="shared" si="190"/>
        <v>394.51333103665468</v>
      </c>
      <c r="AE579" s="10">
        <f t="shared" si="191"/>
        <v>28532628.311044443</v>
      </c>
    </row>
    <row r="580" spans="1:31" x14ac:dyDescent="0.25">
      <c r="A580" s="1">
        <f t="shared" si="192"/>
        <v>2.3833333333333333</v>
      </c>
      <c r="B580" s="7">
        <f t="shared" si="193"/>
        <v>15050529.148867771</v>
      </c>
      <c r="C580" s="7">
        <f t="shared" si="194"/>
        <v>28532628.311044443</v>
      </c>
      <c r="D580" s="7"/>
      <c r="E580" s="7"/>
      <c r="F580" s="7"/>
      <c r="G580" s="7"/>
      <c r="H580" s="7"/>
      <c r="I580" s="7"/>
      <c r="J580" s="7"/>
      <c r="K580" s="7"/>
      <c r="L580" s="1">
        <f t="shared" si="197"/>
        <v>2.3833333333333333</v>
      </c>
      <c r="M580">
        <f t="shared" si="195"/>
        <v>205920</v>
      </c>
      <c r="N580" s="9">
        <f t="shared" si="198"/>
        <v>-1781.5424065876339</v>
      </c>
      <c r="O580" s="7">
        <f t="shared" si="199"/>
        <v>15050529.148867771</v>
      </c>
      <c r="P580" s="2">
        <f t="shared" si="180"/>
        <v>-0.17870874054416885</v>
      </c>
      <c r="Q580" s="2">
        <f t="shared" si="181"/>
        <v>-0.17636231301541552</v>
      </c>
      <c r="R580" s="2">
        <f t="shared" si="182"/>
        <v>-0.17636335432233965</v>
      </c>
      <c r="S580" s="2">
        <f t="shared" si="183"/>
        <v>-0.17405202757308372</v>
      </c>
      <c r="T580" s="9">
        <f t="shared" si="184"/>
        <v>-1845.0351327551996</v>
      </c>
      <c r="U580" s="7">
        <f t="shared" si="185"/>
        <v>14397745.191786062</v>
      </c>
      <c r="W580">
        <f t="shared" si="196"/>
        <v>205920</v>
      </c>
      <c r="X580" s="9">
        <f t="shared" si="200"/>
        <v>394.51333103665468</v>
      </c>
      <c r="Y580" s="2">
        <f t="shared" si="201"/>
        <v>28532628.311044443</v>
      </c>
      <c r="Z580" s="2">
        <f t="shared" si="186"/>
        <v>-0.338794072915718</v>
      </c>
      <c r="AA580" s="2">
        <f t="shared" si="187"/>
        <v>-0.34247648526431368</v>
      </c>
      <c r="AB580" s="2">
        <f t="shared" si="188"/>
        <v>-0.34247690899127697</v>
      </c>
      <c r="AC580" s="2">
        <f t="shared" si="189"/>
        <v>-0.34637498285122603</v>
      </c>
      <c r="AD580" s="2">
        <f t="shared" si="190"/>
        <v>271.20878037996715</v>
      </c>
      <c r="AE580" s="10">
        <f t="shared" si="191"/>
        <v>28652458.291099437</v>
      </c>
    </row>
    <row r="581" spans="1:31" x14ac:dyDescent="0.25">
      <c r="A581" s="1">
        <f t="shared" si="192"/>
        <v>2.3875000000000002</v>
      </c>
      <c r="B581" s="7">
        <f t="shared" si="193"/>
        <v>14397745.191786062</v>
      </c>
      <c r="C581" s="7">
        <f t="shared" si="194"/>
        <v>28652458.291099437</v>
      </c>
      <c r="D581" s="7"/>
      <c r="E581" s="7"/>
      <c r="F581" s="7"/>
      <c r="G581" s="7"/>
      <c r="H581" s="7"/>
      <c r="I581" s="7"/>
      <c r="J581" s="7"/>
      <c r="K581" s="7"/>
      <c r="L581" s="1">
        <f t="shared" si="197"/>
        <v>2.3875000000000002</v>
      </c>
      <c r="M581">
        <f t="shared" si="195"/>
        <v>206280</v>
      </c>
      <c r="N581" s="9">
        <f t="shared" si="198"/>
        <v>-1845.0351327551996</v>
      </c>
      <c r="O581" s="7">
        <f t="shared" si="199"/>
        <v>14397745.191786062</v>
      </c>
      <c r="P581" s="2">
        <f t="shared" si="180"/>
        <v>-0.17405205961221051</v>
      </c>
      <c r="Q581" s="2">
        <f t="shared" si="181"/>
        <v>-0.17176778044739302</v>
      </c>
      <c r="R581" s="2">
        <f t="shared" si="182"/>
        <v>-0.17176893700620116</v>
      </c>
      <c r="S581" s="2">
        <f t="shared" si="183"/>
        <v>-0.16950780940920002</v>
      </c>
      <c r="T581" s="9">
        <f t="shared" si="184"/>
        <v>-1906.8731309909156</v>
      </c>
      <c r="U581" s="7">
        <f t="shared" si="185"/>
        <v>13722401.704311762</v>
      </c>
      <c r="W581">
        <f t="shared" si="196"/>
        <v>206280</v>
      </c>
      <c r="X581" s="9">
        <f t="shared" si="200"/>
        <v>271.20878037996715</v>
      </c>
      <c r="Y581" s="2">
        <f t="shared" si="201"/>
        <v>28652458.291099437</v>
      </c>
      <c r="Z581" s="2">
        <f t="shared" si="186"/>
        <v>-0.34637502692879446</v>
      </c>
      <c r="AA581" s="2">
        <f t="shared" si="187"/>
        <v>-0.35049804292048364</v>
      </c>
      <c r="AB581" s="2">
        <f t="shared" si="188"/>
        <v>-0.3504986647708388</v>
      </c>
      <c r="AC581" s="2">
        <f t="shared" si="189"/>
        <v>-0.35485882692822579</v>
      </c>
      <c r="AD581" s="2">
        <f t="shared" si="190"/>
        <v>145.01514422558722</v>
      </c>
      <c r="AE581" s="10">
        <f t="shared" si="191"/>
        <v>28727378.597528435</v>
      </c>
    </row>
    <row r="582" spans="1:31" x14ac:dyDescent="0.25">
      <c r="A582" s="1">
        <f t="shared" si="192"/>
        <v>2.3916666666666666</v>
      </c>
      <c r="B582" s="7">
        <f t="shared" si="193"/>
        <v>13722401.704311762</v>
      </c>
      <c r="C582" s="7">
        <f t="shared" si="194"/>
        <v>28727378.597528435</v>
      </c>
      <c r="D582" s="7"/>
      <c r="E582" s="7"/>
      <c r="F582" s="7"/>
      <c r="G582" s="7"/>
      <c r="H582" s="7"/>
      <c r="I582" s="7"/>
      <c r="J582" s="7"/>
      <c r="K582" s="7"/>
      <c r="L582" s="1">
        <f t="shared" si="197"/>
        <v>2.3916666666666666</v>
      </c>
      <c r="M582">
        <f t="shared" si="195"/>
        <v>206640</v>
      </c>
      <c r="N582" s="9">
        <f t="shared" si="198"/>
        <v>-1906.8731309909156</v>
      </c>
      <c r="O582" s="7">
        <f t="shared" si="199"/>
        <v>13722401.704311762</v>
      </c>
      <c r="P582" s="2">
        <f t="shared" si="180"/>
        <v>-0.16950784487082629</v>
      </c>
      <c r="Q582" s="2">
        <f t="shared" si="181"/>
        <v>-0.16726115571932604</v>
      </c>
      <c r="R582" s="2">
        <f t="shared" si="182"/>
        <v>-0.16726243892004222</v>
      </c>
      <c r="S582" s="2">
        <f t="shared" si="183"/>
        <v>-0.16502600473297724</v>
      </c>
      <c r="T582" s="9">
        <f t="shared" si="184"/>
        <v>-1967.087993323868</v>
      </c>
      <c r="U582" s="7">
        <f t="shared" si="185"/>
        <v>13025088.701935101</v>
      </c>
      <c r="W582">
        <f t="shared" si="196"/>
        <v>206640</v>
      </c>
      <c r="X582" s="9">
        <f t="shared" si="200"/>
        <v>145.01514422558722</v>
      </c>
      <c r="Y582" s="2">
        <f t="shared" si="201"/>
        <v>28727378.597528435</v>
      </c>
      <c r="Z582" s="2">
        <f t="shared" si="186"/>
        <v>-0.35485887527438259</v>
      </c>
      <c r="AA582" s="2">
        <f t="shared" si="187"/>
        <v>-0.35946684650339872</v>
      </c>
      <c r="AB582" s="2">
        <f t="shared" si="188"/>
        <v>-0.35946769275366958</v>
      </c>
      <c r="AC582" s="2">
        <f t="shared" si="189"/>
        <v>-0.36433807267171059</v>
      </c>
      <c r="AD582" s="2">
        <f t="shared" si="190"/>
        <v>15.591182637973446</v>
      </c>
      <c r="AE582" s="10">
        <f t="shared" si="191"/>
        <v>28756287.736363877</v>
      </c>
    </row>
    <row r="583" spans="1:31" x14ac:dyDescent="0.25">
      <c r="A583" s="1">
        <f t="shared" si="192"/>
        <v>2.3958333333333335</v>
      </c>
      <c r="B583" s="7">
        <f t="shared" si="193"/>
        <v>13025088.701935101</v>
      </c>
      <c r="C583" s="7">
        <f t="shared" si="194"/>
        <v>28756287.736363877</v>
      </c>
      <c r="D583" s="7"/>
      <c r="E583" s="7"/>
      <c r="F583" s="7"/>
      <c r="G583" s="7"/>
      <c r="H583" s="7"/>
      <c r="I583" s="7"/>
      <c r="J583" s="7"/>
      <c r="K583" s="7"/>
      <c r="L583" s="1">
        <f t="shared" si="197"/>
        <v>2.3958333333333335</v>
      </c>
      <c r="M583">
        <f t="shared" si="195"/>
        <v>207000</v>
      </c>
      <c r="N583" s="9">
        <f t="shared" si="198"/>
        <v>-1967.087993323868</v>
      </c>
      <c r="O583" s="7">
        <f t="shared" si="199"/>
        <v>13025088.701935101</v>
      </c>
      <c r="P583" s="2">
        <f t="shared" si="180"/>
        <v>-0.16502604439775903</v>
      </c>
      <c r="Q583" s="2">
        <f t="shared" si="181"/>
        <v>-0.16279024868684536</v>
      </c>
      <c r="R583" s="2">
        <f t="shared" si="182"/>
        <v>-0.16279167270863945</v>
      </c>
      <c r="S583" s="2">
        <f t="shared" si="183"/>
        <v>-0.16055182748354704</v>
      </c>
      <c r="T583" s="9">
        <f t="shared" si="184"/>
        <v>-2025.6924962042044</v>
      </c>
      <c r="U583" s="7">
        <f t="shared" si="185"/>
        <v>12306388.213820048</v>
      </c>
      <c r="W583">
        <f t="shared" si="196"/>
        <v>207000</v>
      </c>
      <c r="X583" s="9">
        <f t="shared" si="200"/>
        <v>15.591182637973446</v>
      </c>
      <c r="Y583" s="2">
        <f t="shared" si="201"/>
        <v>28756287.736363877</v>
      </c>
      <c r="Z583" s="2">
        <f t="shared" si="186"/>
        <v>-0.36433812661796977</v>
      </c>
      <c r="AA583" s="2">
        <f t="shared" si="187"/>
        <v>-0.36948325208962379</v>
      </c>
      <c r="AB583" s="2">
        <f t="shared" si="188"/>
        <v>-0.36948435670439711</v>
      </c>
      <c r="AC583" s="2">
        <f t="shared" si="189"/>
        <v>-0.37492167683072486</v>
      </c>
      <c r="AD583" s="2">
        <f t="shared" si="190"/>
        <v>-117.44051862423075</v>
      </c>
      <c r="AE583" s="10">
        <f t="shared" si="191"/>
        <v>28737954.855886351</v>
      </c>
    </row>
    <row r="584" spans="1:31" x14ac:dyDescent="0.25">
      <c r="A584" s="1">
        <f t="shared" si="192"/>
        <v>2.4</v>
      </c>
      <c r="B584" s="7">
        <f t="shared" si="193"/>
        <v>12306388.213820048</v>
      </c>
      <c r="C584" s="7">
        <f t="shared" si="194"/>
        <v>28737954.855886351</v>
      </c>
      <c r="D584" s="7"/>
      <c r="E584" s="7"/>
      <c r="F584" s="7"/>
      <c r="G584" s="7"/>
      <c r="H584" s="7"/>
      <c r="I584" s="7"/>
      <c r="J584" s="7"/>
      <c r="K584" s="7"/>
      <c r="L584" s="1">
        <f t="shared" si="197"/>
        <v>2.4</v>
      </c>
      <c r="M584">
        <f t="shared" si="195"/>
        <v>207360</v>
      </c>
      <c r="N584" s="9">
        <f t="shared" si="198"/>
        <v>-2025.6924962042044</v>
      </c>
      <c r="O584" s="7">
        <f t="shared" si="199"/>
        <v>12306388.213820048</v>
      </c>
      <c r="P584" s="2">
        <f t="shared" ref="P584:P647" si="202">dvdt_x($O584,$Y584)</f>
        <v>-0.16055187229845636</v>
      </c>
      <c r="Q584" s="2">
        <f t="shared" ref="Q584:Q647" si="203">dvdt_x($O584+h/4*($N584+($N584+h/2*P584)),$Y584+h/4*($X584+($X584+h/2*Z584)))</f>
        <v>-0.15829715741996397</v>
      </c>
      <c r="R584" s="2">
        <f t="shared" ref="R584:R647" si="204">dvdt_x($O584+h/4*($N584+($N584+h/2*Q584)),$Y584+h/4*($X584+($X584+h/2*AA584)))</f>
        <v>-0.15829873972110925</v>
      </c>
      <c r="S584" s="2">
        <f t="shared" ref="S584:S647" si="205">dvdt_x($O584+h/2*($N584+($N584+h*R584)),$Y584+h/2*($X584+($X584+h*AB584)))</f>
        <v>-0.15602369094920129</v>
      </c>
      <c r="T584" s="9">
        <f t="shared" ref="T584:T647" si="206">N584+h/6*(P584+2*Q584+2*R584+S584)</f>
        <v>-2082.6785376559928</v>
      </c>
      <c r="U584" s="7">
        <f t="shared" ref="U584:U647" si="207">O584+h/2*(N584+T584)</f>
        <v>11566881.427725213</v>
      </c>
      <c r="W584">
        <f t="shared" si="196"/>
        <v>207360</v>
      </c>
      <c r="X584" s="9">
        <f t="shared" si="200"/>
        <v>-117.44051862423075</v>
      </c>
      <c r="Y584" s="2">
        <f t="shared" si="201"/>
        <v>28737954.855886351</v>
      </c>
      <c r="Z584" s="2">
        <f t="shared" ref="Z584:Z647" si="208">dvdt_y($O584,$Y584)</f>
        <v>-0.37492173804168105</v>
      </c>
      <c r="AA584" s="2">
        <f t="shared" ref="AA584:AA647" si="209">dvdt_y($O584+h/4*($N584+($N584+h/2*P584)),$Y584+h/4*($X584+($X584+h/2*Z584)))</f>
        <v>-0.38066562641217183</v>
      </c>
      <c r="AB584" s="2">
        <f t="shared" ref="AB584:AB647" si="210">dvdt_y($O584+h/4*($N584+($N584+h/2*Q584)),$Y584+h/4*($X584+($X584+h/2*AA584)))</f>
        <v>-0.38066703311014666</v>
      </c>
      <c r="AC584" s="2">
        <f t="shared" ref="AC584:AC647" si="211">dvdt_y($O584+h/2*($N584+($N584+h*R584)),$Y584+h/2*($X584+($X584+h*AB584)))</f>
        <v>-0.3867383604833452</v>
      </c>
      <c r="AD584" s="2">
        <f t="shared" ref="AD584:AD647" si="212">X584+h/6*(Z584+2*AA584+2*AB584+AC584)</f>
        <v>-254.50004367841055</v>
      </c>
      <c r="AE584" s="10">
        <f t="shared" ref="AE584:AE647" si="213">Y584+h/2*(X584+AD584)</f>
        <v>28671005.554671876</v>
      </c>
    </row>
    <row r="585" spans="1:31" x14ac:dyDescent="0.25">
      <c r="A585" s="1">
        <f t="shared" ref="A585:A648" si="214">L585</f>
        <v>2.4041666666666668</v>
      </c>
      <c r="B585" s="7">
        <f t="shared" ref="B585:B648" si="215">O585</f>
        <v>11566881.427725213</v>
      </c>
      <c r="C585" s="7">
        <f t="shared" ref="C585:C648" si="216">Y585</f>
        <v>28671005.554671876</v>
      </c>
      <c r="D585" s="7"/>
      <c r="E585" s="7"/>
      <c r="F585" s="7"/>
      <c r="G585" s="7"/>
      <c r="H585" s="7"/>
      <c r="I585" s="7"/>
      <c r="J585" s="7"/>
      <c r="K585" s="7"/>
      <c r="L585" s="1">
        <f t="shared" si="197"/>
        <v>2.4041666666666668</v>
      </c>
      <c r="M585">
        <f t="shared" ref="M585:M648" si="217">M584+h</f>
        <v>207720</v>
      </c>
      <c r="N585" s="9">
        <f t="shared" si="198"/>
        <v>-2082.6785376559928</v>
      </c>
      <c r="O585" s="7">
        <f t="shared" si="199"/>
        <v>11566881.427725213</v>
      </c>
      <c r="P585" s="2">
        <f t="shared" si="202"/>
        <v>-0.15602374208030087</v>
      </c>
      <c r="Q585" s="2">
        <f t="shared" si="203"/>
        <v>-0.15371595671577948</v>
      </c>
      <c r="R585" s="2">
        <f t="shared" si="204"/>
        <v>-0.15371771867059245</v>
      </c>
      <c r="S585" s="2">
        <f t="shared" si="205"/>
        <v>-0.15137060647889983</v>
      </c>
      <c r="T585" s="9">
        <f t="shared" si="206"/>
        <v>-2138.0142396159094</v>
      </c>
      <c r="U585" s="7">
        <f t="shared" si="207"/>
        <v>10807156.727816271</v>
      </c>
      <c r="W585">
        <f t="shared" ref="W585:W648" si="218">W584+h</f>
        <v>207720</v>
      </c>
      <c r="X585" s="9">
        <f t="shared" si="200"/>
        <v>-254.50004367841055</v>
      </c>
      <c r="Y585" s="2">
        <f t="shared" si="201"/>
        <v>28671005.554671876</v>
      </c>
      <c r="Z585" s="2">
        <f t="shared" si="208"/>
        <v>-0.38673843107984096</v>
      </c>
      <c r="AA585" s="2">
        <f t="shared" si="209"/>
        <v>-0.39315406300252431</v>
      </c>
      <c r="AB585" s="2">
        <f t="shared" si="210"/>
        <v>-0.39315582808227373</v>
      </c>
      <c r="AC585" s="2">
        <f t="shared" si="211"/>
        <v>-0.39994078280520634</v>
      </c>
      <c r="AD585" s="2">
        <f t="shared" si="212"/>
        <v>-396.0579834416892</v>
      </c>
      <c r="AE585" s="10">
        <f t="shared" si="213"/>
        <v>28553905.109790258</v>
      </c>
    </row>
    <row r="586" spans="1:31" x14ac:dyDescent="0.25">
      <c r="A586" s="1">
        <f t="shared" si="214"/>
        <v>2.4083333333333332</v>
      </c>
      <c r="B586" s="7">
        <f t="shared" si="215"/>
        <v>10807156.727816271</v>
      </c>
      <c r="C586" s="7">
        <f t="shared" si="216"/>
        <v>28553905.109790258</v>
      </c>
      <c r="D586" s="7"/>
      <c r="E586" s="7"/>
      <c r="F586" s="7"/>
      <c r="G586" s="7"/>
      <c r="H586" s="7"/>
      <c r="I586" s="7"/>
      <c r="J586" s="7"/>
      <c r="K586" s="7"/>
      <c r="L586" s="1">
        <f t="shared" ref="L586:L649" si="219">M586/(24*3600)</f>
        <v>2.4083333333333332</v>
      </c>
      <c r="M586">
        <f t="shared" si="217"/>
        <v>208080</v>
      </c>
      <c r="N586" s="9">
        <f t="shared" si="198"/>
        <v>-2138.0142396159094</v>
      </c>
      <c r="O586" s="7">
        <f t="shared" si="199"/>
        <v>10807156.727816271</v>
      </c>
      <c r="P586" s="2">
        <f t="shared" si="202"/>
        <v>-0.15137066538151928</v>
      </c>
      <c r="Q586" s="2">
        <f t="shared" si="203"/>
        <v>-0.14896975343628518</v>
      </c>
      <c r="R586" s="2">
        <f t="shared" si="204"/>
        <v>-0.14897172115470933</v>
      </c>
      <c r="S586" s="2">
        <f t="shared" si="205"/>
        <v>-0.14650883265610962</v>
      </c>
      <c r="T586" s="9">
        <f t="shared" si="206"/>
        <v>-2191.6399864490863</v>
      </c>
      <c r="U586" s="7">
        <f t="shared" si="207"/>
        <v>10027818.967124572</v>
      </c>
      <c r="W586">
        <f t="shared" si="218"/>
        <v>208080</v>
      </c>
      <c r="X586" s="9">
        <f t="shared" si="200"/>
        <v>-396.0579834416892</v>
      </c>
      <c r="Y586" s="2">
        <f t="shared" si="201"/>
        <v>28553905.109790258</v>
      </c>
      <c r="Z586" s="2">
        <f t="shared" si="208"/>
        <v>-0.39994086553633956</v>
      </c>
      <c r="AA586" s="2">
        <f t="shared" si="209"/>
        <v>-0.40711507696106597</v>
      </c>
      <c r="AB586" s="2">
        <f t="shared" si="210"/>
        <v>-0.4071172731953131</v>
      </c>
      <c r="AC586" s="2">
        <f t="shared" si="211"/>
        <v>-0.4147108346230477</v>
      </c>
      <c r="AD586" s="2">
        <f t="shared" si="212"/>
        <v>-542.64496747001795</v>
      </c>
      <c r="AE586" s="10">
        <f t="shared" si="213"/>
        <v>28384938.578626152</v>
      </c>
    </row>
    <row r="587" spans="1:31" x14ac:dyDescent="0.25">
      <c r="A587" s="1">
        <f t="shared" si="214"/>
        <v>2.4125000000000001</v>
      </c>
      <c r="B587" s="7">
        <f t="shared" si="215"/>
        <v>10027818.967124572</v>
      </c>
      <c r="C587" s="7">
        <f t="shared" si="216"/>
        <v>28384938.578626152</v>
      </c>
      <c r="D587" s="7"/>
      <c r="E587" s="7"/>
      <c r="F587" s="7"/>
      <c r="G587" s="7"/>
      <c r="H587" s="7"/>
      <c r="I587" s="7"/>
      <c r="J587" s="7"/>
      <c r="K587" s="7"/>
      <c r="L587" s="1">
        <f t="shared" si="219"/>
        <v>2.4125000000000001</v>
      </c>
      <c r="M587">
        <f t="shared" si="217"/>
        <v>208440</v>
      </c>
      <c r="N587" s="9">
        <f t="shared" si="198"/>
        <v>-2191.6399864490863</v>
      </c>
      <c r="O587" s="7">
        <f t="shared" si="199"/>
        <v>10027818.967124572</v>
      </c>
      <c r="P587" s="2">
        <f t="shared" si="202"/>
        <v>-0.14650890116956578</v>
      </c>
      <c r="Q587" s="2">
        <f t="shared" si="203"/>
        <v>-0.14396685406967485</v>
      </c>
      <c r="R587" s="2">
        <f t="shared" si="204"/>
        <v>-0.1439690594451023</v>
      </c>
      <c r="S587" s="2">
        <f t="shared" si="205"/>
        <v>-0.14133747187616325</v>
      </c>
      <c r="T587" s="9">
        <f t="shared" si="206"/>
        <v>-2243.4630784536034</v>
      </c>
      <c r="U587" s="7">
        <f t="shared" si="207"/>
        <v>9229500.4154420886</v>
      </c>
      <c r="W587">
        <f t="shared" si="218"/>
        <v>208440</v>
      </c>
      <c r="X587" s="9">
        <f t="shared" si="200"/>
        <v>-542.64496747001795</v>
      </c>
      <c r="Y587" s="2">
        <f t="shared" si="201"/>
        <v>28384938.578626152</v>
      </c>
      <c r="Z587" s="2">
        <f t="shared" si="208"/>
        <v>-0.41471093311057305</v>
      </c>
      <c r="AA587" s="2">
        <f t="shared" si="209"/>
        <v>-0.42274758332323142</v>
      </c>
      <c r="AB587" s="2">
        <f t="shared" si="210"/>
        <v>-0.42275030538052621</v>
      </c>
      <c r="AC587" s="2">
        <f t="shared" si="211"/>
        <v>-0.43126640799351429</v>
      </c>
      <c r="AD587" s="2">
        <f t="shared" si="212"/>
        <v>-694.86335458071414</v>
      </c>
      <c r="AE587" s="10">
        <f t="shared" si="213"/>
        <v>28162187.08065702</v>
      </c>
    </row>
    <row r="588" spans="1:31" x14ac:dyDescent="0.25">
      <c r="A588" s="1">
        <f t="shared" si="214"/>
        <v>2.4166666666666665</v>
      </c>
      <c r="B588" s="7">
        <f t="shared" si="215"/>
        <v>9229500.4154420886</v>
      </c>
      <c r="C588" s="7">
        <f t="shared" si="216"/>
        <v>28162187.08065702</v>
      </c>
      <c r="D588" s="7"/>
      <c r="E588" s="7"/>
      <c r="F588" s="7"/>
      <c r="G588" s="7"/>
      <c r="H588" s="7"/>
      <c r="I588" s="7"/>
      <c r="J588" s="7"/>
      <c r="K588" s="7"/>
      <c r="L588" s="1">
        <f t="shared" si="219"/>
        <v>2.4166666666666665</v>
      </c>
      <c r="M588">
        <f t="shared" si="217"/>
        <v>208800</v>
      </c>
      <c r="N588" s="9">
        <f t="shared" si="198"/>
        <v>-2243.4630784536034</v>
      </c>
      <c r="O588" s="7">
        <f t="shared" si="199"/>
        <v>9229500.4154420886</v>
      </c>
      <c r="P588" s="2">
        <f t="shared" si="202"/>
        <v>-0.14133755235337481</v>
      </c>
      <c r="Q588" s="2">
        <f t="shared" si="203"/>
        <v>-0.13859568213307313</v>
      </c>
      <c r="R588" s="2">
        <f t="shared" si="204"/>
        <v>-0.13859816417466972</v>
      </c>
      <c r="S588" s="2">
        <f t="shared" si="205"/>
        <v>-0.13573257912042927</v>
      </c>
      <c r="T588" s="9">
        <f t="shared" si="206"/>
        <v>-2293.3505478989609</v>
      </c>
      <c r="U588" s="7">
        <f t="shared" si="207"/>
        <v>8412873.9626986273</v>
      </c>
      <c r="W588">
        <f t="shared" si="218"/>
        <v>208800</v>
      </c>
      <c r="X588" s="9">
        <f t="shared" si="200"/>
        <v>-694.86335458071414</v>
      </c>
      <c r="Y588" s="2">
        <f t="shared" si="201"/>
        <v>28162187.08065702</v>
      </c>
      <c r="Z588" s="2">
        <f t="shared" si="208"/>
        <v>-0.43126652708506757</v>
      </c>
      <c r="AA588" s="2">
        <f t="shared" si="209"/>
        <v>-0.44029057590673526</v>
      </c>
      <c r="AB588" s="2">
        <f t="shared" si="210"/>
        <v>-0.44029394799261978</v>
      </c>
      <c r="AC588" s="2">
        <f t="shared" si="211"/>
        <v>-0.44987013155913774</v>
      </c>
      <c r="AD588" s="2">
        <f t="shared" si="212"/>
        <v>-853.40169696728913</v>
      </c>
      <c r="AE588" s="10">
        <f t="shared" si="213"/>
        <v>27883499.371378381</v>
      </c>
    </row>
    <row r="589" spans="1:31" x14ac:dyDescent="0.25">
      <c r="A589" s="1">
        <f t="shared" si="214"/>
        <v>2.4208333333333334</v>
      </c>
      <c r="B589" s="7">
        <f t="shared" si="215"/>
        <v>8412873.9626986273</v>
      </c>
      <c r="C589" s="7">
        <f t="shared" si="216"/>
        <v>27883499.371378381</v>
      </c>
      <c r="D589" s="7"/>
      <c r="E589" s="7"/>
      <c r="F589" s="7"/>
      <c r="G589" s="7"/>
      <c r="H589" s="7"/>
      <c r="I589" s="7"/>
      <c r="J589" s="7"/>
      <c r="K589" s="7"/>
      <c r="L589" s="1">
        <f t="shared" si="219"/>
        <v>2.4208333333333334</v>
      </c>
      <c r="M589">
        <f t="shared" si="217"/>
        <v>209160</v>
      </c>
      <c r="N589" s="9">
        <f t="shared" si="198"/>
        <v>-2293.3505478989609</v>
      </c>
      <c r="O589" s="7">
        <f t="shared" si="199"/>
        <v>8412873.9626986273</v>
      </c>
      <c r="P589" s="2">
        <f t="shared" si="202"/>
        <v>-0.13573267460761521</v>
      </c>
      <c r="Q589" s="2">
        <f t="shared" si="203"/>
        <v>-0.13271792047236411</v>
      </c>
      <c r="R589" s="2">
        <f t="shared" si="204"/>
        <v>-0.13272072698742399</v>
      </c>
      <c r="S589" s="2">
        <f t="shared" si="205"/>
        <v>-0.12953914700323382</v>
      </c>
      <c r="T589" s="9">
        <f t="shared" si="206"/>
        <v>-2341.1194948907864</v>
      </c>
      <c r="U589" s="7">
        <f t="shared" si="207"/>
        <v>7578669.3549964726</v>
      </c>
      <c r="W589">
        <f t="shared" si="218"/>
        <v>209160</v>
      </c>
      <c r="X589" s="9">
        <f t="shared" si="200"/>
        <v>-853.40169696728913</v>
      </c>
      <c r="Y589" s="2">
        <f t="shared" si="201"/>
        <v>27883499.371378381</v>
      </c>
      <c r="Z589" s="2">
        <f t="shared" si="208"/>
        <v>-0.44987027784770378</v>
      </c>
      <c r="AA589" s="2">
        <f t="shared" si="209"/>
        <v>-0.4600330830507553</v>
      </c>
      <c r="AB589" s="2">
        <f t="shared" si="210"/>
        <v>-0.46003726982978232</v>
      </c>
      <c r="AC589" s="2">
        <f t="shared" si="211"/>
        <v>-0.47084075294042504</v>
      </c>
      <c r="AD589" s="2">
        <f t="shared" si="212"/>
        <v>-1019.0528011602414</v>
      </c>
      <c r="AE589" s="10">
        <f t="shared" si="213"/>
        <v>27546457.561715424</v>
      </c>
    </row>
    <row r="590" spans="1:31" x14ac:dyDescent="0.25">
      <c r="A590" s="1">
        <f t="shared" si="214"/>
        <v>2.4249999999999998</v>
      </c>
      <c r="B590" s="7">
        <f t="shared" si="215"/>
        <v>7578669.3549964726</v>
      </c>
      <c r="C590" s="7">
        <f t="shared" si="216"/>
        <v>27546457.561715424</v>
      </c>
      <c r="D590" s="7"/>
      <c r="E590" s="7"/>
      <c r="F590" s="7"/>
      <c r="G590" s="7"/>
      <c r="H590" s="7"/>
      <c r="I590" s="7"/>
      <c r="J590" s="7"/>
      <c r="K590" s="7"/>
      <c r="L590" s="1">
        <f t="shared" si="219"/>
        <v>2.4249999999999998</v>
      </c>
      <c r="M590">
        <f t="shared" si="217"/>
        <v>209520</v>
      </c>
      <c r="N590" s="9">
        <f t="shared" ref="N590:N628" si="220">T589</f>
        <v>-2341.1194948907864</v>
      </c>
      <c r="O590" s="7">
        <f t="shared" ref="O590:O628" si="221">U589</f>
        <v>7578669.3549964726</v>
      </c>
      <c r="P590" s="2">
        <f t="shared" si="202"/>
        <v>-0.12953926149228115</v>
      </c>
      <c r="Q590" s="2">
        <f t="shared" si="203"/>
        <v>-0.12615910472827754</v>
      </c>
      <c r="R590" s="2">
        <f t="shared" si="204"/>
        <v>-0.12616229442230689</v>
      </c>
      <c r="S590" s="2">
        <f t="shared" si="205"/>
        <v>-0.12256002147866367</v>
      </c>
      <c r="T590" s="9">
        <f t="shared" si="206"/>
        <v>-2386.5240197671133</v>
      </c>
      <c r="U590" s="7">
        <f t="shared" si="207"/>
        <v>6727693.5223580506</v>
      </c>
      <c r="W590">
        <f t="shared" si="218"/>
        <v>209520</v>
      </c>
      <c r="X590" s="9">
        <f t="shared" ref="X590:X628" si="222">AD589</f>
        <v>-1019.0528011602414</v>
      </c>
      <c r="Y590" s="2">
        <f t="shared" ref="Y590:Y628" si="223">AE589</f>
        <v>27546457.561715424</v>
      </c>
      <c r="Z590" s="2">
        <f t="shared" si="208"/>
        <v>-0.47084093554240292</v>
      </c>
      <c r="AA590" s="2">
        <f t="shared" si="209"/>
        <v>-0.48232720692099618</v>
      </c>
      <c r="AB590" s="2">
        <f t="shared" si="210"/>
        <v>-0.48233242937764259</v>
      </c>
      <c r="AC590" s="2">
        <f t="shared" si="211"/>
        <v>-0.49456812771280717</v>
      </c>
      <c r="AD590" s="2">
        <f t="shared" si="212"/>
        <v>-1192.7365013113906</v>
      </c>
      <c r="AE590" s="10">
        <f t="shared" si="213"/>
        <v>27148335.48727053</v>
      </c>
    </row>
    <row r="591" spans="1:31" x14ac:dyDescent="0.25">
      <c r="A591" s="1">
        <f t="shared" si="214"/>
        <v>2.4291666666666667</v>
      </c>
      <c r="B591" s="7">
        <f t="shared" si="215"/>
        <v>6727693.5223580506</v>
      </c>
      <c r="C591" s="7">
        <f t="shared" si="216"/>
        <v>27148335.48727053</v>
      </c>
      <c r="D591" s="7"/>
      <c r="E591" s="7"/>
      <c r="F591" s="7"/>
      <c r="G591" s="7"/>
      <c r="H591" s="7"/>
      <c r="I591" s="7"/>
      <c r="J591" s="7"/>
      <c r="K591" s="7"/>
      <c r="L591" s="1">
        <f t="shared" si="219"/>
        <v>2.4291666666666667</v>
      </c>
      <c r="M591">
        <f t="shared" si="217"/>
        <v>209880</v>
      </c>
      <c r="N591" s="9">
        <f t="shared" si="220"/>
        <v>-2386.5240197671133</v>
      </c>
      <c r="O591" s="7">
        <f t="shared" si="221"/>
        <v>6727693.5223580506</v>
      </c>
      <c r="P591" s="2">
        <f t="shared" si="202"/>
        <v>-0.12256016026612646</v>
      </c>
      <c r="Q591" s="2">
        <f t="shared" si="203"/>
        <v>-0.11869550706678585</v>
      </c>
      <c r="R591" s="2">
        <f t="shared" si="204"/>
        <v>-0.11869915211045402</v>
      </c>
      <c r="S591" s="2">
        <f t="shared" si="205"/>
        <v>-0.11454031621486252</v>
      </c>
      <c r="T591" s="9">
        <f t="shared" si="206"/>
        <v>-2429.2374074572413</v>
      </c>
      <c r="U591" s="7">
        <f t="shared" si="207"/>
        <v>5860856.4654576667</v>
      </c>
      <c r="W591">
        <f t="shared" si="218"/>
        <v>209880</v>
      </c>
      <c r="X591" s="9">
        <f t="shared" si="222"/>
        <v>-1192.7365013113906</v>
      </c>
      <c r="Y591" s="2">
        <f t="shared" si="223"/>
        <v>27148335.48727053</v>
      </c>
      <c r="Z591" s="2">
        <f t="shared" si="208"/>
        <v>-0.49456835945645594</v>
      </c>
      <c r="AA591" s="2">
        <f t="shared" si="209"/>
        <v>-0.50760538989563209</v>
      </c>
      <c r="AB591" s="2">
        <f t="shared" si="210"/>
        <v>-0.50761194877746796</v>
      </c>
      <c r="AC591" s="2">
        <f t="shared" si="211"/>
        <v>-0.52153318452922348</v>
      </c>
      <c r="AD591" s="2">
        <f t="shared" si="212"/>
        <v>-1375.5286745913033</v>
      </c>
      <c r="AE591" s="10">
        <f t="shared" si="213"/>
        <v>26686047.755608045</v>
      </c>
    </row>
    <row r="592" spans="1:31" x14ac:dyDescent="0.25">
      <c r="A592" s="1">
        <f t="shared" si="214"/>
        <v>2.4333333333333331</v>
      </c>
      <c r="B592" s="7">
        <f t="shared" si="215"/>
        <v>5860856.4654576667</v>
      </c>
      <c r="C592" s="7">
        <f t="shared" si="216"/>
        <v>26686047.755608045</v>
      </c>
      <c r="D592" s="7"/>
      <c r="E592" s="7"/>
      <c r="F592" s="7"/>
      <c r="G592" s="7"/>
      <c r="H592" s="7"/>
      <c r="I592" s="7"/>
      <c r="J592" s="7"/>
      <c r="K592" s="7"/>
      <c r="L592" s="1">
        <f t="shared" si="219"/>
        <v>2.4333333333333331</v>
      </c>
      <c r="M592">
        <f t="shared" si="217"/>
        <v>210240</v>
      </c>
      <c r="N592" s="9">
        <f t="shared" si="220"/>
        <v>-2429.2374074572413</v>
      </c>
      <c r="O592" s="7">
        <f t="shared" si="221"/>
        <v>5860856.4654576667</v>
      </c>
      <c r="P592" s="2">
        <f t="shared" si="202"/>
        <v>-0.11454048641922104</v>
      </c>
      <c r="Q592" s="2">
        <f t="shared" si="203"/>
        <v>-0.11003553534468198</v>
      </c>
      <c r="R592" s="2">
        <f t="shared" si="204"/>
        <v>-0.11003972438579009</v>
      </c>
      <c r="S592" s="2">
        <f t="shared" si="205"/>
        <v>-0.10514511453179835</v>
      </c>
      <c r="T592" s="9">
        <f t="shared" si="206"/>
        <v>-2468.827574681959</v>
      </c>
      <c r="U592" s="7">
        <f t="shared" si="207"/>
        <v>4979204.7686726106</v>
      </c>
      <c r="W592">
        <f t="shared" si="218"/>
        <v>210240</v>
      </c>
      <c r="X592" s="9">
        <f t="shared" si="222"/>
        <v>-1375.5286745913033</v>
      </c>
      <c r="Y592" s="2">
        <f t="shared" si="223"/>
        <v>26686047.755608045</v>
      </c>
      <c r="Z592" s="2">
        <f t="shared" si="208"/>
        <v>-0.52153348380887543</v>
      </c>
      <c r="AA592" s="2">
        <f t="shared" si="209"/>
        <v>-0.53640355130620765</v>
      </c>
      <c r="AB592" s="2">
        <f t="shared" si="210"/>
        <v>-0.53641186245884387</v>
      </c>
      <c r="AC592" s="2">
        <f t="shared" si="211"/>
        <v>-0.55233484887018447</v>
      </c>
      <c r="AD592" s="2">
        <f t="shared" si="212"/>
        <v>-1568.6986242038531</v>
      </c>
      <c r="AE592" s="10">
        <f t="shared" si="213"/>
        <v>26156086.841824915</v>
      </c>
    </row>
    <row r="593" spans="1:31" x14ac:dyDescent="0.25">
      <c r="A593" s="1">
        <f t="shared" si="214"/>
        <v>2.4375</v>
      </c>
      <c r="B593" s="7">
        <f t="shared" si="215"/>
        <v>4979204.7686726106</v>
      </c>
      <c r="C593" s="7">
        <f t="shared" si="216"/>
        <v>26156086.841824915</v>
      </c>
      <c r="D593" s="7"/>
      <c r="E593" s="7"/>
      <c r="F593" s="7"/>
      <c r="G593" s="7"/>
      <c r="H593" s="7"/>
      <c r="I593" s="7"/>
      <c r="J593" s="7"/>
      <c r="K593" s="7"/>
      <c r="L593" s="1">
        <f t="shared" si="219"/>
        <v>2.4375</v>
      </c>
      <c r="M593">
        <f t="shared" si="217"/>
        <v>210600</v>
      </c>
      <c r="N593" s="9">
        <f t="shared" si="220"/>
        <v>-2468.827574681959</v>
      </c>
      <c r="O593" s="7">
        <f t="shared" si="221"/>
        <v>4979204.7686726106</v>
      </c>
      <c r="P593" s="2">
        <f t="shared" si="202"/>
        <v>-0.10514532584811127</v>
      </c>
      <c r="Q593" s="2">
        <f t="shared" si="203"/>
        <v>-9.9792878974772833E-2</v>
      </c>
      <c r="R593" s="2">
        <f t="shared" si="204"/>
        <v>-9.9797720377005558E-2</v>
      </c>
      <c r="S593" s="2">
        <f t="shared" si="205"/>
        <v>-9.3926972234735673E-2</v>
      </c>
      <c r="T593" s="9">
        <f t="shared" si="206"/>
        <v>-2504.7227844891431</v>
      </c>
      <c r="U593" s="7">
        <f t="shared" si="207"/>
        <v>4083965.7040218124</v>
      </c>
      <c r="W593">
        <f t="shared" si="218"/>
        <v>210600</v>
      </c>
      <c r="X593" s="9">
        <f t="shared" si="222"/>
        <v>-1568.6986242038531</v>
      </c>
      <c r="Y593" s="2">
        <f t="shared" si="223"/>
        <v>26156086.841824915</v>
      </c>
      <c r="Z593" s="2">
        <f t="shared" si="208"/>
        <v>-0.55233524260709244</v>
      </c>
      <c r="AA593" s="2">
        <f t="shared" si="209"/>
        <v>-0.56939249035343564</v>
      </c>
      <c r="AB593" s="2">
        <f t="shared" si="210"/>
        <v>-0.56940313914821861</v>
      </c>
      <c r="AC593" s="2">
        <f t="shared" si="211"/>
        <v>-0.58772683816744142</v>
      </c>
      <c r="AD593" s="2">
        <f t="shared" si="212"/>
        <v>-1773.7578245905236</v>
      </c>
      <c r="AE593" s="10">
        <f t="shared" si="213"/>
        <v>25554444.681041926</v>
      </c>
    </row>
    <row r="594" spans="1:31" x14ac:dyDescent="0.25">
      <c r="A594" s="1">
        <f t="shared" si="214"/>
        <v>2.4416666666666669</v>
      </c>
      <c r="B594" s="7">
        <f t="shared" si="215"/>
        <v>4083965.7040218124</v>
      </c>
      <c r="C594" s="7">
        <f t="shared" si="216"/>
        <v>25554444.681041926</v>
      </c>
      <c r="D594" s="7"/>
      <c r="E594" s="7"/>
      <c r="F594" s="7"/>
      <c r="G594" s="7"/>
      <c r="H594" s="7"/>
      <c r="I594" s="7"/>
      <c r="J594" s="7"/>
      <c r="K594" s="7"/>
      <c r="L594" s="1">
        <f t="shared" si="219"/>
        <v>2.4416666666666669</v>
      </c>
      <c r="M594">
        <f t="shared" si="217"/>
        <v>210960</v>
      </c>
      <c r="N594" s="9">
        <f t="shared" si="220"/>
        <v>-2504.7227844891431</v>
      </c>
      <c r="O594" s="7">
        <f t="shared" si="221"/>
        <v>4083965.7040218124</v>
      </c>
      <c r="P594" s="2">
        <f t="shared" si="202"/>
        <v>-9.3927238048551881E-2</v>
      </c>
      <c r="Q594" s="2">
        <f t="shared" si="203"/>
        <v>-8.7446986382505143E-2</v>
      </c>
      <c r="R594" s="2">
        <f t="shared" si="204"/>
        <v>-8.7452610981905904E-2</v>
      </c>
      <c r="S594" s="2">
        <f t="shared" si="205"/>
        <v>-8.0277595380756073E-2</v>
      </c>
      <c r="T594" s="9">
        <f t="shared" si="206"/>
        <v>-2536.1630261786308</v>
      </c>
      <c r="U594" s="7">
        <f t="shared" si="207"/>
        <v>3176606.2581016133</v>
      </c>
      <c r="W594">
        <f t="shared" si="218"/>
        <v>210960</v>
      </c>
      <c r="X594" s="9">
        <f t="shared" si="222"/>
        <v>-1773.7578245905236</v>
      </c>
      <c r="Y594" s="2">
        <f t="shared" si="223"/>
        <v>25554444.681041926</v>
      </c>
      <c r="Z594" s="2">
        <f t="shared" si="208"/>
        <v>-0.58772736666006942</v>
      </c>
      <c r="AA594" s="2">
        <f t="shared" si="209"/>
        <v>-0.6074211017829122</v>
      </c>
      <c r="AB594" s="2">
        <f t="shared" si="210"/>
        <v>-0.60743492900135387</v>
      </c>
      <c r="AC594" s="2">
        <f t="shared" si="211"/>
        <v>-0.62866867524441572</v>
      </c>
      <c r="AD594" s="2">
        <f t="shared" si="212"/>
        <v>-1992.5243107989045</v>
      </c>
      <c r="AE594" s="10">
        <f t="shared" si="213"/>
        <v>24876513.896671828</v>
      </c>
    </row>
    <row r="595" spans="1:31" x14ac:dyDescent="0.25">
      <c r="A595" s="1">
        <f t="shared" si="214"/>
        <v>2.4458333333333333</v>
      </c>
      <c r="B595" s="7">
        <f t="shared" si="215"/>
        <v>3176606.2581016133</v>
      </c>
      <c r="C595" s="7">
        <f t="shared" si="216"/>
        <v>24876513.896671828</v>
      </c>
      <c r="D595" s="7"/>
      <c r="E595" s="7"/>
      <c r="F595" s="7"/>
      <c r="G595" s="7"/>
      <c r="H595" s="7"/>
      <c r="I595" s="7"/>
      <c r="J595" s="7"/>
      <c r="K595" s="7"/>
      <c r="L595" s="1">
        <f t="shared" si="219"/>
        <v>2.4458333333333333</v>
      </c>
      <c r="M595">
        <f t="shared" si="217"/>
        <v>211320</v>
      </c>
      <c r="N595" s="9">
        <f t="shared" si="220"/>
        <v>-2536.1630261786308</v>
      </c>
      <c r="O595" s="7">
        <f t="shared" si="221"/>
        <v>3176606.2581016133</v>
      </c>
      <c r="P595" s="2">
        <f t="shared" si="202"/>
        <v>-8.0277934428382172E-2</v>
      </c>
      <c r="Q595" s="2">
        <f t="shared" si="203"/>
        <v>-7.2283661844656427E-2</v>
      </c>
      <c r="R595" s="2">
        <f t="shared" si="204"/>
        <v>-7.2290223331321943E-2</v>
      </c>
      <c r="S595" s="2">
        <f t="shared" si="205"/>
        <v>-6.3354382192691391E-2</v>
      </c>
      <c r="T595" s="9">
        <f t="shared" si="206"/>
        <v>-2562.1298313970128</v>
      </c>
      <c r="U595" s="7">
        <f t="shared" si="207"/>
        <v>2258913.5437379973</v>
      </c>
      <c r="W595">
        <f t="shared" si="218"/>
        <v>211320</v>
      </c>
      <c r="X595" s="9">
        <f t="shared" si="222"/>
        <v>-1992.5243107989045</v>
      </c>
      <c r="Y595" s="2">
        <f t="shared" si="223"/>
        <v>24876513.896671828</v>
      </c>
      <c r="Z595" s="2">
        <f t="shared" si="208"/>
        <v>-0.62866940034211749</v>
      </c>
      <c r="AA595" s="2">
        <f t="shared" si="209"/>
        <v>-0.65157673842497221</v>
      </c>
      <c r="AB595" s="2">
        <f t="shared" si="210"/>
        <v>-0.65159497947850142</v>
      </c>
      <c r="AC595" s="2">
        <f t="shared" si="211"/>
        <v>-0.67639751328397468</v>
      </c>
      <c r="AD595" s="2">
        <f t="shared" si="212"/>
        <v>-2227.208931764887</v>
      </c>
      <c r="AE595" s="10">
        <f t="shared" si="213"/>
        <v>24116961.913010344</v>
      </c>
    </row>
    <row r="596" spans="1:31" x14ac:dyDescent="0.25">
      <c r="A596" s="1">
        <f t="shared" si="214"/>
        <v>2.4500000000000002</v>
      </c>
      <c r="B596" s="7">
        <f t="shared" si="215"/>
        <v>2258913.5437379973</v>
      </c>
      <c r="C596" s="7">
        <f t="shared" si="216"/>
        <v>24116961.913010344</v>
      </c>
      <c r="D596" s="7"/>
      <c r="E596" s="7"/>
      <c r="F596" s="7"/>
      <c r="G596" s="7"/>
      <c r="H596" s="7"/>
      <c r="I596" s="7"/>
      <c r="J596" s="7"/>
      <c r="K596" s="7"/>
      <c r="L596" s="1">
        <f t="shared" si="219"/>
        <v>2.4500000000000002</v>
      </c>
      <c r="M596">
        <f t="shared" si="217"/>
        <v>211680</v>
      </c>
      <c r="N596" s="9">
        <f t="shared" si="220"/>
        <v>-2562.1298313970128</v>
      </c>
      <c r="O596" s="7">
        <f t="shared" si="221"/>
        <v>2258913.5437379973</v>
      </c>
      <c r="P596" s="2">
        <f t="shared" si="202"/>
        <v>-6.335482104973035E-2</v>
      </c>
      <c r="Q596" s="2">
        <f t="shared" si="203"/>
        <v>-5.3303682186280829E-2</v>
      </c>
      <c r="R596" s="2">
        <f t="shared" si="204"/>
        <v>-5.3311350380398373E-2</v>
      </c>
      <c r="S596" s="2">
        <f t="shared" si="205"/>
        <v>-4.1965980825661747E-2</v>
      </c>
      <c r="T596" s="9">
        <f t="shared" si="206"/>
        <v>-2581.242883417538</v>
      </c>
      <c r="U596" s="7">
        <f t="shared" si="207"/>
        <v>1333106.455071378</v>
      </c>
      <c r="W596">
        <f t="shared" si="218"/>
        <v>211680</v>
      </c>
      <c r="X596" s="9">
        <f t="shared" si="222"/>
        <v>-2227.208931764887</v>
      </c>
      <c r="Y596" s="2">
        <f t="shared" si="223"/>
        <v>24116961.913010344</v>
      </c>
      <c r="Z596" s="2">
        <f t="shared" si="208"/>
        <v>-0.67639853260322647</v>
      </c>
      <c r="AA596" s="2">
        <f t="shared" si="209"/>
        <v>-0.70327087455303561</v>
      </c>
      <c r="AB596" s="2">
        <f t="shared" si="210"/>
        <v>-0.70329539207610547</v>
      </c>
      <c r="AC596" s="2">
        <f t="shared" si="211"/>
        <v>-0.73253093748525844</v>
      </c>
      <c r="AD596" s="2">
        <f t="shared" si="212"/>
        <v>-2480.5326519656928</v>
      </c>
      <c r="AE596" s="10">
        <f t="shared" si="213"/>
        <v>23269568.427938841</v>
      </c>
    </row>
    <row r="597" spans="1:31" x14ac:dyDescent="0.25">
      <c r="A597" s="1">
        <f t="shared" si="214"/>
        <v>2.4541666666666666</v>
      </c>
      <c r="B597" s="7">
        <f t="shared" si="215"/>
        <v>1333106.455071378</v>
      </c>
      <c r="C597" s="7">
        <f t="shared" si="216"/>
        <v>23269568.427938841</v>
      </c>
      <c r="D597" s="7"/>
      <c r="E597" s="7"/>
      <c r="F597" s="7"/>
      <c r="G597" s="7"/>
      <c r="H597" s="7"/>
      <c r="I597" s="7"/>
      <c r="J597" s="7"/>
      <c r="K597" s="7"/>
      <c r="L597" s="1">
        <f t="shared" si="219"/>
        <v>2.4541666666666666</v>
      </c>
      <c r="M597">
        <f t="shared" si="217"/>
        <v>212040</v>
      </c>
      <c r="N597" s="9">
        <f t="shared" si="220"/>
        <v>-2581.242883417538</v>
      </c>
      <c r="O597" s="7">
        <f t="shared" si="221"/>
        <v>1333106.455071378</v>
      </c>
      <c r="P597" s="2">
        <f t="shared" si="202"/>
        <v>-4.1966557625751834E-2</v>
      </c>
      <c r="Q597" s="2">
        <f t="shared" si="203"/>
        <v>-2.9078523765716398E-2</v>
      </c>
      <c r="R597" s="2">
        <f t="shared" si="204"/>
        <v>-2.9087459158896135E-2</v>
      </c>
      <c r="S597" s="2">
        <f t="shared" si="205"/>
        <v>-1.4389027136511762E-2</v>
      </c>
      <c r="T597" s="9">
        <f t="shared" si="206"/>
        <v>-2591.6041364542275</v>
      </c>
      <c r="U597" s="7">
        <f t="shared" si="207"/>
        <v>401993.99149446015</v>
      </c>
      <c r="W597">
        <f t="shared" si="218"/>
        <v>212040</v>
      </c>
      <c r="X597" s="9">
        <f t="shared" si="222"/>
        <v>-2480.5326519656928</v>
      </c>
      <c r="Y597" s="2">
        <f t="shared" si="223"/>
        <v>23269568.427938841</v>
      </c>
      <c r="Z597" s="2">
        <f t="shared" si="208"/>
        <v>-0.73253241002811242</v>
      </c>
      <c r="AA597" s="2">
        <f t="shared" si="209"/>
        <v>-0.76436273599759086</v>
      </c>
      <c r="AB597" s="2">
        <f t="shared" si="210"/>
        <v>-0.76439642189628465</v>
      </c>
      <c r="AC597" s="2">
        <f t="shared" si="211"/>
        <v>-0.79921666393592905</v>
      </c>
      <c r="AD597" s="2">
        <f t="shared" si="212"/>
        <v>-2755.8886953508004</v>
      </c>
      <c r="AE597" s="10">
        <f t="shared" si="213"/>
        <v>22327012.585421871</v>
      </c>
    </row>
    <row r="598" spans="1:31" x14ac:dyDescent="0.25">
      <c r="A598" s="1">
        <f t="shared" si="214"/>
        <v>2.4583333333333335</v>
      </c>
      <c r="B598" s="7">
        <f t="shared" si="215"/>
        <v>401993.99149446015</v>
      </c>
      <c r="C598" s="7">
        <f t="shared" si="216"/>
        <v>22327012.585421871</v>
      </c>
      <c r="D598" s="7"/>
      <c r="E598" s="7"/>
      <c r="F598" s="7"/>
      <c r="G598" s="7"/>
      <c r="H598" s="7"/>
      <c r="I598" s="7"/>
      <c r="J598" s="7"/>
      <c r="K598" s="7"/>
      <c r="L598" s="1">
        <f t="shared" si="219"/>
        <v>2.4583333333333335</v>
      </c>
      <c r="M598">
        <f t="shared" si="217"/>
        <v>212400</v>
      </c>
      <c r="N598" s="9">
        <f t="shared" si="220"/>
        <v>-2591.6041364542275</v>
      </c>
      <c r="O598" s="7">
        <f t="shared" si="221"/>
        <v>401993.99149446015</v>
      </c>
      <c r="P598" s="2">
        <f t="shared" si="202"/>
        <v>-1.4389797006386301E-2</v>
      </c>
      <c r="Q598" s="2">
        <f t="shared" si="203"/>
        <v>2.4841541600009887E-3</v>
      </c>
      <c r="R598" s="2">
        <f t="shared" si="204"/>
        <v>2.4738734503714547E-3</v>
      </c>
      <c r="S598" s="2">
        <f t="shared" si="205"/>
        <v>2.1934581559938101E-2</v>
      </c>
      <c r="T598" s="9">
        <f t="shared" si="206"/>
        <v>-2590.5564860677696</v>
      </c>
      <c r="U598" s="7">
        <f t="shared" si="207"/>
        <v>-530794.9205594993</v>
      </c>
      <c r="W598">
        <f t="shared" si="218"/>
        <v>212400</v>
      </c>
      <c r="X598" s="9">
        <f t="shared" si="222"/>
        <v>-2755.8886953508004</v>
      </c>
      <c r="Y598" s="2">
        <f t="shared" si="223"/>
        <v>22327012.585421871</v>
      </c>
      <c r="Z598" s="2">
        <f t="shared" si="208"/>
        <v>-0.79921885814475102</v>
      </c>
      <c r="AA598" s="2">
        <f t="shared" si="209"/>
        <v>-0.83734086145749898</v>
      </c>
      <c r="AB598" s="2">
        <f t="shared" si="210"/>
        <v>-0.83738835926247079</v>
      </c>
      <c r="AC598" s="2">
        <f t="shared" si="211"/>
        <v>-0.87935440688396305</v>
      </c>
      <c r="AD598" s="2">
        <f t="shared" si="212"/>
        <v>-3057.5705977389198</v>
      </c>
      <c r="AE598" s="10">
        <f t="shared" si="213"/>
        <v>21280589.912665721</v>
      </c>
    </row>
    <row r="599" spans="1:31" x14ac:dyDescent="0.25">
      <c r="A599" s="1">
        <f t="shared" si="214"/>
        <v>2.4624999999999999</v>
      </c>
      <c r="B599" s="7">
        <f t="shared" si="215"/>
        <v>-530794.9205594993</v>
      </c>
      <c r="C599" s="7">
        <f t="shared" si="216"/>
        <v>21280589.912665721</v>
      </c>
      <c r="D599" s="7"/>
      <c r="E599" s="7"/>
      <c r="F599" s="7"/>
      <c r="G599" s="7"/>
      <c r="H599" s="7"/>
      <c r="I599" s="7"/>
      <c r="J599" s="7"/>
      <c r="K599" s="7"/>
      <c r="L599" s="1">
        <f t="shared" si="219"/>
        <v>2.4624999999999999</v>
      </c>
      <c r="M599">
        <f t="shared" si="217"/>
        <v>212760</v>
      </c>
      <c r="N599" s="9">
        <f t="shared" si="220"/>
        <v>-2590.5564860677696</v>
      </c>
      <c r="O599" s="7">
        <f t="shared" si="221"/>
        <v>-530794.9205594993</v>
      </c>
      <c r="P599" s="2">
        <f t="shared" si="202"/>
        <v>2.1933539100844477E-2</v>
      </c>
      <c r="Q599" s="2">
        <f t="shared" si="203"/>
        <v>4.4534541723334271E-2</v>
      </c>
      <c r="R599" s="2">
        <f t="shared" si="204"/>
        <v>4.4523114149113571E-2</v>
      </c>
      <c r="S599" s="2">
        <f t="shared" si="205"/>
        <v>7.0915759259719116E-2</v>
      </c>
      <c r="T599" s="9">
        <f t="shared" si="206"/>
        <v>-2574.2986094614421</v>
      </c>
      <c r="U599" s="7">
        <f t="shared" si="207"/>
        <v>-1460468.8377547576</v>
      </c>
      <c r="W599">
        <f t="shared" si="218"/>
        <v>212760</v>
      </c>
      <c r="X599" s="9">
        <f t="shared" si="222"/>
        <v>-3057.5705977389198</v>
      </c>
      <c r="Y599" s="2">
        <f t="shared" si="223"/>
        <v>21280589.912665721</v>
      </c>
      <c r="Z599" s="2">
        <f t="shared" si="208"/>
        <v>-0.87935779499639555</v>
      </c>
      <c r="AA599" s="2">
        <f t="shared" si="209"/>
        <v>-0.92559440282531891</v>
      </c>
      <c r="AB599" s="2">
        <f t="shared" si="210"/>
        <v>-0.92566346422308521</v>
      </c>
      <c r="AC599" s="2">
        <f t="shared" si="211"/>
        <v>-0.97693033189409972</v>
      </c>
      <c r="AD599" s="2">
        <f t="shared" si="212"/>
        <v>-3391.0988293981582</v>
      </c>
      <c r="AE599" s="10">
        <f t="shared" si="213"/>
        <v>20119829.415781047</v>
      </c>
    </row>
    <row r="600" spans="1:31" x14ac:dyDescent="0.25">
      <c r="A600" s="1">
        <f t="shared" si="214"/>
        <v>2.4666666666666668</v>
      </c>
      <c r="B600" s="7">
        <f t="shared" si="215"/>
        <v>-1460468.8377547576</v>
      </c>
      <c r="C600" s="7">
        <f t="shared" si="216"/>
        <v>20119829.415781047</v>
      </c>
      <c r="D600" s="7"/>
      <c r="E600" s="7"/>
      <c r="F600" s="7"/>
      <c r="G600" s="7"/>
      <c r="H600" s="7"/>
      <c r="I600" s="7"/>
      <c r="J600" s="7"/>
      <c r="K600" s="7"/>
      <c r="L600" s="1">
        <f t="shared" si="219"/>
        <v>2.4666666666666668</v>
      </c>
      <c r="M600">
        <f t="shared" si="217"/>
        <v>213120</v>
      </c>
      <c r="N600" s="9">
        <f t="shared" si="220"/>
        <v>-2574.2986094614421</v>
      </c>
      <c r="O600" s="7">
        <f t="shared" si="221"/>
        <v>-1460468.8377547576</v>
      </c>
      <c r="P600" s="2">
        <f t="shared" si="202"/>
        <v>7.0914332387505871E-2</v>
      </c>
      <c r="Q600" s="2">
        <f t="shared" si="203"/>
        <v>0.10196824462887161</v>
      </c>
      <c r="R600" s="2">
        <f t="shared" si="204"/>
        <v>0.10195665622296293</v>
      </c>
      <c r="S600" s="2">
        <f t="shared" si="205"/>
        <v>0.13874158212425763</v>
      </c>
      <c r="T600" s="9">
        <f t="shared" si="206"/>
        <v>-2537.248266488516</v>
      </c>
      <c r="U600" s="7">
        <f t="shared" si="207"/>
        <v>-2380547.2754257498</v>
      </c>
      <c r="W600">
        <f t="shared" si="218"/>
        <v>213120</v>
      </c>
      <c r="X600" s="9">
        <f t="shared" si="222"/>
        <v>-3391.0988293981582</v>
      </c>
      <c r="Y600" s="2">
        <f t="shared" si="223"/>
        <v>20119829.415781047</v>
      </c>
      <c r="Z600" s="2">
        <f t="shared" si="208"/>
        <v>-0.97693578519899871</v>
      </c>
      <c r="AA600" s="2">
        <f t="shared" si="209"/>
        <v>-1.0338249055069613</v>
      </c>
      <c r="AB600" s="2">
        <f t="shared" si="210"/>
        <v>-1.033929071207343</v>
      </c>
      <c r="AC600" s="2">
        <f t="shared" si="211"/>
        <v>-1.0975283063397365</v>
      </c>
      <c r="AD600" s="2">
        <f t="shared" si="212"/>
        <v>-3763.6971520961988</v>
      </c>
      <c r="AE600" s="10">
        <f t="shared" si="213"/>
        <v>18831966.139112063</v>
      </c>
    </row>
    <row r="601" spans="1:31" x14ac:dyDescent="0.25">
      <c r="A601" s="1">
        <f t="shared" si="214"/>
        <v>2.4708333333333332</v>
      </c>
      <c r="B601" s="7">
        <f t="shared" si="215"/>
        <v>-2380547.2754257498</v>
      </c>
      <c r="C601" s="7">
        <f t="shared" si="216"/>
        <v>18831966.139112063</v>
      </c>
      <c r="D601" s="7"/>
      <c r="E601" s="7"/>
      <c r="F601" s="7"/>
      <c r="G601" s="7"/>
      <c r="H601" s="7"/>
      <c r="I601" s="7"/>
      <c r="J601" s="7"/>
      <c r="K601" s="7"/>
      <c r="L601" s="1">
        <f t="shared" si="219"/>
        <v>2.4708333333333332</v>
      </c>
      <c r="M601">
        <f t="shared" si="217"/>
        <v>213480</v>
      </c>
      <c r="N601" s="9">
        <f t="shared" si="220"/>
        <v>-2537.248266488516</v>
      </c>
      <c r="O601" s="7">
        <f t="shared" si="221"/>
        <v>-2380547.2754257498</v>
      </c>
      <c r="P601" s="2">
        <f t="shared" si="202"/>
        <v>0.13873962732521361</v>
      </c>
      <c r="Q601" s="2">
        <f t="shared" si="203"/>
        <v>0.18267947020090788</v>
      </c>
      <c r="R601" s="2">
        <f t="shared" si="204"/>
        <v>0.18267087341063687</v>
      </c>
      <c r="S601" s="2">
        <f t="shared" si="205"/>
        <v>0.2356001034767406</v>
      </c>
      <c r="T601" s="9">
        <f t="shared" si="206"/>
        <v>-2470.9458414070136</v>
      </c>
      <c r="U601" s="7">
        <f t="shared" si="207"/>
        <v>-3282022.2148469454</v>
      </c>
      <c r="W601">
        <f t="shared" si="218"/>
        <v>213480</v>
      </c>
      <c r="X601" s="9">
        <f t="shared" si="222"/>
        <v>-3763.6971520961988</v>
      </c>
      <c r="Y601" s="2">
        <f t="shared" si="223"/>
        <v>18831966.139112063</v>
      </c>
      <c r="Z601" s="2">
        <f t="shared" si="208"/>
        <v>-1.0975375246325128</v>
      </c>
      <c r="AA601" s="2">
        <f t="shared" si="209"/>
        <v>-1.1686777353259081</v>
      </c>
      <c r="AB601" s="2">
        <f t="shared" si="210"/>
        <v>-1.168841957617244</v>
      </c>
      <c r="AC601" s="2">
        <f t="shared" si="211"/>
        <v>-1.2491155843228168</v>
      </c>
      <c r="AD601" s="2">
        <f t="shared" si="212"/>
        <v>-4184.998701786697</v>
      </c>
      <c r="AE601" s="10">
        <f t="shared" si="213"/>
        <v>17401200.88541314</v>
      </c>
    </row>
    <row r="602" spans="1:31" x14ac:dyDescent="0.25">
      <c r="A602" s="1">
        <f t="shared" si="214"/>
        <v>2.4750000000000001</v>
      </c>
      <c r="B602" s="7">
        <f t="shared" si="215"/>
        <v>-3282022.2148469454</v>
      </c>
      <c r="C602" s="7">
        <f t="shared" si="216"/>
        <v>17401200.88541314</v>
      </c>
      <c r="D602" s="7"/>
      <c r="E602" s="7"/>
      <c r="F602" s="7"/>
      <c r="G602" s="7"/>
      <c r="H602" s="7"/>
      <c r="I602" s="7"/>
      <c r="J602" s="7"/>
      <c r="K602" s="7"/>
      <c r="L602" s="1">
        <f t="shared" si="219"/>
        <v>2.4750000000000001</v>
      </c>
      <c r="M602">
        <f t="shared" si="217"/>
        <v>213840</v>
      </c>
      <c r="N602" s="9">
        <f t="shared" si="220"/>
        <v>-2470.9458414070136</v>
      </c>
      <c r="O602" s="7">
        <f t="shared" si="221"/>
        <v>-3282022.2148469454</v>
      </c>
      <c r="P602" s="2">
        <f t="shared" si="202"/>
        <v>0.23559749484689405</v>
      </c>
      <c r="Q602" s="2">
        <f t="shared" si="203"/>
        <v>0.29996353255605884</v>
      </c>
      <c r="R602" s="2">
        <f t="shared" si="204"/>
        <v>0.29996716214968733</v>
      </c>
      <c r="S602" s="2">
        <f t="shared" si="205"/>
        <v>0.37908348343118176</v>
      </c>
      <c r="T602" s="9">
        <f t="shared" si="206"/>
        <v>-2362.0732993456395</v>
      </c>
      <c r="U602" s="7">
        <f t="shared" si="207"/>
        <v>-4151965.660182423</v>
      </c>
      <c r="W602">
        <f t="shared" si="218"/>
        <v>213840</v>
      </c>
      <c r="X602" s="9">
        <f t="shared" si="222"/>
        <v>-4184.998701786697</v>
      </c>
      <c r="Y602" s="2">
        <f t="shared" si="223"/>
        <v>17401200.88541314</v>
      </c>
      <c r="Z602" s="2">
        <f t="shared" si="208"/>
        <v>-1.2491321104973316</v>
      </c>
      <c r="AA602" s="2">
        <f t="shared" si="209"/>
        <v>-1.3397060498740452</v>
      </c>
      <c r="AB602" s="2">
        <f t="shared" si="210"/>
        <v>-1.3399793384919634</v>
      </c>
      <c r="AC602" s="2">
        <f t="shared" si="211"/>
        <v>-1.4432284677928582</v>
      </c>
      <c r="AD602" s="2">
        <f t="shared" si="212"/>
        <v>-4668.1025830880299</v>
      </c>
      <c r="AE602" s="10">
        <f t="shared" si="213"/>
        <v>15807642.654135689</v>
      </c>
    </row>
    <row r="603" spans="1:31" x14ac:dyDescent="0.25">
      <c r="A603" s="1">
        <f t="shared" si="214"/>
        <v>2.4791666666666665</v>
      </c>
      <c r="B603" s="7">
        <f t="shared" si="215"/>
        <v>-4151965.660182423</v>
      </c>
      <c r="C603" s="7">
        <f t="shared" si="216"/>
        <v>15807642.654135689</v>
      </c>
      <c r="D603" s="7"/>
      <c r="E603" s="7"/>
      <c r="F603" s="7"/>
      <c r="G603" s="7"/>
      <c r="H603" s="7"/>
      <c r="I603" s="7"/>
      <c r="J603" s="7"/>
      <c r="K603" s="7"/>
      <c r="L603" s="1">
        <f t="shared" si="219"/>
        <v>2.4791666666666665</v>
      </c>
      <c r="M603">
        <f t="shared" si="217"/>
        <v>214200</v>
      </c>
      <c r="N603" s="9">
        <f t="shared" si="220"/>
        <v>-2362.0732993456395</v>
      </c>
      <c r="O603" s="7">
        <f t="shared" si="221"/>
        <v>-4151965.660182423</v>
      </c>
      <c r="P603" s="2">
        <f t="shared" si="202"/>
        <v>0.3790803805483598</v>
      </c>
      <c r="Q603" s="2">
        <f t="shared" si="203"/>
        <v>0.4774023877510884</v>
      </c>
      <c r="R603" s="2">
        <f t="shared" si="204"/>
        <v>0.477445557391453</v>
      </c>
      <c r="S603" s="2">
        <f t="shared" si="205"/>
        <v>0.60134613555420269</v>
      </c>
      <c r="T603" s="9">
        <f t="shared" si="206"/>
        <v>-2188.665954962381</v>
      </c>
      <c r="U603" s="7">
        <f t="shared" si="207"/>
        <v>-4971098.7259578668</v>
      </c>
      <c r="W603">
        <f t="shared" si="218"/>
        <v>214200</v>
      </c>
      <c r="X603" s="9">
        <f t="shared" si="222"/>
        <v>-4668.1025830880299</v>
      </c>
      <c r="Y603" s="2">
        <f t="shared" si="223"/>
        <v>15807642.654135689</v>
      </c>
      <c r="Z603" s="2">
        <f t="shared" si="208"/>
        <v>-1.4432602972537489</v>
      </c>
      <c r="AA603" s="2">
        <f t="shared" si="209"/>
        <v>-1.5607758480217939</v>
      </c>
      <c r="AB603" s="2">
        <f t="shared" si="210"/>
        <v>-1.5612621736887982</v>
      </c>
      <c r="AC603" s="2">
        <f t="shared" si="211"/>
        <v>-1.6966044234129118</v>
      </c>
      <c r="AD603" s="2">
        <f t="shared" si="212"/>
        <v>-5231.1390289333003</v>
      </c>
      <c r="AE603" s="10">
        <f t="shared" si="213"/>
        <v>14025779.163971849</v>
      </c>
    </row>
    <row r="604" spans="1:31" x14ac:dyDescent="0.25">
      <c r="A604" s="1">
        <f t="shared" si="214"/>
        <v>2.4833333333333334</v>
      </c>
      <c r="B604" s="7">
        <f t="shared" si="215"/>
        <v>-4971098.7259578668</v>
      </c>
      <c r="C604" s="7">
        <f t="shared" si="216"/>
        <v>14025779.163971849</v>
      </c>
      <c r="D604" s="7"/>
      <c r="E604" s="7"/>
      <c r="F604" s="7"/>
      <c r="G604" s="7"/>
      <c r="H604" s="7"/>
      <c r="I604" s="7"/>
      <c r="J604" s="7"/>
      <c r="K604" s="7"/>
      <c r="L604" s="1">
        <f t="shared" si="219"/>
        <v>2.4833333333333334</v>
      </c>
      <c r="M604">
        <f t="shared" si="217"/>
        <v>214560</v>
      </c>
      <c r="N604" s="9">
        <f t="shared" si="220"/>
        <v>-2188.665954962381</v>
      </c>
      <c r="O604" s="7">
        <f t="shared" si="221"/>
        <v>-4971098.7259578668</v>
      </c>
      <c r="P604" s="2">
        <f t="shared" si="202"/>
        <v>0.6013442190427668</v>
      </c>
      <c r="Q604" s="2">
        <f t="shared" si="203"/>
        <v>0.75950646364578134</v>
      </c>
      <c r="R604" s="2">
        <f t="shared" si="204"/>
        <v>0.75967530069889388</v>
      </c>
      <c r="S604" s="2">
        <f t="shared" si="205"/>
        <v>0.96532562897796137</v>
      </c>
      <c r="T604" s="9">
        <f t="shared" si="206"/>
        <v>-1912.3639523597762</v>
      </c>
      <c r="U604" s="7">
        <f t="shared" si="207"/>
        <v>-5709284.1092758551</v>
      </c>
      <c r="W604">
        <f t="shared" si="218"/>
        <v>214560</v>
      </c>
      <c r="X604" s="9">
        <f t="shared" si="222"/>
        <v>-5231.1390289333003</v>
      </c>
      <c r="Y604" s="2">
        <f t="shared" si="223"/>
        <v>14025779.163971849</v>
      </c>
      <c r="Z604" s="2">
        <f t="shared" si="208"/>
        <v>-1.6966714367958518</v>
      </c>
      <c r="AA604" s="2">
        <f t="shared" si="209"/>
        <v>-1.8517371253722088</v>
      </c>
      <c r="AB604" s="2">
        <f t="shared" si="210"/>
        <v>-1.8526788223878987</v>
      </c>
      <c r="AC604" s="2">
        <f t="shared" si="211"/>
        <v>-2.0325860131759073</v>
      </c>
      <c r="AD604" s="2">
        <f t="shared" si="212"/>
        <v>-5899.4243896628186</v>
      </c>
      <c r="AE604" s="10">
        <f t="shared" si="213"/>
        <v>12022277.748624548</v>
      </c>
    </row>
    <row r="605" spans="1:31" x14ac:dyDescent="0.25">
      <c r="A605" s="1">
        <f t="shared" si="214"/>
        <v>2.4874999999999998</v>
      </c>
      <c r="B605" s="7">
        <f t="shared" si="215"/>
        <v>-5709284.1092758551</v>
      </c>
      <c r="C605" s="7">
        <f t="shared" si="216"/>
        <v>12022277.748624548</v>
      </c>
      <c r="D605" s="7"/>
      <c r="E605" s="7"/>
      <c r="F605" s="7"/>
      <c r="G605" s="7"/>
      <c r="H605" s="7"/>
      <c r="I605" s="7"/>
      <c r="J605" s="7"/>
      <c r="K605" s="7"/>
      <c r="L605" s="1">
        <f t="shared" si="219"/>
        <v>2.4874999999999998</v>
      </c>
      <c r="M605">
        <f t="shared" si="217"/>
        <v>214920</v>
      </c>
      <c r="N605" s="9">
        <f t="shared" si="220"/>
        <v>-1912.3639523597762</v>
      </c>
      <c r="O605" s="7">
        <f t="shared" si="221"/>
        <v>-5709284.1092758551</v>
      </c>
      <c r="P605" s="2">
        <f t="shared" si="202"/>
        <v>0.96533393996478412</v>
      </c>
      <c r="Q605" s="2">
        <f t="shared" si="203"/>
        <v>1.2367979064846182</v>
      </c>
      <c r="R605" s="2">
        <f t="shared" si="204"/>
        <v>1.2373958022851907</v>
      </c>
      <c r="S605" s="2">
        <f t="shared" si="205"/>
        <v>1.6047255646105136</v>
      </c>
      <c r="T605" s="9">
        <f t="shared" si="206"/>
        <v>-1461.2571370328815</v>
      </c>
      <c r="U605" s="7">
        <f t="shared" si="207"/>
        <v>-6316535.9053665334</v>
      </c>
      <c r="W605">
        <f t="shared" si="218"/>
        <v>214920</v>
      </c>
      <c r="X605" s="9">
        <f t="shared" si="222"/>
        <v>-5899.4243896628186</v>
      </c>
      <c r="Y605" s="2">
        <f t="shared" si="223"/>
        <v>12022277.748624548</v>
      </c>
      <c r="Z605" s="2">
        <f t="shared" si="208"/>
        <v>-2.0327439525343021</v>
      </c>
      <c r="AA605" s="2">
        <f t="shared" si="209"/>
        <v>-2.2383797090566731</v>
      </c>
      <c r="AB605" s="2">
        <f t="shared" si="210"/>
        <v>-2.2404108939356648</v>
      </c>
      <c r="AC605" s="2">
        <f t="shared" si="211"/>
        <v>-2.4774438444196134</v>
      </c>
      <c r="AD605" s="2">
        <f t="shared" si="212"/>
        <v>-6707.4905298391341</v>
      </c>
      <c r="AE605" s="10">
        <f t="shared" si="213"/>
        <v>9753033.0631141961</v>
      </c>
    </row>
    <row r="606" spans="1:31" x14ac:dyDescent="0.25">
      <c r="A606" s="1">
        <f t="shared" si="214"/>
        <v>2.4916666666666667</v>
      </c>
      <c r="B606" s="7">
        <f t="shared" si="215"/>
        <v>-6316535.9053665334</v>
      </c>
      <c r="C606" s="7">
        <f t="shared" si="216"/>
        <v>9753033.0631141961</v>
      </c>
      <c r="D606" s="7"/>
      <c r="E606" s="7"/>
      <c r="F606" s="7"/>
      <c r="G606" s="7"/>
      <c r="H606" s="7"/>
      <c r="I606" s="7"/>
      <c r="J606" s="7"/>
      <c r="K606" s="7"/>
      <c r="L606" s="1">
        <f t="shared" si="219"/>
        <v>2.4916666666666667</v>
      </c>
      <c r="M606">
        <f t="shared" si="217"/>
        <v>215280</v>
      </c>
      <c r="N606" s="9">
        <f t="shared" si="220"/>
        <v>-1461.2571370328815</v>
      </c>
      <c r="O606" s="7">
        <f t="shared" si="221"/>
        <v>-6316535.9053665334</v>
      </c>
      <c r="P606" s="2">
        <f t="shared" si="202"/>
        <v>1.6047913217423702</v>
      </c>
      <c r="Q606" s="2">
        <f t="shared" si="203"/>
        <v>2.1101270235706124</v>
      </c>
      <c r="R606" s="2">
        <f t="shared" si="204"/>
        <v>2.1124107361324551</v>
      </c>
      <c r="S606" s="2">
        <f t="shared" si="205"/>
        <v>2.8310640244696224</v>
      </c>
      <c r="T606" s="9">
        <f t="shared" si="206"/>
        <v>-688.40128509579381</v>
      </c>
      <c r="U606" s="7">
        <f t="shared" si="207"/>
        <v>-6703474.421349695</v>
      </c>
      <c r="W606">
        <f t="shared" si="218"/>
        <v>215280</v>
      </c>
      <c r="X606" s="9">
        <f t="shared" si="222"/>
        <v>-6707.4905298391341</v>
      </c>
      <c r="Y606" s="2">
        <f t="shared" si="223"/>
        <v>9753033.0631141961</v>
      </c>
      <c r="Z606" s="2">
        <f t="shared" si="208"/>
        <v>-2.4778744322587434</v>
      </c>
      <c r="AA606" s="2">
        <f t="shared" si="209"/>
        <v>-2.7386281720672083</v>
      </c>
      <c r="AB606" s="2">
        <f t="shared" si="210"/>
        <v>-2.7436577606023711</v>
      </c>
      <c r="AC606" s="2">
        <f t="shared" si="211"/>
        <v>-3.0230931005563164</v>
      </c>
      <c r="AD606" s="2">
        <f t="shared" si="212"/>
        <v>-7695.422893728387</v>
      </c>
      <c r="AE606" s="10">
        <f t="shared" si="213"/>
        <v>7160508.6468720417</v>
      </c>
    </row>
    <row r="607" spans="1:31" x14ac:dyDescent="0.25">
      <c r="A607" s="1">
        <f t="shared" si="214"/>
        <v>2.4958333333333331</v>
      </c>
      <c r="B607" s="7">
        <f t="shared" si="215"/>
        <v>-6703474.421349695</v>
      </c>
      <c r="C607" s="7">
        <f t="shared" si="216"/>
        <v>7160508.6468720417</v>
      </c>
      <c r="D607" s="7"/>
      <c r="E607" s="7"/>
      <c r="F607" s="7"/>
      <c r="G607" s="7"/>
      <c r="H607" s="7"/>
      <c r="I607" s="7"/>
      <c r="J607" s="7"/>
      <c r="K607" s="7"/>
      <c r="L607" s="1">
        <f t="shared" si="219"/>
        <v>2.4958333333333331</v>
      </c>
      <c r="M607">
        <f t="shared" si="217"/>
        <v>215640</v>
      </c>
      <c r="N607" s="9">
        <f t="shared" si="220"/>
        <v>-688.40128509579381</v>
      </c>
      <c r="O607" s="7">
        <f t="shared" si="221"/>
        <v>-6703474.421349695</v>
      </c>
      <c r="P607" s="2">
        <f t="shared" si="202"/>
        <v>2.8314665733468298</v>
      </c>
      <c r="Q607" s="2">
        <f t="shared" si="203"/>
        <v>3.8658224702804773</v>
      </c>
      <c r="R607" s="2">
        <f t="shared" si="204"/>
        <v>3.8762888405731895</v>
      </c>
      <c r="S607" s="2">
        <f t="shared" si="205"/>
        <v>5.4252906335981308</v>
      </c>
      <c r="T607" s="9">
        <f t="shared" si="206"/>
        <v>736.05750462334368</v>
      </c>
      <c r="U607" s="7">
        <f t="shared" si="207"/>
        <v>-6694896.301834736</v>
      </c>
      <c r="W607">
        <f t="shared" si="218"/>
        <v>215640</v>
      </c>
      <c r="X607" s="9">
        <f t="shared" si="222"/>
        <v>-7695.422893728387</v>
      </c>
      <c r="Y607" s="2">
        <f t="shared" si="223"/>
        <v>7160508.6468720417</v>
      </c>
      <c r="Z607" s="2">
        <f t="shared" si="208"/>
        <v>-3.0245123062164168</v>
      </c>
      <c r="AA607" s="2">
        <f t="shared" si="209"/>
        <v>-3.2643133549768795</v>
      </c>
      <c r="AB607" s="2">
        <f t="shared" si="210"/>
        <v>-3.2790328875409309</v>
      </c>
      <c r="AC607" s="2">
        <f t="shared" si="211"/>
        <v>-3.382792714364999</v>
      </c>
      <c r="AD607" s="2">
        <f t="shared" si="212"/>
        <v>-8865.0627440654098</v>
      </c>
      <c r="AE607" s="10">
        <f t="shared" si="213"/>
        <v>4179621.232069158</v>
      </c>
    </row>
    <row r="608" spans="1:31" x14ac:dyDescent="0.25">
      <c r="A608" s="1">
        <f t="shared" si="214"/>
        <v>2.5</v>
      </c>
      <c r="B608" s="7">
        <f t="shared" si="215"/>
        <v>-6694896.301834736</v>
      </c>
      <c r="C608" s="7">
        <f t="shared" si="216"/>
        <v>4179621.232069158</v>
      </c>
      <c r="D608" s="7"/>
      <c r="E608" s="7"/>
      <c r="F608" s="7"/>
      <c r="G608" s="7"/>
      <c r="H608" s="7"/>
      <c r="I608" s="7"/>
      <c r="J608" s="7"/>
      <c r="K608" s="7"/>
      <c r="L608" s="1">
        <f t="shared" si="219"/>
        <v>2.5</v>
      </c>
      <c r="M608">
        <f t="shared" si="217"/>
        <v>216000</v>
      </c>
      <c r="N608" s="9">
        <f t="shared" si="220"/>
        <v>736.05750462334368</v>
      </c>
      <c r="O608" s="7">
        <f t="shared" si="221"/>
        <v>-6694896.301834736</v>
      </c>
      <c r="P608" s="2">
        <f t="shared" si="202"/>
        <v>5.4280690237896652</v>
      </c>
      <c r="Q608" s="2">
        <f t="shared" si="203"/>
        <v>7.6846436433686618</v>
      </c>
      <c r="R608" s="2">
        <f t="shared" si="204"/>
        <v>7.7469061060010764</v>
      </c>
      <c r="S608" s="2">
        <f t="shared" si="205"/>
        <v>11.047171789457089</v>
      </c>
      <c r="T608" s="9">
        <f t="shared" si="206"/>
        <v>3576.3579233425171</v>
      </c>
      <c r="U608" s="7">
        <f t="shared" si="207"/>
        <v>-5918661.5248008808</v>
      </c>
      <c r="W608">
        <f t="shared" si="218"/>
        <v>216000</v>
      </c>
      <c r="X608" s="9">
        <f t="shared" si="222"/>
        <v>-8865.0627440654098</v>
      </c>
      <c r="Y608" s="2">
        <f t="shared" si="223"/>
        <v>4179621.232069158</v>
      </c>
      <c r="Z608" s="2">
        <f t="shared" si="208"/>
        <v>-3.3887414409616388</v>
      </c>
      <c r="AA608" s="2">
        <f t="shared" si="209"/>
        <v>-3.0017213456118381</v>
      </c>
      <c r="AB608" s="2">
        <f t="shared" si="210"/>
        <v>-3.0507692092500869</v>
      </c>
      <c r="AC608" s="2">
        <f t="shared" si="211"/>
        <v>-1.4731798466904531</v>
      </c>
      <c r="AD608" s="2">
        <f t="shared" si="212"/>
        <v>-9883.076887907966</v>
      </c>
      <c r="AE608" s="10">
        <f t="shared" si="213"/>
        <v>804956.09831395047</v>
      </c>
    </row>
    <row r="609" spans="1:31" x14ac:dyDescent="0.25">
      <c r="A609" s="1">
        <f t="shared" si="214"/>
        <v>2.5041666666666669</v>
      </c>
      <c r="B609" s="7">
        <f t="shared" si="215"/>
        <v>-5918661.5248008808</v>
      </c>
      <c r="C609" s="7">
        <f t="shared" si="216"/>
        <v>804956.09831395047</v>
      </c>
      <c r="D609" s="7"/>
      <c r="E609" s="7"/>
      <c r="F609" s="7"/>
      <c r="G609" s="7"/>
      <c r="H609" s="7"/>
      <c r="I609" s="7"/>
      <c r="J609" s="7"/>
      <c r="K609" s="7"/>
      <c r="L609" s="1">
        <f t="shared" si="219"/>
        <v>2.5041666666666669</v>
      </c>
      <c r="M609">
        <f t="shared" si="217"/>
        <v>216360</v>
      </c>
      <c r="N609" s="9">
        <f t="shared" si="220"/>
        <v>3576.3579233425171</v>
      </c>
      <c r="O609" s="7">
        <f t="shared" si="221"/>
        <v>-5918661.5248008808</v>
      </c>
      <c r="P609" s="2">
        <f t="shared" si="202"/>
        <v>11.070100664941387</v>
      </c>
      <c r="Q609" s="2">
        <f t="shared" si="203"/>
        <v>14.508090125782104</v>
      </c>
      <c r="R609" s="2">
        <f t="shared" si="204"/>
        <v>14.927207949476886</v>
      </c>
      <c r="S609" s="2">
        <f t="shared" si="205"/>
        <v>16.262231767712308</v>
      </c>
      <c r="T609" s="9">
        <f t="shared" si="206"/>
        <v>8748.5336383328176</v>
      </c>
      <c r="U609" s="7">
        <f t="shared" si="207"/>
        <v>-3700181.0436993204</v>
      </c>
      <c r="W609">
        <f t="shared" si="218"/>
        <v>216360</v>
      </c>
      <c r="X609" s="9">
        <f t="shared" si="222"/>
        <v>-9883.076887907966</v>
      </c>
      <c r="Y609" s="2">
        <f t="shared" si="223"/>
        <v>804956.09831395047</v>
      </c>
      <c r="Z609" s="2">
        <f t="shared" si="208"/>
        <v>-1.5055676020422033</v>
      </c>
      <c r="AA609" s="2">
        <f t="shared" si="209"/>
        <v>2.8426004484568939</v>
      </c>
      <c r="AB609" s="2">
        <f t="shared" si="210"/>
        <v>2.748408773147927</v>
      </c>
      <c r="AC609" s="2">
        <f t="shared" si="211"/>
        <v>11.428533167105767</v>
      </c>
      <c r="AD609" s="2">
        <f t="shared" si="212"/>
        <v>-8616.777847411573</v>
      </c>
      <c r="AE609" s="10">
        <f t="shared" si="213"/>
        <v>-2525017.7540435665</v>
      </c>
    </row>
    <row r="610" spans="1:31" x14ac:dyDescent="0.25">
      <c r="A610" s="1">
        <f t="shared" si="214"/>
        <v>2.5083333333333333</v>
      </c>
      <c r="B610" s="7">
        <f t="shared" si="215"/>
        <v>-3700181.0436993204</v>
      </c>
      <c r="C610" s="7">
        <f t="shared" si="216"/>
        <v>-2525017.7540435665</v>
      </c>
      <c r="D610" s="7"/>
      <c r="E610" s="7"/>
      <c r="F610" s="7"/>
      <c r="G610" s="7"/>
      <c r="H610" s="7"/>
      <c r="I610" s="7"/>
      <c r="J610" s="7"/>
      <c r="K610" s="7"/>
      <c r="L610" s="1">
        <f t="shared" si="219"/>
        <v>2.5083333333333333</v>
      </c>
      <c r="M610">
        <f t="shared" si="217"/>
        <v>216720</v>
      </c>
      <c r="N610" s="9">
        <f t="shared" si="220"/>
        <v>8748.5336383328176</v>
      </c>
      <c r="O610" s="7">
        <f t="shared" si="221"/>
        <v>-3700181.0436993204</v>
      </c>
      <c r="P610" s="2">
        <f t="shared" si="202"/>
        <v>16.407243923481122</v>
      </c>
      <c r="Q610" s="2">
        <f t="shared" si="203"/>
        <v>9.220765931689705</v>
      </c>
      <c r="R610" s="2">
        <f t="shared" si="204"/>
        <v>10.257194113890449</v>
      </c>
      <c r="S610" s="2">
        <f t="shared" si="205"/>
        <v>-0.54700921228157828</v>
      </c>
      <c r="T610" s="9">
        <f t="shared" si="206"/>
        <v>12037.502926474408</v>
      </c>
      <c r="U610" s="7">
        <f t="shared" si="207"/>
        <v>41305.537965980358</v>
      </c>
      <c r="W610">
        <f t="shared" si="218"/>
        <v>216720</v>
      </c>
      <c r="X610" s="9">
        <f t="shared" si="222"/>
        <v>-8616.777847411573</v>
      </c>
      <c r="Y610" s="2">
        <f t="shared" si="223"/>
        <v>-2525017.7540435665</v>
      </c>
      <c r="Z610" s="2">
        <f t="shared" si="208"/>
        <v>11.196366262201666</v>
      </c>
      <c r="AA610" s="2">
        <f t="shared" si="209"/>
        <v>19.311033165246119</v>
      </c>
      <c r="AB610" s="2">
        <f t="shared" si="210"/>
        <v>19.533665637732799</v>
      </c>
      <c r="AC610" s="2">
        <f t="shared" si="211"/>
        <v>20.934678531731503</v>
      </c>
      <c r="AD610" s="2">
        <f t="shared" si="212"/>
        <v>-2027.5513034181122</v>
      </c>
      <c r="AE610" s="10">
        <f t="shared" si="213"/>
        <v>-4440997.0011929106</v>
      </c>
    </row>
    <row r="611" spans="1:31" x14ac:dyDescent="0.25">
      <c r="A611" s="1">
        <f t="shared" si="214"/>
        <v>2.5125000000000002</v>
      </c>
      <c r="B611" s="7">
        <f t="shared" si="215"/>
        <v>41305.537965980358</v>
      </c>
      <c r="C611" s="7">
        <f t="shared" si="216"/>
        <v>-4440997.0011929106</v>
      </c>
      <c r="D611" s="7"/>
      <c r="E611" s="7"/>
      <c r="F611" s="7"/>
      <c r="G611" s="7"/>
      <c r="H611" s="7"/>
      <c r="I611" s="7"/>
      <c r="J611" s="7"/>
      <c r="K611" s="7"/>
      <c r="L611" s="1">
        <f t="shared" si="219"/>
        <v>2.5125000000000002</v>
      </c>
      <c r="M611">
        <f t="shared" si="217"/>
        <v>217080</v>
      </c>
      <c r="N611" s="9">
        <f t="shared" si="220"/>
        <v>12037.502926474408</v>
      </c>
      <c r="O611" s="7">
        <f t="shared" si="221"/>
        <v>41305.537965980358</v>
      </c>
      <c r="P611" s="2">
        <f t="shared" si="202"/>
        <v>-0.18795271086584928</v>
      </c>
      <c r="Q611" s="2">
        <f t="shared" si="203"/>
        <v>-7.0653112316628004</v>
      </c>
      <c r="R611" s="2">
        <f t="shared" si="204"/>
        <v>-6.5577322169712389</v>
      </c>
      <c r="S611" s="2">
        <f t="shared" si="205"/>
        <v>-8.0832429479671202</v>
      </c>
      <c r="T611" s="9">
        <f t="shared" si="206"/>
        <v>9906.4659731083448</v>
      </c>
      <c r="U611" s="7">
        <f t="shared" si="207"/>
        <v>3991219.9398908759</v>
      </c>
      <c r="W611">
        <f t="shared" si="218"/>
        <v>217080</v>
      </c>
      <c r="X611" s="9">
        <f t="shared" si="222"/>
        <v>-2027.5513034181122</v>
      </c>
      <c r="Y611" s="2">
        <f t="shared" si="223"/>
        <v>-4440997.0011929106</v>
      </c>
      <c r="Z611" s="2">
        <f t="shared" si="208"/>
        <v>20.207881713313959</v>
      </c>
      <c r="AA611" s="2">
        <f t="shared" si="209"/>
        <v>14.350322373239067</v>
      </c>
      <c r="AB611" s="2">
        <f t="shared" si="210"/>
        <v>14.325416559777812</v>
      </c>
      <c r="AC611" s="2">
        <f t="shared" si="211"/>
        <v>8.6823706629436224</v>
      </c>
      <c r="AD611" s="2">
        <f t="shared" si="212"/>
        <v>3146.952511119368</v>
      </c>
      <c r="AE611" s="10">
        <f t="shared" si="213"/>
        <v>-4239504.7838066844</v>
      </c>
    </row>
    <row r="612" spans="1:31" x14ac:dyDescent="0.25">
      <c r="A612" s="1">
        <f t="shared" si="214"/>
        <v>2.5166666666666666</v>
      </c>
      <c r="B612" s="7">
        <f t="shared" si="215"/>
        <v>3991219.9398908759</v>
      </c>
      <c r="C612" s="7">
        <f t="shared" si="216"/>
        <v>-4239504.7838066844</v>
      </c>
      <c r="D612" s="7"/>
      <c r="E612" s="7"/>
      <c r="F612" s="7"/>
      <c r="G612" s="7"/>
      <c r="H612" s="7"/>
      <c r="I612" s="7"/>
      <c r="J612" s="7"/>
      <c r="K612" s="7"/>
      <c r="L612" s="1">
        <f t="shared" si="219"/>
        <v>2.5166666666666666</v>
      </c>
      <c r="M612">
        <f t="shared" si="217"/>
        <v>217440</v>
      </c>
      <c r="N612" s="9">
        <f t="shared" si="220"/>
        <v>9906.4659731083448</v>
      </c>
      <c r="O612" s="7">
        <f t="shared" si="221"/>
        <v>3991219.9398908759</v>
      </c>
      <c r="P612" s="2">
        <f t="shared" si="202"/>
        <v>-8.0590158050837548</v>
      </c>
      <c r="Q612" s="2">
        <f t="shared" si="203"/>
        <v>-7.6181706177590769</v>
      </c>
      <c r="R612" s="2">
        <f t="shared" si="204"/>
        <v>-7.4959846642823003</v>
      </c>
      <c r="S612" s="2">
        <f t="shared" si="205"/>
        <v>-6.4086202376336603</v>
      </c>
      <c r="T612" s="9">
        <f t="shared" si="206"/>
        <v>7224.7091767003349</v>
      </c>
      <c r="U612" s="7">
        <f t="shared" si="207"/>
        <v>7074831.4668564387</v>
      </c>
      <c r="W612">
        <f t="shared" si="218"/>
        <v>217440</v>
      </c>
      <c r="X612" s="9">
        <f t="shared" si="222"/>
        <v>3146.952511119368</v>
      </c>
      <c r="Y612" s="2">
        <f t="shared" si="223"/>
        <v>-4239504.7838066844</v>
      </c>
      <c r="Z612" s="2">
        <f t="shared" si="208"/>
        <v>8.5603491095407733</v>
      </c>
      <c r="AA612" s="2">
        <f t="shared" si="209"/>
        <v>4.7707828938980805</v>
      </c>
      <c r="AB612" s="2">
        <f t="shared" si="210"/>
        <v>4.7697677168824679</v>
      </c>
      <c r="AC612" s="2">
        <f t="shared" si="211"/>
        <v>2.5351719889150459</v>
      </c>
      <c r="AD612" s="2">
        <f t="shared" si="212"/>
        <v>4957.5498503203826</v>
      </c>
      <c r="AE612" s="10">
        <f t="shared" si="213"/>
        <v>-2780694.3587475293</v>
      </c>
    </row>
    <row r="613" spans="1:31" x14ac:dyDescent="0.25">
      <c r="A613" s="1">
        <f t="shared" si="214"/>
        <v>2.5208333333333335</v>
      </c>
      <c r="B613" s="7">
        <f t="shared" si="215"/>
        <v>7074831.4668564387</v>
      </c>
      <c r="C613" s="7">
        <f t="shared" si="216"/>
        <v>-2780694.3587475293</v>
      </c>
      <c r="D613" s="7"/>
      <c r="E613" s="7"/>
      <c r="F613" s="7"/>
      <c r="G613" s="7"/>
      <c r="H613" s="7"/>
      <c r="I613" s="7"/>
      <c r="J613" s="7"/>
      <c r="K613" s="7"/>
      <c r="L613" s="1">
        <f t="shared" si="219"/>
        <v>2.5208333333333335</v>
      </c>
      <c r="M613">
        <f t="shared" si="217"/>
        <v>217800</v>
      </c>
      <c r="N613" s="9">
        <f t="shared" si="220"/>
        <v>7224.7091767003349</v>
      </c>
      <c r="O613" s="7">
        <f t="shared" si="221"/>
        <v>7074831.4668564387</v>
      </c>
      <c r="P613" s="2">
        <f t="shared" si="202"/>
        <v>-6.4198646673875972</v>
      </c>
      <c r="Q613" s="2">
        <f t="shared" si="203"/>
        <v>-5.4159906231389732</v>
      </c>
      <c r="R613" s="2">
        <f t="shared" si="204"/>
        <v>-5.3873974800344202</v>
      </c>
      <c r="S613" s="2">
        <f t="shared" si="205"/>
        <v>-4.5166714079074222</v>
      </c>
      <c r="T613" s="9">
        <f t="shared" si="206"/>
        <v>5272.110439801826</v>
      </c>
      <c r="U613" s="7">
        <f t="shared" si="207"/>
        <v>9324258.9978268277</v>
      </c>
      <c r="W613">
        <f t="shared" si="218"/>
        <v>217800</v>
      </c>
      <c r="X613" s="9">
        <f t="shared" si="222"/>
        <v>4957.5498503203826</v>
      </c>
      <c r="Y613" s="2">
        <f t="shared" si="223"/>
        <v>-2780694.3587475293</v>
      </c>
      <c r="Z613" s="2">
        <f t="shared" si="208"/>
        <v>2.5232659672753068</v>
      </c>
      <c r="AA613" s="2">
        <f t="shared" si="209"/>
        <v>1.2097064832792712</v>
      </c>
      <c r="AB613" s="2">
        <f t="shared" si="210"/>
        <v>1.2147917312151577</v>
      </c>
      <c r="AC613" s="2">
        <f t="shared" si="211"/>
        <v>0.44420712459100975</v>
      </c>
      <c r="AD613" s="2">
        <f t="shared" si="212"/>
        <v>5426.5380215716932</v>
      </c>
      <c r="AE613" s="10">
        <f t="shared" si="213"/>
        <v>-911558.54180695559</v>
      </c>
    </row>
    <row r="614" spans="1:31" x14ac:dyDescent="0.25">
      <c r="A614" s="1">
        <f t="shared" si="214"/>
        <v>2.5249999999999999</v>
      </c>
      <c r="B614" s="7">
        <f t="shared" si="215"/>
        <v>9324258.9978268277</v>
      </c>
      <c r="C614" s="7">
        <f t="shared" si="216"/>
        <v>-911558.54180695559</v>
      </c>
      <c r="D614" s="7"/>
      <c r="E614" s="7"/>
      <c r="F614" s="7"/>
      <c r="G614" s="7"/>
      <c r="H614" s="7"/>
      <c r="I614" s="7"/>
      <c r="J614" s="7"/>
      <c r="K614" s="7"/>
      <c r="L614" s="1">
        <f t="shared" si="219"/>
        <v>2.5249999999999999</v>
      </c>
      <c r="M614">
        <f t="shared" si="217"/>
        <v>218160</v>
      </c>
      <c r="N614" s="9">
        <f t="shared" si="220"/>
        <v>5272.110439801826</v>
      </c>
      <c r="O614" s="7">
        <f t="shared" si="221"/>
        <v>9324258.9978268277</v>
      </c>
      <c r="P614" s="2">
        <f t="shared" si="202"/>
        <v>-4.519734372848581</v>
      </c>
      <c r="Q614" s="2">
        <f t="shared" si="203"/>
        <v>-3.830922160649437</v>
      </c>
      <c r="R614" s="2">
        <f t="shared" si="204"/>
        <v>-3.8226118234228657</v>
      </c>
      <c r="S614" s="2">
        <f t="shared" si="205"/>
        <v>-3.2654175440962576</v>
      </c>
      <c r="T614" s="9">
        <f t="shared" si="206"/>
        <v>3886.577246696459</v>
      </c>
      <c r="U614" s="7">
        <f t="shared" si="207"/>
        <v>10972822.781396519</v>
      </c>
      <c r="W614">
        <f t="shared" si="218"/>
        <v>218160</v>
      </c>
      <c r="X614" s="9">
        <f t="shared" si="222"/>
        <v>5426.5380215716932</v>
      </c>
      <c r="Y614" s="2">
        <f t="shared" si="223"/>
        <v>-911558.54180695559</v>
      </c>
      <c r="Z614" s="2">
        <f t="shared" si="208"/>
        <v>0.44185843349363546</v>
      </c>
      <c r="AA614" s="2">
        <f t="shared" si="209"/>
        <v>-2.718312417790799E-2</v>
      </c>
      <c r="AB614" s="2">
        <f t="shared" si="210"/>
        <v>-2.424998403775374E-2</v>
      </c>
      <c r="AC614" s="2">
        <f t="shared" si="211"/>
        <v>-0.309573445203838</v>
      </c>
      <c r="AD614" s="2">
        <f t="shared" si="212"/>
        <v>5428.3031478832017</v>
      </c>
      <c r="AE614" s="10">
        <f t="shared" si="213"/>
        <v>1042312.8686949257</v>
      </c>
    </row>
    <row r="615" spans="1:31" x14ac:dyDescent="0.25">
      <c r="A615" s="1">
        <f t="shared" si="214"/>
        <v>2.5291666666666668</v>
      </c>
      <c r="B615" s="7">
        <f t="shared" si="215"/>
        <v>10972822.781396519</v>
      </c>
      <c r="C615" s="7">
        <f t="shared" si="216"/>
        <v>1042312.8686949257</v>
      </c>
      <c r="D615" s="7"/>
      <c r="E615" s="7"/>
      <c r="F615" s="7"/>
      <c r="G615" s="7"/>
      <c r="H615" s="7"/>
      <c r="I615" s="7"/>
      <c r="J615" s="7"/>
      <c r="K615" s="7"/>
      <c r="L615" s="1">
        <f t="shared" si="219"/>
        <v>2.5291666666666668</v>
      </c>
      <c r="M615">
        <f t="shared" si="217"/>
        <v>218520</v>
      </c>
      <c r="N615" s="9">
        <f t="shared" si="220"/>
        <v>3886.577246696459</v>
      </c>
      <c r="O615" s="7">
        <f t="shared" si="221"/>
        <v>10972822.781396519</v>
      </c>
      <c r="P615" s="2">
        <f t="shared" si="202"/>
        <v>-3.2662517861019871</v>
      </c>
      <c r="Q615" s="2">
        <f t="shared" si="203"/>
        <v>-2.8240568527762293</v>
      </c>
      <c r="R615" s="2">
        <f t="shared" si="204"/>
        <v>-2.8210854463930053</v>
      </c>
      <c r="S615" s="2">
        <f t="shared" si="205"/>
        <v>-2.4611806445764013</v>
      </c>
      <c r="T615" s="9">
        <f t="shared" si="206"/>
        <v>2865.5142249554474</v>
      </c>
      <c r="U615" s="7">
        <f t="shared" si="207"/>
        <v>12188199.246293863</v>
      </c>
      <c r="W615">
        <f t="shared" si="218"/>
        <v>218520</v>
      </c>
      <c r="X615" s="9">
        <f t="shared" si="222"/>
        <v>5428.3031478832017</v>
      </c>
      <c r="Y615" s="2">
        <f t="shared" si="223"/>
        <v>1042312.8686949257</v>
      </c>
      <c r="Z615" s="2">
        <f t="shared" si="208"/>
        <v>-0.31026257662922463</v>
      </c>
      <c r="AA615" s="2">
        <f t="shared" si="209"/>
        <v>-0.48958476765960651</v>
      </c>
      <c r="AB615" s="2">
        <f t="shared" si="210"/>
        <v>-0.48806343420902404</v>
      </c>
      <c r="AC615" s="2">
        <f t="shared" si="211"/>
        <v>-0.59865320118029619</v>
      </c>
      <c r="AD615" s="2">
        <f t="shared" si="212"/>
        <v>5256.4504169903948</v>
      </c>
      <c r="AE615" s="10">
        <f t="shared" si="213"/>
        <v>2965568.510372173</v>
      </c>
    </row>
    <row r="616" spans="1:31" x14ac:dyDescent="0.25">
      <c r="A616" s="1">
        <f t="shared" si="214"/>
        <v>2.5333333333333332</v>
      </c>
      <c r="B616" s="7">
        <f t="shared" si="215"/>
        <v>12188199.246293863</v>
      </c>
      <c r="C616" s="7">
        <f t="shared" si="216"/>
        <v>2965568.510372173</v>
      </c>
      <c r="D616" s="7"/>
      <c r="E616" s="7"/>
      <c r="F616" s="7"/>
      <c r="G616" s="7"/>
      <c r="H616" s="7"/>
      <c r="I616" s="7"/>
      <c r="J616" s="7"/>
      <c r="K616" s="7"/>
      <c r="L616" s="1">
        <f t="shared" si="219"/>
        <v>2.5333333333333332</v>
      </c>
      <c r="M616">
        <f t="shared" si="217"/>
        <v>218880</v>
      </c>
      <c r="N616" s="9">
        <f t="shared" si="220"/>
        <v>2865.5142249554474</v>
      </c>
      <c r="O616" s="7">
        <f t="shared" si="221"/>
        <v>12188199.246293863</v>
      </c>
      <c r="P616" s="2">
        <f t="shared" si="202"/>
        <v>-2.4614486868197822</v>
      </c>
      <c r="Q616" s="2">
        <f t="shared" si="203"/>
        <v>-2.1692281498878301</v>
      </c>
      <c r="R616" s="2">
        <f t="shared" si="204"/>
        <v>-2.1679804688659745</v>
      </c>
      <c r="S616" s="2">
        <f t="shared" si="205"/>
        <v>-1.9256847143243188</v>
      </c>
      <c r="T616" s="9">
        <f t="shared" si="206"/>
        <v>2081.8211866363449</v>
      </c>
      <c r="U616" s="7">
        <f t="shared" si="207"/>
        <v>13078719.620380387</v>
      </c>
      <c r="W616">
        <f t="shared" si="218"/>
        <v>218880</v>
      </c>
      <c r="X616" s="9">
        <f t="shared" si="222"/>
        <v>5256.4504169903948</v>
      </c>
      <c r="Y616" s="2">
        <f t="shared" si="223"/>
        <v>2965568.510372173</v>
      </c>
      <c r="Z616" s="2">
        <f t="shared" si="208"/>
        <v>-0.59890674315562353</v>
      </c>
      <c r="AA616" s="2">
        <f t="shared" si="209"/>
        <v>-0.66837568659180413</v>
      </c>
      <c r="AB616" s="2">
        <f t="shared" si="210"/>
        <v>-0.66754906098147826</v>
      </c>
      <c r="AC616" s="2">
        <f t="shared" si="211"/>
        <v>-0.70886566130137996</v>
      </c>
      <c r="AD616" s="2">
        <f t="shared" si="212"/>
        <v>5017.6731030141809</v>
      </c>
      <c r="AE616" s="10">
        <f t="shared" si="213"/>
        <v>4814910.7439729962</v>
      </c>
    </row>
    <row r="617" spans="1:31" x14ac:dyDescent="0.25">
      <c r="A617" s="1">
        <f t="shared" si="214"/>
        <v>2.5375000000000001</v>
      </c>
      <c r="B617" s="7">
        <f t="shared" si="215"/>
        <v>13078719.620380387</v>
      </c>
      <c r="C617" s="7">
        <f t="shared" si="216"/>
        <v>4814910.7439729962</v>
      </c>
      <c r="D617" s="7"/>
      <c r="E617" s="7"/>
      <c r="F617" s="7"/>
      <c r="G617" s="7"/>
      <c r="H617" s="7"/>
      <c r="I617" s="7"/>
      <c r="J617" s="7"/>
      <c r="K617" s="7"/>
      <c r="L617" s="1">
        <f t="shared" si="219"/>
        <v>2.5375000000000001</v>
      </c>
      <c r="M617">
        <f t="shared" si="217"/>
        <v>219240</v>
      </c>
      <c r="N617" s="9">
        <f t="shared" si="220"/>
        <v>2081.8211866363449</v>
      </c>
      <c r="O617" s="7">
        <f t="shared" si="221"/>
        <v>13078719.620380387</v>
      </c>
      <c r="P617" s="2">
        <f t="shared" si="202"/>
        <v>-1.9257851370199568</v>
      </c>
      <c r="Q617" s="2">
        <f t="shared" si="203"/>
        <v>-1.7244252028160862</v>
      </c>
      <c r="R617" s="2">
        <f t="shared" si="204"/>
        <v>-1.7238339810568233</v>
      </c>
      <c r="S617" s="2">
        <f t="shared" si="205"/>
        <v>-1.5536683674574683</v>
      </c>
      <c r="T617" s="9">
        <f t="shared" si="206"/>
        <v>1459.2628743029502</v>
      </c>
      <c r="U617" s="7">
        <f t="shared" si="207"/>
        <v>13716114.75134946</v>
      </c>
      <c r="W617">
        <f t="shared" si="218"/>
        <v>219240</v>
      </c>
      <c r="X617" s="9">
        <f t="shared" si="222"/>
        <v>5017.6731030141809</v>
      </c>
      <c r="Y617" s="2">
        <f t="shared" si="223"/>
        <v>4814910.7439729962</v>
      </c>
      <c r="Z617" s="2">
        <f t="shared" si="208"/>
        <v>-0.70897487032077</v>
      </c>
      <c r="AA617" s="2">
        <f t="shared" si="209"/>
        <v>-0.73315698164361343</v>
      </c>
      <c r="AB617" s="2">
        <f t="shared" si="210"/>
        <v>-0.732677241047615</v>
      </c>
      <c r="AC617" s="2">
        <f t="shared" si="211"/>
        <v>-0.74461560740129218</v>
      </c>
      <c r="AD617" s="2">
        <f t="shared" si="212"/>
        <v>4754.5575676279095</v>
      </c>
      <c r="AE617" s="10">
        <f t="shared" si="213"/>
        <v>6573912.2646885719</v>
      </c>
    </row>
    <row r="618" spans="1:31" x14ac:dyDescent="0.25">
      <c r="A618" s="1">
        <f t="shared" si="214"/>
        <v>2.5416666666666665</v>
      </c>
      <c r="B618" s="7">
        <f t="shared" si="215"/>
        <v>13716114.75134946</v>
      </c>
      <c r="C618" s="7">
        <f t="shared" si="216"/>
        <v>6573912.2646885719</v>
      </c>
      <c r="D618" s="7"/>
      <c r="E618" s="7"/>
      <c r="F618" s="7"/>
      <c r="G618" s="7"/>
      <c r="H618" s="7"/>
      <c r="I618" s="7"/>
      <c r="J618" s="7"/>
      <c r="K618" s="7"/>
      <c r="L618" s="1">
        <f t="shared" si="219"/>
        <v>2.5416666666666665</v>
      </c>
      <c r="M618">
        <f t="shared" si="217"/>
        <v>219600</v>
      </c>
      <c r="N618" s="9">
        <f t="shared" si="220"/>
        <v>1459.2628743029502</v>
      </c>
      <c r="O618" s="7">
        <f t="shared" si="221"/>
        <v>13716114.75134946</v>
      </c>
      <c r="P618" s="2">
        <f t="shared" si="202"/>
        <v>-1.5537109744177318</v>
      </c>
      <c r="Q618" s="2">
        <f t="shared" si="203"/>
        <v>-1.4093908619542284</v>
      </c>
      <c r="R618" s="2">
        <f t="shared" si="204"/>
        <v>-1.4090839627732472</v>
      </c>
      <c r="S618" s="2">
        <f t="shared" si="205"/>
        <v>-1.2850331750322908</v>
      </c>
      <c r="T618" s="9">
        <f t="shared" si="206"/>
        <v>950.72124636865169</v>
      </c>
      <c r="U618" s="7">
        <f t="shared" si="207"/>
        <v>14149911.893070349</v>
      </c>
      <c r="W618">
        <f t="shared" si="218"/>
        <v>219600</v>
      </c>
      <c r="X618" s="9">
        <f t="shared" si="222"/>
        <v>4754.5575676279095</v>
      </c>
      <c r="Y618" s="2">
        <f t="shared" si="223"/>
        <v>6573912.2646885719</v>
      </c>
      <c r="Z618" s="2">
        <f t="shared" si="208"/>
        <v>-0.74466857529761277</v>
      </c>
      <c r="AA618" s="2">
        <f t="shared" si="209"/>
        <v>-0.74922499899235362</v>
      </c>
      <c r="AB618" s="2">
        <f t="shared" si="210"/>
        <v>-0.74892891279277252</v>
      </c>
      <c r="AC618" s="2">
        <f t="shared" si="211"/>
        <v>-0.74803828684111884</v>
      </c>
      <c r="AD618" s="2">
        <f t="shared" si="212"/>
        <v>4485.2166864853707</v>
      </c>
      <c r="AE618" s="10">
        <f t="shared" si="213"/>
        <v>8237071.6304289624</v>
      </c>
    </row>
    <row r="619" spans="1:31" x14ac:dyDescent="0.25">
      <c r="A619" s="1">
        <f t="shared" si="214"/>
        <v>2.5458333333333334</v>
      </c>
      <c r="B619" s="7">
        <f t="shared" si="215"/>
        <v>14149911.893070349</v>
      </c>
      <c r="C619" s="7">
        <f t="shared" si="216"/>
        <v>8237071.6304289624</v>
      </c>
      <c r="D619" s="7"/>
      <c r="E619" s="7"/>
      <c r="F619" s="7"/>
      <c r="G619" s="7"/>
      <c r="H619" s="7"/>
      <c r="I619" s="7"/>
      <c r="J619" s="7"/>
      <c r="K619" s="7"/>
      <c r="L619" s="1">
        <f t="shared" si="219"/>
        <v>2.5458333333333334</v>
      </c>
      <c r="M619">
        <f t="shared" si="217"/>
        <v>219960</v>
      </c>
      <c r="N619" s="9">
        <f t="shared" si="220"/>
        <v>950.72124636865169</v>
      </c>
      <c r="O619" s="7">
        <f t="shared" si="221"/>
        <v>14149911.893070349</v>
      </c>
      <c r="P619" s="2">
        <f t="shared" si="202"/>
        <v>-1.28505312877196</v>
      </c>
      <c r="Q619" s="2">
        <f t="shared" si="203"/>
        <v>-1.1780199709567343</v>
      </c>
      <c r="R619" s="2">
        <f t="shared" si="204"/>
        <v>-1.1778492666792364</v>
      </c>
      <c r="S619" s="2">
        <f t="shared" si="205"/>
        <v>-1.0844913794090669</v>
      </c>
      <c r="T619" s="9">
        <f t="shared" si="206"/>
        <v>525.84426736147361</v>
      </c>
      <c r="U619" s="7">
        <f t="shared" si="207"/>
        <v>14415693.685541771</v>
      </c>
      <c r="W619">
        <f t="shared" si="218"/>
        <v>219960</v>
      </c>
      <c r="X619" s="9">
        <f t="shared" si="222"/>
        <v>4485.2166864853707</v>
      </c>
      <c r="Y619" s="2">
        <f t="shared" si="223"/>
        <v>8237071.6304289624</v>
      </c>
      <c r="Z619" s="2">
        <f t="shared" si="208"/>
        <v>-0.74806647211600852</v>
      </c>
      <c r="AA619" s="2">
        <f t="shared" si="209"/>
        <v>-0.74405970253565801</v>
      </c>
      <c r="AB619" s="2">
        <f t="shared" si="210"/>
        <v>-0.74386703312120095</v>
      </c>
      <c r="AC619" s="2">
        <f t="shared" si="211"/>
        <v>-0.73751215134300607</v>
      </c>
      <c r="AD619" s="2">
        <f t="shared" si="212"/>
        <v>4217.5307607990071</v>
      </c>
      <c r="AE619" s="10">
        <f t="shared" si="213"/>
        <v>9803566.1709401496</v>
      </c>
    </row>
    <row r="620" spans="1:31" x14ac:dyDescent="0.25">
      <c r="A620" s="1">
        <f t="shared" si="214"/>
        <v>2.5499999999999998</v>
      </c>
      <c r="B620" s="7">
        <f t="shared" si="215"/>
        <v>14415693.685541771</v>
      </c>
      <c r="C620" s="7">
        <f t="shared" si="216"/>
        <v>9803566.1709401496</v>
      </c>
      <c r="D620" s="7"/>
      <c r="E620" s="7"/>
      <c r="F620" s="7"/>
      <c r="G620" s="7"/>
      <c r="H620" s="7"/>
      <c r="I620" s="7"/>
      <c r="J620" s="7"/>
      <c r="K620" s="7"/>
      <c r="L620" s="1">
        <f t="shared" si="219"/>
        <v>2.5499999999999998</v>
      </c>
      <c r="M620">
        <f t="shared" si="217"/>
        <v>220320</v>
      </c>
      <c r="N620" s="9">
        <f t="shared" si="220"/>
        <v>525.84426736147361</v>
      </c>
      <c r="O620" s="7">
        <f t="shared" si="221"/>
        <v>14415693.685541771</v>
      </c>
      <c r="P620" s="2">
        <f t="shared" si="202"/>
        <v>-1.0845014916103994</v>
      </c>
      <c r="Q620" s="2">
        <f t="shared" si="203"/>
        <v>-1.0027742770160097</v>
      </c>
      <c r="R620" s="2">
        <f t="shared" si="204"/>
        <v>-1.0026742541595177</v>
      </c>
      <c r="S620" s="2">
        <f t="shared" si="205"/>
        <v>-0.93048728098019962</v>
      </c>
      <c r="T620" s="9">
        <f t="shared" si="206"/>
        <v>164.29111726497439</v>
      </c>
      <c r="U620" s="7">
        <f t="shared" si="207"/>
        <v>14539918.054774532</v>
      </c>
      <c r="W620">
        <f t="shared" si="218"/>
        <v>220320</v>
      </c>
      <c r="X620" s="9">
        <f t="shared" si="222"/>
        <v>4217.5307607990071</v>
      </c>
      <c r="Y620" s="2">
        <f t="shared" si="223"/>
        <v>9803566.1709401496</v>
      </c>
      <c r="Z620" s="2">
        <f t="shared" si="208"/>
        <v>-0.7375283054293249</v>
      </c>
      <c r="AA620" s="2">
        <f t="shared" si="209"/>
        <v>-0.73002190787306265</v>
      </c>
      <c r="AB620" s="2">
        <f t="shared" si="210"/>
        <v>-0.72989082525037874</v>
      </c>
      <c r="AC620" s="2">
        <f t="shared" si="211"/>
        <v>-0.72151554545975272</v>
      </c>
      <c r="AD620" s="2">
        <f t="shared" si="212"/>
        <v>3954.7986017708495</v>
      </c>
      <c r="AE620" s="10">
        <f t="shared" si="213"/>
        <v>11274585.456202723</v>
      </c>
    </row>
    <row r="621" spans="1:31" x14ac:dyDescent="0.25">
      <c r="A621" s="1">
        <f t="shared" si="214"/>
        <v>2.5541666666666667</v>
      </c>
      <c r="B621" s="7">
        <f t="shared" si="215"/>
        <v>14539918.054774532</v>
      </c>
      <c r="C621" s="7">
        <f t="shared" si="216"/>
        <v>11274585.456202723</v>
      </c>
      <c r="D621" s="7"/>
      <c r="E621" s="7"/>
      <c r="F621" s="7"/>
      <c r="G621" s="7"/>
      <c r="H621" s="7"/>
      <c r="I621" s="7"/>
      <c r="J621" s="7"/>
      <c r="K621" s="7"/>
      <c r="L621" s="1">
        <f t="shared" si="219"/>
        <v>2.5541666666666667</v>
      </c>
      <c r="M621">
        <f t="shared" si="217"/>
        <v>220680</v>
      </c>
      <c r="N621" s="9">
        <f t="shared" si="220"/>
        <v>164.29111726497439</v>
      </c>
      <c r="O621" s="7">
        <f t="shared" si="221"/>
        <v>14539918.054774532</v>
      </c>
      <c r="P621" s="2">
        <f t="shared" si="202"/>
        <v>-0.93049274423197237</v>
      </c>
      <c r="Q621" s="2">
        <f t="shared" si="203"/>
        <v>-0.86651466184547932</v>
      </c>
      <c r="R621" s="2">
        <f t="shared" si="204"/>
        <v>-0.86645377882730823</v>
      </c>
      <c r="S621" s="2">
        <f t="shared" si="205"/>
        <v>-0.80932715831870683</v>
      </c>
      <c r="T621" s="9">
        <f t="shared" si="206"/>
        <v>-148.05428976880091</v>
      </c>
      <c r="U621" s="7">
        <f t="shared" si="207"/>
        <v>14542840.683723843</v>
      </c>
      <c r="W621">
        <f t="shared" si="218"/>
        <v>220680</v>
      </c>
      <c r="X621" s="9">
        <f t="shared" si="222"/>
        <v>3954.7986017708495</v>
      </c>
      <c r="Y621" s="2">
        <f t="shared" si="223"/>
        <v>11274585.456202723</v>
      </c>
      <c r="Z621" s="2">
        <f t="shared" si="208"/>
        <v>-0.72152538423522972</v>
      </c>
      <c r="AA621" s="2">
        <f t="shared" si="209"/>
        <v>-0.71293174538982185</v>
      </c>
      <c r="AB621" s="2">
        <f t="shared" si="210"/>
        <v>-0.71283917877490888</v>
      </c>
      <c r="AC621" s="2">
        <f t="shared" si="211"/>
        <v>-0.70410257856651437</v>
      </c>
      <c r="AD621" s="2">
        <f t="shared" si="212"/>
        <v>3698.168413102977</v>
      </c>
      <c r="AE621" s="10">
        <f t="shared" si="213"/>
        <v>12652119.518880012</v>
      </c>
    </row>
    <row r="622" spans="1:31" x14ac:dyDescent="0.25">
      <c r="A622" s="1">
        <f t="shared" si="214"/>
        <v>2.5583333333333331</v>
      </c>
      <c r="B622" s="7">
        <f t="shared" si="215"/>
        <v>14542840.683723843</v>
      </c>
      <c r="C622" s="7">
        <f t="shared" si="216"/>
        <v>12652119.518880012</v>
      </c>
      <c r="D622" s="7"/>
      <c r="E622" s="7"/>
      <c r="F622" s="7"/>
      <c r="G622" s="7"/>
      <c r="H622" s="7"/>
      <c r="I622" s="7"/>
      <c r="J622" s="7"/>
      <c r="K622" s="7"/>
      <c r="L622" s="1">
        <f t="shared" si="219"/>
        <v>2.5583333333333331</v>
      </c>
      <c r="M622">
        <f t="shared" si="217"/>
        <v>221040</v>
      </c>
      <c r="N622" s="9">
        <f t="shared" si="220"/>
        <v>-148.05428976880091</v>
      </c>
      <c r="O622" s="7">
        <f t="shared" si="221"/>
        <v>14542840.683723843</v>
      </c>
      <c r="P622" s="2">
        <f t="shared" si="202"/>
        <v>-0.80933027005934</v>
      </c>
      <c r="Q622" s="2">
        <f t="shared" si="203"/>
        <v>-0.75815906074897432</v>
      </c>
      <c r="R622" s="2">
        <f t="shared" si="204"/>
        <v>-0.7581210418769293</v>
      </c>
      <c r="S622" s="2">
        <f t="shared" si="205"/>
        <v>-0.71199451748071285</v>
      </c>
      <c r="T622" s="9">
        <f t="shared" si="206"/>
        <v>-421.28738933631251</v>
      </c>
      <c r="U622" s="7">
        <f t="shared" si="207"/>
        <v>14440359.181484923</v>
      </c>
      <c r="W622">
        <f t="shared" si="218"/>
        <v>221040</v>
      </c>
      <c r="X622" s="9">
        <f t="shared" si="222"/>
        <v>3698.168413102977</v>
      </c>
      <c r="Y622" s="2">
        <f t="shared" si="223"/>
        <v>12652119.518880012</v>
      </c>
      <c r="Z622" s="2">
        <f t="shared" si="208"/>
        <v>-0.70410888283321371</v>
      </c>
      <c r="AA622" s="2">
        <f t="shared" si="209"/>
        <v>-0.69560087978293206</v>
      </c>
      <c r="AB622" s="2">
        <f t="shared" si="210"/>
        <v>-0.69553344714098231</v>
      </c>
      <c r="AC622" s="2">
        <f t="shared" si="211"/>
        <v>-0.68724181646960814</v>
      </c>
      <c r="AD622" s="2">
        <f t="shared" si="212"/>
        <v>3447.7512519139377</v>
      </c>
      <c r="AE622" s="10">
        <f t="shared" si="213"/>
        <v>13938385.058583057</v>
      </c>
    </row>
    <row r="623" spans="1:31" x14ac:dyDescent="0.25">
      <c r="A623" s="1">
        <f t="shared" si="214"/>
        <v>2.5625</v>
      </c>
      <c r="B623" s="7">
        <f t="shared" si="215"/>
        <v>14440359.181484923</v>
      </c>
      <c r="C623" s="7">
        <f t="shared" si="216"/>
        <v>13938385.058583057</v>
      </c>
      <c r="D623" s="7"/>
      <c r="E623" s="7"/>
      <c r="F623" s="7"/>
      <c r="G623" s="7"/>
      <c r="H623" s="7"/>
      <c r="I623" s="7"/>
      <c r="J623" s="7"/>
      <c r="K623" s="7"/>
      <c r="L623" s="1">
        <f t="shared" si="219"/>
        <v>2.5625</v>
      </c>
      <c r="M623">
        <f t="shared" si="217"/>
        <v>221400</v>
      </c>
      <c r="N623" s="9">
        <f t="shared" si="220"/>
        <v>-421.28738933631251</v>
      </c>
      <c r="O623" s="7">
        <f t="shared" si="221"/>
        <v>14440359.181484923</v>
      </c>
      <c r="P623" s="2">
        <f t="shared" si="202"/>
        <v>-0.71199637094334178</v>
      </c>
      <c r="Q623" s="2">
        <f t="shared" si="203"/>
        <v>-0.67029281505345184</v>
      </c>
      <c r="R623" s="2">
        <f t="shared" si="204"/>
        <v>-0.67026876642331246</v>
      </c>
      <c r="S623" s="2">
        <f t="shared" si="205"/>
        <v>-0.63235956002382476</v>
      </c>
      <c r="T623" s="9">
        <f t="shared" si="206"/>
        <v>-662.81613497155422</v>
      </c>
      <c r="U623" s="7">
        <f t="shared" si="207"/>
        <v>14245220.547109507</v>
      </c>
      <c r="W623">
        <f t="shared" si="218"/>
        <v>221400</v>
      </c>
      <c r="X623" s="9">
        <f t="shared" si="222"/>
        <v>3447.7512519139377</v>
      </c>
      <c r="Y623" s="2">
        <f t="shared" si="223"/>
        <v>13938385.058583057</v>
      </c>
      <c r="Z623" s="2">
        <f t="shared" si="208"/>
        <v>-0.68724603410463969</v>
      </c>
      <c r="AA623" s="2">
        <f t="shared" si="209"/>
        <v>-0.67939259605844238</v>
      </c>
      <c r="AB623" s="2">
        <f t="shared" si="210"/>
        <v>-0.67934218550455672</v>
      </c>
      <c r="AC623" s="2">
        <f t="shared" si="211"/>
        <v>-0.67188038723607468</v>
      </c>
      <c r="AD623" s="2">
        <f t="shared" si="212"/>
        <v>3203.155492845935</v>
      </c>
      <c r="AE623" s="10">
        <f t="shared" si="213"/>
        <v>15135548.272639833</v>
      </c>
    </row>
    <row r="624" spans="1:31" x14ac:dyDescent="0.25">
      <c r="A624" s="1">
        <f t="shared" si="214"/>
        <v>2.5666666666666669</v>
      </c>
      <c r="B624" s="7">
        <f t="shared" si="215"/>
        <v>14245220.547109507</v>
      </c>
      <c r="C624" s="7">
        <f t="shared" si="216"/>
        <v>15135548.272639833</v>
      </c>
      <c r="D624" s="7"/>
      <c r="E624" s="7"/>
      <c r="F624" s="7"/>
      <c r="G624" s="7"/>
      <c r="H624" s="7"/>
      <c r="I624" s="7"/>
      <c r="J624" s="7"/>
      <c r="K624" s="7"/>
      <c r="L624" s="1">
        <f t="shared" si="219"/>
        <v>2.5666666666666669</v>
      </c>
      <c r="M624">
        <f t="shared" si="217"/>
        <v>221760</v>
      </c>
      <c r="N624" s="9">
        <f t="shared" si="220"/>
        <v>-662.81613497155422</v>
      </c>
      <c r="O624" s="7">
        <f t="shared" si="221"/>
        <v>14245220.547109507</v>
      </c>
      <c r="P624" s="2">
        <f t="shared" si="202"/>
        <v>-0.63236070818822954</v>
      </c>
      <c r="Q624" s="2">
        <f t="shared" si="203"/>
        <v>-0.59780224415338024</v>
      </c>
      <c r="R624" s="2">
        <f t="shared" si="204"/>
        <v>-0.59778706729644571</v>
      </c>
      <c r="S624" s="2">
        <f t="shared" si="205"/>
        <v>-0.5661345714808278</v>
      </c>
      <c r="T624" s="9">
        <f t="shared" si="206"/>
        <v>-878.19656912567677</v>
      </c>
      <c r="U624" s="7">
        <f t="shared" si="207"/>
        <v>13967838.260372005</v>
      </c>
      <c r="W624">
        <f t="shared" si="218"/>
        <v>221760</v>
      </c>
      <c r="X624" s="9">
        <f t="shared" si="222"/>
        <v>3203.155492845935</v>
      </c>
      <c r="Y624" s="2">
        <f t="shared" si="223"/>
        <v>15135548.272639833</v>
      </c>
      <c r="Z624" s="2">
        <f t="shared" si="208"/>
        <v>-0.67188331643245325</v>
      </c>
      <c r="AA624" s="2">
        <f t="shared" si="209"/>
        <v>-0.66495121921258871</v>
      </c>
      <c r="AB624" s="2">
        <f t="shared" si="210"/>
        <v>-0.66491272204106511</v>
      </c>
      <c r="AC624" s="2">
        <f t="shared" si="211"/>
        <v>-0.65845361668329194</v>
      </c>
      <c r="AD624" s="2">
        <f t="shared" si="212"/>
        <v>2963.7516039085517</v>
      </c>
      <c r="AE624" s="10">
        <f t="shared" si="213"/>
        <v>16245591.550055642</v>
      </c>
    </row>
    <row r="625" spans="1:31" x14ac:dyDescent="0.25">
      <c r="A625" s="1">
        <f t="shared" si="214"/>
        <v>2.5708333333333333</v>
      </c>
      <c r="B625" s="7">
        <f t="shared" si="215"/>
        <v>13967838.260372005</v>
      </c>
      <c r="C625" s="7">
        <f t="shared" si="216"/>
        <v>16245591.550055642</v>
      </c>
      <c r="D625" s="7"/>
      <c r="E625" s="7"/>
      <c r="F625" s="7"/>
      <c r="G625" s="7"/>
      <c r="H625" s="7"/>
      <c r="I625" s="7"/>
      <c r="J625" s="7"/>
      <c r="K625" s="7"/>
      <c r="L625" s="1">
        <f t="shared" si="219"/>
        <v>2.5708333333333333</v>
      </c>
      <c r="M625">
        <f t="shared" si="217"/>
        <v>222120</v>
      </c>
      <c r="N625" s="9">
        <f t="shared" si="220"/>
        <v>-878.19656912567677</v>
      </c>
      <c r="O625" s="7">
        <f t="shared" si="221"/>
        <v>13967838.260372005</v>
      </c>
      <c r="P625" s="2">
        <f t="shared" si="202"/>
        <v>-0.5661353089570681</v>
      </c>
      <c r="Q625" s="2">
        <f t="shared" si="203"/>
        <v>-0.53706393755884807</v>
      </c>
      <c r="R625" s="2">
        <f t="shared" si="204"/>
        <v>-0.53705458980453036</v>
      </c>
      <c r="S625" s="2">
        <f t="shared" si="205"/>
        <v>-0.51024272102442325</v>
      </c>
      <c r="T625" s="9">
        <f t="shared" si="206"/>
        <v>-1071.6734742081717</v>
      </c>
      <c r="U625" s="7">
        <f t="shared" si="207"/>
        <v>13616861.652571913</v>
      </c>
      <c r="W625">
        <f t="shared" si="218"/>
        <v>222120</v>
      </c>
      <c r="X625" s="9">
        <f t="shared" si="222"/>
        <v>2963.7516039085517</v>
      </c>
      <c r="Y625" s="2">
        <f t="shared" si="223"/>
        <v>16245591.550055642</v>
      </c>
      <c r="Z625" s="2">
        <f t="shared" si="208"/>
        <v>-0.65845571948483739</v>
      </c>
      <c r="AA625" s="2">
        <f t="shared" si="209"/>
        <v>-0.65255919374654514</v>
      </c>
      <c r="AB625" s="2">
        <f t="shared" si="210"/>
        <v>-0.65252928501725083</v>
      </c>
      <c r="AC625" s="2">
        <f t="shared" si="211"/>
        <v>-0.64713939150586919</v>
      </c>
      <c r="AD625" s="2">
        <f t="shared" si="212"/>
        <v>2728.8052797974537</v>
      </c>
      <c r="AE625" s="10">
        <f t="shared" si="213"/>
        <v>17270251.789122723</v>
      </c>
    </row>
    <row r="626" spans="1:31" x14ac:dyDescent="0.25">
      <c r="A626" s="1">
        <f t="shared" si="214"/>
        <v>2.5750000000000002</v>
      </c>
      <c r="B626" s="7">
        <f t="shared" si="215"/>
        <v>13616861.652571913</v>
      </c>
      <c r="C626" s="7">
        <f t="shared" si="216"/>
        <v>17270251.789122723</v>
      </c>
      <c r="D626" s="7"/>
      <c r="E626" s="7"/>
      <c r="F626" s="7"/>
      <c r="G626" s="7"/>
      <c r="H626" s="7"/>
      <c r="I626" s="7"/>
      <c r="J626" s="7"/>
      <c r="K626" s="7"/>
      <c r="L626" s="1">
        <f t="shared" si="219"/>
        <v>2.5750000000000002</v>
      </c>
      <c r="M626">
        <f t="shared" si="217"/>
        <v>222480</v>
      </c>
      <c r="N626" s="9">
        <f t="shared" si="220"/>
        <v>-1071.6734742081717</v>
      </c>
      <c r="O626" s="7">
        <f t="shared" si="221"/>
        <v>13616861.652571913</v>
      </c>
      <c r="P626" s="2">
        <f t="shared" si="202"/>
        <v>-0.51024321195541389</v>
      </c>
      <c r="Q626" s="2">
        <f t="shared" si="203"/>
        <v>-0.48544706879567351</v>
      </c>
      <c r="R626" s="2">
        <f t="shared" si="204"/>
        <v>-0.48544167196861232</v>
      </c>
      <c r="S626" s="2">
        <f t="shared" si="205"/>
        <v>-0.4624241296220204</v>
      </c>
      <c r="T626" s="9">
        <f t="shared" si="206"/>
        <v>-1246.540163594532</v>
      </c>
      <c r="U626" s="7">
        <f t="shared" si="207"/>
        <v>13199583.197767425</v>
      </c>
      <c r="W626">
        <f t="shared" si="218"/>
        <v>222480</v>
      </c>
      <c r="X626" s="9">
        <f t="shared" si="222"/>
        <v>2728.8052797974537</v>
      </c>
      <c r="Y626" s="2">
        <f t="shared" si="223"/>
        <v>17270251.789122723</v>
      </c>
      <c r="Z626" s="2">
        <f t="shared" si="208"/>
        <v>-0.64714094693738222</v>
      </c>
      <c r="AA626" s="2">
        <f t="shared" si="209"/>
        <v>-0.64231845303794377</v>
      </c>
      <c r="AB626" s="2">
        <f t="shared" si="210"/>
        <v>-0.64229490731282002</v>
      </c>
      <c r="AC626" s="2">
        <f t="shared" si="211"/>
        <v>-0.63798938079013823</v>
      </c>
      <c r="AD626" s="2">
        <f t="shared" si="212"/>
        <v>2497.5438568917107</v>
      </c>
      <c r="AE626" s="10">
        <f t="shared" si="213"/>
        <v>18210994.633726772</v>
      </c>
    </row>
    <row r="627" spans="1:31" x14ac:dyDescent="0.25">
      <c r="A627" s="1">
        <f t="shared" si="214"/>
        <v>2.5791666666666666</v>
      </c>
      <c r="B627" s="7">
        <f t="shared" si="215"/>
        <v>13199583.197767425</v>
      </c>
      <c r="C627" s="7">
        <f t="shared" si="216"/>
        <v>18210994.633726772</v>
      </c>
      <c r="D627" s="7"/>
      <c r="E627" s="7"/>
      <c r="F627" s="7"/>
      <c r="G627" s="7"/>
      <c r="H627" s="7"/>
      <c r="I627" s="7"/>
      <c r="J627" s="7"/>
      <c r="K627" s="7"/>
      <c r="L627" s="1">
        <f t="shared" si="219"/>
        <v>2.5791666666666666</v>
      </c>
      <c r="M627">
        <f t="shared" si="217"/>
        <v>222840</v>
      </c>
      <c r="N627" s="9">
        <f t="shared" si="220"/>
        <v>-1246.540163594532</v>
      </c>
      <c r="O627" s="7">
        <f t="shared" si="221"/>
        <v>13199583.197767425</v>
      </c>
      <c r="P627" s="2">
        <f t="shared" si="202"/>
        <v>-0.46242446913029728</v>
      </c>
      <c r="Q627" s="2">
        <f t="shared" si="203"/>
        <v>-0.44099820121421496</v>
      </c>
      <c r="R627" s="2">
        <f t="shared" si="204"/>
        <v>-0.44099556299313969</v>
      </c>
      <c r="S627" s="2">
        <f t="shared" si="205"/>
        <v>-0.42098262526629521</v>
      </c>
      <c r="T627" s="9">
        <f t="shared" si="206"/>
        <v>-1405.3838409632101</v>
      </c>
      <c r="U627" s="7">
        <f t="shared" si="207"/>
        <v>12722236.876947032</v>
      </c>
      <c r="W627">
        <f t="shared" si="218"/>
        <v>222840</v>
      </c>
      <c r="X627" s="9">
        <f t="shared" si="222"/>
        <v>2497.5438568917107</v>
      </c>
      <c r="Y627" s="2">
        <f t="shared" si="223"/>
        <v>18210994.633726772</v>
      </c>
      <c r="Z627" s="2">
        <f t="shared" si="208"/>
        <v>-0.63799056376720709</v>
      </c>
      <c r="AA627" s="2">
        <f t="shared" si="209"/>
        <v>-0.63424530692573866</v>
      </c>
      <c r="AB627" s="2">
        <f t="shared" si="210"/>
        <v>-0.63422659966903894</v>
      </c>
      <c r="AC627" s="2">
        <f t="shared" si="211"/>
        <v>-0.63099856981780289</v>
      </c>
      <c r="AD627" s="2">
        <f t="shared" si="212"/>
        <v>2269.1878800852369</v>
      </c>
      <c r="AE627" s="10">
        <f t="shared" si="213"/>
        <v>19069006.346382622</v>
      </c>
    </row>
    <row r="628" spans="1:31" x14ac:dyDescent="0.25">
      <c r="A628" s="1">
        <f t="shared" si="214"/>
        <v>2.5833333333333335</v>
      </c>
      <c r="B628" s="7">
        <f t="shared" si="215"/>
        <v>12722236.876947032</v>
      </c>
      <c r="C628" s="7">
        <f t="shared" si="216"/>
        <v>19069006.346382622</v>
      </c>
      <c r="D628" s="7"/>
      <c r="E628" s="7"/>
      <c r="F628" s="7"/>
      <c r="G628" s="7"/>
      <c r="H628" s="7"/>
      <c r="I628" s="7"/>
      <c r="J628" s="7"/>
      <c r="K628" s="7"/>
      <c r="L628" s="1">
        <f t="shared" si="219"/>
        <v>2.5833333333333335</v>
      </c>
      <c r="M628">
        <f t="shared" si="217"/>
        <v>223200</v>
      </c>
      <c r="N628" s="9">
        <f t="shared" si="220"/>
        <v>-1405.3838409632101</v>
      </c>
      <c r="O628" s="7">
        <f t="shared" si="221"/>
        <v>12722236.876947032</v>
      </c>
      <c r="P628" s="2">
        <f t="shared" si="202"/>
        <v>-0.42098287047501365</v>
      </c>
      <c r="Q628" s="2">
        <f t="shared" si="203"/>
        <v>-0.40223588550991995</v>
      </c>
      <c r="R628" s="2">
        <f t="shared" si="204"/>
        <v>-0.40223523172030196</v>
      </c>
      <c r="S628" s="2">
        <f t="shared" si="205"/>
        <v>-0.38461842129861779</v>
      </c>
      <c r="T628" s="9">
        <f t="shared" si="206"/>
        <v>-1550.2564525372545</v>
      </c>
      <c r="U628" s="7">
        <f t="shared" si="207"/>
        <v>12190221.624116948</v>
      </c>
      <c r="W628">
        <f t="shared" si="218"/>
        <v>223200</v>
      </c>
      <c r="X628" s="9">
        <f t="shared" si="222"/>
        <v>2269.1878800852369</v>
      </c>
      <c r="Y628" s="2">
        <f t="shared" si="223"/>
        <v>19069006.346382622</v>
      </c>
      <c r="Z628" s="2">
        <f t="shared" si="208"/>
        <v>-0.63099949375670039</v>
      </c>
      <c r="AA628" s="2">
        <f t="shared" si="209"/>
        <v>-0.6283213210226789</v>
      </c>
      <c r="AB628" s="2">
        <f t="shared" si="210"/>
        <v>-0.62830638869806732</v>
      </c>
      <c r="AC628" s="2">
        <f t="shared" si="211"/>
        <v>-0.62614298325939644</v>
      </c>
      <c r="AD628" s="2">
        <f t="shared" si="212"/>
        <v>2042.9640062977815</v>
      </c>
      <c r="AE628" s="10">
        <f t="shared" si="213"/>
        <v>19845193.685931563</v>
      </c>
    </row>
    <row r="629" spans="1:31" x14ac:dyDescent="0.25">
      <c r="A629" s="1">
        <f t="shared" si="214"/>
        <v>2.5874999999999999</v>
      </c>
      <c r="B629" s="7">
        <f t="shared" si="215"/>
        <v>12190221.624116948</v>
      </c>
      <c r="C629" s="7">
        <f t="shared" si="216"/>
        <v>19845193.685931563</v>
      </c>
      <c r="D629" s="7"/>
      <c r="E629" s="7"/>
      <c r="F629" s="7"/>
      <c r="G629" s="7"/>
      <c r="H629" s="7"/>
      <c r="I629" s="7"/>
      <c r="J629" s="7"/>
      <c r="K629" s="7"/>
      <c r="L629" s="1">
        <f t="shared" si="219"/>
        <v>2.5874999999999999</v>
      </c>
      <c r="M629">
        <f t="shared" si="217"/>
        <v>223560</v>
      </c>
      <c r="N629" s="9">
        <f t="shared" ref="N629:N692" si="224">T628</f>
        <v>-1550.2564525372545</v>
      </c>
      <c r="O629" s="7">
        <f t="shared" ref="O629:O692" si="225">U628</f>
        <v>12190221.624116948</v>
      </c>
      <c r="P629" s="2">
        <f t="shared" si="202"/>
        <v>-0.38461860768990125</v>
      </c>
      <c r="Q629" s="2">
        <f t="shared" si="203"/>
        <v>-0.36801319453848758</v>
      </c>
      <c r="R629" s="2">
        <f t="shared" si="204"/>
        <v>-0.36801401404082928</v>
      </c>
      <c r="S629" s="2">
        <f t="shared" si="205"/>
        <v>-0.35231466445579473</v>
      </c>
      <c r="T629" s="9">
        <f t="shared" si="206"/>
        <v>-1682.7957138955144</v>
      </c>
      <c r="U629" s="7">
        <f t="shared" si="207"/>
        <v>11608272.234159049</v>
      </c>
      <c r="W629">
        <f t="shared" si="218"/>
        <v>223560</v>
      </c>
      <c r="X629" s="9">
        <f t="shared" ref="X629:X692" si="226">AD628</f>
        <v>2042.9640062977815</v>
      </c>
      <c r="Y629" s="2">
        <f t="shared" ref="Y629:Y692" si="227">AE628</f>
        <v>19845193.685931563</v>
      </c>
      <c r="Z629" s="2">
        <f t="shared" si="208"/>
        <v>-0.62614372405820296</v>
      </c>
      <c r="AA629" s="2">
        <f t="shared" si="209"/>
        <v>-0.62452125434009853</v>
      </c>
      <c r="AB629" s="2">
        <f t="shared" si="210"/>
        <v>-0.6245093459515787</v>
      </c>
      <c r="AC629" s="2">
        <f t="shared" si="211"/>
        <v>-0.62340069277744858</v>
      </c>
      <c r="AD629" s="2">
        <f t="shared" si="212"/>
        <v>1818.107669252641</v>
      </c>
      <c r="AE629" s="10">
        <f t="shared" si="213"/>
        <v>20540186.587530639</v>
      </c>
    </row>
    <row r="630" spans="1:31" x14ac:dyDescent="0.25">
      <c r="A630" s="1">
        <f t="shared" si="214"/>
        <v>2.5916666666666668</v>
      </c>
      <c r="B630" s="7">
        <f t="shared" si="215"/>
        <v>11608272.234159049</v>
      </c>
      <c r="C630" s="7">
        <f t="shared" si="216"/>
        <v>20540186.587530639</v>
      </c>
      <c r="D630" s="7"/>
      <c r="E630" s="7"/>
      <c r="F630" s="7"/>
      <c r="G630" s="7"/>
      <c r="H630" s="7"/>
      <c r="I630" s="7"/>
      <c r="J630" s="7"/>
      <c r="K630" s="7"/>
      <c r="L630" s="1">
        <f t="shared" si="219"/>
        <v>2.5916666666666668</v>
      </c>
      <c r="M630">
        <f t="shared" si="217"/>
        <v>223920</v>
      </c>
      <c r="N630" s="9">
        <f t="shared" si="224"/>
        <v>-1682.7957138955144</v>
      </c>
      <c r="O630" s="7">
        <f t="shared" si="225"/>
        <v>11608272.234159049</v>
      </c>
      <c r="P630" s="2">
        <f t="shared" si="202"/>
        <v>-0.35231481483991745</v>
      </c>
      <c r="Q630" s="2">
        <f t="shared" si="203"/>
        <v>-0.337423339235215</v>
      </c>
      <c r="R630" s="2">
        <f t="shared" si="204"/>
        <v>-0.33742529126264709</v>
      </c>
      <c r="S630" s="2">
        <f t="shared" si="205"/>
        <v>-0.32325852118582571</v>
      </c>
      <c r="T630" s="9">
        <f t="shared" si="206"/>
        <v>-1804.3119497168025</v>
      </c>
      <c r="U630" s="7">
        <f t="shared" si="207"/>
        <v>10980592.854708832</v>
      </c>
      <c r="W630">
        <f t="shared" si="218"/>
        <v>223920</v>
      </c>
      <c r="X630" s="9">
        <f t="shared" si="226"/>
        <v>1818.107669252641</v>
      </c>
      <c r="Y630" s="2">
        <f t="shared" si="227"/>
        <v>20540186.587530639</v>
      </c>
      <c r="Z630" s="2">
        <f t="shared" si="208"/>
        <v>-0.62340130282854833</v>
      </c>
      <c r="AA630" s="2">
        <f t="shared" si="209"/>
        <v>-0.62282888951050863</v>
      </c>
      <c r="AB630" s="2">
        <f t="shared" si="210"/>
        <v>-0.62281947267394289</v>
      </c>
      <c r="AC630" s="2">
        <f t="shared" si="211"/>
        <v>-0.62276400457155345</v>
      </c>
      <c r="AD630" s="2">
        <f t="shared" si="212"/>
        <v>1593.8599473465008</v>
      </c>
      <c r="AE630" s="10">
        <f t="shared" si="213"/>
        <v>21154340.758518483</v>
      </c>
    </row>
    <row r="631" spans="1:31" x14ac:dyDescent="0.25">
      <c r="A631" s="1">
        <f t="shared" si="214"/>
        <v>2.5958333333333332</v>
      </c>
      <c r="B631" s="7">
        <f t="shared" si="215"/>
        <v>10980592.854708832</v>
      </c>
      <c r="C631" s="7">
        <f t="shared" si="216"/>
        <v>21154340.758518483</v>
      </c>
      <c r="D631" s="7"/>
      <c r="E631" s="7"/>
      <c r="F631" s="7"/>
      <c r="G631" s="7"/>
      <c r="H631" s="7"/>
      <c r="I631" s="7"/>
      <c r="J631" s="7"/>
      <c r="K631" s="7"/>
      <c r="L631" s="1">
        <f t="shared" si="219"/>
        <v>2.5958333333333332</v>
      </c>
      <c r="M631">
        <f t="shared" si="217"/>
        <v>224280</v>
      </c>
      <c r="N631" s="9">
        <f t="shared" si="224"/>
        <v>-1804.3119497168025</v>
      </c>
      <c r="O631" s="7">
        <f t="shared" si="225"/>
        <v>10980592.854708832</v>
      </c>
      <c r="P631" s="2">
        <f t="shared" si="202"/>
        <v>-0.32325865079891225</v>
      </c>
      <c r="Q631" s="2">
        <f t="shared" si="203"/>
        <v>-0.30973316230231046</v>
      </c>
      <c r="R631" s="2">
        <f t="shared" si="204"/>
        <v>-0.3097360196406892</v>
      </c>
      <c r="S631" s="2">
        <f t="shared" si="205"/>
        <v>-0.29678480057309509</v>
      </c>
      <c r="T631" s="9">
        <f t="shared" si="206"/>
        <v>-1915.8508586322828</v>
      </c>
      <c r="U631" s="7">
        <f t="shared" si="207"/>
        <v>10310963.549205996</v>
      </c>
      <c r="W631">
        <f t="shared" si="218"/>
        <v>224280</v>
      </c>
      <c r="X631" s="9">
        <f t="shared" si="226"/>
        <v>1593.8599473465008</v>
      </c>
      <c r="Y631" s="2">
        <f t="shared" si="227"/>
        <v>21154340.758518483</v>
      </c>
      <c r="Z631" s="2">
        <f t="shared" si="208"/>
        <v>-0.62276452124409964</v>
      </c>
      <c r="AA631" s="2">
        <f t="shared" si="209"/>
        <v>-0.62324651922746599</v>
      </c>
      <c r="AB631" s="2">
        <f t="shared" si="210"/>
        <v>-0.62323921988259878</v>
      </c>
      <c r="AC631" s="2">
        <f t="shared" si="211"/>
        <v>-0.62424710002821615</v>
      </c>
      <c r="AD631" s="2">
        <f t="shared" si="212"/>
        <v>1369.4609613769539</v>
      </c>
      <c r="AE631" s="10">
        <f t="shared" si="213"/>
        <v>21687738.522088706</v>
      </c>
    </row>
    <row r="632" spans="1:31" x14ac:dyDescent="0.25">
      <c r="A632" s="1">
        <f t="shared" si="214"/>
        <v>2.6</v>
      </c>
      <c r="B632" s="7">
        <f t="shared" si="215"/>
        <v>10310963.549205996</v>
      </c>
      <c r="C632" s="7">
        <f t="shared" si="216"/>
        <v>21687738.522088706</v>
      </c>
      <c r="D632" s="7"/>
      <c r="E632" s="7"/>
      <c r="F632" s="7"/>
      <c r="G632" s="7"/>
      <c r="H632" s="7"/>
      <c r="I632" s="7"/>
      <c r="J632" s="7"/>
      <c r="K632" s="7"/>
      <c r="L632" s="1">
        <f t="shared" si="219"/>
        <v>2.6</v>
      </c>
      <c r="M632">
        <f t="shared" si="217"/>
        <v>224640</v>
      </c>
      <c r="N632" s="9">
        <f t="shared" si="224"/>
        <v>-1915.8508586322828</v>
      </c>
      <c r="O632" s="7">
        <f t="shared" si="225"/>
        <v>10310963.549205996</v>
      </c>
      <c r="P632" s="2">
        <f t="shared" si="202"/>
        <v>-0.29678492007767854</v>
      </c>
      <c r="Q632" s="2">
        <f t="shared" si="203"/>
        <v>-0.28433493539251353</v>
      </c>
      <c r="R632" s="2">
        <f t="shared" si="204"/>
        <v>-0.28433854878031112</v>
      </c>
      <c r="S632" s="2">
        <f t="shared" si="205"/>
        <v>-0.27233443840641364</v>
      </c>
      <c r="T632" s="9">
        <f t="shared" si="206"/>
        <v>-2018.2388382420672</v>
      </c>
      <c r="U632" s="7">
        <f t="shared" si="207"/>
        <v>9602827.4037686139</v>
      </c>
      <c r="W632">
        <f t="shared" si="218"/>
        <v>224640</v>
      </c>
      <c r="X632" s="9">
        <f t="shared" si="226"/>
        <v>1369.4609613769539</v>
      </c>
      <c r="Y632" s="2">
        <f t="shared" si="227"/>
        <v>21687738.522088706</v>
      </c>
      <c r="Z632" s="2">
        <f t="shared" si="208"/>
        <v>-0.6242475509904547</v>
      </c>
      <c r="AA632" s="2">
        <f t="shared" si="209"/>
        <v>-0.62580126708407768</v>
      </c>
      <c r="AB632" s="2">
        <f t="shared" si="210"/>
        <v>-0.62579583073825451</v>
      </c>
      <c r="AC632" s="2">
        <f t="shared" si="211"/>
        <v>-0.6278915360647046</v>
      </c>
      <c r="AD632" s="2">
        <f t="shared" si="212"/>
        <v>1144.1409644149644</v>
      </c>
      <c r="AE632" s="10">
        <f t="shared" si="213"/>
        <v>22140186.868731253</v>
      </c>
    </row>
    <row r="633" spans="1:31" x14ac:dyDescent="0.25">
      <c r="A633" s="1">
        <f t="shared" si="214"/>
        <v>2.6041666666666665</v>
      </c>
      <c r="B633" s="7">
        <f t="shared" si="215"/>
        <v>9602827.4037686139</v>
      </c>
      <c r="C633" s="7">
        <f t="shared" si="216"/>
        <v>22140186.868731253</v>
      </c>
      <c r="D633" s="7"/>
      <c r="E633" s="7"/>
      <c r="F633" s="7"/>
      <c r="G633" s="7"/>
      <c r="H633" s="7"/>
      <c r="I633" s="7"/>
      <c r="J633" s="7"/>
      <c r="K633" s="7"/>
      <c r="L633" s="1">
        <f t="shared" si="219"/>
        <v>2.6041666666666665</v>
      </c>
      <c r="M633">
        <f t="shared" si="217"/>
        <v>225000</v>
      </c>
      <c r="N633" s="9">
        <f t="shared" si="224"/>
        <v>-2018.2388382420672</v>
      </c>
      <c r="O633" s="7">
        <f t="shared" si="225"/>
        <v>9602827.4037686139</v>
      </c>
      <c r="P633" s="2">
        <f t="shared" si="202"/>
        <v>-0.27233455572499604</v>
      </c>
      <c r="Q633" s="2">
        <f t="shared" si="203"/>
        <v>-0.26071023961483714</v>
      </c>
      <c r="R633" s="2">
        <f t="shared" si="204"/>
        <v>-0.26071451506959797</v>
      </c>
      <c r="S633" s="2">
        <f t="shared" si="205"/>
        <v>-0.24942276625565388</v>
      </c>
      <c r="T633" s="9">
        <f t="shared" si="206"/>
        <v>-2112.1152481230383</v>
      </c>
      <c r="U633" s="7">
        <f t="shared" si="207"/>
        <v>8859363.6682228949</v>
      </c>
      <c r="W633">
        <f t="shared" si="218"/>
        <v>225000</v>
      </c>
      <c r="X633" s="9">
        <f t="shared" si="226"/>
        <v>1144.1409644149644</v>
      </c>
      <c r="Y633" s="2">
        <f t="shared" si="227"/>
        <v>22140186.868731253</v>
      </c>
      <c r="Z633" s="2">
        <f t="shared" si="208"/>
        <v>-0.62789194276240301</v>
      </c>
      <c r="AA633" s="2">
        <f t="shared" si="209"/>
        <v>-0.63055007898968618</v>
      </c>
      <c r="AB633" s="2">
        <f t="shared" si="210"/>
        <v>-0.63054634638439866</v>
      </c>
      <c r="AC633" s="2">
        <f t="shared" si="211"/>
        <v>-0.63377104046309596</v>
      </c>
      <c r="AD633" s="2">
        <f t="shared" si="212"/>
        <v>917.1096143765443</v>
      </c>
      <c r="AE633" s="10">
        <f t="shared" si="213"/>
        <v>22511211.972913723</v>
      </c>
    </row>
    <row r="634" spans="1:31" x14ac:dyDescent="0.25">
      <c r="A634" s="1">
        <f t="shared" si="214"/>
        <v>2.6083333333333334</v>
      </c>
      <c r="B634" s="7">
        <f t="shared" si="215"/>
        <v>8859363.6682228949</v>
      </c>
      <c r="C634" s="7">
        <f t="shared" si="216"/>
        <v>22511211.972913723</v>
      </c>
      <c r="D634" s="7"/>
      <c r="E634" s="7"/>
      <c r="F634" s="7"/>
      <c r="G634" s="7"/>
      <c r="H634" s="7"/>
      <c r="I634" s="7"/>
      <c r="J634" s="7"/>
      <c r="K634" s="7"/>
      <c r="L634" s="1">
        <f t="shared" si="219"/>
        <v>2.6083333333333334</v>
      </c>
      <c r="M634">
        <f t="shared" si="217"/>
        <v>225360</v>
      </c>
      <c r="N634" s="9">
        <f t="shared" si="224"/>
        <v>-2112.1152481230383</v>
      </c>
      <c r="O634" s="7">
        <f t="shared" si="225"/>
        <v>8859363.6682228949</v>
      </c>
      <c r="P634" s="2">
        <f t="shared" si="202"/>
        <v>-0.24942288774330143</v>
      </c>
      <c r="Q634" s="2">
        <f t="shared" si="203"/>
        <v>-0.23840173407602278</v>
      </c>
      <c r="R634" s="2">
        <f t="shared" si="204"/>
        <v>-0.23840661830668106</v>
      </c>
      <c r="S634" s="2">
        <f t="shared" si="205"/>
        <v>-0.22761406068032694</v>
      </c>
      <c r="T634" s="9">
        <f t="shared" si="206"/>
        <v>-2197.9544673143805</v>
      </c>
      <c r="U634" s="7">
        <f t="shared" si="207"/>
        <v>8083551.1194441598</v>
      </c>
      <c r="W634">
        <f t="shared" si="218"/>
        <v>225360</v>
      </c>
      <c r="X634" s="9">
        <f t="shared" si="226"/>
        <v>917.1096143765443</v>
      </c>
      <c r="Y634" s="2">
        <f t="shared" si="227"/>
        <v>22511211.972913723</v>
      </c>
      <c r="Z634" s="2">
        <f t="shared" si="208"/>
        <v>-0.63377142051693236</v>
      </c>
      <c r="AA634" s="2">
        <f t="shared" si="209"/>
        <v>-0.63758452623884587</v>
      </c>
      <c r="AB634" s="2">
        <f t="shared" si="210"/>
        <v>-0.63758241931070481</v>
      </c>
      <c r="AC634" s="2">
        <f t="shared" si="211"/>
        <v>-0.64199654224572589</v>
      </c>
      <c r="AD634" s="2">
        <f t="shared" si="212"/>
        <v>687.54350314483872</v>
      </c>
      <c r="AE634" s="10">
        <f t="shared" si="213"/>
        <v>22800049.534067571</v>
      </c>
    </row>
    <row r="635" spans="1:31" x14ac:dyDescent="0.25">
      <c r="A635" s="1">
        <f t="shared" si="214"/>
        <v>2.6124999999999998</v>
      </c>
      <c r="B635" s="7">
        <f t="shared" si="215"/>
        <v>8083551.1194441598</v>
      </c>
      <c r="C635" s="7">
        <f t="shared" si="216"/>
        <v>22800049.534067571</v>
      </c>
      <c r="D635" s="7"/>
      <c r="E635" s="7"/>
      <c r="F635" s="7"/>
      <c r="G635" s="7"/>
      <c r="H635" s="7"/>
      <c r="I635" s="7"/>
      <c r="J635" s="7"/>
      <c r="K635" s="7"/>
      <c r="L635" s="1">
        <f t="shared" si="219"/>
        <v>2.6124999999999998</v>
      </c>
      <c r="M635">
        <f t="shared" si="217"/>
        <v>225720</v>
      </c>
      <c r="N635" s="9">
        <f t="shared" si="224"/>
        <v>-2197.9544673143805</v>
      </c>
      <c r="O635" s="7">
        <f t="shared" si="225"/>
        <v>8083551.1194441598</v>
      </c>
      <c r="P635" s="2">
        <f t="shared" si="202"/>
        <v>-0.22761419192266358</v>
      </c>
      <c r="Q635" s="2">
        <f t="shared" si="203"/>
        <v>-0.21698983459052745</v>
      </c>
      <c r="R635" s="2">
        <f t="shared" si="204"/>
        <v>-0.2169953055888324</v>
      </c>
      <c r="S635" s="2">
        <f t="shared" si="205"/>
        <v>-0.20649979852636258</v>
      </c>
      <c r="T635" s="9">
        <f t="shared" si="206"/>
        <v>-2276.0795235628452</v>
      </c>
      <c r="U635" s="7">
        <f t="shared" si="207"/>
        <v>7278225.0010862593</v>
      </c>
      <c r="W635">
        <f t="shared" si="218"/>
        <v>225720</v>
      </c>
      <c r="X635" s="9">
        <f t="shared" si="226"/>
        <v>687.54350314483872</v>
      </c>
      <c r="Y635" s="2">
        <f t="shared" si="227"/>
        <v>22800049.534067571</v>
      </c>
      <c r="Z635" s="2">
        <f t="shared" si="208"/>
        <v>-0.64199691123501434</v>
      </c>
      <c r="AA635" s="2">
        <f t="shared" si="209"/>
        <v>-0.64703621915561149</v>
      </c>
      <c r="AB635" s="2">
        <f t="shared" si="210"/>
        <v>-0.64703573506320322</v>
      </c>
      <c r="AC635" s="2">
        <f t="shared" si="211"/>
        <v>-0.65272214995785716</v>
      </c>
      <c r="AD635" s="2">
        <f t="shared" si="212"/>
        <v>454.57172496700866</v>
      </c>
      <c r="AE635" s="10">
        <f t="shared" si="213"/>
        <v>23005630.275127705</v>
      </c>
    </row>
    <row r="636" spans="1:31" x14ac:dyDescent="0.25">
      <c r="A636" s="1">
        <f t="shared" si="214"/>
        <v>2.6166666666666667</v>
      </c>
      <c r="B636" s="7">
        <f t="shared" si="215"/>
        <v>7278225.0010862593</v>
      </c>
      <c r="C636" s="7">
        <f t="shared" si="216"/>
        <v>23005630.275127705</v>
      </c>
      <c r="D636" s="7"/>
      <c r="E636" s="7"/>
      <c r="F636" s="7"/>
      <c r="G636" s="7"/>
      <c r="H636" s="7"/>
      <c r="I636" s="7"/>
      <c r="J636" s="7"/>
      <c r="K636" s="7"/>
      <c r="L636" s="1">
        <f t="shared" si="219"/>
        <v>2.6166666666666667</v>
      </c>
      <c r="M636">
        <f t="shared" si="217"/>
        <v>226080</v>
      </c>
      <c r="N636" s="9">
        <f t="shared" si="224"/>
        <v>-2276.0795235628452</v>
      </c>
      <c r="O636" s="7">
        <f t="shared" si="225"/>
        <v>7278225.0010862593</v>
      </c>
      <c r="P636" s="2">
        <f t="shared" si="202"/>
        <v>-0.20649994493312154</v>
      </c>
      <c r="Q636" s="2">
        <f t="shared" si="203"/>
        <v>-0.19607202362189671</v>
      </c>
      <c r="R636" s="2">
        <f t="shared" si="204"/>
        <v>-0.19607808462648596</v>
      </c>
      <c r="S636" s="2">
        <f t="shared" si="205"/>
        <v>-0.18567854709929829</v>
      </c>
      <c r="T636" s="9">
        <f t="shared" si="206"/>
        <v>-2346.6682460745965</v>
      </c>
      <c r="U636" s="7">
        <f t="shared" si="207"/>
        <v>6446130.4025515197</v>
      </c>
      <c r="W636">
        <f t="shared" si="218"/>
        <v>226080</v>
      </c>
      <c r="X636" s="9">
        <f t="shared" si="226"/>
        <v>454.57172496700866</v>
      </c>
      <c r="Y636" s="2">
        <f t="shared" si="227"/>
        <v>23005630.275127705</v>
      </c>
      <c r="Z636" s="2">
        <f t="shared" si="208"/>
        <v>-0.65272252290312538</v>
      </c>
      <c r="AA636" s="2">
        <f t="shared" si="209"/>
        <v>-0.65908349515556219</v>
      </c>
      <c r="AB636" s="2">
        <f t="shared" si="210"/>
        <v>-0.65908470749752135</v>
      </c>
      <c r="AC636" s="2">
        <f t="shared" si="211"/>
        <v>-0.66615272946543447</v>
      </c>
      <c r="AD636" s="2">
        <f t="shared" si="212"/>
        <v>217.25902550652503</v>
      </c>
      <c r="AE636" s="10">
        <f t="shared" si="213"/>
        <v>23126559.81021294</v>
      </c>
    </row>
    <row r="637" spans="1:31" x14ac:dyDescent="0.25">
      <c r="A637" s="1">
        <f t="shared" si="214"/>
        <v>2.6208333333333331</v>
      </c>
      <c r="B637" s="7">
        <f t="shared" si="215"/>
        <v>6446130.4025515197</v>
      </c>
      <c r="C637" s="7">
        <f t="shared" si="216"/>
        <v>23126559.81021294</v>
      </c>
      <c r="D637" s="7"/>
      <c r="E637" s="7"/>
      <c r="F637" s="7"/>
      <c r="G637" s="7"/>
      <c r="H637" s="7"/>
      <c r="I637" s="7"/>
      <c r="J637" s="7"/>
      <c r="K637" s="7"/>
      <c r="L637" s="1">
        <f t="shared" si="219"/>
        <v>2.6208333333333331</v>
      </c>
      <c r="M637">
        <f t="shared" si="217"/>
        <v>226440</v>
      </c>
      <c r="N637" s="9">
        <f t="shared" si="224"/>
        <v>-2346.6682460745965</v>
      </c>
      <c r="O637" s="7">
        <f t="shared" si="225"/>
        <v>6446130.4025515197</v>
      </c>
      <c r="P637" s="2">
        <f t="shared" si="202"/>
        <v>-0.18567871440197001</v>
      </c>
      <c r="Q637" s="2">
        <f t="shared" si="203"/>
        <v>-0.17524284675468135</v>
      </c>
      <c r="R637" s="2">
        <f t="shared" si="204"/>
        <v>-0.17524952239790134</v>
      </c>
      <c r="S637" s="2">
        <f t="shared" si="205"/>
        <v>-0.16473559895807358</v>
      </c>
      <c r="T637" s="9">
        <f t="shared" si="206"/>
        <v>-2409.7521891745091</v>
      </c>
      <c r="U637" s="7">
        <f t="shared" si="207"/>
        <v>5589974.7242066804</v>
      </c>
      <c r="W637">
        <f t="shared" si="218"/>
        <v>226440</v>
      </c>
      <c r="X637" s="9">
        <f t="shared" si="226"/>
        <v>217.25902550652503</v>
      </c>
      <c r="Y637" s="2">
        <f t="shared" si="227"/>
        <v>23126559.81021294</v>
      </c>
      <c r="Z637" s="2">
        <f t="shared" si="208"/>
        <v>-0.66615312225159207</v>
      </c>
      <c r="AA637" s="2">
        <f t="shared" si="209"/>
        <v>-0.67396004751988692</v>
      </c>
      <c r="AB637" s="2">
        <f t="shared" si="210"/>
        <v>-0.67396311502169992</v>
      </c>
      <c r="AC637" s="2">
        <f t="shared" si="211"/>
        <v>-0.68255379199455724</v>
      </c>
      <c r="AD637" s="2">
        <f t="shared" si="212"/>
        <v>-25.414168853234344</v>
      </c>
      <c r="AE637" s="10">
        <f t="shared" si="213"/>
        <v>23161091.884410534</v>
      </c>
    </row>
    <row r="638" spans="1:31" x14ac:dyDescent="0.25">
      <c r="A638" s="1">
        <f t="shared" si="214"/>
        <v>2.625</v>
      </c>
      <c r="B638" s="7">
        <f t="shared" si="215"/>
        <v>5589974.7242066804</v>
      </c>
      <c r="C638" s="7">
        <f t="shared" si="216"/>
        <v>23161091.884410534</v>
      </c>
      <c r="D638" s="7"/>
      <c r="E638" s="7"/>
      <c r="F638" s="7"/>
      <c r="G638" s="7"/>
      <c r="H638" s="7"/>
      <c r="I638" s="7"/>
      <c r="J638" s="7"/>
      <c r="K638" s="7"/>
      <c r="L638" s="1">
        <f t="shared" si="219"/>
        <v>2.625</v>
      </c>
      <c r="M638">
        <f t="shared" si="217"/>
        <v>226800</v>
      </c>
      <c r="N638" s="9">
        <f t="shared" si="224"/>
        <v>-2409.7521891745091</v>
      </c>
      <c r="O638" s="7">
        <f t="shared" si="225"/>
        <v>5589974.7242066804</v>
      </c>
      <c r="P638" s="2">
        <f t="shared" si="202"/>
        <v>-0.16473579368882135</v>
      </c>
      <c r="Q638" s="2">
        <f t="shared" si="203"/>
        <v>-0.15407268737732099</v>
      </c>
      <c r="R638" s="2">
        <f t="shared" si="204"/>
        <v>-0.15408002112886493</v>
      </c>
      <c r="S638" s="2">
        <f t="shared" si="205"/>
        <v>-0.14322035198796793</v>
      </c>
      <c r="T638" s="9">
        <f t="shared" si="206"/>
        <v>-2465.2078829358588</v>
      </c>
      <c r="U638" s="7">
        <f t="shared" si="207"/>
        <v>4712481.9112268146</v>
      </c>
      <c r="W638">
        <f t="shared" si="218"/>
        <v>226800</v>
      </c>
      <c r="X638" s="9">
        <f t="shared" si="226"/>
        <v>-25.414168853234344</v>
      </c>
      <c r="Y638" s="2">
        <f t="shared" si="227"/>
        <v>23161091.884410534</v>
      </c>
      <c r="Z638" s="2">
        <f t="shared" si="208"/>
        <v>-0.68255422296557411</v>
      </c>
      <c r="AA638" s="2">
        <f t="shared" si="209"/>
        <v>-0.69196627443974046</v>
      </c>
      <c r="AB638" s="2">
        <f t="shared" si="210"/>
        <v>-0.69197145861483778</v>
      </c>
      <c r="AC638" s="2">
        <f t="shared" si="211"/>
        <v>-0.70226457095343808</v>
      </c>
      <c r="AD638" s="2">
        <f t="shared" si="212"/>
        <v>-274.57582445492443</v>
      </c>
      <c r="AE638" s="10">
        <f t="shared" si="213"/>
        <v>23107093.685615066</v>
      </c>
    </row>
    <row r="639" spans="1:31" x14ac:dyDescent="0.25">
      <c r="A639" s="1">
        <f t="shared" si="214"/>
        <v>2.6291666666666669</v>
      </c>
      <c r="B639" s="7">
        <f t="shared" si="215"/>
        <v>4712481.9112268146</v>
      </c>
      <c r="C639" s="7">
        <f t="shared" si="216"/>
        <v>23107093.685615066</v>
      </c>
      <c r="D639" s="7"/>
      <c r="E639" s="7"/>
      <c r="F639" s="7"/>
      <c r="G639" s="7"/>
      <c r="H639" s="7"/>
      <c r="I639" s="7"/>
      <c r="J639" s="7"/>
      <c r="K639" s="7"/>
      <c r="L639" s="1">
        <f t="shared" si="219"/>
        <v>2.6291666666666669</v>
      </c>
      <c r="M639">
        <f t="shared" si="217"/>
        <v>227160</v>
      </c>
      <c r="N639" s="9">
        <f t="shared" si="224"/>
        <v>-2465.2078829358588</v>
      </c>
      <c r="O639" s="7">
        <f t="shared" si="225"/>
        <v>4712481.9112268146</v>
      </c>
      <c r="P639" s="2">
        <f t="shared" si="202"/>
        <v>-0.14322058200356047</v>
      </c>
      <c r="Q639" s="2">
        <f t="shared" si="203"/>
        <v>-0.13208314891654868</v>
      </c>
      <c r="R639" s="2">
        <f t="shared" si="204"/>
        <v>-0.13209120098911431</v>
      </c>
      <c r="S639" s="2">
        <f t="shared" si="205"/>
        <v>-0.12061900193191619</v>
      </c>
      <c r="T639" s="9">
        <f t="shared" si="206"/>
        <v>-2512.7391799606671</v>
      </c>
      <c r="U639" s="7">
        <f t="shared" si="207"/>
        <v>3816451.43990544</v>
      </c>
      <c r="W639">
        <f t="shared" si="218"/>
        <v>227160</v>
      </c>
      <c r="X639" s="9">
        <f t="shared" si="226"/>
        <v>-274.57582445492443</v>
      </c>
      <c r="Y639" s="2">
        <f t="shared" si="227"/>
        <v>23107093.685615066</v>
      </c>
      <c r="Z639" s="2">
        <f t="shared" si="208"/>
        <v>-0.70226506295554947</v>
      </c>
      <c r="AA639" s="2">
        <f t="shared" si="209"/>
        <v>-0.71348435319948933</v>
      </c>
      <c r="AB639" s="2">
        <f t="shared" si="210"/>
        <v>-0.71349204809914379</v>
      </c>
      <c r="AC639" s="2">
        <f t="shared" si="211"/>
        <v>-0.72571545559798101</v>
      </c>
      <c r="AD639" s="2">
        <f t="shared" si="212"/>
        <v>-531.49182372397217</v>
      </c>
      <c r="AE639" s="10">
        <f t="shared" si="213"/>
        <v>22962001.508942865</v>
      </c>
    </row>
    <row r="640" spans="1:31" x14ac:dyDescent="0.25">
      <c r="A640" s="1">
        <f t="shared" si="214"/>
        <v>2.6333333333333333</v>
      </c>
      <c r="B640" s="7">
        <f t="shared" si="215"/>
        <v>3816451.43990544</v>
      </c>
      <c r="C640" s="7">
        <f t="shared" si="216"/>
        <v>22962001.508942865</v>
      </c>
      <c r="D640" s="7"/>
      <c r="E640" s="7"/>
      <c r="F640" s="7"/>
      <c r="G640" s="7"/>
      <c r="H640" s="7"/>
      <c r="I640" s="7"/>
      <c r="J640" s="7"/>
      <c r="K640" s="7"/>
      <c r="L640" s="1">
        <f t="shared" si="219"/>
        <v>2.6333333333333333</v>
      </c>
      <c r="M640">
        <f t="shared" si="217"/>
        <v>227520</v>
      </c>
      <c r="N640" s="9">
        <f t="shared" si="224"/>
        <v>-2512.7391799606671</v>
      </c>
      <c r="O640" s="7">
        <f t="shared" si="225"/>
        <v>3816451.43990544</v>
      </c>
      <c r="P640" s="2">
        <f t="shared" si="202"/>
        <v>-0.12061927704441525</v>
      </c>
      <c r="Q640" s="2">
        <f t="shared" si="203"/>
        <v>-0.10871624212453097</v>
      </c>
      <c r="R640" s="2">
        <f t="shared" si="204"/>
        <v>-0.10872508676797071</v>
      </c>
      <c r="S640" s="2">
        <f t="shared" si="205"/>
        <v>-9.6319243134124932E-2</v>
      </c>
      <c r="T640" s="9">
        <f t="shared" si="206"/>
        <v>-2551.8484506384798</v>
      </c>
      <c r="U640" s="7">
        <f t="shared" si="207"/>
        <v>2904825.6663975934</v>
      </c>
      <c r="W640">
        <f t="shared" si="218"/>
        <v>227520</v>
      </c>
      <c r="X640" s="9">
        <f t="shared" si="226"/>
        <v>-531.49182372397217</v>
      </c>
      <c r="Y640" s="2">
        <f t="shared" si="227"/>
        <v>22962001.508942865</v>
      </c>
      <c r="Z640" s="2">
        <f t="shared" si="208"/>
        <v>-0.7257160388683177</v>
      </c>
      <c r="AA640" s="2">
        <f t="shared" si="209"/>
        <v>-0.73899840609404932</v>
      </c>
      <c r="AB640" s="2">
        <f t="shared" si="210"/>
        <v>-0.7390091856900316</v>
      </c>
      <c r="AC640" s="2">
        <f t="shared" si="211"/>
        <v>-0.7534513971866964</v>
      </c>
      <c r="AD640" s="2">
        <f t="shared" si="212"/>
        <v>-797.60278090136273</v>
      </c>
      <c r="AE640" s="10">
        <f t="shared" si="213"/>
        <v>22722764.480110306</v>
      </c>
    </row>
    <row r="641" spans="1:31" x14ac:dyDescent="0.25">
      <c r="A641" s="1">
        <f t="shared" si="214"/>
        <v>2.6375000000000002</v>
      </c>
      <c r="B641" s="7">
        <f t="shared" si="215"/>
        <v>2904825.6663975934</v>
      </c>
      <c r="C641" s="7">
        <f t="shared" si="216"/>
        <v>22722764.480110306</v>
      </c>
      <c r="D641" s="7"/>
      <c r="E641" s="7"/>
      <c r="F641" s="7"/>
      <c r="G641" s="7"/>
      <c r="H641" s="7"/>
      <c r="I641" s="7"/>
      <c r="J641" s="7"/>
      <c r="K641" s="7"/>
      <c r="L641" s="1">
        <f t="shared" si="219"/>
        <v>2.6375000000000002</v>
      </c>
      <c r="M641">
        <f t="shared" si="217"/>
        <v>227880</v>
      </c>
      <c r="N641" s="9">
        <f t="shared" si="224"/>
        <v>-2551.8484506384798</v>
      </c>
      <c r="O641" s="7">
        <f t="shared" si="225"/>
        <v>2904825.6663975934</v>
      </c>
      <c r="P641" s="2">
        <f t="shared" si="202"/>
        <v>-9.6319575915131087E-2</v>
      </c>
      <c r="Q641" s="2">
        <f t="shared" si="203"/>
        <v>-8.3293407674582168E-2</v>
      </c>
      <c r="R641" s="2">
        <f t="shared" si="204"/>
        <v>-8.3303128088046893E-2</v>
      </c>
      <c r="S641" s="2">
        <f t="shared" si="205"/>
        <v>-6.9562130762625102E-2</v>
      </c>
      <c r="T641" s="9">
        <f t="shared" si="206"/>
        <v>-2581.7929373306606</v>
      </c>
      <c r="U641" s="7">
        <f t="shared" si="207"/>
        <v>1980770.216563148</v>
      </c>
      <c r="W641">
        <f t="shared" si="218"/>
        <v>227880</v>
      </c>
      <c r="X641" s="9">
        <f t="shared" si="226"/>
        <v>-797.60278090136273</v>
      </c>
      <c r="Y641" s="2">
        <f t="shared" si="227"/>
        <v>22722764.480110306</v>
      </c>
      <c r="Z641" s="2">
        <f t="shared" si="208"/>
        <v>-0.7534521137228426</v>
      </c>
      <c r="AA641" s="2">
        <f t="shared" si="209"/>
        <v>-0.76912167183299773</v>
      </c>
      <c r="AB641" s="2">
        <f t="shared" si="210"/>
        <v>-0.76913636457191448</v>
      </c>
      <c r="AC641" s="2">
        <f t="shared" si="211"/>
        <v>-0.78616357272633197</v>
      </c>
      <c r="AD641" s="2">
        <f t="shared" si="212"/>
        <v>-1074.5706864569026</v>
      </c>
      <c r="AE641" s="10">
        <f t="shared" si="213"/>
        <v>22385773.255985819</v>
      </c>
    </row>
    <row r="642" spans="1:31" x14ac:dyDescent="0.25">
      <c r="A642" s="1">
        <f t="shared" si="214"/>
        <v>2.6416666666666666</v>
      </c>
      <c r="B642" s="7">
        <f t="shared" si="215"/>
        <v>1980770.216563148</v>
      </c>
      <c r="C642" s="7">
        <f t="shared" si="216"/>
        <v>22385773.255985819</v>
      </c>
      <c r="D642" s="7"/>
      <c r="E642" s="7"/>
      <c r="F642" s="7"/>
      <c r="G642" s="7"/>
      <c r="H642" s="7"/>
      <c r="I642" s="7"/>
      <c r="J642" s="7"/>
      <c r="K642" s="7"/>
      <c r="L642" s="1">
        <f t="shared" si="219"/>
        <v>2.6416666666666666</v>
      </c>
      <c r="M642">
        <f t="shared" si="217"/>
        <v>228240</v>
      </c>
      <c r="N642" s="9">
        <f t="shared" si="224"/>
        <v>-2581.7929373306606</v>
      </c>
      <c r="O642" s="7">
        <f t="shared" si="225"/>
        <v>1980770.216563148</v>
      </c>
      <c r="P642" s="2">
        <f t="shared" si="202"/>
        <v>-6.9562537594108659E-2</v>
      </c>
      <c r="Q642" s="2">
        <f t="shared" si="203"/>
        <v>-5.4958380664356744E-2</v>
      </c>
      <c r="R642" s="2">
        <f t="shared" si="204"/>
        <v>-5.4969058187982353E-2</v>
      </c>
      <c r="S642" s="2">
        <f t="shared" si="205"/>
        <v>-3.9373604821010051E-2</v>
      </c>
      <c r="T642" s="9">
        <f t="shared" si="206"/>
        <v>-2601.5203985378485</v>
      </c>
      <c r="U642" s="7">
        <f t="shared" si="207"/>
        <v>1047773.8161068163</v>
      </c>
      <c r="W642">
        <f t="shared" si="218"/>
        <v>228240</v>
      </c>
      <c r="X642" s="9">
        <f t="shared" si="226"/>
        <v>-1074.5706864569026</v>
      </c>
      <c r="Y642" s="2">
        <f t="shared" si="227"/>
        <v>22385773.255985819</v>
      </c>
      <c r="Z642" s="2">
        <f t="shared" si="208"/>
        <v>-0.78616448322543808</v>
      </c>
      <c r="AA642" s="2">
        <f t="shared" si="209"/>
        <v>-0.80463340866235933</v>
      </c>
      <c r="AB642" s="2">
        <f t="shared" si="210"/>
        <v>-0.80465321566709958</v>
      </c>
      <c r="AC642" s="2">
        <f t="shared" si="211"/>
        <v>-0.82473258228177249</v>
      </c>
      <c r="AD642" s="2">
        <f t="shared" si="212"/>
        <v>-1364.3389053068704</v>
      </c>
      <c r="AE642" s="10">
        <f t="shared" si="213"/>
        <v>21946769.529468339</v>
      </c>
    </row>
    <row r="643" spans="1:31" x14ac:dyDescent="0.25">
      <c r="A643" s="1">
        <f t="shared" si="214"/>
        <v>2.6458333333333335</v>
      </c>
      <c r="B643" s="7">
        <f t="shared" si="215"/>
        <v>1047773.8161068163</v>
      </c>
      <c r="C643" s="7">
        <f t="shared" si="216"/>
        <v>21946769.529468339</v>
      </c>
      <c r="D643" s="7"/>
      <c r="E643" s="7"/>
      <c r="F643" s="7"/>
      <c r="G643" s="7"/>
      <c r="H643" s="7"/>
      <c r="I643" s="7"/>
      <c r="J643" s="7"/>
      <c r="K643" s="7"/>
      <c r="L643" s="1">
        <f t="shared" si="219"/>
        <v>2.6458333333333335</v>
      </c>
      <c r="M643">
        <f t="shared" si="217"/>
        <v>228600</v>
      </c>
      <c r="N643" s="9">
        <f t="shared" si="224"/>
        <v>-2601.5203985378485</v>
      </c>
      <c r="O643" s="7">
        <f t="shared" si="225"/>
        <v>1047773.8161068163</v>
      </c>
      <c r="P643" s="2">
        <f t="shared" si="202"/>
        <v>-3.9374107258598592E-2</v>
      </c>
      <c r="Q643" s="2">
        <f t="shared" si="203"/>
        <v>-2.2594423762630576E-2</v>
      </c>
      <c r="R643" s="2">
        <f t="shared" si="204"/>
        <v>-2.260611463266719E-2</v>
      </c>
      <c r="S643" s="2">
        <f t="shared" si="205"/>
        <v>-4.4635906511497894E-3</v>
      </c>
      <c r="T643" s="9">
        <f t="shared" si="206"/>
        <v>-2609.5747250198692</v>
      </c>
      <c r="U643" s="7">
        <f t="shared" si="207"/>
        <v>109776.69386642706</v>
      </c>
      <c r="W643">
        <f t="shared" si="218"/>
        <v>228600</v>
      </c>
      <c r="X643" s="9">
        <f t="shared" si="226"/>
        <v>-1364.3389053068704</v>
      </c>
      <c r="Y643" s="2">
        <f t="shared" si="227"/>
        <v>21946769.529468339</v>
      </c>
      <c r="Z643" s="2">
        <f t="shared" si="208"/>
        <v>-0.82473377760466715</v>
      </c>
      <c r="AA643" s="2">
        <f t="shared" si="209"/>
        <v>-0.84652945334118468</v>
      </c>
      <c r="AB643" s="2">
        <f t="shared" si="210"/>
        <v>-0.8465561392925447</v>
      </c>
      <c r="AC643" s="2">
        <f t="shared" si="211"/>
        <v>-0.87028791323297106</v>
      </c>
      <c r="AD643" s="2">
        <f t="shared" si="212"/>
        <v>-1669.2104778731764</v>
      </c>
      <c r="AE643" s="10">
        <f t="shared" si="213"/>
        <v>21400730.64049593</v>
      </c>
    </row>
    <row r="644" spans="1:31" x14ac:dyDescent="0.25">
      <c r="A644" s="1">
        <f t="shared" si="214"/>
        <v>2.65</v>
      </c>
      <c r="B644" s="7">
        <f t="shared" si="215"/>
        <v>109776.69386642706</v>
      </c>
      <c r="C644" s="7">
        <f t="shared" si="216"/>
        <v>21400730.64049593</v>
      </c>
      <c r="D644" s="7"/>
      <c r="E644" s="7"/>
      <c r="F644" s="7"/>
      <c r="G644" s="7"/>
      <c r="H644" s="7"/>
      <c r="I644" s="7"/>
      <c r="J644" s="7"/>
      <c r="K644" s="7"/>
      <c r="L644" s="1">
        <f t="shared" si="219"/>
        <v>2.65</v>
      </c>
      <c r="M644">
        <f t="shared" si="217"/>
        <v>228960</v>
      </c>
      <c r="N644" s="9">
        <f t="shared" si="224"/>
        <v>-2609.5747250198692</v>
      </c>
      <c r="O644" s="7">
        <f t="shared" si="225"/>
        <v>109776.69386642706</v>
      </c>
      <c r="P644" s="2">
        <f t="shared" si="202"/>
        <v>-4.4642171035985797E-3</v>
      </c>
      <c r="Q644" s="2">
        <f t="shared" si="203"/>
        <v>1.5299610713229876E-2</v>
      </c>
      <c r="R644" s="2">
        <f t="shared" si="204"/>
        <v>1.5286925103426285E-2</v>
      </c>
      <c r="S644" s="2">
        <f t="shared" si="205"/>
        <v>3.6927494986582821E-2</v>
      </c>
      <c r="T644" s="9">
        <f t="shared" si="206"/>
        <v>-2603.9565440488914</v>
      </c>
      <c r="U644" s="7">
        <f t="shared" si="207"/>
        <v>-828658.93456594984</v>
      </c>
      <c r="W644">
        <f t="shared" si="218"/>
        <v>228960</v>
      </c>
      <c r="X644" s="9">
        <f t="shared" si="226"/>
        <v>-1669.2104778731764</v>
      </c>
      <c r="Y644" s="2">
        <f t="shared" si="227"/>
        <v>21400730.64049593</v>
      </c>
      <c r="Z644" s="2">
        <f t="shared" si="208"/>
        <v>-0.87028953405224474</v>
      </c>
      <c r="AA644" s="2">
        <f t="shared" si="209"/>
        <v>-0.89609211084120921</v>
      </c>
      <c r="AB644" s="2">
        <f t="shared" si="210"/>
        <v>-0.89612832020170297</v>
      </c>
      <c r="AC644" s="2">
        <f t="shared" si="211"/>
        <v>-0.92429052074428086</v>
      </c>
      <c r="AD644" s="2">
        <f t="shared" si="212"/>
        <v>-1991.9517328861175</v>
      </c>
      <c r="AE644" s="10">
        <f t="shared" si="213"/>
        <v>20741721.442559257</v>
      </c>
    </row>
    <row r="645" spans="1:31" x14ac:dyDescent="0.25">
      <c r="A645" s="1">
        <f t="shared" si="214"/>
        <v>2.6541666666666668</v>
      </c>
      <c r="B645" s="7">
        <f t="shared" si="215"/>
        <v>-828658.93456594984</v>
      </c>
      <c r="C645" s="7">
        <f t="shared" si="216"/>
        <v>20741721.442559257</v>
      </c>
      <c r="D645" s="7"/>
      <c r="E645" s="7"/>
      <c r="F645" s="7"/>
      <c r="G645" s="7"/>
      <c r="H645" s="7"/>
      <c r="I645" s="7"/>
      <c r="J645" s="7"/>
      <c r="K645" s="7"/>
      <c r="L645" s="1">
        <f t="shared" si="219"/>
        <v>2.6541666666666668</v>
      </c>
      <c r="M645">
        <f t="shared" si="217"/>
        <v>229320</v>
      </c>
      <c r="N645" s="9">
        <f t="shared" si="224"/>
        <v>-2603.9565440488914</v>
      </c>
      <c r="O645" s="7">
        <f t="shared" si="225"/>
        <v>-828658.93456594984</v>
      </c>
      <c r="P645" s="2">
        <f t="shared" si="202"/>
        <v>3.6926707495693212E-2</v>
      </c>
      <c r="Q645" s="2">
        <f t="shared" si="203"/>
        <v>6.0800767152869396E-2</v>
      </c>
      <c r="R645" s="2">
        <f t="shared" si="204"/>
        <v>6.0787286962503774E-2</v>
      </c>
      <c r="S645" s="2">
        <f t="shared" si="205"/>
        <v>8.726966740203701E-2</v>
      </c>
      <c r="T645" s="9">
        <f t="shared" si="206"/>
        <v>-2581.9141950611829</v>
      </c>
      <c r="U645" s="7">
        <f t="shared" si="207"/>
        <v>-1762115.6676057633</v>
      </c>
      <c r="W645">
        <f t="shared" si="218"/>
        <v>229320</v>
      </c>
      <c r="X645" s="9">
        <f t="shared" si="226"/>
        <v>-1991.9517328861175</v>
      </c>
      <c r="Y645" s="2">
        <f t="shared" si="227"/>
        <v>20741721.442559257</v>
      </c>
      <c r="Z645" s="2">
        <f t="shared" si="208"/>
        <v>-0.92429279250783902</v>
      </c>
      <c r="AA645" s="2">
        <f t="shared" si="209"/>
        <v>-0.95498755271152191</v>
      </c>
      <c r="AB645" s="2">
        <f t="shared" si="210"/>
        <v>-0.95503735022482328</v>
      </c>
      <c r="AC645" s="2">
        <f t="shared" si="211"/>
        <v>-0.98864834300207305</v>
      </c>
      <c r="AD645" s="2">
        <f t="shared" si="212"/>
        <v>-2335.9311893690738</v>
      </c>
      <c r="AE645" s="10">
        <f t="shared" si="213"/>
        <v>19962702.516553324</v>
      </c>
    </row>
    <row r="646" spans="1:31" x14ac:dyDescent="0.25">
      <c r="A646" s="1">
        <f t="shared" si="214"/>
        <v>2.6583333333333332</v>
      </c>
      <c r="B646" s="7">
        <f t="shared" si="215"/>
        <v>-1762115.6676057633</v>
      </c>
      <c r="C646" s="7">
        <f t="shared" si="216"/>
        <v>19962702.516553324</v>
      </c>
      <c r="D646" s="7"/>
      <c r="E646" s="7"/>
      <c r="F646" s="7"/>
      <c r="G646" s="7"/>
      <c r="H646" s="7"/>
      <c r="I646" s="7"/>
      <c r="J646" s="7"/>
      <c r="K646" s="7"/>
      <c r="L646" s="1">
        <f t="shared" si="219"/>
        <v>2.6583333333333332</v>
      </c>
      <c r="M646">
        <f t="shared" si="217"/>
        <v>229680</v>
      </c>
      <c r="N646" s="9">
        <f t="shared" si="224"/>
        <v>-2581.9141950611829</v>
      </c>
      <c r="O646" s="7">
        <f t="shared" si="225"/>
        <v>-1762115.6676057633</v>
      </c>
      <c r="P646" s="2">
        <f t="shared" si="202"/>
        <v>8.7268672390391488E-2</v>
      </c>
      <c r="Q646" s="2">
        <f t="shared" si="203"/>
        <v>0.11686737308064968</v>
      </c>
      <c r="R646" s="2">
        <f t="shared" si="204"/>
        <v>0.11685371237437292</v>
      </c>
      <c r="S646" s="2">
        <f t="shared" si="205"/>
        <v>0.15013407653397853</v>
      </c>
      <c r="T646" s="9">
        <f t="shared" si="206"/>
        <v>-2539.6234998711179</v>
      </c>
      <c r="U646" s="7">
        <f t="shared" si="207"/>
        <v>-2683992.4526935774</v>
      </c>
      <c r="W646">
        <f t="shared" si="218"/>
        <v>229680</v>
      </c>
      <c r="X646" s="9">
        <f t="shared" si="226"/>
        <v>-2335.9311893690738</v>
      </c>
      <c r="Y646" s="2">
        <f t="shared" si="227"/>
        <v>19962702.516553324</v>
      </c>
      <c r="Z646" s="2">
        <f t="shared" si="208"/>
        <v>-0.98865164073536704</v>
      </c>
      <c r="AA646" s="2">
        <f t="shared" si="209"/>
        <v>-1.0254022828957117</v>
      </c>
      <c r="AB646" s="2">
        <f t="shared" si="210"/>
        <v>-1.0254721119353887</v>
      </c>
      <c r="AC646" s="2">
        <f t="shared" si="211"/>
        <v>-1.0658783779701253</v>
      </c>
      <c r="AD646" s="2">
        <f t="shared" si="212"/>
        <v>-2705.3079178711355</v>
      </c>
      <c r="AE646" s="10">
        <f t="shared" si="213"/>
        <v>19055279.477250084</v>
      </c>
    </row>
    <row r="647" spans="1:31" x14ac:dyDescent="0.25">
      <c r="A647" s="1">
        <f t="shared" si="214"/>
        <v>2.6625000000000001</v>
      </c>
      <c r="B647" s="7">
        <f t="shared" si="215"/>
        <v>-2683992.4526935774</v>
      </c>
      <c r="C647" s="7">
        <f t="shared" si="216"/>
        <v>19055279.477250084</v>
      </c>
      <c r="D647" s="7"/>
      <c r="E647" s="7"/>
      <c r="F647" s="7"/>
      <c r="G647" s="7"/>
      <c r="H647" s="7"/>
      <c r="I647" s="7"/>
      <c r="J647" s="7"/>
      <c r="K647" s="7"/>
      <c r="L647" s="1">
        <f t="shared" si="219"/>
        <v>2.6625000000000001</v>
      </c>
      <c r="M647">
        <f t="shared" si="217"/>
        <v>230040</v>
      </c>
      <c r="N647" s="9">
        <f t="shared" si="224"/>
        <v>-2539.6234998711179</v>
      </c>
      <c r="O647" s="7">
        <f t="shared" si="225"/>
        <v>-2683992.4526935774</v>
      </c>
      <c r="P647" s="2">
        <f t="shared" si="202"/>
        <v>0.15013282148762477</v>
      </c>
      <c r="Q647" s="2">
        <f t="shared" si="203"/>
        <v>0.18784285800456274</v>
      </c>
      <c r="R647" s="2">
        <f t="shared" si="204"/>
        <v>0.18783056467505416</v>
      </c>
      <c r="S647" s="2">
        <f t="shared" si="205"/>
        <v>0.23084952088400815</v>
      </c>
      <c r="T647" s="9">
        <f t="shared" si="206"/>
        <v>-2471.6837486072659</v>
      </c>
      <c r="U647" s="7">
        <f t="shared" si="207"/>
        <v>-3586027.7574196868</v>
      </c>
      <c r="W647">
        <f t="shared" si="218"/>
        <v>230040</v>
      </c>
      <c r="X647" s="9">
        <f t="shared" si="226"/>
        <v>-2705.3079178711355</v>
      </c>
      <c r="Y647" s="2">
        <f t="shared" si="227"/>
        <v>19055279.477250084</v>
      </c>
      <c r="Z647" s="2">
        <f t="shared" si="208"/>
        <v>-1.0658833519758031</v>
      </c>
      <c r="AA647" s="2">
        <f t="shared" si="209"/>
        <v>-1.1102341127702811</v>
      </c>
      <c r="AB647" s="2">
        <f t="shared" si="210"/>
        <v>-1.1103345683160664</v>
      </c>
      <c r="AC647" s="2">
        <f t="shared" si="211"/>
        <v>-1.1593325771165295</v>
      </c>
      <c r="AD647" s="2">
        <f t="shared" si="212"/>
        <v>-3105.2891153470373</v>
      </c>
      <c r="AE647" s="10">
        <f t="shared" si="213"/>
        <v>18009372.011270814</v>
      </c>
    </row>
    <row r="648" spans="1:31" x14ac:dyDescent="0.25">
      <c r="A648" s="1">
        <f t="shared" si="214"/>
        <v>2.6666666666666665</v>
      </c>
      <c r="B648" s="7">
        <f t="shared" si="215"/>
        <v>-3586027.7574196868</v>
      </c>
      <c r="C648" s="7">
        <f t="shared" si="216"/>
        <v>18009372.011270814</v>
      </c>
      <c r="D648" s="7"/>
      <c r="E648" s="7"/>
      <c r="F648" s="7"/>
      <c r="G648" s="7"/>
      <c r="H648" s="7"/>
      <c r="I648" s="7"/>
      <c r="J648" s="7"/>
      <c r="K648" s="7"/>
      <c r="L648" s="1">
        <f t="shared" si="219"/>
        <v>2.6666666666666665</v>
      </c>
      <c r="M648">
        <f t="shared" si="217"/>
        <v>230400</v>
      </c>
      <c r="N648" s="9">
        <f t="shared" si="224"/>
        <v>-2471.6837486072659</v>
      </c>
      <c r="O648" s="7">
        <f t="shared" si="225"/>
        <v>-3586027.7574196868</v>
      </c>
      <c r="P648" s="2">
        <f t="shared" ref="P648:P711" si="228">dvdt_x($O648,$Y648)</f>
        <v>0.23084796555758141</v>
      </c>
      <c r="Q648" s="2">
        <f t="shared" ref="Q648:Q711" si="229">dvdt_x($O648+h/4*($N648+($N648+h/2*P648)),$Y648+h/4*($X648+($X648+h/2*Z648)))</f>
        <v>0.28031861232325683</v>
      </c>
      <c r="R648" s="2">
        <f t="shared" ref="R648:R711" si="230">dvdt_x($O648+h/4*($N648+($N648+h/2*Q648)),$Y648+h/4*($X648+($X648+h/2*AA648)))</f>
        <v>0.28031137867309325</v>
      </c>
      <c r="S648" s="2">
        <f t="shared" ref="S648:S711" si="231">dvdt_x($O648+h/2*($N648+($N648+h*R648)),$Y648+h/2*($X648+($X648+h*AB648)))</f>
        <v>0.33765028451210738</v>
      </c>
      <c r="T648" s="9">
        <f t="shared" ref="T648:T711" si="232">N648+h/6*(P648+2*Q648+2*R648+S648)</f>
        <v>-2370.2982546835224</v>
      </c>
      <c r="U648" s="7">
        <f t="shared" ref="U648:U711" si="233">O648+h/2*(N648+T648)</f>
        <v>-4457584.5180120282</v>
      </c>
      <c r="W648">
        <f t="shared" si="218"/>
        <v>230400</v>
      </c>
      <c r="X648" s="9">
        <f t="shared" si="226"/>
        <v>-3105.2891153470373</v>
      </c>
      <c r="Y648" s="2">
        <f t="shared" si="227"/>
        <v>18009372.011270814</v>
      </c>
      <c r="Z648" s="2">
        <f t="shared" ref="Z648:Z711" si="234">dvdt_y($O648,$Y648)</f>
        <v>-1.1593404097805908</v>
      </c>
      <c r="AA648" s="2">
        <f t="shared" ref="AA648:AA711" si="235">dvdt_y($O648+h/4*($N648+($N648+h/2*P648)),$Y648+h/4*($X648+($X648+h/2*Z648)))</f>
        <v>-1.2133550763078063</v>
      </c>
      <c r="AB648" s="2">
        <f t="shared" ref="AB648:AB711" si="236">dvdt_y($O648+h/4*($N648+($N648+h/2*Q648)),$Y648+h/4*($X648+($X648+h/2*AA648)))</f>
        <v>-1.2135043502569551</v>
      </c>
      <c r="AC648" s="2">
        <f t="shared" ref="AC648:AC711" si="237">dvdt_y($O648+h/2*($N648+($N648+h*R648)),$Y648+h/2*($X648+($X648+h*AB648)))</f>
        <v>-1.2735034533537104</v>
      </c>
      <c r="AD648" s="2">
        <f t="shared" ref="AD648:AD711" si="238">X648+h/6*(Z648+2*AA648+2*AB648+AC648)</f>
        <v>-3542.4828783228668</v>
      </c>
      <c r="AE648" s="10">
        <f t="shared" ref="AE648:AE711" si="239">Y648+h/2*(X648+AD648)</f>
        <v>16812773.05241023</v>
      </c>
    </row>
    <row r="649" spans="1:31" x14ac:dyDescent="0.25">
      <c r="A649" s="1">
        <f t="shared" ref="A649:A712" si="240">L649</f>
        <v>2.6708333333333334</v>
      </c>
      <c r="B649" s="7">
        <f t="shared" ref="B649:B712" si="241">O649</f>
        <v>-4457584.5180120282</v>
      </c>
      <c r="C649" s="7">
        <f t="shared" ref="C649:C712" si="242">Y649</f>
        <v>16812773.05241023</v>
      </c>
      <c r="D649" s="7"/>
      <c r="E649" s="7"/>
      <c r="F649" s="7"/>
      <c r="G649" s="7"/>
      <c r="H649" s="7"/>
      <c r="I649" s="7"/>
      <c r="J649" s="7"/>
      <c r="K649" s="7"/>
      <c r="L649" s="1">
        <f t="shared" si="219"/>
        <v>2.6708333333333334</v>
      </c>
      <c r="M649">
        <f t="shared" ref="M649:M712" si="243">M648+h</f>
        <v>230760</v>
      </c>
      <c r="N649" s="9">
        <f t="shared" si="224"/>
        <v>-2370.2982546835224</v>
      </c>
      <c r="O649" s="7">
        <f t="shared" si="225"/>
        <v>-4457584.5180120282</v>
      </c>
      <c r="P649" s="2">
        <f t="shared" si="228"/>
        <v>0.33764846778002156</v>
      </c>
      <c r="Q649" s="2">
        <f t="shared" si="229"/>
        <v>0.40467532856862964</v>
      </c>
      <c r="R649" s="2">
        <f t="shared" si="230"/>
        <v>0.40468196337830542</v>
      </c>
      <c r="S649" s="2">
        <f t="shared" si="231"/>
        <v>0.48377546336261018</v>
      </c>
      <c r="T649" s="9">
        <f t="shared" si="232"/>
        <v>-2223.8899437813325</v>
      </c>
      <c r="U649" s="7">
        <f t="shared" si="233"/>
        <v>-5284538.3937357021</v>
      </c>
      <c r="W649">
        <f t="shared" ref="W649:W712" si="244">W648+h</f>
        <v>230760</v>
      </c>
      <c r="X649" s="9">
        <f t="shared" si="226"/>
        <v>-3542.4828783228668</v>
      </c>
      <c r="Y649" s="2">
        <f t="shared" si="227"/>
        <v>16812773.05241023</v>
      </c>
      <c r="Z649" s="2">
        <f t="shared" si="234"/>
        <v>-1.2735164161982655</v>
      </c>
      <c r="AA649" s="2">
        <f t="shared" si="235"/>
        <v>-1.3399541113467246</v>
      </c>
      <c r="AB649" s="2">
        <f t="shared" si="236"/>
        <v>-1.3401850808404825</v>
      </c>
      <c r="AC649" s="2">
        <f t="shared" si="237"/>
        <v>-1.4144005847110406</v>
      </c>
      <c r="AD649" s="2">
        <f t="shared" si="238"/>
        <v>-4025.3746014398903</v>
      </c>
      <c r="AE649" s="10">
        <f t="shared" si="239"/>
        <v>15450558.706052933</v>
      </c>
    </row>
    <row r="650" spans="1:31" x14ac:dyDescent="0.25">
      <c r="A650" s="1">
        <f t="shared" si="240"/>
        <v>2.6749999999999998</v>
      </c>
      <c r="B650" s="7">
        <f t="shared" si="241"/>
        <v>-5284538.3937357021</v>
      </c>
      <c r="C650" s="7">
        <f t="shared" si="242"/>
        <v>15450558.706052933</v>
      </c>
      <c r="D650" s="7"/>
      <c r="E650" s="7"/>
      <c r="F650" s="7"/>
      <c r="G650" s="7"/>
      <c r="H650" s="7"/>
      <c r="I650" s="7"/>
      <c r="J650" s="7"/>
      <c r="K650" s="7"/>
      <c r="L650" s="1">
        <f t="shared" ref="L650:L713" si="245">M650/(24*3600)</f>
        <v>2.6749999999999998</v>
      </c>
      <c r="M650">
        <f t="shared" si="243"/>
        <v>231120</v>
      </c>
      <c r="N650" s="9">
        <f t="shared" si="224"/>
        <v>-2223.8899437813325</v>
      </c>
      <c r="O650" s="7">
        <f t="shared" si="225"/>
        <v>-5284538.3937357021</v>
      </c>
      <c r="P650" s="2">
        <f t="shared" si="228"/>
        <v>0.48377372997956752</v>
      </c>
      <c r="Q650" s="2">
        <f t="shared" si="229"/>
        <v>0.57797166300497116</v>
      </c>
      <c r="R650" s="2">
        <f t="shared" si="230"/>
        <v>0.57801390133363462</v>
      </c>
      <c r="S650" s="2">
        <f t="shared" si="231"/>
        <v>0.69151150870915612</v>
      </c>
      <c r="T650" s="9">
        <f t="shared" si="232"/>
        <v>-2014.6545617393763</v>
      </c>
      <c r="U650" s="7">
        <f t="shared" si="233"/>
        <v>-6047476.4047294296</v>
      </c>
      <c r="W650">
        <f t="shared" si="244"/>
        <v>231120</v>
      </c>
      <c r="X650" s="9">
        <f t="shared" si="226"/>
        <v>-4025.3746014398903</v>
      </c>
      <c r="Y650" s="2">
        <f t="shared" si="227"/>
        <v>15450558.706052933</v>
      </c>
      <c r="Z650" s="2">
        <f t="shared" si="234"/>
        <v>-1.4144233343740822</v>
      </c>
      <c r="AA650" s="2">
        <f t="shared" si="235"/>
        <v>-1.4969103494601206</v>
      </c>
      <c r="AB650" s="2">
        <f t="shared" si="236"/>
        <v>-1.4972861654426606</v>
      </c>
      <c r="AC650" s="2">
        <f t="shared" si="237"/>
        <v>-1.5898736205059947</v>
      </c>
      <c r="AD650" s="2">
        <f t="shared" si="238"/>
        <v>-4564.9360005210283</v>
      </c>
      <c r="AE650" s="10">
        <f t="shared" si="239"/>
        <v>13904302.797699967</v>
      </c>
    </row>
    <row r="651" spans="1:31" x14ac:dyDescent="0.25">
      <c r="A651" s="1">
        <f t="shared" si="240"/>
        <v>2.6791666666666667</v>
      </c>
      <c r="B651" s="7">
        <f t="shared" si="241"/>
        <v>-6047476.4047294296</v>
      </c>
      <c r="C651" s="7">
        <f t="shared" si="242"/>
        <v>13904302.797699967</v>
      </c>
      <c r="D651" s="7"/>
      <c r="E651" s="7"/>
      <c r="F651" s="7"/>
      <c r="G651" s="7"/>
      <c r="H651" s="7"/>
      <c r="I651" s="7"/>
      <c r="J651" s="7"/>
      <c r="K651" s="7"/>
      <c r="L651" s="1">
        <f t="shared" si="245"/>
        <v>2.6791666666666667</v>
      </c>
      <c r="M651">
        <f t="shared" si="243"/>
        <v>231480</v>
      </c>
      <c r="N651" s="9">
        <f t="shared" si="224"/>
        <v>-2014.6545617393763</v>
      </c>
      <c r="O651" s="7">
        <f t="shared" si="225"/>
        <v>-6047476.4047294296</v>
      </c>
      <c r="P651" s="2">
        <f t="shared" si="228"/>
        <v>0.69151128987946975</v>
      </c>
      <c r="Q651" s="2">
        <f t="shared" si="229"/>
        <v>0.82966294177337074</v>
      </c>
      <c r="R651" s="2">
        <f t="shared" si="230"/>
        <v>0.8297978085197939</v>
      </c>
      <c r="S651" s="2">
        <f t="shared" si="231"/>
        <v>1.0004482927082448</v>
      </c>
      <c r="T651" s="9">
        <f t="shared" si="232"/>
        <v>-1714.0016967489337</v>
      </c>
      <c r="U651" s="7">
        <f t="shared" si="233"/>
        <v>-6718634.5312573258</v>
      </c>
      <c r="W651">
        <f t="shared" si="244"/>
        <v>231480</v>
      </c>
      <c r="X651" s="9">
        <f t="shared" si="226"/>
        <v>-4564.9360005210283</v>
      </c>
      <c r="Y651" s="2">
        <f t="shared" si="227"/>
        <v>13904302.797699967</v>
      </c>
      <c r="Z651" s="2">
        <f t="shared" si="234"/>
        <v>-1.5899164740837723</v>
      </c>
      <c r="AA651" s="2">
        <f t="shared" si="235"/>
        <v>-1.6929114481617531</v>
      </c>
      <c r="AB651" s="2">
        <f t="shared" si="236"/>
        <v>-1.6935626045232439</v>
      </c>
      <c r="AC651" s="2">
        <f t="shared" si="237"/>
        <v>-1.8092966772709882</v>
      </c>
      <c r="AD651" s="2">
        <f t="shared" si="238"/>
        <v>-5175.2656759245137</v>
      </c>
      <c r="AE651" s="10">
        <f t="shared" si="239"/>
        <v>12151066.495939769</v>
      </c>
    </row>
    <row r="652" spans="1:31" x14ac:dyDescent="0.25">
      <c r="A652" s="1">
        <f t="shared" si="240"/>
        <v>2.6833333333333331</v>
      </c>
      <c r="B652" s="7">
        <f t="shared" si="241"/>
        <v>-6718634.5312573258</v>
      </c>
      <c r="C652" s="7">
        <f t="shared" si="242"/>
        <v>12151066.495939769</v>
      </c>
      <c r="D652" s="7"/>
      <c r="E652" s="7"/>
      <c r="F652" s="7"/>
      <c r="G652" s="7"/>
      <c r="H652" s="7"/>
      <c r="I652" s="7"/>
      <c r="J652" s="7"/>
      <c r="K652" s="7"/>
      <c r="L652" s="1">
        <f t="shared" si="245"/>
        <v>2.6833333333333331</v>
      </c>
      <c r="M652">
        <f t="shared" si="243"/>
        <v>231840</v>
      </c>
      <c r="N652" s="9">
        <f t="shared" si="224"/>
        <v>-1714.0016967489337</v>
      </c>
      <c r="O652" s="7">
        <f t="shared" si="225"/>
        <v>-6718634.5312573258</v>
      </c>
      <c r="P652" s="2">
        <f t="shared" si="228"/>
        <v>1.0004549705126915</v>
      </c>
      <c r="Q652" s="2">
        <f t="shared" si="229"/>
        <v>1.2136453989234</v>
      </c>
      <c r="R652" s="2">
        <f t="shared" si="230"/>
        <v>1.2140365793899881</v>
      </c>
      <c r="S652" s="2">
        <f t="shared" si="231"/>
        <v>1.4854850690282355</v>
      </c>
      <c r="T652" s="9">
        <f t="shared" si="232"/>
        <v>-1273.5234569788715</v>
      </c>
      <c r="U652" s="7">
        <f t="shared" si="233"/>
        <v>-7256389.0589283304</v>
      </c>
      <c r="W652">
        <f t="shared" si="244"/>
        <v>231840</v>
      </c>
      <c r="X652" s="9">
        <f t="shared" si="226"/>
        <v>-5175.2656759245137</v>
      </c>
      <c r="Y652" s="2">
        <f t="shared" si="227"/>
        <v>12151066.495939769</v>
      </c>
      <c r="Z652" s="2">
        <f t="shared" si="234"/>
        <v>-1.8093847516689068</v>
      </c>
      <c r="AA652" s="2">
        <f t="shared" si="235"/>
        <v>-1.9371052013700989</v>
      </c>
      <c r="AB652" s="2">
        <f t="shared" si="236"/>
        <v>-1.9383261247641681</v>
      </c>
      <c r="AC652" s="2">
        <f t="shared" si="237"/>
        <v>-2.0802030217820486</v>
      </c>
      <c r="AD652" s="2">
        <f t="shared" si="238"/>
        <v>-5873.692701467683</v>
      </c>
      <c r="AE652" s="10">
        <f t="shared" si="239"/>
        <v>10162253.988009173</v>
      </c>
    </row>
    <row r="653" spans="1:31" x14ac:dyDescent="0.25">
      <c r="A653" s="1">
        <f t="shared" si="240"/>
        <v>2.6875</v>
      </c>
      <c r="B653" s="7">
        <f t="shared" si="241"/>
        <v>-7256389.0589283304</v>
      </c>
      <c r="C653" s="7">
        <f t="shared" si="242"/>
        <v>10162253.988009173</v>
      </c>
      <c r="D653" s="7"/>
      <c r="E653" s="7"/>
      <c r="F653" s="7"/>
      <c r="G653" s="7"/>
      <c r="H653" s="7"/>
      <c r="I653" s="7"/>
      <c r="J653" s="7"/>
      <c r="K653" s="7"/>
      <c r="L653" s="1">
        <f t="shared" si="245"/>
        <v>2.6875</v>
      </c>
      <c r="M653">
        <f t="shared" si="243"/>
        <v>232200</v>
      </c>
      <c r="N653" s="9">
        <f t="shared" si="224"/>
        <v>-1273.5234569788715</v>
      </c>
      <c r="O653" s="7">
        <f t="shared" si="225"/>
        <v>-7256389.0589283304</v>
      </c>
      <c r="P653" s="2">
        <f t="shared" si="228"/>
        <v>1.4855196412527616</v>
      </c>
      <c r="Q653" s="2">
        <f t="shared" si="229"/>
        <v>1.8353684019982244</v>
      </c>
      <c r="R653" s="2">
        <f t="shared" si="230"/>
        <v>1.8365474868627694</v>
      </c>
      <c r="S653" s="2">
        <f t="shared" si="231"/>
        <v>2.2988347986137261</v>
      </c>
      <c r="T653" s="9">
        <f t="shared" si="232"/>
        <v>-605.83228392356307</v>
      </c>
      <c r="U653" s="7">
        <f t="shared" si="233"/>
        <v>-7594673.0922907684</v>
      </c>
      <c r="W653">
        <f t="shared" si="244"/>
        <v>232200</v>
      </c>
      <c r="X653" s="9">
        <f t="shared" si="226"/>
        <v>-5873.692701467683</v>
      </c>
      <c r="Y653" s="2">
        <f t="shared" si="227"/>
        <v>10162253.988009173</v>
      </c>
      <c r="Z653" s="2">
        <f t="shared" si="234"/>
        <v>-2.0804049749802607</v>
      </c>
      <c r="AA653" s="2">
        <f t="shared" si="235"/>
        <v>-2.2313239883510274</v>
      </c>
      <c r="AB653" s="2">
        <f t="shared" si="236"/>
        <v>-2.2338524327439919</v>
      </c>
      <c r="AC653" s="2">
        <f t="shared" si="237"/>
        <v>-2.3917832167344524</v>
      </c>
      <c r="AD653" s="2">
        <f t="shared" si="238"/>
        <v>-6677.8451635019683</v>
      </c>
      <c r="AE653" s="10">
        <f t="shared" si="239"/>
        <v>7902977.1723146364</v>
      </c>
    </row>
    <row r="654" spans="1:31" x14ac:dyDescent="0.25">
      <c r="A654" s="1">
        <f t="shared" si="240"/>
        <v>2.6916666666666669</v>
      </c>
      <c r="B654" s="7">
        <f t="shared" si="241"/>
        <v>-7594673.0922907684</v>
      </c>
      <c r="C654" s="7">
        <f t="shared" si="242"/>
        <v>7902977.1723146364</v>
      </c>
      <c r="D654" s="7"/>
      <c r="E654" s="7"/>
      <c r="F654" s="7"/>
      <c r="G654" s="7"/>
      <c r="H654" s="7"/>
      <c r="I654" s="7"/>
      <c r="J654" s="7"/>
      <c r="K654" s="7"/>
      <c r="L654" s="1">
        <f t="shared" si="245"/>
        <v>2.6916666666666669</v>
      </c>
      <c r="M654">
        <f t="shared" si="243"/>
        <v>232560</v>
      </c>
      <c r="N654" s="9">
        <f t="shared" si="224"/>
        <v>-605.83228392356307</v>
      </c>
      <c r="O654" s="7">
        <f t="shared" si="225"/>
        <v>-7594673.0922907684</v>
      </c>
      <c r="P654" s="2">
        <f t="shared" si="228"/>
        <v>2.2989887870600163</v>
      </c>
      <c r="Q654" s="2">
        <f t="shared" si="229"/>
        <v>2.9165367010312826</v>
      </c>
      <c r="R654" s="2">
        <f t="shared" si="230"/>
        <v>2.9205401577714674</v>
      </c>
      <c r="S654" s="2">
        <f t="shared" si="231"/>
        <v>3.7724062033019794</v>
      </c>
      <c r="T654" s="9">
        <f t="shared" si="232"/>
        <v>458.90063855448682</v>
      </c>
      <c r="U654" s="7">
        <f t="shared" si="233"/>
        <v>-7621120.7884572018</v>
      </c>
      <c r="W654">
        <f t="shared" si="244"/>
        <v>232560</v>
      </c>
      <c r="X654" s="9">
        <f t="shared" si="226"/>
        <v>-6677.8451635019683</v>
      </c>
      <c r="Y654" s="2">
        <f t="shared" si="227"/>
        <v>7902977.1723146364</v>
      </c>
      <c r="Z654" s="2">
        <f t="shared" si="234"/>
        <v>-2.3923157300852798</v>
      </c>
      <c r="AA654" s="2">
        <f t="shared" si="235"/>
        <v>-2.5344852410202585</v>
      </c>
      <c r="AB654" s="2">
        <f t="shared" si="236"/>
        <v>-2.540401949083936</v>
      </c>
      <c r="AC654" s="2">
        <f t="shared" si="237"/>
        <v>-2.6396301739293726</v>
      </c>
      <c r="AD654" s="2">
        <f t="shared" si="238"/>
        <v>-7588.7483805553511</v>
      </c>
      <c r="AE654" s="10">
        <f t="shared" si="239"/>
        <v>5334990.3343843184</v>
      </c>
    </row>
    <row r="655" spans="1:31" x14ac:dyDescent="0.25">
      <c r="A655" s="1">
        <f t="shared" si="240"/>
        <v>2.6958333333333333</v>
      </c>
      <c r="B655" s="7">
        <f t="shared" si="241"/>
        <v>-7621120.7884572018</v>
      </c>
      <c r="C655" s="7">
        <f t="shared" si="242"/>
        <v>5334990.3343843184</v>
      </c>
      <c r="D655" s="7"/>
      <c r="E655" s="7"/>
      <c r="F655" s="7"/>
      <c r="G655" s="7"/>
      <c r="H655" s="7"/>
      <c r="I655" s="7"/>
      <c r="J655" s="7"/>
      <c r="K655" s="7"/>
      <c r="L655" s="1">
        <f t="shared" si="245"/>
        <v>2.6958333333333333</v>
      </c>
      <c r="M655">
        <f t="shared" si="243"/>
        <v>232920</v>
      </c>
      <c r="N655" s="9">
        <f t="shared" si="224"/>
        <v>458.90063855448682</v>
      </c>
      <c r="O655" s="7">
        <f t="shared" si="225"/>
        <v>-7621120.7884572018</v>
      </c>
      <c r="P655" s="2">
        <f t="shared" si="228"/>
        <v>3.7731535844098807</v>
      </c>
      <c r="Q655" s="2">
        <f t="shared" si="229"/>
        <v>4.9477805983525309</v>
      </c>
      <c r="R655" s="2">
        <f t="shared" si="230"/>
        <v>4.9642564629577013</v>
      </c>
      <c r="S655" s="2">
        <f t="shared" si="231"/>
        <v>6.6394671053511471</v>
      </c>
      <c r="T655" s="9">
        <f t="shared" si="232"/>
        <v>2273.1023272973766</v>
      </c>
      <c r="U655" s="7">
        <f t="shared" si="233"/>
        <v>-7129360.2546038665</v>
      </c>
      <c r="W655">
        <f t="shared" si="244"/>
        <v>232920</v>
      </c>
      <c r="X655" s="9">
        <f t="shared" si="226"/>
        <v>-7588.7483805553511</v>
      </c>
      <c r="Y655" s="2">
        <f t="shared" si="227"/>
        <v>5334990.3343843184</v>
      </c>
      <c r="Z655" s="2">
        <f t="shared" si="234"/>
        <v>-2.6413093902752931</v>
      </c>
      <c r="AA655" s="2">
        <f t="shared" si="235"/>
        <v>-2.5979783801338252</v>
      </c>
      <c r="AB655" s="2">
        <f t="shared" si="236"/>
        <v>-2.6137471876919625</v>
      </c>
      <c r="AC655" s="2">
        <f t="shared" si="237"/>
        <v>-2.2648928288565471</v>
      </c>
      <c r="AD655" s="2">
        <f t="shared" si="238"/>
        <v>-8508.5275818423561</v>
      </c>
      <c r="AE655" s="10">
        <f t="shared" si="239"/>
        <v>2437480.6611527312</v>
      </c>
    </row>
    <row r="656" spans="1:31" x14ac:dyDescent="0.25">
      <c r="A656" s="1">
        <f t="shared" si="240"/>
        <v>2.7</v>
      </c>
      <c r="B656" s="7">
        <f t="shared" si="241"/>
        <v>-7129360.2546038665</v>
      </c>
      <c r="C656" s="7">
        <f t="shared" si="242"/>
        <v>2437480.6611527312</v>
      </c>
      <c r="D656" s="7"/>
      <c r="E656" s="7"/>
      <c r="F656" s="7"/>
      <c r="G656" s="7"/>
      <c r="H656" s="7"/>
      <c r="I656" s="7"/>
      <c r="J656" s="7"/>
      <c r="K656" s="7"/>
      <c r="L656" s="1">
        <f t="shared" si="245"/>
        <v>2.7</v>
      </c>
      <c r="M656">
        <f t="shared" si="243"/>
        <v>233280</v>
      </c>
      <c r="N656" s="9">
        <f t="shared" si="224"/>
        <v>2273.1023272973766</v>
      </c>
      <c r="O656" s="7">
        <f t="shared" si="225"/>
        <v>-7129360.2546038665</v>
      </c>
      <c r="P656" s="2">
        <f t="shared" si="228"/>
        <v>6.6438645451134049</v>
      </c>
      <c r="Q656" s="2">
        <f t="shared" si="229"/>
        <v>8.8846249810563247</v>
      </c>
      <c r="R656" s="2">
        <f t="shared" si="230"/>
        <v>8.9708432501042701</v>
      </c>
      <c r="S656" s="2">
        <f t="shared" si="231"/>
        <v>11.871577013952946</v>
      </c>
      <c r="T656" s="9">
        <f t="shared" si="232"/>
        <v>5526.6850085806291</v>
      </c>
      <c r="U656" s="7">
        <f t="shared" si="233"/>
        <v>-5725398.5341458255</v>
      </c>
      <c r="W656">
        <f t="shared" si="244"/>
        <v>233280</v>
      </c>
      <c r="X656" s="9">
        <f t="shared" si="226"/>
        <v>-8508.5275818423561</v>
      </c>
      <c r="Y656" s="2">
        <f t="shared" si="227"/>
        <v>2437480.6611527312</v>
      </c>
      <c r="Z656" s="2">
        <f t="shared" si="234"/>
        <v>-2.2714929202202314</v>
      </c>
      <c r="AA656" s="2">
        <f t="shared" si="235"/>
        <v>-1.1677832148498148</v>
      </c>
      <c r="AB656" s="2">
        <f t="shared" si="236"/>
        <v>-1.2100148763079472</v>
      </c>
      <c r="AC656" s="2">
        <f t="shared" si="237"/>
        <v>1.4586315909978222</v>
      </c>
      <c r="AD656" s="2">
        <f t="shared" si="238"/>
        <v>-8842.635032534632</v>
      </c>
      <c r="AE656" s="10">
        <f t="shared" si="239"/>
        <v>-685728.60943512712</v>
      </c>
    </row>
    <row r="657" spans="1:31" x14ac:dyDescent="0.25">
      <c r="A657" s="1">
        <f t="shared" si="240"/>
        <v>2.7041666666666666</v>
      </c>
      <c r="B657" s="7">
        <f t="shared" si="241"/>
        <v>-5725398.5341458255</v>
      </c>
      <c r="C657" s="7">
        <f t="shared" si="242"/>
        <v>-685728.60943512712</v>
      </c>
      <c r="D657" s="7"/>
      <c r="E657" s="7"/>
      <c r="F657" s="7"/>
      <c r="G657" s="7"/>
      <c r="H657" s="7"/>
      <c r="I657" s="7"/>
      <c r="J657" s="7"/>
      <c r="K657" s="7"/>
      <c r="L657" s="1">
        <f t="shared" si="245"/>
        <v>2.7041666666666666</v>
      </c>
      <c r="M657">
        <f t="shared" si="243"/>
        <v>233640</v>
      </c>
      <c r="N657" s="9">
        <f t="shared" si="224"/>
        <v>5526.6850085806291</v>
      </c>
      <c r="O657" s="7">
        <f t="shared" si="225"/>
        <v>-5725398.5341458255</v>
      </c>
      <c r="P657" s="2">
        <f t="shared" si="228"/>
        <v>11.902776459854461</v>
      </c>
      <c r="Q657" s="2">
        <f t="shared" si="229"/>
        <v>13.904614466466064</v>
      </c>
      <c r="R657" s="2">
        <f t="shared" si="230"/>
        <v>14.37745607149334</v>
      </c>
      <c r="S657" s="2">
        <f t="shared" si="231"/>
        <v>12.912426767470393</v>
      </c>
      <c r="T657" s="9">
        <f t="shared" si="232"/>
        <v>10409.445666775249</v>
      </c>
      <c r="U657" s="7">
        <f t="shared" si="233"/>
        <v>-2856895.0125817675</v>
      </c>
      <c r="W657">
        <f t="shared" si="244"/>
        <v>233640</v>
      </c>
      <c r="X657" s="9">
        <f t="shared" si="226"/>
        <v>-8842.635032534632</v>
      </c>
      <c r="Y657" s="2">
        <f t="shared" si="227"/>
        <v>-685728.60943512712</v>
      </c>
      <c r="Z657" s="2">
        <f t="shared" si="234"/>
        <v>1.4255906032663477</v>
      </c>
      <c r="AA657" s="2">
        <f t="shared" si="235"/>
        <v>6.9076411335464725</v>
      </c>
      <c r="AB657" s="2">
        <f t="shared" si="236"/>
        <v>6.9105473269689766</v>
      </c>
      <c r="AC657" s="2">
        <f t="shared" si="237"/>
        <v>15.754227887194983</v>
      </c>
      <c r="AD657" s="2">
        <f t="shared" si="238"/>
        <v>-6153.6633078450977</v>
      </c>
      <c r="AE657" s="10">
        <f t="shared" si="239"/>
        <v>-3385062.3107034783</v>
      </c>
    </row>
    <row r="658" spans="1:31" x14ac:dyDescent="0.25">
      <c r="A658" s="1">
        <f t="shared" si="240"/>
        <v>2.7083333333333335</v>
      </c>
      <c r="B658" s="7">
        <f t="shared" si="241"/>
        <v>-2856895.0125817675</v>
      </c>
      <c r="C658" s="7">
        <f t="shared" si="242"/>
        <v>-3385062.3107034783</v>
      </c>
      <c r="D658" s="7"/>
      <c r="E658" s="7"/>
      <c r="F658" s="7"/>
      <c r="G658" s="7"/>
      <c r="H658" s="7"/>
      <c r="I658" s="7"/>
      <c r="J658" s="7"/>
      <c r="K658" s="7"/>
      <c r="L658" s="1">
        <f t="shared" si="245"/>
        <v>2.7083333333333335</v>
      </c>
      <c r="M658">
        <f t="shared" si="243"/>
        <v>234000</v>
      </c>
      <c r="N658" s="9">
        <f t="shared" si="224"/>
        <v>10409.445666775249</v>
      </c>
      <c r="O658" s="7">
        <f t="shared" si="225"/>
        <v>-2856895.0125817675</v>
      </c>
      <c r="P658" s="2">
        <f t="shared" si="228"/>
        <v>13.102899575986875</v>
      </c>
      <c r="Q658" s="2">
        <f t="shared" si="229"/>
        <v>3.8362404810079536</v>
      </c>
      <c r="R658" s="2">
        <f t="shared" si="230"/>
        <v>4.7764672335557767</v>
      </c>
      <c r="S658" s="2">
        <f t="shared" si="231"/>
        <v>-5.7184460249442468</v>
      </c>
      <c r="T658" s="9">
        <f t="shared" si="232"/>
        <v>11886.037805585454</v>
      </c>
      <c r="U658" s="7">
        <f t="shared" si="233"/>
        <v>1156292.0124431597</v>
      </c>
      <c r="W658">
        <f t="shared" si="244"/>
        <v>234000</v>
      </c>
      <c r="X658" s="9">
        <f t="shared" si="226"/>
        <v>-6153.6633078450977</v>
      </c>
      <c r="Y658" s="2">
        <f t="shared" si="227"/>
        <v>-3385062.3107034783</v>
      </c>
      <c r="Z658" s="2">
        <f t="shared" si="234"/>
        <v>15.525292781243316</v>
      </c>
      <c r="AA658" s="2">
        <f t="shared" si="235"/>
        <v>21.104840960633101</v>
      </c>
      <c r="AB658" s="2">
        <f t="shared" si="236"/>
        <v>21.525781423619009</v>
      </c>
      <c r="AC658" s="2">
        <f t="shared" si="237"/>
        <v>20.040478074350769</v>
      </c>
      <c r="AD658" s="2">
        <f t="shared" si="238"/>
        <v>1095.9576296008008</v>
      </c>
      <c r="AE658" s="10">
        <f t="shared" si="239"/>
        <v>-4295449.3327874513</v>
      </c>
    </row>
    <row r="659" spans="1:31" x14ac:dyDescent="0.25">
      <c r="A659" s="1">
        <f t="shared" si="240"/>
        <v>2.7124999999999999</v>
      </c>
      <c r="B659" s="7">
        <f t="shared" si="241"/>
        <v>1156292.0124431597</v>
      </c>
      <c r="C659" s="7">
        <f t="shared" si="242"/>
        <v>-4295449.3327874513</v>
      </c>
      <c r="D659" s="7"/>
      <c r="E659" s="7"/>
      <c r="F659" s="7"/>
      <c r="G659" s="7"/>
      <c r="H659" s="7"/>
      <c r="I659" s="7"/>
      <c r="J659" s="7"/>
      <c r="K659" s="7"/>
      <c r="L659" s="1">
        <f t="shared" si="245"/>
        <v>2.7124999999999999</v>
      </c>
      <c r="M659">
        <f t="shared" si="243"/>
        <v>234360</v>
      </c>
      <c r="N659" s="9">
        <f t="shared" si="224"/>
        <v>11886.037805585454</v>
      </c>
      <c r="O659" s="7">
        <f t="shared" si="225"/>
        <v>1156292.0124431597</v>
      </c>
      <c r="P659" s="2">
        <f t="shared" si="228"/>
        <v>-5.2360790427113653</v>
      </c>
      <c r="Q659" s="2">
        <f t="shared" si="229"/>
        <v>-10.475914125113226</v>
      </c>
      <c r="R659" s="2">
        <f t="shared" si="230"/>
        <v>-9.9872990928055376</v>
      </c>
      <c r="S659" s="2">
        <f t="shared" si="231"/>
        <v>-10.301934548068852</v>
      </c>
      <c r="T659" s="9">
        <f t="shared" si="232"/>
        <v>8498.17140398839</v>
      </c>
      <c r="U659" s="7">
        <f t="shared" si="233"/>
        <v>4825449.6701664515</v>
      </c>
      <c r="W659">
        <f t="shared" si="244"/>
        <v>234360</v>
      </c>
      <c r="X659" s="9">
        <f t="shared" si="226"/>
        <v>1095.9576296008008</v>
      </c>
      <c r="Y659" s="2">
        <f t="shared" si="227"/>
        <v>-4295449.3327874513</v>
      </c>
      <c r="Z659" s="2">
        <f t="shared" si="234"/>
        <v>19.451238950370687</v>
      </c>
      <c r="AA659" s="2">
        <f t="shared" si="235"/>
        <v>12.342462612116652</v>
      </c>
      <c r="AB659" s="2">
        <f t="shared" si="236"/>
        <v>12.454229096822342</v>
      </c>
      <c r="AC659" s="2">
        <f t="shared" si="237"/>
        <v>6.6566962723965899</v>
      </c>
      <c r="AD659" s="2">
        <f t="shared" si="238"/>
        <v>5638.0367480395162</v>
      </c>
      <c r="AE659" s="10">
        <f t="shared" si="239"/>
        <v>-3083330.3448121944</v>
      </c>
    </row>
    <row r="660" spans="1:31" x14ac:dyDescent="0.25">
      <c r="A660" s="1">
        <f t="shared" si="240"/>
        <v>2.7166666666666668</v>
      </c>
      <c r="B660" s="7">
        <f t="shared" si="241"/>
        <v>4825449.6701664515</v>
      </c>
      <c r="C660" s="7">
        <f t="shared" si="242"/>
        <v>-3083330.3448121944</v>
      </c>
      <c r="D660" s="7"/>
      <c r="E660" s="7"/>
      <c r="F660" s="7"/>
      <c r="G660" s="7"/>
      <c r="H660" s="7"/>
      <c r="I660" s="7"/>
      <c r="J660" s="7"/>
      <c r="K660" s="7"/>
      <c r="L660" s="1">
        <f t="shared" si="245"/>
        <v>2.7166666666666668</v>
      </c>
      <c r="M660">
        <f t="shared" si="243"/>
        <v>234720</v>
      </c>
      <c r="N660" s="9">
        <f t="shared" si="224"/>
        <v>8498.17140398839</v>
      </c>
      <c r="O660" s="7">
        <f t="shared" si="225"/>
        <v>4825449.6701664515</v>
      </c>
      <c r="P660" s="2">
        <f t="shared" si="228"/>
        <v>-10.242977299314907</v>
      </c>
      <c r="Q660" s="2">
        <f t="shared" si="229"/>
        <v>-9.0128758337908152</v>
      </c>
      <c r="R660" s="2">
        <f t="shared" si="230"/>
        <v>-8.888049227436662</v>
      </c>
      <c r="S660" s="2">
        <f t="shared" si="231"/>
        <v>-7.3073038981034362</v>
      </c>
      <c r="T660" s="9">
        <f t="shared" si="232"/>
        <v>5297.0435247959922</v>
      </c>
      <c r="U660" s="7">
        <f t="shared" si="233"/>
        <v>7308588.3573476402</v>
      </c>
      <c r="W660">
        <f t="shared" si="244"/>
        <v>234720</v>
      </c>
      <c r="X660" s="9">
        <f t="shared" si="226"/>
        <v>5638.0367480395162</v>
      </c>
      <c r="Y660" s="2">
        <f t="shared" si="227"/>
        <v>-3083330.3448121944</v>
      </c>
      <c r="Z660" s="2">
        <f t="shared" si="234"/>
        <v>6.5449823098270352</v>
      </c>
      <c r="AA660" s="2">
        <f t="shared" si="235"/>
        <v>2.8577858672090892</v>
      </c>
      <c r="AB660" s="2">
        <f t="shared" si="236"/>
        <v>2.894665633026813</v>
      </c>
      <c r="AC660" s="2">
        <f t="shared" si="237"/>
        <v>0.86588007629899744</v>
      </c>
      <c r="AD660" s="2">
        <f t="shared" si="238"/>
        <v>6772.9826712353861</v>
      </c>
      <c r="AE660" s="10">
        <f t="shared" si="239"/>
        <v>-849346.84934271174</v>
      </c>
    </row>
    <row r="661" spans="1:31" x14ac:dyDescent="0.25">
      <c r="A661" s="1">
        <f t="shared" si="240"/>
        <v>2.7208333333333332</v>
      </c>
      <c r="B661" s="7">
        <f t="shared" si="241"/>
        <v>7308588.3573476402</v>
      </c>
      <c r="C661" s="7">
        <f t="shared" si="242"/>
        <v>-849346.84934271174</v>
      </c>
      <c r="D661" s="7"/>
      <c r="E661" s="7"/>
      <c r="F661" s="7"/>
      <c r="G661" s="7"/>
      <c r="H661" s="7"/>
      <c r="I661" s="7"/>
      <c r="J661" s="7"/>
      <c r="K661" s="7"/>
      <c r="L661" s="1">
        <f t="shared" si="245"/>
        <v>2.7208333333333332</v>
      </c>
      <c r="M661">
        <f t="shared" si="243"/>
        <v>235080</v>
      </c>
      <c r="N661" s="9">
        <f t="shared" si="224"/>
        <v>5297.0435247959922</v>
      </c>
      <c r="O661" s="7">
        <f t="shared" si="225"/>
        <v>7308588.3573476402</v>
      </c>
      <c r="P661" s="2">
        <f t="shared" si="228"/>
        <v>-7.3136148405138783</v>
      </c>
      <c r="Q661" s="2">
        <f t="shared" si="229"/>
        <v>-5.9905168921615353</v>
      </c>
      <c r="R661" s="2">
        <f t="shared" si="230"/>
        <v>-5.9610478507428617</v>
      </c>
      <c r="S661" s="2">
        <f t="shared" si="231"/>
        <v>-4.8794349144770619</v>
      </c>
      <c r="T661" s="9">
        <f t="shared" si="232"/>
        <v>3131.2727703480082</v>
      </c>
      <c r="U661" s="7">
        <f t="shared" si="233"/>
        <v>8825685.2904735599</v>
      </c>
      <c r="W661">
        <f t="shared" si="244"/>
        <v>235080</v>
      </c>
      <c r="X661" s="9">
        <f t="shared" si="226"/>
        <v>6772.9826712353861</v>
      </c>
      <c r="Y661" s="2">
        <f t="shared" si="227"/>
        <v>-849346.84934271174</v>
      </c>
      <c r="Z661" s="2">
        <f t="shared" si="234"/>
        <v>0.84993098781538823</v>
      </c>
      <c r="AA661" s="2">
        <f t="shared" si="235"/>
        <v>-0.28215077189146814</v>
      </c>
      <c r="AB661" s="2">
        <f t="shared" si="236"/>
        <v>-0.26663642910117624</v>
      </c>
      <c r="AC661" s="2">
        <f t="shared" si="237"/>
        <v>-0.86856301565077476</v>
      </c>
      <c r="AD661" s="2">
        <f t="shared" si="238"/>
        <v>6706.0102854461456</v>
      </c>
      <c r="AE661" s="10">
        <f t="shared" si="239"/>
        <v>1576871.8828599639</v>
      </c>
    </row>
    <row r="662" spans="1:31" x14ac:dyDescent="0.25">
      <c r="A662" s="1">
        <f t="shared" si="240"/>
        <v>2.7250000000000001</v>
      </c>
      <c r="B662" s="7">
        <f t="shared" si="241"/>
        <v>8825685.2904735599</v>
      </c>
      <c r="C662" s="7">
        <f t="shared" si="242"/>
        <v>1576871.8828599639</v>
      </c>
      <c r="D662" s="7"/>
      <c r="E662" s="7"/>
      <c r="F662" s="7"/>
      <c r="G662" s="7"/>
      <c r="H662" s="7"/>
      <c r="I662" s="7"/>
      <c r="J662" s="7"/>
      <c r="K662" s="7"/>
      <c r="L662" s="1">
        <f t="shared" si="245"/>
        <v>2.7250000000000001</v>
      </c>
      <c r="M662">
        <f t="shared" si="243"/>
        <v>235440</v>
      </c>
      <c r="N662" s="9">
        <f t="shared" si="224"/>
        <v>3131.2727703480082</v>
      </c>
      <c r="O662" s="7">
        <f t="shared" si="225"/>
        <v>8825685.2904735599</v>
      </c>
      <c r="P662" s="2">
        <f t="shared" si="228"/>
        <v>-4.8816950937335637</v>
      </c>
      <c r="Q662" s="2">
        <f t="shared" si="229"/>
        <v>-4.0492039048140889</v>
      </c>
      <c r="R662" s="2">
        <f t="shared" si="230"/>
        <v>-4.0408318434045931</v>
      </c>
      <c r="S662" s="2">
        <f t="shared" si="231"/>
        <v>-3.383653131127466</v>
      </c>
      <c r="T662" s="9">
        <f t="shared" si="232"/>
        <v>1664.5475870701046</v>
      </c>
      <c r="U662" s="7">
        <f t="shared" si="233"/>
        <v>9688932.95480882</v>
      </c>
      <c r="W662">
        <f t="shared" si="244"/>
        <v>235440</v>
      </c>
      <c r="X662" s="9">
        <f t="shared" si="226"/>
        <v>6706.0102854461456</v>
      </c>
      <c r="Y662" s="2">
        <f t="shared" si="227"/>
        <v>1576871.8828599639</v>
      </c>
      <c r="Z662" s="2">
        <f t="shared" si="234"/>
        <v>-0.87220510143420504</v>
      </c>
      <c r="AA662" s="2">
        <f t="shared" si="235"/>
        <v>-1.2046513442466991</v>
      </c>
      <c r="AB662" s="2">
        <f t="shared" si="236"/>
        <v>-1.1980876620859602</v>
      </c>
      <c r="AC662" s="2">
        <f t="shared" si="237"/>
        <v>-1.3663660254780621</v>
      </c>
      <c r="AD662" s="2">
        <f t="shared" si="238"/>
        <v>6283.3673370714905</v>
      </c>
      <c r="AE662" s="10">
        <f t="shared" si="239"/>
        <v>3914959.8549131388</v>
      </c>
    </row>
    <row r="663" spans="1:31" x14ac:dyDescent="0.25">
      <c r="A663" s="1">
        <f t="shared" si="240"/>
        <v>2.7291666666666665</v>
      </c>
      <c r="B663" s="7">
        <f t="shared" si="241"/>
        <v>9688932.95480882</v>
      </c>
      <c r="C663" s="7">
        <f t="shared" si="242"/>
        <v>3914959.8549131388</v>
      </c>
      <c r="D663" s="7"/>
      <c r="E663" s="7"/>
      <c r="F663" s="7"/>
      <c r="G663" s="7"/>
      <c r="H663" s="7"/>
      <c r="I663" s="7"/>
      <c r="J663" s="7"/>
      <c r="K663" s="7"/>
      <c r="L663" s="1">
        <f t="shared" si="245"/>
        <v>2.7291666666666665</v>
      </c>
      <c r="M663">
        <f t="shared" si="243"/>
        <v>235800</v>
      </c>
      <c r="N663" s="9">
        <f t="shared" si="224"/>
        <v>1664.5475870701046</v>
      </c>
      <c r="O663" s="7">
        <f t="shared" si="225"/>
        <v>9688932.95480882</v>
      </c>
      <c r="P663" s="2">
        <f t="shared" si="228"/>
        <v>-3.3842791790584439</v>
      </c>
      <c r="Q663" s="2">
        <f t="shared" si="229"/>
        <v>-2.8704549162063322</v>
      </c>
      <c r="R663" s="2">
        <f t="shared" si="230"/>
        <v>-2.8675914786209256</v>
      </c>
      <c r="S663" s="2">
        <f t="shared" si="231"/>
        <v>-2.4555552139503347</v>
      </c>
      <c r="T663" s="9">
        <f t="shared" si="232"/>
        <v>625.59195611030714</v>
      </c>
      <c r="U663" s="7">
        <f t="shared" si="233"/>
        <v>10101158.072581295</v>
      </c>
      <c r="W663">
        <f t="shared" si="244"/>
        <v>235800</v>
      </c>
      <c r="X663" s="9">
        <f t="shared" si="226"/>
        <v>6283.3673370714905</v>
      </c>
      <c r="Y663" s="2">
        <f t="shared" si="227"/>
        <v>3914959.8549131388</v>
      </c>
      <c r="Z663" s="2">
        <f t="shared" si="234"/>
        <v>-1.367469171850993</v>
      </c>
      <c r="AA663" s="2">
        <f t="shared" si="235"/>
        <v>-1.4516837252286496</v>
      </c>
      <c r="AB663" s="2">
        <f t="shared" si="236"/>
        <v>-1.4486278859223434</v>
      </c>
      <c r="AC663" s="2">
        <f t="shared" si="237"/>
        <v>-1.4786054894288509</v>
      </c>
      <c r="AD663" s="2">
        <f t="shared" si="238"/>
        <v>5764.5654640565808</v>
      </c>
      <c r="AE663" s="10">
        <f t="shared" si="239"/>
        <v>6083587.7591161914</v>
      </c>
    </row>
    <row r="664" spans="1:31" x14ac:dyDescent="0.25">
      <c r="A664" s="1">
        <f t="shared" si="240"/>
        <v>2.7333333333333334</v>
      </c>
      <c r="B664" s="7">
        <f t="shared" si="241"/>
        <v>10101158.072581295</v>
      </c>
      <c r="C664" s="7">
        <f t="shared" si="242"/>
        <v>6083587.7591161914</v>
      </c>
      <c r="D664" s="7"/>
      <c r="E664" s="7"/>
      <c r="F664" s="7"/>
      <c r="G664" s="7"/>
      <c r="H664" s="7"/>
      <c r="I664" s="7"/>
      <c r="J664" s="7"/>
      <c r="K664" s="7"/>
      <c r="L664" s="1">
        <f t="shared" si="245"/>
        <v>2.7333333333333334</v>
      </c>
      <c r="M664">
        <f t="shared" si="243"/>
        <v>236160</v>
      </c>
      <c r="N664" s="9">
        <f t="shared" si="224"/>
        <v>625.59195611030714</v>
      </c>
      <c r="O664" s="7">
        <f t="shared" si="225"/>
        <v>10101158.072581295</v>
      </c>
      <c r="P664" s="2">
        <f t="shared" si="228"/>
        <v>-2.4557465409126915</v>
      </c>
      <c r="Q664" s="2">
        <f t="shared" si="229"/>
        <v>-2.1244777116860436</v>
      </c>
      <c r="R664" s="2">
        <f t="shared" si="230"/>
        <v>-2.1233514093003589</v>
      </c>
      <c r="S664" s="2">
        <f t="shared" si="231"/>
        <v>-1.8514773911648654</v>
      </c>
      <c r="T664" s="9">
        <f t="shared" si="232"/>
        <v>-142.58097433271462</v>
      </c>
      <c r="U664" s="7">
        <f t="shared" si="233"/>
        <v>10188100.049301261</v>
      </c>
      <c r="W664">
        <f t="shared" si="244"/>
        <v>236160</v>
      </c>
      <c r="X664" s="9">
        <f t="shared" si="226"/>
        <v>5764.5654640565808</v>
      </c>
      <c r="Y664" s="2">
        <f t="shared" si="227"/>
        <v>6083587.7591161914</v>
      </c>
      <c r="Z664" s="2">
        <f t="shared" si="234"/>
        <v>-1.4790135436392222</v>
      </c>
      <c r="AA664" s="2">
        <f t="shared" si="235"/>
        <v>-1.4820105954460019</v>
      </c>
      <c r="AB664" s="2">
        <f t="shared" si="236"/>
        <v>-1.4804338703138076</v>
      </c>
      <c r="AC664" s="2">
        <f t="shared" si="237"/>
        <v>-1.4651684028363481</v>
      </c>
      <c r="AD664" s="2">
        <f t="shared" si="238"/>
        <v>5232.4212113768699</v>
      </c>
      <c r="AE664" s="10">
        <f t="shared" si="239"/>
        <v>8063045.3606942128</v>
      </c>
    </row>
    <row r="665" spans="1:31" x14ac:dyDescent="0.25">
      <c r="A665" s="1">
        <f t="shared" si="240"/>
        <v>2.7374999999999998</v>
      </c>
      <c r="B665" s="7">
        <f t="shared" si="241"/>
        <v>10188100.049301261</v>
      </c>
      <c r="C665" s="7">
        <f t="shared" si="242"/>
        <v>8063045.3606942128</v>
      </c>
      <c r="D665" s="7"/>
      <c r="E665" s="7"/>
      <c r="F665" s="7"/>
      <c r="G665" s="7"/>
      <c r="H665" s="7"/>
      <c r="I665" s="7"/>
      <c r="J665" s="7"/>
      <c r="K665" s="7"/>
      <c r="L665" s="1">
        <f t="shared" si="245"/>
        <v>2.7374999999999998</v>
      </c>
      <c r="M665">
        <f t="shared" si="243"/>
        <v>236520</v>
      </c>
      <c r="N665" s="9">
        <f t="shared" si="224"/>
        <v>-142.58097433271462</v>
      </c>
      <c r="O665" s="7">
        <f t="shared" si="225"/>
        <v>10188100.049301261</v>
      </c>
      <c r="P665" s="2">
        <f t="shared" si="228"/>
        <v>-1.8515426865183306</v>
      </c>
      <c r="Q665" s="2">
        <f t="shared" si="229"/>
        <v>-1.6270898976238721</v>
      </c>
      <c r="R665" s="2">
        <f t="shared" si="230"/>
        <v>-1.6266032293671968</v>
      </c>
      <c r="S665" s="2">
        <f t="shared" si="231"/>
        <v>-1.4382512545678539</v>
      </c>
      <c r="T665" s="9">
        <f t="shared" si="232"/>
        <v>-730.41178603681396</v>
      </c>
      <c r="U665" s="7">
        <f t="shared" si="233"/>
        <v>10030961.352434745</v>
      </c>
      <c r="W665">
        <f t="shared" si="244"/>
        <v>236520</v>
      </c>
      <c r="X665" s="9">
        <f t="shared" si="226"/>
        <v>5232.4212113768699</v>
      </c>
      <c r="Y665" s="2">
        <f t="shared" si="227"/>
        <v>8063045.3606942128</v>
      </c>
      <c r="Z665" s="2">
        <f t="shared" si="234"/>
        <v>-1.4653441364352151</v>
      </c>
      <c r="AA665" s="2">
        <f t="shared" si="235"/>
        <v>-1.4422119157802722</v>
      </c>
      <c r="AB665" s="2">
        <f t="shared" si="236"/>
        <v>-1.4413234696554351</v>
      </c>
      <c r="AC665" s="2">
        <f t="shared" si="237"/>
        <v>-1.4127235839007446</v>
      </c>
      <c r="AD665" s="2">
        <f t="shared" si="238"/>
        <v>4713.7129019044278</v>
      </c>
      <c r="AE665" s="10">
        <f t="shared" si="239"/>
        <v>9853349.5010848455</v>
      </c>
    </row>
    <row r="666" spans="1:31" x14ac:dyDescent="0.25">
      <c r="A666" s="1">
        <f t="shared" si="240"/>
        <v>2.7416666666666667</v>
      </c>
      <c r="B666" s="7">
        <f t="shared" si="241"/>
        <v>10030961.352434745</v>
      </c>
      <c r="C666" s="7">
        <f t="shared" si="242"/>
        <v>9853349.5010848455</v>
      </c>
      <c r="D666" s="7"/>
      <c r="E666" s="7"/>
      <c r="F666" s="7"/>
      <c r="G666" s="7"/>
      <c r="H666" s="7"/>
      <c r="I666" s="7"/>
      <c r="J666" s="7"/>
      <c r="K666" s="7"/>
      <c r="L666" s="1">
        <f t="shared" si="245"/>
        <v>2.7416666666666667</v>
      </c>
      <c r="M666">
        <f t="shared" si="243"/>
        <v>236880</v>
      </c>
      <c r="N666" s="9">
        <f t="shared" si="224"/>
        <v>-730.41178603681396</v>
      </c>
      <c r="O666" s="7">
        <f t="shared" si="225"/>
        <v>10030961.352434745</v>
      </c>
      <c r="P666" s="2">
        <f t="shared" si="228"/>
        <v>-1.4382753882994743</v>
      </c>
      <c r="Q666" s="2">
        <f t="shared" si="229"/>
        <v>-1.279144851195283</v>
      </c>
      <c r="R666" s="2">
        <f t="shared" si="230"/>
        <v>-1.2789237883197986</v>
      </c>
      <c r="S666" s="2">
        <f t="shared" si="231"/>
        <v>-1.1427142014589908</v>
      </c>
      <c r="T666" s="9">
        <f t="shared" si="232"/>
        <v>-1192.2393981641317</v>
      </c>
      <c r="U666" s="7">
        <f t="shared" si="233"/>
        <v>9684884.1392785758</v>
      </c>
      <c r="W666">
        <f t="shared" si="244"/>
        <v>236880</v>
      </c>
      <c r="X666" s="9">
        <f t="shared" si="226"/>
        <v>4713.7129019044278</v>
      </c>
      <c r="Y666" s="2">
        <f t="shared" si="227"/>
        <v>9853349.5010848455</v>
      </c>
      <c r="Z666" s="2">
        <f t="shared" si="234"/>
        <v>-1.4128087609751789</v>
      </c>
      <c r="AA666" s="2">
        <f t="shared" si="235"/>
        <v>-1.3831146071215259</v>
      </c>
      <c r="AB666" s="2">
        <f t="shared" si="236"/>
        <v>-1.3825769846343166</v>
      </c>
      <c r="AC666" s="2">
        <f t="shared" si="237"/>
        <v>-1.3522056131822715</v>
      </c>
      <c r="AD666" s="2">
        <f t="shared" si="238"/>
        <v>4215.9290484442799</v>
      </c>
      <c r="AE666" s="10">
        <f t="shared" si="239"/>
        <v>11460685.052147614</v>
      </c>
    </row>
    <row r="667" spans="1:31" x14ac:dyDescent="0.25">
      <c r="A667" s="1">
        <f t="shared" si="240"/>
        <v>2.7458333333333331</v>
      </c>
      <c r="B667" s="7">
        <f t="shared" si="241"/>
        <v>9684884.1392785758</v>
      </c>
      <c r="C667" s="7">
        <f t="shared" si="242"/>
        <v>11460685.052147614</v>
      </c>
      <c r="D667" s="7"/>
      <c r="E667" s="7"/>
      <c r="F667" s="7"/>
      <c r="G667" s="7"/>
      <c r="H667" s="7"/>
      <c r="I667" s="7"/>
      <c r="J667" s="7"/>
      <c r="K667" s="7"/>
      <c r="L667" s="1">
        <f t="shared" si="245"/>
        <v>2.7458333333333331</v>
      </c>
      <c r="M667">
        <f t="shared" si="243"/>
        <v>237240</v>
      </c>
      <c r="N667" s="9">
        <f t="shared" si="224"/>
        <v>-1192.2393981641317</v>
      </c>
      <c r="O667" s="7">
        <f t="shared" si="225"/>
        <v>9684884.1392785758</v>
      </c>
      <c r="P667" s="2">
        <f t="shared" si="228"/>
        <v>-1.1427234732888027</v>
      </c>
      <c r="Q667" s="2">
        <f t="shared" si="229"/>
        <v>-1.0253248749746176</v>
      </c>
      <c r="R667" s="2">
        <f t="shared" si="230"/>
        <v>-1.0252248043801273</v>
      </c>
      <c r="S667" s="2">
        <f t="shared" si="231"/>
        <v>-0.92295438852655465</v>
      </c>
      <c r="T667" s="9">
        <f t="shared" si="232"/>
        <v>-1562.2460313956226</v>
      </c>
      <c r="U667" s="7">
        <f t="shared" si="233"/>
        <v>9189076.7619578205</v>
      </c>
      <c r="W667">
        <f t="shared" si="244"/>
        <v>237240</v>
      </c>
      <c r="X667" s="9">
        <f t="shared" si="226"/>
        <v>4215.9290484442799</v>
      </c>
      <c r="Y667" s="2">
        <f t="shared" si="227"/>
        <v>11460685.052147614</v>
      </c>
      <c r="Z667" s="2">
        <f t="shared" si="234"/>
        <v>-1.3522509552741775</v>
      </c>
      <c r="AA667" s="2">
        <f t="shared" si="235"/>
        <v>-1.3231967229407284</v>
      </c>
      <c r="AB667" s="2">
        <f t="shared" si="236"/>
        <v>-1.3228524539534801</v>
      </c>
      <c r="AC667" s="2">
        <f t="shared" si="237"/>
        <v>-1.2949241101499378</v>
      </c>
      <c r="AD667" s="2">
        <f t="shared" si="238"/>
        <v>3739.572643291528</v>
      </c>
      <c r="AE667" s="10">
        <f t="shared" si="239"/>
        <v>12892675.356660059</v>
      </c>
    </row>
    <row r="668" spans="1:31" x14ac:dyDescent="0.25">
      <c r="A668" s="1">
        <f t="shared" si="240"/>
        <v>2.75</v>
      </c>
      <c r="B668" s="7">
        <f t="shared" si="241"/>
        <v>9189076.7619578205</v>
      </c>
      <c r="C668" s="7">
        <f t="shared" si="242"/>
        <v>12892675.356660059</v>
      </c>
      <c r="D668" s="7"/>
      <c r="E668" s="7"/>
      <c r="F668" s="7"/>
      <c r="G668" s="7"/>
      <c r="H668" s="7"/>
      <c r="I668" s="7"/>
      <c r="J668" s="7"/>
      <c r="K668" s="7"/>
      <c r="L668" s="1">
        <f t="shared" si="245"/>
        <v>2.75</v>
      </c>
      <c r="M668">
        <f t="shared" si="243"/>
        <v>237600</v>
      </c>
      <c r="N668" s="9">
        <f t="shared" si="224"/>
        <v>-1562.2460313956226</v>
      </c>
      <c r="O668" s="7">
        <f t="shared" si="225"/>
        <v>9189076.7619578205</v>
      </c>
      <c r="P668" s="2">
        <f t="shared" si="228"/>
        <v>-0.92295788638473653</v>
      </c>
      <c r="Q668" s="2">
        <f t="shared" si="229"/>
        <v>-0.83324733271483065</v>
      </c>
      <c r="R668" s="2">
        <f t="shared" si="230"/>
        <v>-0.83320647964466521</v>
      </c>
      <c r="S668" s="2">
        <f t="shared" si="231"/>
        <v>-0.75380614847643979</v>
      </c>
      <c r="T668" s="9">
        <f t="shared" si="232"/>
        <v>-1862.8263309704328</v>
      </c>
      <c r="U668" s="7">
        <f t="shared" si="233"/>
        <v>8572563.7367319316</v>
      </c>
      <c r="W668">
        <f t="shared" si="244"/>
        <v>237600</v>
      </c>
      <c r="X668" s="9">
        <f t="shared" si="226"/>
        <v>3739.572643291528</v>
      </c>
      <c r="Y668" s="2">
        <f t="shared" si="227"/>
        <v>12892675.356660059</v>
      </c>
      <c r="Z668" s="2">
        <f t="shared" si="234"/>
        <v>-1.2949501571572757</v>
      </c>
      <c r="AA668" s="2">
        <f t="shared" si="235"/>
        <v>-1.2691202246439299</v>
      </c>
      <c r="AB668" s="2">
        <f t="shared" si="236"/>
        <v>-1.2688898404867008</v>
      </c>
      <c r="AC668" s="2">
        <f t="shared" si="237"/>
        <v>-1.2448160954660152</v>
      </c>
      <c r="AD668" s="2">
        <f t="shared" si="238"/>
        <v>3282.6254603184548</v>
      </c>
      <c r="AE668" s="10">
        <f t="shared" si="239"/>
        <v>14156671.015309855</v>
      </c>
    </row>
    <row r="669" spans="1:31" x14ac:dyDescent="0.25">
      <c r="A669" s="1">
        <f t="shared" si="240"/>
        <v>2.7541666666666669</v>
      </c>
      <c r="B669" s="7">
        <f t="shared" si="241"/>
        <v>8572563.7367319316</v>
      </c>
      <c r="C669" s="7">
        <f t="shared" si="242"/>
        <v>14156671.015309855</v>
      </c>
      <c r="D669" s="7"/>
      <c r="E669" s="7"/>
      <c r="F669" s="7"/>
      <c r="G669" s="7"/>
      <c r="H669" s="7"/>
      <c r="I669" s="7"/>
      <c r="J669" s="7"/>
      <c r="K669" s="7"/>
      <c r="L669" s="1">
        <f t="shared" si="245"/>
        <v>2.7541666666666669</v>
      </c>
      <c r="M669">
        <f t="shared" si="243"/>
        <v>237960</v>
      </c>
      <c r="N669" s="9">
        <f t="shared" si="224"/>
        <v>-1862.8263309704328</v>
      </c>
      <c r="O669" s="7">
        <f t="shared" si="225"/>
        <v>8572563.7367319316</v>
      </c>
      <c r="P669" s="2">
        <f t="shared" si="228"/>
        <v>-0.75380730506149529</v>
      </c>
      <c r="Q669" s="2">
        <f t="shared" si="229"/>
        <v>-0.68303872312365066</v>
      </c>
      <c r="R669" s="2">
        <f t="shared" si="230"/>
        <v>-0.68302853615254788</v>
      </c>
      <c r="S669" s="2">
        <f t="shared" si="231"/>
        <v>-0.61946302722021096</v>
      </c>
      <c r="T669" s="9">
        <f t="shared" si="232"/>
        <v>-2109.1506220204787</v>
      </c>
      <c r="U669" s="7">
        <f t="shared" si="233"/>
        <v>7857607.8851935677</v>
      </c>
      <c r="W669">
        <f t="shared" si="244"/>
        <v>237960</v>
      </c>
      <c r="X669" s="9">
        <f t="shared" si="226"/>
        <v>3282.6254603184548</v>
      </c>
      <c r="Y669" s="2">
        <f t="shared" si="227"/>
        <v>14156671.015309855</v>
      </c>
      <c r="Z669" s="2">
        <f t="shared" si="234"/>
        <v>-1.2448320425974579</v>
      </c>
      <c r="AA669" s="2">
        <f t="shared" si="235"/>
        <v>-1.2230171452071568</v>
      </c>
      <c r="AB669" s="2">
        <f t="shared" si="236"/>
        <v>-1.2228578037054287</v>
      </c>
      <c r="AC669" s="2">
        <f t="shared" si="237"/>
        <v>-1.2029616257694851</v>
      </c>
      <c r="AD669" s="2">
        <f t="shared" si="238"/>
        <v>2842.252846346928</v>
      </c>
      <c r="AE669" s="10">
        <f t="shared" si="239"/>
        <v>15259149.110509625</v>
      </c>
    </row>
    <row r="670" spans="1:31" x14ac:dyDescent="0.25">
      <c r="A670" s="1">
        <f t="shared" si="240"/>
        <v>2.7583333333333333</v>
      </c>
      <c r="B670" s="7">
        <f t="shared" si="241"/>
        <v>7857607.8851935677</v>
      </c>
      <c r="C670" s="7">
        <f t="shared" si="242"/>
        <v>15259149.110509625</v>
      </c>
      <c r="D670" s="7"/>
      <c r="E670" s="7"/>
      <c r="F670" s="7"/>
      <c r="G670" s="7"/>
      <c r="H670" s="7"/>
      <c r="I670" s="7"/>
      <c r="J670" s="7"/>
      <c r="K670" s="7"/>
      <c r="L670" s="1">
        <f t="shared" si="245"/>
        <v>2.7583333333333333</v>
      </c>
      <c r="M670">
        <f t="shared" si="243"/>
        <v>238320</v>
      </c>
      <c r="N670" s="9">
        <f t="shared" si="224"/>
        <v>-2109.1506220204787</v>
      </c>
      <c r="O670" s="7">
        <f t="shared" si="225"/>
        <v>7857607.8851935677</v>
      </c>
      <c r="P670" s="2">
        <f t="shared" si="228"/>
        <v>-0.61946323263010628</v>
      </c>
      <c r="Q670" s="2">
        <f t="shared" si="229"/>
        <v>-0.56195481263378777</v>
      </c>
      <c r="R670" s="2">
        <f t="shared" si="230"/>
        <v>-0.56196125208520387</v>
      </c>
      <c r="S670" s="2">
        <f t="shared" si="231"/>
        <v>-0.50957021455844576</v>
      </c>
      <c r="T670" s="9">
        <f t="shared" si="232"/>
        <v>-2311.7625566180709</v>
      </c>
      <c r="U670" s="7">
        <f t="shared" si="233"/>
        <v>7061843.5130386287</v>
      </c>
      <c r="W670">
        <f t="shared" si="244"/>
        <v>238320</v>
      </c>
      <c r="X670" s="9">
        <f t="shared" si="226"/>
        <v>2842.252846346928</v>
      </c>
      <c r="Y670" s="2">
        <f t="shared" si="227"/>
        <v>15259149.110509625</v>
      </c>
      <c r="Z670" s="2">
        <f t="shared" si="234"/>
        <v>-1.2029719442978093</v>
      </c>
      <c r="AA670" s="2">
        <f t="shared" si="235"/>
        <v>-1.1852689262813814</v>
      </c>
      <c r="AB670" s="2">
        <f t="shared" si="236"/>
        <v>-1.185156238903869</v>
      </c>
      <c r="AC670" s="2">
        <f t="shared" si="237"/>
        <v>-1.1693557513740143</v>
      </c>
      <c r="AD670" s="2">
        <f t="shared" si="238"/>
        <v>2415.4621647843887</v>
      </c>
      <c r="AE670" s="10">
        <f t="shared" si="239"/>
        <v>16205537.812513262</v>
      </c>
    </row>
    <row r="671" spans="1:31" x14ac:dyDescent="0.25">
      <c r="A671" s="1">
        <f t="shared" si="240"/>
        <v>2.7625000000000002</v>
      </c>
      <c r="B671" s="7">
        <f t="shared" si="241"/>
        <v>7061843.5130386287</v>
      </c>
      <c r="C671" s="7">
        <f t="shared" si="242"/>
        <v>16205537.812513262</v>
      </c>
      <c r="D671" s="7"/>
      <c r="E671" s="7"/>
      <c r="F671" s="7"/>
      <c r="G671" s="7"/>
      <c r="H671" s="7"/>
      <c r="I671" s="7"/>
      <c r="J671" s="7"/>
      <c r="K671" s="7"/>
      <c r="L671" s="1">
        <f t="shared" si="245"/>
        <v>2.7625000000000002</v>
      </c>
      <c r="M671">
        <f t="shared" si="243"/>
        <v>238680</v>
      </c>
      <c r="N671" s="9">
        <f t="shared" si="224"/>
        <v>-2311.7625566180709</v>
      </c>
      <c r="O671" s="7">
        <f t="shared" si="225"/>
        <v>7061843.5130386287</v>
      </c>
      <c r="P671" s="2">
        <f t="shared" si="228"/>
        <v>-0.50957006213047529</v>
      </c>
      <c r="Q671" s="2">
        <f t="shared" si="229"/>
        <v>-0.46147910801147884</v>
      </c>
      <c r="R671" s="2">
        <f t="shared" si="230"/>
        <v>-0.46149493260288987</v>
      </c>
      <c r="S671" s="2">
        <f t="shared" si="231"/>
        <v>-0.41706481091813952</v>
      </c>
      <c r="T671" s="9">
        <f t="shared" si="232"/>
        <v>-2478.1175338747121</v>
      </c>
      <c r="U671" s="7">
        <f t="shared" si="233"/>
        <v>6199665.0967499278</v>
      </c>
      <c r="W671">
        <f t="shared" si="244"/>
        <v>238680</v>
      </c>
      <c r="X671" s="9">
        <f t="shared" si="226"/>
        <v>2415.4621647843887</v>
      </c>
      <c r="Y671" s="2">
        <f t="shared" si="227"/>
        <v>16205537.812513262</v>
      </c>
      <c r="Z671" s="2">
        <f t="shared" si="234"/>
        <v>-1.1693627725866851</v>
      </c>
      <c r="AA671" s="2">
        <f t="shared" si="235"/>
        <v>-1.155623599747629</v>
      </c>
      <c r="AB671" s="2">
        <f t="shared" si="236"/>
        <v>-1.1555430706783429</v>
      </c>
      <c r="AC671" s="2">
        <f t="shared" si="237"/>
        <v>-1.1436345166061319</v>
      </c>
      <c r="AD671" s="2">
        <f t="shared" si="238"/>
        <v>1999.3423269817031</v>
      </c>
      <c r="AE671" s="10">
        <f t="shared" si="239"/>
        <v>17000202.621031158</v>
      </c>
    </row>
    <row r="672" spans="1:31" x14ac:dyDescent="0.25">
      <c r="A672" s="1">
        <f t="shared" si="240"/>
        <v>2.7666666666666666</v>
      </c>
      <c r="B672" s="7">
        <f t="shared" si="241"/>
        <v>6199665.0967499278</v>
      </c>
      <c r="C672" s="7">
        <f t="shared" si="242"/>
        <v>17000202.621031158</v>
      </c>
      <c r="D672" s="7"/>
      <c r="E672" s="7"/>
      <c r="F672" s="7"/>
      <c r="G672" s="7"/>
      <c r="H672" s="7"/>
      <c r="I672" s="7"/>
      <c r="J672" s="7"/>
      <c r="K672" s="7"/>
      <c r="L672" s="1">
        <f t="shared" si="245"/>
        <v>2.7666666666666666</v>
      </c>
      <c r="M672">
        <f t="shared" si="243"/>
        <v>239040</v>
      </c>
      <c r="N672" s="9">
        <f t="shared" si="224"/>
        <v>-2478.1175338747121</v>
      </c>
      <c r="O672" s="7">
        <f t="shared" si="225"/>
        <v>6199665.0967499278</v>
      </c>
      <c r="P672" s="2">
        <f t="shared" si="228"/>
        <v>-0.41706456393339508</v>
      </c>
      <c r="Q672" s="2">
        <f t="shared" si="229"/>
        <v>-0.37568548533380414</v>
      </c>
      <c r="R672" s="2">
        <f t="shared" si="230"/>
        <v>-0.37570682856829968</v>
      </c>
      <c r="S672" s="2">
        <f t="shared" si="231"/>
        <v>-0.33692805469293868</v>
      </c>
      <c r="T672" s="9">
        <f t="shared" si="232"/>
        <v>-2613.5241686605445</v>
      </c>
      <c r="U672" s="7">
        <f t="shared" si="233"/>
        <v>5283169.5902935816</v>
      </c>
      <c r="W672">
        <f t="shared" si="244"/>
        <v>239040</v>
      </c>
      <c r="X672" s="9">
        <f t="shared" si="226"/>
        <v>1999.3423269817031</v>
      </c>
      <c r="Y672" s="2">
        <f t="shared" si="227"/>
        <v>17000202.621031158</v>
      </c>
      <c r="Z672" s="2">
        <f t="shared" si="234"/>
        <v>-1.1436395325025912</v>
      </c>
      <c r="AA672" s="2">
        <f t="shared" si="235"/>
        <v>-1.1336600403904562</v>
      </c>
      <c r="AB672" s="2">
        <f t="shared" si="236"/>
        <v>-1.1336027853652202</v>
      </c>
      <c r="AC672" s="2">
        <f t="shared" si="237"/>
        <v>-1.1253799104843123</v>
      </c>
      <c r="AD672" s="2">
        <f t="shared" si="238"/>
        <v>1591.1296213118078</v>
      </c>
      <c r="AE672" s="10">
        <f t="shared" si="239"/>
        <v>17646487.57172399</v>
      </c>
    </row>
    <row r="673" spans="1:31" x14ac:dyDescent="0.25">
      <c r="A673" s="1">
        <f t="shared" si="240"/>
        <v>2.7708333333333335</v>
      </c>
      <c r="B673" s="7">
        <f t="shared" si="241"/>
        <v>5283169.5902935816</v>
      </c>
      <c r="C673" s="7">
        <f t="shared" si="242"/>
        <v>17646487.57172399</v>
      </c>
      <c r="D673" s="7"/>
      <c r="E673" s="7"/>
      <c r="F673" s="7"/>
      <c r="G673" s="7"/>
      <c r="H673" s="7"/>
      <c r="I673" s="7"/>
      <c r="J673" s="7"/>
      <c r="K673" s="7"/>
      <c r="L673" s="1">
        <f t="shared" si="245"/>
        <v>2.7708333333333335</v>
      </c>
      <c r="M673">
        <f t="shared" si="243"/>
        <v>239400</v>
      </c>
      <c r="N673" s="9">
        <f t="shared" si="224"/>
        <v>-2613.5241686605445</v>
      </c>
      <c r="O673" s="7">
        <f t="shared" si="225"/>
        <v>5283169.5902935816</v>
      </c>
      <c r="P673" s="2">
        <f t="shared" si="228"/>
        <v>-0.33692783372041751</v>
      </c>
      <c r="Q673" s="2">
        <f t="shared" si="229"/>
        <v>-0.30027175449445076</v>
      </c>
      <c r="R673" s="2">
        <f t="shared" si="230"/>
        <v>-0.30029650716864825</v>
      </c>
      <c r="S673" s="2">
        <f t="shared" si="231"/>
        <v>-0.265431217073482</v>
      </c>
      <c r="T673" s="9">
        <f t="shared" si="232"/>
        <v>-2721.7339031077504</v>
      </c>
      <c r="U673" s="7">
        <f t="shared" si="233"/>
        <v>4322823.1373752886</v>
      </c>
      <c r="W673">
        <f t="shared" si="244"/>
        <v>239400</v>
      </c>
      <c r="X673" s="9">
        <f t="shared" si="226"/>
        <v>1591.1296213118078</v>
      </c>
      <c r="Y673" s="2">
        <f t="shared" si="227"/>
        <v>17646487.57172399</v>
      </c>
      <c r="Z673" s="2">
        <f t="shared" si="234"/>
        <v>-1.1253836790018406</v>
      </c>
      <c r="AA673" s="2">
        <f t="shared" si="235"/>
        <v>-1.1189840497171673</v>
      </c>
      <c r="AB673" s="2">
        <f t="shared" si="236"/>
        <v>-1.1189445486709337</v>
      </c>
      <c r="AC673" s="2">
        <f t="shared" si="237"/>
        <v>-1.1142493808307163</v>
      </c>
      <c r="AD673" s="2">
        <f t="shared" si="238"/>
        <v>1188.2002059152824</v>
      </c>
      <c r="AE673" s="10">
        <f t="shared" si="239"/>
        <v>18146766.940624867</v>
      </c>
    </row>
    <row r="674" spans="1:31" x14ac:dyDescent="0.25">
      <c r="A674" s="1">
        <f t="shared" si="240"/>
        <v>2.7749999999999999</v>
      </c>
      <c r="B674" s="7">
        <f t="shared" si="241"/>
        <v>4322823.1373752886</v>
      </c>
      <c r="C674" s="7">
        <f t="shared" si="242"/>
        <v>18146766.940624867</v>
      </c>
      <c r="D674" s="7"/>
      <c r="E674" s="7"/>
      <c r="F674" s="7"/>
      <c r="G674" s="7"/>
      <c r="H674" s="7"/>
      <c r="I674" s="7"/>
      <c r="J674" s="7"/>
      <c r="K674" s="7"/>
      <c r="L674" s="1">
        <f t="shared" si="245"/>
        <v>2.7749999999999999</v>
      </c>
      <c r="M674">
        <f t="shared" si="243"/>
        <v>239760</v>
      </c>
      <c r="N674" s="9">
        <f t="shared" si="224"/>
        <v>-2721.7339031077504</v>
      </c>
      <c r="O674" s="7">
        <f t="shared" si="225"/>
        <v>4322823.1373752886</v>
      </c>
      <c r="P674" s="2">
        <f t="shared" si="228"/>
        <v>-0.26543107967797824</v>
      </c>
      <c r="Q674" s="2">
        <f t="shared" si="229"/>
        <v>-0.23196181974214025</v>
      </c>
      <c r="R674" s="2">
        <f t="shared" si="230"/>
        <v>-0.23198882273616128</v>
      </c>
      <c r="S674" s="2">
        <f t="shared" si="231"/>
        <v>-0.19965662413260307</v>
      </c>
      <c r="T674" s="9">
        <f t="shared" si="232"/>
        <v>-2805.3132424337814</v>
      </c>
      <c r="U674" s="7">
        <f t="shared" si="233"/>
        <v>3327954.6511778128</v>
      </c>
      <c r="W674">
        <f t="shared" si="244"/>
        <v>239760</v>
      </c>
      <c r="X674" s="9">
        <f t="shared" si="226"/>
        <v>1188.2002059152824</v>
      </c>
      <c r="Y674" s="2">
        <f t="shared" si="227"/>
        <v>18146766.940624867</v>
      </c>
      <c r="Z674" s="2">
        <f t="shared" si="234"/>
        <v>-1.1142523736558172</v>
      </c>
      <c r="AA674" s="2">
        <f t="shared" si="235"/>
        <v>-1.1113119047009099</v>
      </c>
      <c r="AB674" s="2">
        <f t="shared" si="236"/>
        <v>-1.111286781726569</v>
      </c>
      <c r="AC674" s="2">
        <f t="shared" si="237"/>
        <v>-1.1100318178995934</v>
      </c>
      <c r="AD674" s="2">
        <f t="shared" si="238"/>
        <v>788.03131205066029</v>
      </c>
      <c r="AE674" s="10">
        <f t="shared" si="239"/>
        <v>18502488.613858737</v>
      </c>
    </row>
    <row r="675" spans="1:31" x14ac:dyDescent="0.25">
      <c r="A675" s="1">
        <f t="shared" si="240"/>
        <v>2.7791666666666668</v>
      </c>
      <c r="B675" s="7">
        <f t="shared" si="241"/>
        <v>3327954.6511778128</v>
      </c>
      <c r="C675" s="7">
        <f t="shared" si="242"/>
        <v>18502488.613858737</v>
      </c>
      <c r="D675" s="7"/>
      <c r="E675" s="7"/>
      <c r="F675" s="7"/>
      <c r="G675" s="7"/>
      <c r="H675" s="7"/>
      <c r="I675" s="7"/>
      <c r="J675" s="7"/>
      <c r="K675" s="7"/>
      <c r="L675" s="1">
        <f t="shared" si="245"/>
        <v>2.7791666666666668</v>
      </c>
      <c r="M675">
        <f t="shared" si="243"/>
        <v>240120</v>
      </c>
      <c r="N675" s="9">
        <f t="shared" si="224"/>
        <v>-2805.3132424337814</v>
      </c>
      <c r="O675" s="7">
        <f t="shared" si="225"/>
        <v>3327954.6511778128</v>
      </c>
      <c r="P675" s="2">
        <f t="shared" si="228"/>
        <v>-0.1996566005582085</v>
      </c>
      <c r="Q675" s="2">
        <f t="shared" si="229"/>
        <v>-0.16811499073028521</v>
      </c>
      <c r="R675" s="2">
        <f t="shared" si="230"/>
        <v>-0.16814360993824273</v>
      </c>
      <c r="S675" s="2">
        <f t="shared" si="231"/>
        <v>-0.13717388823706048</v>
      </c>
      <c r="T675" s="9">
        <f t="shared" si="232"/>
        <v>-2865.8741038417211</v>
      </c>
      <c r="U675" s="7">
        <f t="shared" si="233"/>
        <v>2307140.9288482224</v>
      </c>
      <c r="W675">
        <f t="shared" si="244"/>
        <v>240120</v>
      </c>
      <c r="X675" s="9">
        <f t="shared" si="226"/>
        <v>788.03131205066029</v>
      </c>
      <c r="Y675" s="2">
        <f t="shared" si="227"/>
        <v>18502488.613858737</v>
      </c>
      <c r="Z675" s="2">
        <f t="shared" si="234"/>
        <v>-1.1100343501383301</v>
      </c>
      <c r="AA675" s="2">
        <f t="shared" si="235"/>
        <v>-1.1105075213419415</v>
      </c>
      <c r="AB675" s="2">
        <f t="shared" si="236"/>
        <v>-1.110494877889934</v>
      </c>
      <c r="AC675" s="2">
        <f t="shared" si="237"/>
        <v>-1.1126743169881741</v>
      </c>
      <c r="AD675" s="2">
        <f t="shared" si="238"/>
        <v>388.14850411524498</v>
      </c>
      <c r="AE675" s="10">
        <f t="shared" si="239"/>
        <v>18714200.980768599</v>
      </c>
    </row>
    <row r="676" spans="1:31" x14ac:dyDescent="0.25">
      <c r="A676" s="1">
        <f t="shared" si="240"/>
        <v>2.7833333333333332</v>
      </c>
      <c r="B676" s="7">
        <f t="shared" si="241"/>
        <v>2307140.9288482224</v>
      </c>
      <c r="C676" s="7">
        <f t="shared" si="242"/>
        <v>18714200.980768599</v>
      </c>
      <c r="D676" s="7"/>
      <c r="E676" s="7"/>
      <c r="F676" s="7"/>
      <c r="G676" s="7"/>
      <c r="H676" s="7"/>
      <c r="I676" s="7"/>
      <c r="J676" s="7"/>
      <c r="K676" s="7"/>
      <c r="L676" s="1">
        <f t="shared" si="245"/>
        <v>2.7833333333333332</v>
      </c>
      <c r="M676">
        <f t="shared" si="243"/>
        <v>240480</v>
      </c>
      <c r="N676" s="9">
        <f t="shared" si="224"/>
        <v>-2865.8741038417211</v>
      </c>
      <c r="O676" s="7">
        <f t="shared" si="225"/>
        <v>2307140.9288482224</v>
      </c>
      <c r="P676" s="2">
        <f t="shared" si="228"/>
        <v>-0.13717399818901477</v>
      </c>
      <c r="Q676" s="2">
        <f t="shared" si="229"/>
        <v>-0.10645135810670615</v>
      </c>
      <c r="R676" s="2">
        <f t="shared" si="230"/>
        <v>-0.10648124464725491</v>
      </c>
      <c r="S676" s="2">
        <f t="shared" si="231"/>
        <v>-7.5801239802479548E-2</v>
      </c>
      <c r="T676" s="9">
        <f t="shared" si="232"/>
        <v>-2904.204530451686</v>
      </c>
      <c r="U676" s="7">
        <f t="shared" si="233"/>
        <v>1268526.7746754091</v>
      </c>
      <c r="W676">
        <f t="shared" si="244"/>
        <v>240480</v>
      </c>
      <c r="X676" s="9">
        <f t="shared" si="226"/>
        <v>388.14850411524498</v>
      </c>
      <c r="Y676" s="2">
        <f t="shared" si="227"/>
        <v>18714200.980768599</v>
      </c>
      <c r="Z676" s="2">
        <f t="shared" si="234"/>
        <v>-1.112676620377224</v>
      </c>
      <c r="AA676" s="2">
        <f t="shared" si="235"/>
        <v>-1.1166026646282075</v>
      </c>
      <c r="AB676" s="2">
        <f t="shared" si="236"/>
        <v>-1.1166017364495908</v>
      </c>
      <c r="AC676" s="2">
        <f t="shared" si="237"/>
        <v>-1.1222999352429623</v>
      </c>
      <c r="AD676" s="2">
        <f t="shared" si="238"/>
        <v>-13.934617351301995</v>
      </c>
      <c r="AE676" s="10">
        <f t="shared" si="239"/>
        <v>18781559.480386108</v>
      </c>
    </row>
    <row r="677" spans="1:31" x14ac:dyDescent="0.25">
      <c r="A677" s="1">
        <f t="shared" si="240"/>
        <v>2.7875000000000001</v>
      </c>
      <c r="B677" s="7">
        <f t="shared" si="241"/>
        <v>1268526.7746754091</v>
      </c>
      <c r="C677" s="7">
        <f t="shared" si="242"/>
        <v>18781559.480386108</v>
      </c>
      <c r="D677" s="7"/>
      <c r="E677" s="7"/>
      <c r="F677" s="7"/>
      <c r="G677" s="7"/>
      <c r="H677" s="7"/>
      <c r="I677" s="7"/>
      <c r="J677" s="7"/>
      <c r="K677" s="7"/>
      <c r="L677" s="1">
        <f t="shared" si="245"/>
        <v>2.7875000000000001</v>
      </c>
      <c r="M677">
        <f t="shared" si="243"/>
        <v>240840</v>
      </c>
      <c r="N677" s="9">
        <f t="shared" si="224"/>
        <v>-2904.204530451686</v>
      </c>
      <c r="O677" s="7">
        <f t="shared" si="225"/>
        <v>1268526.7746754091</v>
      </c>
      <c r="P677" s="2">
        <f t="shared" si="228"/>
        <v>-7.5801500781870687E-2</v>
      </c>
      <c r="Q677" s="2">
        <f t="shared" si="229"/>
        <v>-4.4837684500608231E-2</v>
      </c>
      <c r="R677" s="2">
        <f t="shared" si="230"/>
        <v>-4.4868621690531248E-2</v>
      </c>
      <c r="S677" s="2">
        <f t="shared" si="231"/>
        <v>-1.3406711391961902E-2</v>
      </c>
      <c r="T677" s="9">
        <f t="shared" si="232"/>
        <v>-2920.3217799250529</v>
      </c>
      <c r="U677" s="7">
        <f t="shared" si="233"/>
        <v>220112.03880759596</v>
      </c>
      <c r="W677">
        <f t="shared" si="244"/>
        <v>240840</v>
      </c>
      <c r="X677" s="9">
        <f t="shared" si="226"/>
        <v>-13.934617351301995</v>
      </c>
      <c r="Y677" s="2">
        <f t="shared" si="227"/>
        <v>18781559.480386108</v>
      </c>
      <c r="Z677" s="2">
        <f t="shared" si="234"/>
        <v>-1.1223022044619646</v>
      </c>
      <c r="AA677" s="2">
        <f t="shared" si="235"/>
        <v>-1.1298140283738805</v>
      </c>
      <c r="AB677" s="2">
        <f t="shared" si="236"/>
        <v>-1.1298250587754415</v>
      </c>
      <c r="AC677" s="2">
        <f t="shared" si="237"/>
        <v>-1.139226294842508</v>
      </c>
      <c r="AD677" s="2">
        <f t="shared" si="238"/>
        <v>-420.78301776748901</v>
      </c>
      <c r="AE677" s="10">
        <f t="shared" si="239"/>
        <v>18703310.306064725</v>
      </c>
    </row>
    <row r="678" spans="1:31" x14ac:dyDescent="0.25">
      <c r="A678" s="1">
        <f t="shared" si="240"/>
        <v>2.7916666666666665</v>
      </c>
      <c r="B678" s="7">
        <f t="shared" si="241"/>
        <v>220112.03880759596</v>
      </c>
      <c r="C678" s="7">
        <f t="shared" si="242"/>
        <v>18703310.306064725</v>
      </c>
      <c r="D678" s="7"/>
      <c r="E678" s="7"/>
      <c r="F678" s="7"/>
      <c r="G678" s="7"/>
      <c r="H678" s="7"/>
      <c r="I678" s="7"/>
      <c r="J678" s="7"/>
      <c r="K678" s="7"/>
      <c r="L678" s="1">
        <f t="shared" si="245"/>
        <v>2.7916666666666665</v>
      </c>
      <c r="M678">
        <f t="shared" si="243"/>
        <v>241200</v>
      </c>
      <c r="N678" s="9">
        <f t="shared" si="224"/>
        <v>-2920.3217799250529</v>
      </c>
      <c r="O678" s="7">
        <f t="shared" si="225"/>
        <v>220112.03880759596</v>
      </c>
      <c r="P678" s="2">
        <f t="shared" si="228"/>
        <v>-1.3407143054605044E-2</v>
      </c>
      <c r="Q678" s="2">
        <f t="shared" si="229"/>
        <v>1.8904718609989071E-2</v>
      </c>
      <c r="R678" s="2">
        <f t="shared" si="230"/>
        <v>1.8872939309719158E-2</v>
      </c>
      <c r="S678" s="2">
        <f t="shared" si="231"/>
        <v>5.2285303260220468E-2</v>
      </c>
      <c r="T678" s="9">
        <f t="shared" si="232"/>
        <v>-2913.4557713623508</v>
      </c>
      <c r="U678" s="7">
        <f t="shared" si="233"/>
        <v>-829967.92042413668</v>
      </c>
      <c r="W678">
        <f t="shared" si="244"/>
        <v>241200</v>
      </c>
      <c r="X678" s="9">
        <f t="shared" si="226"/>
        <v>-420.78301776748901</v>
      </c>
      <c r="Y678" s="2">
        <f t="shared" si="227"/>
        <v>18703310.306064725</v>
      </c>
      <c r="Z678" s="2">
        <f t="shared" si="234"/>
        <v>-1.1392287229108495</v>
      </c>
      <c r="AA678" s="2">
        <f t="shared" si="235"/>
        <v>-1.1505642347957761</v>
      </c>
      <c r="AB678" s="2">
        <f t="shared" si="236"/>
        <v>-1.1505885271135305</v>
      </c>
      <c r="AC678" s="2">
        <f t="shared" si="237"/>
        <v>-1.1639903463478098</v>
      </c>
      <c r="AD678" s="2">
        <f t="shared" si="238"/>
        <v>-835.11449335212546</v>
      </c>
      <c r="AE678" s="10">
        <f t="shared" si="239"/>
        <v>18477248.754063193</v>
      </c>
    </row>
    <row r="679" spans="1:31" x14ac:dyDescent="0.25">
      <c r="A679" s="1">
        <f t="shared" si="240"/>
        <v>2.7958333333333334</v>
      </c>
      <c r="B679" s="7">
        <f t="shared" si="241"/>
        <v>-829967.92042413668</v>
      </c>
      <c r="C679" s="7">
        <f t="shared" si="242"/>
        <v>18477248.754063193</v>
      </c>
      <c r="D679" s="7"/>
      <c r="E679" s="7"/>
      <c r="F679" s="7"/>
      <c r="G679" s="7"/>
      <c r="H679" s="7"/>
      <c r="I679" s="7"/>
      <c r="J679" s="7"/>
      <c r="K679" s="7"/>
      <c r="L679" s="1">
        <f t="shared" si="245"/>
        <v>2.7958333333333334</v>
      </c>
      <c r="M679">
        <f t="shared" si="243"/>
        <v>241560</v>
      </c>
      <c r="N679" s="9">
        <f t="shared" si="224"/>
        <v>-2913.4557713623508</v>
      </c>
      <c r="O679" s="7">
        <f t="shared" si="225"/>
        <v>-829967.92042413668</v>
      </c>
      <c r="P679" s="2">
        <f t="shared" si="228"/>
        <v>5.2284676972078135E-2</v>
      </c>
      <c r="Q679" s="2">
        <f t="shared" si="229"/>
        <v>8.720298488139594E-2</v>
      </c>
      <c r="R679" s="2">
        <f t="shared" si="230"/>
        <v>8.717070596411236E-2</v>
      </c>
      <c r="S679" s="2">
        <f t="shared" si="231"/>
        <v>0.12391555148567752</v>
      </c>
      <c r="T679" s="9">
        <f t="shared" si="232"/>
        <v>-2881.9589147534243</v>
      </c>
      <c r="U679" s="7">
        <f t="shared" si="233"/>
        <v>-1873142.5639249762</v>
      </c>
      <c r="W679">
        <f t="shared" si="244"/>
        <v>241560</v>
      </c>
      <c r="X679" s="9">
        <f t="shared" si="226"/>
        <v>-835.11449335212546</v>
      </c>
      <c r="Y679" s="2">
        <f t="shared" si="227"/>
        <v>18477248.754063193</v>
      </c>
      <c r="Z679" s="2">
        <f t="shared" si="234"/>
        <v>-1.1639931600551889</v>
      </c>
      <c r="AA679" s="2">
        <f t="shared" si="235"/>
        <v>-1.1795107656811694</v>
      </c>
      <c r="AB679" s="2">
        <f t="shared" si="236"/>
        <v>-1.1795509315259982</v>
      </c>
      <c r="AC679" s="2">
        <f t="shared" si="237"/>
        <v>-1.1973824335769157</v>
      </c>
      <c r="AD679" s="2">
        <f t="shared" si="238"/>
        <v>-1259.8844326349119</v>
      </c>
      <c r="AE679" s="10">
        <f t="shared" si="239"/>
        <v>18100148.947385527</v>
      </c>
    </row>
    <row r="680" spans="1:31" x14ac:dyDescent="0.25">
      <c r="A680" s="1">
        <f t="shared" si="240"/>
        <v>2.8</v>
      </c>
      <c r="B680" s="7">
        <f t="shared" si="241"/>
        <v>-1873142.5639249762</v>
      </c>
      <c r="C680" s="7">
        <f t="shared" si="242"/>
        <v>18100148.947385527</v>
      </c>
      <c r="D680" s="7"/>
      <c r="E680" s="7"/>
      <c r="F680" s="7"/>
      <c r="G680" s="7"/>
      <c r="H680" s="7"/>
      <c r="I680" s="7"/>
      <c r="J680" s="7"/>
      <c r="K680" s="7"/>
      <c r="L680" s="1">
        <f t="shared" si="245"/>
        <v>2.8</v>
      </c>
      <c r="M680">
        <f t="shared" si="243"/>
        <v>241920</v>
      </c>
      <c r="N680" s="9">
        <f t="shared" si="224"/>
        <v>-2881.9589147534243</v>
      </c>
      <c r="O680" s="7">
        <f t="shared" si="225"/>
        <v>-1873142.5639249762</v>
      </c>
      <c r="P680" s="2">
        <f t="shared" si="228"/>
        <v>0.12391470237354769</v>
      </c>
      <c r="Q680" s="2">
        <f t="shared" si="229"/>
        <v>0.16298287404073764</v>
      </c>
      <c r="R680" s="2">
        <f t="shared" si="230"/>
        <v>0.16295079219314196</v>
      </c>
      <c r="S680" s="2">
        <f t="shared" si="231"/>
        <v>0.20478130523923907</v>
      </c>
      <c r="T680" s="9">
        <f t="shared" si="232"/>
        <v>-2823.1251143485915</v>
      </c>
      <c r="U680" s="7">
        <f t="shared" si="233"/>
        <v>-2900057.6891633389</v>
      </c>
      <c r="W680">
        <f t="shared" si="244"/>
        <v>241920</v>
      </c>
      <c r="X680" s="9">
        <f t="shared" si="226"/>
        <v>-1259.8844326349119</v>
      </c>
      <c r="Y680" s="2">
        <f t="shared" si="227"/>
        <v>18100148.947385527</v>
      </c>
      <c r="Z680" s="2">
        <f t="shared" si="234"/>
        <v>-1.197385940038888</v>
      </c>
      <c r="AA680" s="2">
        <f t="shared" si="235"/>
        <v>-1.2175850874036305</v>
      </c>
      <c r="AB680" s="2">
        <f t="shared" si="236"/>
        <v>-1.2176455685021852</v>
      </c>
      <c r="AC680" s="2">
        <f t="shared" si="237"/>
        <v>-1.240491047577696</v>
      </c>
      <c r="AD680" s="2">
        <f t="shared" si="238"/>
        <v>-1698.3847306006048</v>
      </c>
      <c r="AE680" s="10">
        <f t="shared" si="239"/>
        <v>17567660.498003133</v>
      </c>
    </row>
    <row r="681" spans="1:31" x14ac:dyDescent="0.25">
      <c r="A681" s="1">
        <f t="shared" si="240"/>
        <v>2.8041666666666667</v>
      </c>
      <c r="B681" s="7">
        <f t="shared" si="241"/>
        <v>-2900057.6891633389</v>
      </c>
      <c r="C681" s="7">
        <f t="shared" si="242"/>
        <v>17567660.498003133</v>
      </c>
      <c r="D681" s="7"/>
      <c r="E681" s="7"/>
      <c r="F681" s="7"/>
      <c r="G681" s="7"/>
      <c r="H681" s="7"/>
      <c r="I681" s="7"/>
      <c r="J681" s="7"/>
      <c r="K681" s="7"/>
      <c r="L681" s="1">
        <f t="shared" si="245"/>
        <v>2.8041666666666667</v>
      </c>
      <c r="M681">
        <f t="shared" si="243"/>
        <v>242280</v>
      </c>
      <c r="N681" s="9">
        <f t="shared" si="224"/>
        <v>-2823.1251143485915</v>
      </c>
      <c r="O681" s="7">
        <f t="shared" si="225"/>
        <v>-2900057.6891633389</v>
      </c>
      <c r="P681" s="2">
        <f t="shared" si="228"/>
        <v>0.20478020497498439</v>
      </c>
      <c r="Q681" s="2">
        <f t="shared" si="229"/>
        <v>0.25001658531297904</v>
      </c>
      <c r="R681" s="2">
        <f t="shared" si="230"/>
        <v>0.24998615735137142</v>
      </c>
      <c r="S681" s="2">
        <f t="shared" si="231"/>
        <v>0.29926089434107289</v>
      </c>
      <c r="T681" s="9">
        <f t="shared" si="232"/>
        <v>-2732.882319269906</v>
      </c>
      <c r="U681" s="7">
        <f t="shared" si="233"/>
        <v>-3900139.0272146682</v>
      </c>
      <c r="W681">
        <f t="shared" si="244"/>
        <v>242280</v>
      </c>
      <c r="X681" s="9">
        <f t="shared" si="226"/>
        <v>-1698.3847306006048</v>
      </c>
      <c r="Y681" s="2">
        <f t="shared" si="227"/>
        <v>17567660.498003133</v>
      </c>
      <c r="Z681" s="2">
        <f t="shared" si="234"/>
        <v>-1.2404957084663684</v>
      </c>
      <c r="AA681" s="2">
        <f t="shared" si="235"/>
        <v>-1.2660419566197705</v>
      </c>
      <c r="AB681" s="2">
        <f t="shared" si="236"/>
        <v>-1.2661299961827319</v>
      </c>
      <c r="AC681" s="2">
        <f t="shared" si="237"/>
        <v>-1.2947562729246729</v>
      </c>
      <c r="AD681" s="2">
        <f t="shared" si="238"/>
        <v>-2154.3604838203673</v>
      </c>
      <c r="AE681" s="10">
        <f t="shared" si="239"/>
        <v>16874166.359407358</v>
      </c>
    </row>
    <row r="682" spans="1:31" x14ac:dyDescent="0.25">
      <c r="A682" s="1">
        <f t="shared" si="240"/>
        <v>2.8083333333333331</v>
      </c>
      <c r="B682" s="7">
        <f t="shared" si="241"/>
        <v>-3900139.0272146682</v>
      </c>
      <c r="C682" s="7">
        <f t="shared" si="242"/>
        <v>16874166.359407358</v>
      </c>
      <c r="D682" s="7"/>
      <c r="E682" s="7"/>
      <c r="F682" s="7"/>
      <c r="G682" s="7"/>
      <c r="H682" s="7"/>
      <c r="I682" s="7"/>
      <c r="J682" s="7"/>
      <c r="K682" s="7"/>
      <c r="L682" s="1">
        <f t="shared" si="245"/>
        <v>2.8083333333333331</v>
      </c>
      <c r="M682">
        <f t="shared" si="243"/>
        <v>242640</v>
      </c>
      <c r="N682" s="9">
        <f t="shared" si="224"/>
        <v>-2732.882319269906</v>
      </c>
      <c r="O682" s="7">
        <f t="shared" si="225"/>
        <v>-3900139.0272146682</v>
      </c>
      <c r="P682" s="2">
        <f t="shared" si="228"/>
        <v>0.29925952879612133</v>
      </c>
      <c r="Q682" s="2">
        <f t="shared" si="229"/>
        <v>0.35344966685643481</v>
      </c>
      <c r="R682" s="2">
        <f t="shared" si="230"/>
        <v>0.35342392867189226</v>
      </c>
      <c r="S682" s="2">
        <f t="shared" si="231"/>
        <v>0.41347893184336504</v>
      </c>
      <c r="T682" s="9">
        <f t="shared" si="232"/>
        <v>-2605.2931801681375</v>
      </c>
      <c r="U682" s="7">
        <f t="shared" si="233"/>
        <v>-4861010.6171135157</v>
      </c>
      <c r="W682">
        <f t="shared" si="244"/>
        <v>242640</v>
      </c>
      <c r="X682" s="9">
        <f t="shared" si="226"/>
        <v>-2154.3604838203673</v>
      </c>
      <c r="Y682" s="2">
        <f t="shared" si="227"/>
        <v>16874166.359407358</v>
      </c>
      <c r="Z682" s="2">
        <f t="shared" si="234"/>
        <v>-1.2947628375058078</v>
      </c>
      <c r="AA682" s="2">
        <f t="shared" si="235"/>
        <v>-1.3265133395222801</v>
      </c>
      <c r="AB682" s="2">
        <f t="shared" si="236"/>
        <v>-1.3266407680231616</v>
      </c>
      <c r="AC682" s="2">
        <f t="shared" si="237"/>
        <v>-1.3620208577774644</v>
      </c>
      <c r="AD682" s="2">
        <f t="shared" si="238"/>
        <v>-2632.1459984428166</v>
      </c>
      <c r="AE682" s="10">
        <f t="shared" si="239"/>
        <v>16012595.192599986</v>
      </c>
    </row>
    <row r="683" spans="1:31" x14ac:dyDescent="0.25">
      <c r="A683" s="1">
        <f t="shared" si="240"/>
        <v>2.8125</v>
      </c>
      <c r="B683" s="7">
        <f t="shared" si="241"/>
        <v>-4861010.6171135157</v>
      </c>
      <c r="C683" s="7">
        <f t="shared" si="242"/>
        <v>16012595.192599986</v>
      </c>
      <c r="D683" s="7"/>
      <c r="E683" s="7"/>
      <c r="F683" s="7"/>
      <c r="G683" s="7"/>
      <c r="H683" s="7"/>
      <c r="I683" s="7"/>
      <c r="J683" s="7"/>
      <c r="K683" s="7"/>
      <c r="L683" s="1">
        <f t="shared" si="245"/>
        <v>2.8125</v>
      </c>
      <c r="M683">
        <f t="shared" si="243"/>
        <v>243000</v>
      </c>
      <c r="N683" s="9">
        <f t="shared" si="224"/>
        <v>-2605.2931801681375</v>
      </c>
      <c r="O683" s="7">
        <f t="shared" si="225"/>
        <v>-4861010.6171135157</v>
      </c>
      <c r="P683" s="2">
        <f t="shared" si="228"/>
        <v>0.41347734257873775</v>
      </c>
      <c r="Q683" s="2">
        <f t="shared" si="229"/>
        <v>0.48065108055251882</v>
      </c>
      <c r="R683" s="2">
        <f t="shared" si="230"/>
        <v>0.48063640437224925</v>
      </c>
      <c r="S683" s="2">
        <f t="shared" si="231"/>
        <v>0.55640893942219927</v>
      </c>
      <c r="T683" s="9">
        <f t="shared" si="232"/>
        <v>-2431.7455050571089</v>
      </c>
      <c r="U683" s="7">
        <f t="shared" si="233"/>
        <v>-5767677.5804540599</v>
      </c>
      <c r="W683">
        <f t="shared" si="244"/>
        <v>243000</v>
      </c>
      <c r="X683" s="9">
        <f t="shared" si="226"/>
        <v>-2632.1459984428166</v>
      </c>
      <c r="Y683" s="2">
        <f t="shared" si="227"/>
        <v>16012595.192599986</v>
      </c>
      <c r="Z683" s="2">
        <f t="shared" si="234"/>
        <v>-1.3620306206936017</v>
      </c>
      <c r="AA683" s="2">
        <f t="shared" si="235"/>
        <v>-1.4010461059242738</v>
      </c>
      <c r="AB683" s="2">
        <f t="shared" si="236"/>
        <v>-1.4012327073110631</v>
      </c>
      <c r="AC683" s="2">
        <f t="shared" si="237"/>
        <v>-1.4445427032982026</v>
      </c>
      <c r="AD683" s="2">
        <f t="shared" si="238"/>
        <v>-3136.8138554705652</v>
      </c>
      <c r="AE683" s="10">
        <f t="shared" si="239"/>
        <v>14974182.418895576</v>
      </c>
    </row>
    <row r="684" spans="1:31" x14ac:dyDescent="0.25">
      <c r="A684" s="1">
        <f t="shared" si="240"/>
        <v>2.8166666666666669</v>
      </c>
      <c r="B684" s="7">
        <f t="shared" si="241"/>
        <v>-5767677.5804540599</v>
      </c>
      <c r="C684" s="7">
        <f t="shared" si="242"/>
        <v>14974182.418895576</v>
      </c>
      <c r="D684" s="7"/>
      <c r="E684" s="7"/>
      <c r="F684" s="7"/>
      <c r="G684" s="7"/>
      <c r="H684" s="7"/>
      <c r="I684" s="7"/>
      <c r="J684" s="7"/>
      <c r="K684" s="7"/>
      <c r="L684" s="1">
        <f t="shared" si="245"/>
        <v>2.8166666666666669</v>
      </c>
      <c r="M684">
        <f t="shared" si="243"/>
        <v>243360</v>
      </c>
      <c r="N684" s="9">
        <f t="shared" si="224"/>
        <v>-2431.7455050571089</v>
      </c>
      <c r="O684" s="7">
        <f t="shared" si="225"/>
        <v>-5767677.5804540599</v>
      </c>
      <c r="P684" s="2">
        <f t="shared" si="228"/>
        <v>0.55640734016401816</v>
      </c>
      <c r="Q684" s="2">
        <f t="shared" si="229"/>
        <v>0.64265749237544478</v>
      </c>
      <c r="R684" s="2">
        <f t="shared" si="230"/>
        <v>0.64266758655904221</v>
      </c>
      <c r="S684" s="2">
        <f t="shared" si="231"/>
        <v>0.74179381885936413</v>
      </c>
      <c r="T684" s="9">
        <f t="shared" si="232"/>
        <v>-2199.6144260435676</v>
      </c>
      <c r="U684" s="7">
        <f t="shared" si="233"/>
        <v>-6601322.3680521818</v>
      </c>
      <c r="W684">
        <f t="shared" si="244"/>
        <v>243360</v>
      </c>
      <c r="X684" s="9">
        <f t="shared" si="226"/>
        <v>-3136.8138554705652</v>
      </c>
      <c r="Y684" s="2">
        <f t="shared" si="227"/>
        <v>14974182.418895576</v>
      </c>
      <c r="Z684" s="2">
        <f t="shared" si="234"/>
        <v>-1.444558038241204</v>
      </c>
      <c r="AA684" s="2">
        <f t="shared" si="235"/>
        <v>-1.4920603213837635</v>
      </c>
      <c r="AB684" s="2">
        <f t="shared" si="236"/>
        <v>-1.4923404586503839</v>
      </c>
      <c r="AC684" s="2">
        <f t="shared" si="237"/>
        <v>-1.5448623777790325</v>
      </c>
      <c r="AD684" s="2">
        <f t="shared" si="238"/>
        <v>-3674.3071740358769</v>
      </c>
      <c r="AE684" s="10">
        <f t="shared" si="239"/>
        <v>13748180.633584417</v>
      </c>
    </row>
    <row r="685" spans="1:31" x14ac:dyDescent="0.25">
      <c r="A685" s="1">
        <f t="shared" si="240"/>
        <v>2.8208333333333333</v>
      </c>
      <c r="B685" s="7">
        <f t="shared" si="241"/>
        <v>-6601322.3680521818</v>
      </c>
      <c r="C685" s="7">
        <f t="shared" si="242"/>
        <v>13748180.633584417</v>
      </c>
      <c r="D685" s="7"/>
      <c r="E685" s="7"/>
      <c r="F685" s="7"/>
      <c r="G685" s="7"/>
      <c r="H685" s="7"/>
      <c r="I685" s="7"/>
      <c r="J685" s="7"/>
      <c r="K685" s="7"/>
      <c r="L685" s="1">
        <f t="shared" si="245"/>
        <v>2.8208333333333333</v>
      </c>
      <c r="M685">
        <f t="shared" si="243"/>
        <v>243720</v>
      </c>
      <c r="N685" s="9">
        <f t="shared" si="224"/>
        <v>-2199.6144260435676</v>
      </c>
      <c r="O685" s="7">
        <f t="shared" si="225"/>
        <v>-6601322.3680521818</v>
      </c>
      <c r="P685" s="2">
        <f t="shared" si="228"/>
        <v>0.74179292903103988</v>
      </c>
      <c r="Q685" s="2">
        <f t="shared" si="229"/>
        <v>0.85674908356650858</v>
      </c>
      <c r="R685" s="2">
        <f t="shared" si="230"/>
        <v>0.85681472729786889</v>
      </c>
      <c r="S685" s="2">
        <f t="shared" si="231"/>
        <v>0.99165829350584755</v>
      </c>
      <c r="T685" s="9">
        <f t="shared" si="232"/>
        <v>-1889.9796953876291</v>
      </c>
      <c r="U685" s="7">
        <f t="shared" si="233"/>
        <v>-7337449.3099097973</v>
      </c>
      <c r="W685">
        <f t="shared" si="244"/>
        <v>243720</v>
      </c>
      <c r="X685" s="9">
        <f t="shared" si="226"/>
        <v>-3674.3071740358769</v>
      </c>
      <c r="Y685" s="2">
        <f t="shared" si="227"/>
        <v>13748180.633584417</v>
      </c>
      <c r="Z685" s="2">
        <f t="shared" si="234"/>
        <v>-1.5448879197886467</v>
      </c>
      <c r="AA685" s="2">
        <f t="shared" si="235"/>
        <v>-1.6020455995875549</v>
      </c>
      <c r="AB685" s="2">
        <f t="shared" si="236"/>
        <v>-1.6024819969028219</v>
      </c>
      <c r="AC685" s="2">
        <f t="shared" si="237"/>
        <v>-1.6652179115807495</v>
      </c>
      <c r="AD685" s="2">
        <f t="shared" si="238"/>
        <v>-4251.456835496886</v>
      </c>
      <c r="AE685" s="10">
        <f t="shared" si="239"/>
        <v>12321543.111868519</v>
      </c>
    </row>
    <row r="686" spans="1:31" x14ac:dyDescent="0.25">
      <c r="A686" s="1">
        <f t="shared" si="240"/>
        <v>2.8250000000000002</v>
      </c>
      <c r="B686" s="7">
        <f t="shared" si="241"/>
        <v>-7337449.3099097973</v>
      </c>
      <c r="C686" s="7">
        <f t="shared" si="242"/>
        <v>12321543.111868519</v>
      </c>
      <c r="D686" s="7"/>
      <c r="E686" s="7"/>
      <c r="F686" s="7"/>
      <c r="G686" s="7"/>
      <c r="H686" s="7"/>
      <c r="I686" s="7"/>
      <c r="J686" s="7"/>
      <c r="K686" s="7"/>
      <c r="L686" s="1">
        <f t="shared" si="245"/>
        <v>2.8250000000000002</v>
      </c>
      <c r="M686">
        <f t="shared" si="243"/>
        <v>244080</v>
      </c>
      <c r="N686" s="9">
        <f t="shared" si="224"/>
        <v>-1889.9796953876291</v>
      </c>
      <c r="O686" s="7">
        <f t="shared" si="225"/>
        <v>-7337449.3099097973</v>
      </c>
      <c r="P686" s="2">
        <f t="shared" si="228"/>
        <v>0.99166034263892966</v>
      </c>
      <c r="Q686" s="2">
        <f t="shared" si="229"/>
        <v>1.1512758263964515</v>
      </c>
      <c r="R686" s="2">
        <f t="shared" si="230"/>
        <v>1.1514705477984877</v>
      </c>
      <c r="S686" s="2">
        <f t="shared" si="231"/>
        <v>1.3430682682948238</v>
      </c>
      <c r="T686" s="9">
        <f t="shared" si="232"/>
        <v>-1473.5664138282114</v>
      </c>
      <c r="U686" s="7">
        <f t="shared" si="233"/>
        <v>-7942887.609568648</v>
      </c>
      <c r="W686">
        <f t="shared" si="244"/>
        <v>244080</v>
      </c>
      <c r="X686" s="9">
        <f t="shared" si="226"/>
        <v>-4251.456835496886</v>
      </c>
      <c r="Y686" s="2">
        <f t="shared" si="227"/>
        <v>12321543.111868519</v>
      </c>
      <c r="Z686" s="2">
        <f t="shared" si="234"/>
        <v>-1.6652633835103232</v>
      </c>
      <c r="AA686" s="2">
        <f t="shared" si="235"/>
        <v>-1.7324634389198383</v>
      </c>
      <c r="AB686" s="2">
        <f t="shared" si="236"/>
        <v>-1.7331777908262445</v>
      </c>
      <c r="AC686" s="2">
        <f t="shared" si="237"/>
        <v>-1.8055930376695914</v>
      </c>
      <c r="AD686" s="2">
        <f t="shared" si="238"/>
        <v>-4875.5851683372111</v>
      </c>
      <c r="AE686" s="10">
        <f t="shared" si="239"/>
        <v>10678675.551178383</v>
      </c>
    </row>
    <row r="687" spans="1:31" x14ac:dyDescent="0.25">
      <c r="A687" s="1">
        <f t="shared" si="240"/>
        <v>2.8291666666666666</v>
      </c>
      <c r="B687" s="7">
        <f t="shared" si="241"/>
        <v>-7942887.609568648</v>
      </c>
      <c r="C687" s="7">
        <f t="shared" si="242"/>
        <v>10678675.551178383</v>
      </c>
      <c r="D687" s="7"/>
      <c r="E687" s="7"/>
      <c r="F687" s="7"/>
      <c r="G687" s="7"/>
      <c r="H687" s="7"/>
      <c r="I687" s="7"/>
      <c r="J687" s="7"/>
      <c r="K687" s="7"/>
      <c r="L687" s="1">
        <f t="shared" si="245"/>
        <v>2.8291666666666666</v>
      </c>
      <c r="M687">
        <f t="shared" si="243"/>
        <v>244440</v>
      </c>
      <c r="N687" s="9">
        <f t="shared" si="224"/>
        <v>-1473.5664138282114</v>
      </c>
      <c r="O687" s="7">
        <f t="shared" si="225"/>
        <v>-7942887.609568648</v>
      </c>
      <c r="P687" s="2">
        <f t="shared" si="228"/>
        <v>1.343080261028774</v>
      </c>
      <c r="Q687" s="2">
        <f t="shared" si="229"/>
        <v>1.5751757630803354</v>
      </c>
      <c r="R687" s="2">
        <f t="shared" si="230"/>
        <v>1.5756905952811042</v>
      </c>
      <c r="S687" s="2">
        <f t="shared" si="231"/>
        <v>1.8618351827566129</v>
      </c>
      <c r="T687" s="9">
        <f t="shared" si="232"/>
        <v>-903.16752419771535</v>
      </c>
      <c r="U687" s="7">
        <f t="shared" si="233"/>
        <v>-8370699.7184133148</v>
      </c>
      <c r="W687">
        <f t="shared" si="244"/>
        <v>244440</v>
      </c>
      <c r="X687" s="9">
        <f t="shared" si="226"/>
        <v>-4875.5851683372111</v>
      </c>
      <c r="Y687" s="2">
        <f t="shared" si="227"/>
        <v>10678675.551178383</v>
      </c>
      <c r="Z687" s="2">
        <f t="shared" si="234"/>
        <v>-1.8056806355210571</v>
      </c>
      <c r="AA687" s="2">
        <f t="shared" si="235"/>
        <v>-1.8802385004511075</v>
      </c>
      <c r="AB687" s="2">
        <f t="shared" si="236"/>
        <v>-1.8814847120921763</v>
      </c>
      <c r="AC687" s="2">
        <f t="shared" si="237"/>
        <v>-1.9575323549381316</v>
      </c>
      <c r="AD687" s="2">
        <f t="shared" si="238"/>
        <v>-5552.7847332699566</v>
      </c>
      <c r="AE687" s="10">
        <f t="shared" si="239"/>
        <v>8801568.968889093</v>
      </c>
    </row>
    <row r="688" spans="1:31" x14ac:dyDescent="0.25">
      <c r="A688" s="1">
        <f t="shared" si="240"/>
        <v>2.8333333333333335</v>
      </c>
      <c r="B688" s="7">
        <f t="shared" si="241"/>
        <v>-8370699.7184133148</v>
      </c>
      <c r="C688" s="7">
        <f t="shared" si="242"/>
        <v>8801568.968889093</v>
      </c>
      <c r="D688" s="7"/>
      <c r="E688" s="7"/>
      <c r="F688" s="7"/>
      <c r="G688" s="7"/>
      <c r="H688" s="7"/>
      <c r="I688" s="7"/>
      <c r="J688" s="7"/>
      <c r="K688" s="7"/>
      <c r="L688" s="1">
        <f t="shared" si="245"/>
        <v>2.8333333333333335</v>
      </c>
      <c r="M688">
        <f t="shared" si="243"/>
        <v>244800</v>
      </c>
      <c r="N688" s="9">
        <f t="shared" si="224"/>
        <v>-903.16752419771535</v>
      </c>
      <c r="O688" s="7">
        <f t="shared" si="225"/>
        <v>-8370699.7184133148</v>
      </c>
      <c r="P688" s="2">
        <f t="shared" si="228"/>
        <v>1.8618806699938952</v>
      </c>
      <c r="Q688" s="2">
        <f t="shared" si="229"/>
        <v>2.2176938990864734</v>
      </c>
      <c r="R688" s="2">
        <f t="shared" si="230"/>
        <v>2.2190832452308324</v>
      </c>
      <c r="S688" s="2">
        <f t="shared" si="231"/>
        <v>2.6715940173818189</v>
      </c>
      <c r="T688" s="9">
        <f t="shared" si="232"/>
        <v>-98.745785637095878</v>
      </c>
      <c r="U688" s="7">
        <f t="shared" si="233"/>
        <v>-8551044.1141835805</v>
      </c>
      <c r="W688">
        <f t="shared" si="244"/>
        <v>244800</v>
      </c>
      <c r="X688" s="9">
        <f t="shared" si="226"/>
        <v>-5552.7847332699566</v>
      </c>
      <c r="Y688" s="2">
        <f t="shared" si="227"/>
        <v>8801568.968889093</v>
      </c>
      <c r="Z688" s="2">
        <f t="shared" si="234"/>
        <v>-1.9577181932287717</v>
      </c>
      <c r="AA688" s="2">
        <f t="shared" si="235"/>
        <v>-2.0265842725933116</v>
      </c>
      <c r="AB688" s="2">
        <f t="shared" si="236"/>
        <v>-2.0289381398055899</v>
      </c>
      <c r="AC688" s="2">
        <f t="shared" si="237"/>
        <v>-2.0839987162762448</v>
      </c>
      <c r="AD688" s="2">
        <f t="shared" si="238"/>
        <v>-6281.9504373281261</v>
      </c>
      <c r="AE688" s="10">
        <f t="shared" si="239"/>
        <v>6671316.6381814377</v>
      </c>
    </row>
    <row r="689" spans="1:31" x14ac:dyDescent="0.25">
      <c r="A689" s="1">
        <f t="shared" si="240"/>
        <v>2.8374999999999999</v>
      </c>
      <c r="B689" s="7">
        <f t="shared" si="241"/>
        <v>-8551044.1141835805</v>
      </c>
      <c r="C689" s="7">
        <f t="shared" si="242"/>
        <v>6671316.6381814377</v>
      </c>
      <c r="D689" s="7"/>
      <c r="E689" s="7"/>
      <c r="F689" s="7"/>
      <c r="G689" s="7"/>
      <c r="H689" s="7"/>
      <c r="I689" s="7"/>
      <c r="J689" s="7"/>
      <c r="K689" s="7"/>
      <c r="L689" s="1">
        <f t="shared" si="245"/>
        <v>2.8374999999999999</v>
      </c>
      <c r="M689">
        <f t="shared" si="243"/>
        <v>245160</v>
      </c>
      <c r="N689" s="9">
        <f t="shared" si="224"/>
        <v>-98.745785637095878</v>
      </c>
      <c r="O689" s="7">
        <f t="shared" si="225"/>
        <v>-8551044.1141835805</v>
      </c>
      <c r="P689" s="2">
        <f t="shared" si="228"/>
        <v>2.6717616373230686</v>
      </c>
      <c r="Q689" s="2">
        <f t="shared" si="229"/>
        <v>3.2504490182597578</v>
      </c>
      <c r="R689" s="2">
        <f t="shared" si="230"/>
        <v>3.2545707316803187</v>
      </c>
      <c r="S689" s="2">
        <f t="shared" si="231"/>
        <v>4.0158052001552491</v>
      </c>
      <c r="T689" s="9">
        <f t="shared" si="232"/>
        <v>1083.1105946044124</v>
      </c>
      <c r="U689" s="7">
        <f t="shared" si="233"/>
        <v>-8373858.4485694636</v>
      </c>
      <c r="W689">
        <f t="shared" si="244"/>
        <v>245160</v>
      </c>
      <c r="X689" s="9">
        <f t="shared" si="226"/>
        <v>-6281.9504373281261</v>
      </c>
      <c r="Y689" s="2">
        <f t="shared" si="227"/>
        <v>6671316.6381814377</v>
      </c>
      <c r="Z689" s="2">
        <f t="shared" si="234"/>
        <v>-2.0844434464749626</v>
      </c>
      <c r="AA689" s="2">
        <f t="shared" si="235"/>
        <v>-2.0995237317065252</v>
      </c>
      <c r="AB689" s="2">
        <f t="shared" si="236"/>
        <v>-2.1044067802108839</v>
      </c>
      <c r="AC689" s="2">
        <f t="shared" si="237"/>
        <v>-2.0489446553044317</v>
      </c>
      <c r="AD689" s="2">
        <f t="shared" si="238"/>
        <v>-7034.4253848649787</v>
      </c>
      <c r="AE689" s="10">
        <f t="shared" si="239"/>
        <v>4274368.9901866782</v>
      </c>
    </row>
    <row r="690" spans="1:31" x14ac:dyDescent="0.25">
      <c r="A690" s="1">
        <f t="shared" si="240"/>
        <v>2.8416666666666668</v>
      </c>
      <c r="B690" s="7">
        <f t="shared" si="241"/>
        <v>-8373858.4485694636</v>
      </c>
      <c r="C690" s="7">
        <f t="shared" si="242"/>
        <v>4274368.9901866782</v>
      </c>
      <c r="D690" s="7"/>
      <c r="E690" s="7"/>
      <c r="F690" s="7"/>
      <c r="G690" s="7"/>
      <c r="H690" s="7"/>
      <c r="I690" s="7"/>
      <c r="J690" s="7"/>
      <c r="K690" s="7"/>
      <c r="L690" s="1">
        <f t="shared" si="245"/>
        <v>2.8416666666666668</v>
      </c>
      <c r="M690">
        <f t="shared" si="243"/>
        <v>245520</v>
      </c>
      <c r="N690" s="9">
        <f t="shared" si="224"/>
        <v>1083.1105946044124</v>
      </c>
      <c r="O690" s="7">
        <f t="shared" si="225"/>
        <v>-8373858.4485694636</v>
      </c>
      <c r="P690" s="2">
        <f t="shared" si="228"/>
        <v>4.0164857134022141</v>
      </c>
      <c r="Q690" s="2">
        <f t="shared" si="229"/>
        <v>5.0109158014190731</v>
      </c>
      <c r="R690" s="2">
        <f t="shared" si="230"/>
        <v>5.0252337367771904</v>
      </c>
      <c r="S690" s="2">
        <f t="shared" si="231"/>
        <v>6.3632679345576912</v>
      </c>
      <c r="T690" s="9">
        <f t="shared" si="232"/>
        <v>2910.2337580655585</v>
      </c>
      <c r="U690" s="7">
        <f t="shared" si="233"/>
        <v>-7655056.4650888685</v>
      </c>
      <c r="W690">
        <f t="shared" si="244"/>
        <v>245520</v>
      </c>
      <c r="X690" s="9">
        <f t="shared" si="226"/>
        <v>-7034.4253848649787</v>
      </c>
      <c r="Y690" s="2">
        <f t="shared" si="227"/>
        <v>4274368.9901866782</v>
      </c>
      <c r="Z690" s="2">
        <f t="shared" si="234"/>
        <v>-2.0501829698144842</v>
      </c>
      <c r="AA690" s="2">
        <f t="shared" si="235"/>
        <v>-1.8372665737878069</v>
      </c>
      <c r="AB690" s="2">
        <f t="shared" si="236"/>
        <v>-1.8483223352831923</v>
      </c>
      <c r="AC690" s="2">
        <f t="shared" si="237"/>
        <v>-1.3478862914009384</v>
      </c>
      <c r="AD690" s="2">
        <f t="shared" si="238"/>
        <v>-7680.5802096264242</v>
      </c>
      <c r="AE690" s="10">
        <f t="shared" si="239"/>
        <v>1625667.9831782258</v>
      </c>
    </row>
    <row r="691" spans="1:31" x14ac:dyDescent="0.25">
      <c r="A691" s="1">
        <f t="shared" si="240"/>
        <v>2.8458333333333332</v>
      </c>
      <c r="B691" s="7">
        <f t="shared" si="241"/>
        <v>-7655056.4650888685</v>
      </c>
      <c r="C691" s="7">
        <f t="shared" si="242"/>
        <v>1625667.9831782258</v>
      </c>
      <c r="D691" s="7"/>
      <c r="E691" s="7"/>
      <c r="F691" s="7"/>
      <c r="G691" s="7"/>
      <c r="H691" s="7"/>
      <c r="I691" s="7"/>
      <c r="J691" s="7"/>
      <c r="K691" s="7"/>
      <c r="L691" s="1">
        <f t="shared" si="245"/>
        <v>2.8458333333333332</v>
      </c>
      <c r="M691">
        <f t="shared" si="243"/>
        <v>245880</v>
      </c>
      <c r="N691" s="9">
        <f t="shared" si="224"/>
        <v>2910.2337580655585</v>
      </c>
      <c r="O691" s="7">
        <f t="shared" si="225"/>
        <v>-7655056.4650888685</v>
      </c>
      <c r="P691" s="2">
        <f t="shared" si="228"/>
        <v>6.366564720256485</v>
      </c>
      <c r="Q691" s="2">
        <f t="shared" si="229"/>
        <v>8.0578624515142039</v>
      </c>
      <c r="R691" s="2">
        <f t="shared" si="230"/>
        <v>8.1189311557441481</v>
      </c>
      <c r="S691" s="2">
        <f t="shared" si="231"/>
        <v>10.218197777481413</v>
      </c>
      <c r="T691" s="9">
        <f t="shared" si="232"/>
        <v>5846.5347408008347</v>
      </c>
      <c r="U691" s="7">
        <f t="shared" si="233"/>
        <v>-6078838.1352929175</v>
      </c>
      <c r="W691">
        <f t="shared" si="244"/>
        <v>245880</v>
      </c>
      <c r="X691" s="9">
        <f t="shared" si="226"/>
        <v>-7680.5802096264242</v>
      </c>
      <c r="Y691" s="2">
        <f t="shared" si="227"/>
        <v>1625667.9831782258</v>
      </c>
      <c r="Z691" s="2">
        <f t="shared" si="234"/>
        <v>-1.3520371111244087</v>
      </c>
      <c r="AA691" s="2">
        <f t="shared" si="235"/>
        <v>-0.25368066897476277</v>
      </c>
      <c r="AB691" s="2">
        <f t="shared" si="236"/>
        <v>-0.27723923029131686</v>
      </c>
      <c r="AC691" s="2">
        <f t="shared" si="237"/>
        <v>1.9445921901325856</v>
      </c>
      <c r="AD691" s="2">
        <f t="shared" si="238"/>
        <v>-7708.7372927978631</v>
      </c>
      <c r="AE691" s="10">
        <f t="shared" si="239"/>
        <v>-1144409.1672581462</v>
      </c>
    </row>
    <row r="692" spans="1:31" x14ac:dyDescent="0.25">
      <c r="A692" s="1">
        <f t="shared" si="240"/>
        <v>2.85</v>
      </c>
      <c r="B692" s="7">
        <f t="shared" si="241"/>
        <v>-6078838.1352929175</v>
      </c>
      <c r="C692" s="7">
        <f t="shared" si="242"/>
        <v>-1144409.1672581462</v>
      </c>
      <c r="D692" s="7"/>
      <c r="E692" s="7"/>
      <c r="F692" s="7"/>
      <c r="G692" s="7"/>
      <c r="H692" s="7"/>
      <c r="I692" s="7"/>
      <c r="J692" s="7"/>
      <c r="K692" s="7"/>
      <c r="L692" s="1">
        <f t="shared" si="245"/>
        <v>2.85</v>
      </c>
      <c r="M692">
        <f t="shared" si="243"/>
        <v>246240</v>
      </c>
      <c r="N692" s="9">
        <f t="shared" si="224"/>
        <v>5846.5347408008347</v>
      </c>
      <c r="O692" s="7">
        <f t="shared" si="225"/>
        <v>-6078838.1352929175</v>
      </c>
      <c r="P692" s="2">
        <f t="shared" si="228"/>
        <v>10.237834646722607</v>
      </c>
      <c r="Q692" s="2">
        <f t="shared" si="229"/>
        <v>11.862409601491075</v>
      </c>
      <c r="R692" s="2">
        <f t="shared" si="230"/>
        <v>12.155784782836509</v>
      </c>
      <c r="S692" s="2">
        <f t="shared" si="231"/>
        <v>11.84878248681305</v>
      </c>
      <c r="T692" s="9">
        <f t="shared" si="232"/>
        <v>10053.915094932283</v>
      </c>
      <c r="U692" s="7">
        <f t="shared" si="233"/>
        <v>-3216757.1648609564</v>
      </c>
      <c r="W692">
        <f t="shared" si="244"/>
        <v>246240</v>
      </c>
      <c r="X692" s="9">
        <f t="shared" si="226"/>
        <v>-7708.7372927978631</v>
      </c>
      <c r="Y692" s="2">
        <f t="shared" si="227"/>
        <v>-1144409.1672581462</v>
      </c>
      <c r="Z692" s="2">
        <f t="shared" si="234"/>
        <v>1.9273867080880673</v>
      </c>
      <c r="AA692" s="2">
        <f t="shared" si="235"/>
        <v>6.1031484951984369</v>
      </c>
      <c r="AB692" s="2">
        <f t="shared" si="236"/>
        <v>6.118037387685809</v>
      </c>
      <c r="AC692" s="2">
        <f t="shared" si="237"/>
        <v>13.100877104544299</v>
      </c>
      <c r="AD692" s="2">
        <f t="shared" si="238"/>
        <v>-5340.4991580938113</v>
      </c>
      <c r="AE692" s="10">
        <f t="shared" si="239"/>
        <v>-3493271.7284186478</v>
      </c>
    </row>
    <row r="693" spans="1:31" x14ac:dyDescent="0.25">
      <c r="A693" s="1">
        <f t="shared" si="240"/>
        <v>2.8541666666666665</v>
      </c>
      <c r="B693" s="7">
        <f t="shared" si="241"/>
        <v>-3216757.1648609564</v>
      </c>
      <c r="C693" s="7">
        <f t="shared" si="242"/>
        <v>-3493271.7284186478</v>
      </c>
      <c r="D693" s="7"/>
      <c r="E693" s="7"/>
      <c r="F693" s="7"/>
      <c r="G693" s="7"/>
      <c r="H693" s="7"/>
      <c r="I693" s="7"/>
      <c r="J693" s="7"/>
      <c r="K693" s="7"/>
      <c r="L693" s="1">
        <f t="shared" si="245"/>
        <v>2.8541666666666665</v>
      </c>
      <c r="M693">
        <f t="shared" si="243"/>
        <v>246600</v>
      </c>
      <c r="N693" s="9">
        <f t="shared" ref="N693:N728" si="246">T692</f>
        <v>10053.915094932283</v>
      </c>
      <c r="O693" s="7">
        <f t="shared" ref="O693:O728" si="247">U692</f>
        <v>-3216757.1648609564</v>
      </c>
      <c r="P693" s="2">
        <f t="shared" si="228"/>
        <v>11.973548206718116</v>
      </c>
      <c r="Q693" s="2">
        <f t="shared" si="229"/>
        <v>5.622954168568655</v>
      </c>
      <c r="R693" s="2">
        <f t="shared" si="230"/>
        <v>6.4158537715492931</v>
      </c>
      <c r="S693" s="2">
        <f t="shared" si="231"/>
        <v>-4.4349247271231977</v>
      </c>
      <c r="T693" s="9">
        <f t="shared" si="232"/>
        <v>11950.889456522131</v>
      </c>
      <c r="U693" s="7">
        <f t="shared" si="233"/>
        <v>744107.65440083807</v>
      </c>
      <c r="W693">
        <f t="shared" si="244"/>
        <v>246600</v>
      </c>
      <c r="X693" s="9">
        <f t="shared" ref="X693:X728" si="248">AD692</f>
        <v>-5340.4991580938113</v>
      </c>
      <c r="Y693" s="2">
        <f t="shared" ref="Y693:Y728" si="249">AE692</f>
        <v>-3493271.7284186478</v>
      </c>
      <c r="Z693" s="2">
        <f t="shared" si="234"/>
        <v>13.002802293033568</v>
      </c>
      <c r="AA693" s="2">
        <f t="shared" si="235"/>
        <v>19.671684600188581</v>
      </c>
      <c r="AB693" s="2">
        <f t="shared" si="236"/>
        <v>20.164132064915773</v>
      </c>
      <c r="AC693" s="2">
        <f t="shared" si="237"/>
        <v>22.267926710905332</v>
      </c>
      <c r="AD693" s="2">
        <f t="shared" si="238"/>
        <v>1556.0425819550446</v>
      </c>
      <c r="AE693" s="10">
        <f t="shared" si="239"/>
        <v>-4174473.9121236256</v>
      </c>
    </row>
    <row r="694" spans="1:31" x14ac:dyDescent="0.25">
      <c r="A694" s="1">
        <f t="shared" si="240"/>
        <v>2.8583333333333334</v>
      </c>
      <c r="B694" s="7">
        <f t="shared" si="241"/>
        <v>744107.65440083807</v>
      </c>
      <c r="C694" s="7">
        <f t="shared" si="242"/>
        <v>-4174473.9121236256</v>
      </c>
      <c r="D694" s="7"/>
      <c r="E694" s="7"/>
      <c r="F694" s="7"/>
      <c r="G694" s="7"/>
      <c r="H694" s="7"/>
      <c r="I694" s="7"/>
      <c r="J694" s="7"/>
      <c r="K694" s="7"/>
      <c r="L694" s="1">
        <f t="shared" si="245"/>
        <v>2.8583333333333334</v>
      </c>
      <c r="M694">
        <f t="shared" si="243"/>
        <v>246960</v>
      </c>
      <c r="N694" s="9">
        <f t="shared" si="246"/>
        <v>11950.889456522131</v>
      </c>
      <c r="O694" s="7">
        <f t="shared" si="247"/>
        <v>744107.65440083807</v>
      </c>
      <c r="P694" s="2">
        <f t="shared" si="228"/>
        <v>-3.8903791547026088</v>
      </c>
      <c r="Q694" s="2">
        <f t="shared" si="229"/>
        <v>-12.110603785090769</v>
      </c>
      <c r="R694" s="2">
        <f t="shared" si="230"/>
        <v>-11.505886162166663</v>
      </c>
      <c r="S694" s="2">
        <f t="shared" si="231"/>
        <v>-13.479350243381718</v>
      </c>
      <c r="T694" s="9">
        <f t="shared" si="232"/>
        <v>8074.7268989661798</v>
      </c>
      <c r="U694" s="7">
        <f t="shared" si="233"/>
        <v>4348718.5983887333</v>
      </c>
      <c r="W694">
        <f t="shared" si="244"/>
        <v>246960</v>
      </c>
      <c r="X694" s="9">
        <f t="shared" si="248"/>
        <v>1556.0425819550446</v>
      </c>
      <c r="Y694" s="2">
        <f t="shared" si="249"/>
        <v>-4174473.9121236256</v>
      </c>
      <c r="Z694" s="2">
        <f t="shared" si="234"/>
        <v>21.825183753354104</v>
      </c>
      <c r="AA694" s="2">
        <f t="shared" si="235"/>
        <v>15.140451525362527</v>
      </c>
      <c r="AB694" s="2">
        <f t="shared" si="236"/>
        <v>15.555788488067943</v>
      </c>
      <c r="AC694" s="2">
        <f t="shared" si="237"/>
        <v>8.1683939437587725</v>
      </c>
      <c r="AD694" s="2">
        <f t="shared" si="238"/>
        <v>7039.2060453934737</v>
      </c>
      <c r="AE694" s="10">
        <f t="shared" si="239"/>
        <v>-2627329.1592008919</v>
      </c>
    </row>
    <row r="695" spans="1:31" x14ac:dyDescent="0.25">
      <c r="A695" s="1">
        <f t="shared" si="240"/>
        <v>2.8624999999999998</v>
      </c>
      <c r="B695" s="7">
        <f t="shared" si="241"/>
        <v>4348718.5983887333</v>
      </c>
      <c r="C695" s="7">
        <f t="shared" si="242"/>
        <v>-2627329.1592008919</v>
      </c>
      <c r="D695" s="7"/>
      <c r="E695" s="7"/>
      <c r="F695" s="7"/>
      <c r="G695" s="7"/>
      <c r="H695" s="7"/>
      <c r="I695" s="7"/>
      <c r="J695" s="7"/>
      <c r="K695" s="7"/>
      <c r="L695" s="1">
        <f t="shared" si="245"/>
        <v>2.8624999999999998</v>
      </c>
      <c r="M695">
        <f t="shared" si="243"/>
        <v>247320</v>
      </c>
      <c r="N695" s="9">
        <f t="shared" si="246"/>
        <v>8074.7268989661798</v>
      </c>
      <c r="O695" s="7">
        <f t="shared" si="247"/>
        <v>4348718.5983887333</v>
      </c>
      <c r="P695" s="2">
        <f t="shared" si="228"/>
        <v>-13.216336922490799</v>
      </c>
      <c r="Q695" s="2">
        <f t="shared" si="229"/>
        <v>-11.889104278645076</v>
      </c>
      <c r="R695" s="2">
        <f t="shared" si="230"/>
        <v>-11.686454295162468</v>
      </c>
      <c r="S695" s="2">
        <f t="shared" si="231"/>
        <v>-9.4367589602619972</v>
      </c>
      <c r="T695" s="9">
        <f t="shared" si="232"/>
        <v>3886.4741171441065</v>
      </c>
      <c r="U695" s="7">
        <f t="shared" si="233"/>
        <v>6501734.7812885847</v>
      </c>
      <c r="W695">
        <f t="shared" si="244"/>
        <v>247320</v>
      </c>
      <c r="X695" s="9">
        <f t="shared" si="248"/>
        <v>7039.2060453934737</v>
      </c>
      <c r="Y695" s="2">
        <f t="shared" si="249"/>
        <v>-2627329.1592008919</v>
      </c>
      <c r="Z695" s="2">
        <f t="shared" si="234"/>
        <v>7.9848043943678313</v>
      </c>
      <c r="AA695" s="2">
        <f t="shared" si="235"/>
        <v>2.6188879124928746</v>
      </c>
      <c r="AB695" s="2">
        <f t="shared" si="236"/>
        <v>2.7454794536401725</v>
      </c>
      <c r="AC695" s="2">
        <f t="shared" si="237"/>
        <v>-0.12298818460425655</v>
      </c>
      <c r="AD695" s="2">
        <f t="shared" si="238"/>
        <v>8154.6391019152543</v>
      </c>
      <c r="AE695" s="10">
        <f t="shared" si="239"/>
        <v>107562.96731467918</v>
      </c>
    </row>
    <row r="696" spans="1:31" x14ac:dyDescent="0.25">
      <c r="A696" s="1">
        <f t="shared" si="240"/>
        <v>2.8666666666666667</v>
      </c>
      <c r="B696" s="7">
        <f t="shared" si="241"/>
        <v>6501734.7812885847</v>
      </c>
      <c r="C696" s="7">
        <f t="shared" si="242"/>
        <v>107562.96731467918</v>
      </c>
      <c r="D696" s="7"/>
      <c r="E696" s="7"/>
      <c r="F696" s="7"/>
      <c r="G696" s="7"/>
      <c r="H696" s="7"/>
      <c r="I696" s="7"/>
      <c r="J696" s="7"/>
      <c r="K696" s="7"/>
      <c r="L696" s="1">
        <f t="shared" si="245"/>
        <v>2.8666666666666667</v>
      </c>
      <c r="M696">
        <f t="shared" si="243"/>
        <v>247680</v>
      </c>
      <c r="N696" s="9">
        <f t="shared" si="246"/>
        <v>3886.4741171441065</v>
      </c>
      <c r="O696" s="7">
        <f t="shared" si="247"/>
        <v>6501734.7812885847</v>
      </c>
      <c r="P696" s="2">
        <f t="shared" si="228"/>
        <v>-9.4254334576948491</v>
      </c>
      <c r="Q696" s="2">
        <f t="shared" si="229"/>
        <v>-7.4589042717175085</v>
      </c>
      <c r="R696" s="2">
        <f t="shared" si="230"/>
        <v>-7.4127751817312761</v>
      </c>
      <c r="S696" s="2">
        <f t="shared" si="231"/>
        <v>-5.818267527799919</v>
      </c>
      <c r="T696" s="9">
        <f t="shared" si="232"/>
        <v>1187.2505236005663</v>
      </c>
      <c r="U696" s="7">
        <f t="shared" si="233"/>
        <v>7415005.2166226255</v>
      </c>
      <c r="W696">
        <f t="shared" si="244"/>
        <v>247680</v>
      </c>
      <c r="X696" s="9">
        <f t="shared" si="248"/>
        <v>8154.6391019152543</v>
      </c>
      <c r="Y696" s="2">
        <f t="shared" si="249"/>
        <v>107562.96731467918</v>
      </c>
      <c r="Z696" s="2">
        <f t="shared" si="234"/>
        <v>-0.15593185896382136</v>
      </c>
      <c r="AA696" s="2">
        <f t="shared" si="235"/>
        <v>-1.6644280456399374</v>
      </c>
      <c r="AB696" s="2">
        <f t="shared" si="236"/>
        <v>-1.6211073314361126</v>
      </c>
      <c r="AC696" s="2">
        <f t="shared" si="237"/>
        <v>-2.3037675948953806</v>
      </c>
      <c r="AD696" s="2">
        <f t="shared" si="238"/>
        <v>7612.792889434576</v>
      </c>
      <c r="AE696" s="10">
        <f t="shared" si="239"/>
        <v>2945700.7257576482</v>
      </c>
    </row>
    <row r="697" spans="1:31" x14ac:dyDescent="0.25">
      <c r="A697" s="1">
        <f t="shared" si="240"/>
        <v>2.8708333333333331</v>
      </c>
      <c r="B697" s="7">
        <f t="shared" si="241"/>
        <v>7415005.2166226255</v>
      </c>
      <c r="C697" s="7">
        <f t="shared" si="242"/>
        <v>2945700.7257576482</v>
      </c>
      <c r="D697" s="7"/>
      <c r="E697" s="7"/>
      <c r="F697" s="7"/>
      <c r="G697" s="7"/>
      <c r="H697" s="7"/>
      <c r="I697" s="7"/>
      <c r="J697" s="7"/>
      <c r="K697" s="7"/>
      <c r="L697" s="1">
        <f t="shared" si="245"/>
        <v>2.8708333333333331</v>
      </c>
      <c r="M697">
        <f t="shared" si="243"/>
        <v>248040</v>
      </c>
      <c r="N697" s="9">
        <f t="shared" si="246"/>
        <v>1187.2505236005663</v>
      </c>
      <c r="O697" s="7">
        <f t="shared" si="247"/>
        <v>7415005.2166226255</v>
      </c>
      <c r="P697" s="2">
        <f t="shared" si="228"/>
        <v>-5.8190915323068673</v>
      </c>
      <c r="Q697" s="2">
        <f t="shared" si="229"/>
        <v>-4.6169623210301616</v>
      </c>
      <c r="R697" s="2">
        <f t="shared" si="230"/>
        <v>-4.6057899066532899</v>
      </c>
      <c r="S697" s="2">
        <f t="shared" si="231"/>
        <v>-3.683117827705241</v>
      </c>
      <c r="T697" s="9">
        <f t="shared" si="232"/>
        <v>-489.61230532217451</v>
      </c>
      <c r="U697" s="7">
        <f t="shared" si="233"/>
        <v>7540580.0959127359</v>
      </c>
      <c r="W697">
        <f t="shared" si="244"/>
        <v>248040</v>
      </c>
      <c r="X697" s="9">
        <f t="shared" si="248"/>
        <v>7612.792889434576</v>
      </c>
      <c r="Y697" s="2">
        <f t="shared" si="249"/>
        <v>2945700.7257576482</v>
      </c>
      <c r="Z697" s="2">
        <f t="shared" si="234"/>
        <v>-2.3117046649596311</v>
      </c>
      <c r="AA697" s="2">
        <f t="shared" si="235"/>
        <v>-2.6218165022970252</v>
      </c>
      <c r="AB697" s="2">
        <f t="shared" si="236"/>
        <v>-2.6056660773674896</v>
      </c>
      <c r="AC697" s="2">
        <f t="shared" si="237"/>
        <v>-2.6937379083933384</v>
      </c>
      <c r="AD697" s="2">
        <f t="shared" si="238"/>
        <v>6685.1684254736556</v>
      </c>
      <c r="AE697" s="10">
        <f t="shared" si="239"/>
        <v>5519333.7624411304</v>
      </c>
    </row>
    <row r="698" spans="1:31" x14ac:dyDescent="0.25">
      <c r="A698" s="1">
        <f t="shared" si="240"/>
        <v>2.875</v>
      </c>
      <c r="B698" s="7">
        <f t="shared" si="241"/>
        <v>7540580.0959127359</v>
      </c>
      <c r="C698" s="7">
        <f t="shared" si="242"/>
        <v>5519333.7624411304</v>
      </c>
      <c r="D698" s="7"/>
      <c r="E698" s="7"/>
      <c r="F698" s="7"/>
      <c r="G698" s="7"/>
      <c r="H698" s="7"/>
      <c r="I698" s="7"/>
      <c r="J698" s="7"/>
      <c r="K698" s="7"/>
      <c r="L698" s="1">
        <f t="shared" si="245"/>
        <v>2.875</v>
      </c>
      <c r="M698">
        <f t="shared" si="243"/>
        <v>248400</v>
      </c>
      <c r="N698" s="9">
        <f t="shared" si="246"/>
        <v>-489.61230532217451</v>
      </c>
      <c r="O698" s="7">
        <f t="shared" si="247"/>
        <v>7540580.0959127359</v>
      </c>
      <c r="P698" s="2">
        <f t="shared" si="228"/>
        <v>-3.6833836396585515</v>
      </c>
      <c r="Q698" s="2">
        <f t="shared" si="229"/>
        <v>-2.9796886523315487</v>
      </c>
      <c r="R698" s="2">
        <f t="shared" si="230"/>
        <v>-2.9766529375701078</v>
      </c>
      <c r="S698" s="2">
        <f t="shared" si="231"/>
        <v>-2.4271570141449357</v>
      </c>
      <c r="T698" s="9">
        <f t="shared" si="232"/>
        <v>-1571.0057353385826</v>
      </c>
      <c r="U698" s="7">
        <f t="shared" si="233"/>
        <v>7169668.8485937994</v>
      </c>
      <c r="W698">
        <f t="shared" si="244"/>
        <v>248400</v>
      </c>
      <c r="X698" s="9">
        <f t="shared" si="248"/>
        <v>6685.1684254736556</v>
      </c>
      <c r="Y698" s="2">
        <f t="shared" si="249"/>
        <v>5519333.7624411304</v>
      </c>
      <c r="Z698" s="2">
        <f t="shared" si="234"/>
        <v>-2.6960556646577145</v>
      </c>
      <c r="AA698" s="2">
        <f t="shared" si="235"/>
        <v>-2.6919923491891997</v>
      </c>
      <c r="AB698" s="2">
        <f t="shared" si="236"/>
        <v>-2.6851356949575673</v>
      </c>
      <c r="AC698" s="2">
        <f t="shared" si="237"/>
        <v>-2.6236480938428</v>
      </c>
      <c r="AD698" s="2">
        <f t="shared" si="238"/>
        <v>5720.7308346660129</v>
      </c>
      <c r="AE698" s="10">
        <f t="shared" si="239"/>
        <v>7752395.6292662704</v>
      </c>
    </row>
    <row r="699" spans="1:31" x14ac:dyDescent="0.25">
      <c r="A699" s="1">
        <f t="shared" si="240"/>
        <v>2.8791666666666669</v>
      </c>
      <c r="B699" s="7">
        <f t="shared" si="241"/>
        <v>7169668.8485937994</v>
      </c>
      <c r="C699" s="7">
        <f t="shared" si="242"/>
        <v>7752395.6292662704</v>
      </c>
      <c r="D699" s="7"/>
      <c r="E699" s="7"/>
      <c r="F699" s="7"/>
      <c r="G699" s="7"/>
      <c r="H699" s="7"/>
      <c r="I699" s="7"/>
      <c r="J699" s="7"/>
      <c r="K699" s="7"/>
      <c r="L699" s="1">
        <f t="shared" si="245"/>
        <v>2.8791666666666669</v>
      </c>
      <c r="M699">
        <f t="shared" si="243"/>
        <v>248760</v>
      </c>
      <c r="N699" s="9">
        <f t="shared" si="246"/>
        <v>-1571.0057353385826</v>
      </c>
      <c r="O699" s="7">
        <f t="shared" si="247"/>
        <v>7169668.8485937994</v>
      </c>
      <c r="P699" s="2">
        <f t="shared" si="228"/>
        <v>-2.4271843320670285</v>
      </c>
      <c r="Q699" s="2">
        <f t="shared" si="229"/>
        <v>-1.9942905678810234</v>
      </c>
      <c r="R699" s="2">
        <f t="shared" si="230"/>
        <v>-1.9934578562543961</v>
      </c>
      <c r="S699" s="2">
        <f t="shared" si="231"/>
        <v>-1.6455515532308684</v>
      </c>
      <c r="T699" s="9">
        <f t="shared" si="232"/>
        <v>-2293.8996993527066</v>
      </c>
      <c r="U699" s="7">
        <f t="shared" si="233"/>
        <v>6473985.8703493671</v>
      </c>
      <c r="W699">
        <f t="shared" si="244"/>
        <v>248760</v>
      </c>
      <c r="X699" s="9">
        <f t="shared" si="248"/>
        <v>5720.7308346660129</v>
      </c>
      <c r="Y699" s="2">
        <f t="shared" si="249"/>
        <v>7752395.6292662704</v>
      </c>
      <c r="Z699" s="2">
        <f t="shared" si="234"/>
        <v>-2.6244577824581827</v>
      </c>
      <c r="AA699" s="2">
        <f t="shared" si="235"/>
        <v>-2.5453307162515757</v>
      </c>
      <c r="AB699" s="2">
        <f t="shared" si="236"/>
        <v>-2.5420376858868017</v>
      </c>
      <c r="AC699" s="2">
        <f t="shared" si="237"/>
        <v>-2.4517416739796265</v>
      </c>
      <c r="AD699" s="2">
        <f t="shared" si="238"/>
        <v>4805.6746590231387</v>
      </c>
      <c r="AE699" s="10">
        <f t="shared" si="239"/>
        <v>9647148.618130317</v>
      </c>
    </row>
    <row r="700" spans="1:31" x14ac:dyDescent="0.25">
      <c r="A700" s="1">
        <f t="shared" si="240"/>
        <v>2.8833333333333333</v>
      </c>
      <c r="B700" s="7">
        <f t="shared" si="241"/>
        <v>6473985.8703493671</v>
      </c>
      <c r="C700" s="7">
        <f t="shared" si="242"/>
        <v>9647148.618130317</v>
      </c>
      <c r="D700" s="7"/>
      <c r="E700" s="7"/>
      <c r="F700" s="7"/>
      <c r="G700" s="7"/>
      <c r="H700" s="7"/>
      <c r="I700" s="7"/>
      <c r="J700" s="7"/>
      <c r="K700" s="7"/>
      <c r="L700" s="1">
        <f t="shared" si="245"/>
        <v>2.8833333333333333</v>
      </c>
      <c r="M700">
        <f t="shared" si="243"/>
        <v>249120</v>
      </c>
      <c r="N700" s="9">
        <f t="shared" si="246"/>
        <v>-2293.8996993527066</v>
      </c>
      <c r="O700" s="7">
        <f t="shared" si="247"/>
        <v>6473985.8703493671</v>
      </c>
      <c r="P700" s="2">
        <f t="shared" si="228"/>
        <v>-1.6455302180198144</v>
      </c>
      <c r="Q700" s="2">
        <f t="shared" si="229"/>
        <v>-1.362257627347212</v>
      </c>
      <c r="R700" s="2">
        <f t="shared" si="230"/>
        <v>-1.3621011667124696</v>
      </c>
      <c r="S700" s="2">
        <f t="shared" si="231"/>
        <v>-1.127716252431924</v>
      </c>
      <c r="T700" s="9">
        <f t="shared" si="232"/>
        <v>-2787.2175428669725</v>
      </c>
      <c r="U700" s="7">
        <f t="shared" si="233"/>
        <v>5559384.7667498253</v>
      </c>
      <c r="W700">
        <f t="shared" si="244"/>
        <v>249120</v>
      </c>
      <c r="X700" s="9">
        <f t="shared" si="248"/>
        <v>4805.6746590231387</v>
      </c>
      <c r="Y700" s="2">
        <f t="shared" si="249"/>
        <v>9647148.618130317</v>
      </c>
      <c r="Z700" s="2">
        <f t="shared" si="234"/>
        <v>-2.4520712412374883</v>
      </c>
      <c r="AA700" s="2">
        <f t="shared" si="235"/>
        <v>-2.3641302972955884</v>
      </c>
      <c r="AB700" s="2">
        <f t="shared" si="236"/>
        <v>-2.3623838124116929</v>
      </c>
      <c r="AC700" s="2">
        <f t="shared" si="237"/>
        <v>-2.2765822389487744</v>
      </c>
      <c r="AD700" s="2">
        <f t="shared" si="238"/>
        <v>3954.773757047089</v>
      </c>
      <c r="AE700" s="10">
        <f t="shared" si="239"/>
        <v>11224029.333022958</v>
      </c>
    </row>
    <row r="701" spans="1:31" x14ac:dyDescent="0.25">
      <c r="A701" s="1">
        <f t="shared" si="240"/>
        <v>2.8875000000000002</v>
      </c>
      <c r="B701" s="7">
        <f t="shared" si="241"/>
        <v>5559384.7667498253</v>
      </c>
      <c r="C701" s="7">
        <f t="shared" si="242"/>
        <v>11224029.333022958</v>
      </c>
      <c r="D701" s="7"/>
      <c r="E701" s="7"/>
      <c r="F701" s="7"/>
      <c r="G701" s="7"/>
      <c r="H701" s="7"/>
      <c r="I701" s="7"/>
      <c r="J701" s="7"/>
      <c r="K701" s="7"/>
      <c r="L701" s="1">
        <f t="shared" si="245"/>
        <v>2.8875000000000002</v>
      </c>
      <c r="M701">
        <f t="shared" si="243"/>
        <v>249480</v>
      </c>
      <c r="N701" s="9">
        <f t="shared" si="246"/>
        <v>-2787.2175428669725</v>
      </c>
      <c r="O701" s="7">
        <f t="shared" si="247"/>
        <v>5559384.7667498253</v>
      </c>
      <c r="P701" s="2">
        <f t="shared" si="228"/>
        <v>-1.1276913228998846</v>
      </c>
      <c r="Q701" s="2">
        <f t="shared" si="229"/>
        <v>-0.9309228582028245</v>
      </c>
      <c r="R701" s="2">
        <f t="shared" si="230"/>
        <v>-0.93098928561348204</v>
      </c>
      <c r="S701" s="2">
        <f t="shared" si="231"/>
        <v>-0.76359372811016712</v>
      </c>
      <c r="T701" s="9">
        <f t="shared" si="232"/>
        <v>-3124.1241031855325</v>
      </c>
      <c r="U701" s="7">
        <f t="shared" si="233"/>
        <v>4495343.2704603747</v>
      </c>
      <c r="W701">
        <f t="shared" si="244"/>
        <v>249480</v>
      </c>
      <c r="X701" s="9">
        <f t="shared" si="248"/>
        <v>3954.773757047089</v>
      </c>
      <c r="Y701" s="2">
        <f t="shared" si="249"/>
        <v>11224029.333022958</v>
      </c>
      <c r="Z701" s="2">
        <f t="shared" si="234"/>
        <v>-2.276734030449838</v>
      </c>
      <c r="AA701" s="2">
        <f t="shared" si="235"/>
        <v>-2.1980828745623313</v>
      </c>
      <c r="AB701" s="2">
        <f t="shared" si="236"/>
        <v>-2.1970853587225165</v>
      </c>
      <c r="AC701" s="2">
        <f t="shared" si="237"/>
        <v>-2.1240553714616821</v>
      </c>
      <c r="AD701" s="2">
        <f t="shared" si="238"/>
        <v>3163.3062049382161</v>
      </c>
      <c r="AE701" s="10">
        <f t="shared" si="239"/>
        <v>12505283.726180313</v>
      </c>
    </row>
    <row r="702" spans="1:31" x14ac:dyDescent="0.25">
      <c r="A702" s="1">
        <f t="shared" si="240"/>
        <v>2.8916666666666666</v>
      </c>
      <c r="B702" s="7">
        <f t="shared" si="241"/>
        <v>4495343.2704603747</v>
      </c>
      <c r="C702" s="7">
        <f t="shared" si="242"/>
        <v>12505283.726180313</v>
      </c>
      <c r="D702" s="7"/>
      <c r="E702" s="7"/>
      <c r="F702" s="7"/>
      <c r="G702" s="7"/>
      <c r="H702" s="7"/>
      <c r="I702" s="7"/>
      <c r="J702" s="7"/>
      <c r="K702" s="7"/>
      <c r="L702" s="1">
        <f t="shared" si="245"/>
        <v>2.8916666666666666</v>
      </c>
      <c r="M702">
        <f t="shared" si="243"/>
        <v>249840</v>
      </c>
      <c r="N702" s="9">
        <f t="shared" si="246"/>
        <v>-3124.1241031855325</v>
      </c>
      <c r="O702" s="7">
        <f t="shared" si="247"/>
        <v>4495343.2704603747</v>
      </c>
      <c r="P702" s="2">
        <f t="shared" si="228"/>
        <v>-0.76357367558541533</v>
      </c>
      <c r="Q702" s="2">
        <f t="shared" si="229"/>
        <v>-0.61895552240695295</v>
      </c>
      <c r="R702" s="2">
        <f t="shared" si="230"/>
        <v>-0.61909484345423926</v>
      </c>
      <c r="S702" s="2">
        <f t="shared" si="231"/>
        <v>-0.49270609400191118</v>
      </c>
      <c r="T702" s="9">
        <f t="shared" si="232"/>
        <v>-3348.0669332641151</v>
      </c>
      <c r="U702" s="7">
        <f t="shared" si="233"/>
        <v>3330348.8838994382</v>
      </c>
      <c r="W702">
        <f t="shared" si="244"/>
        <v>249840</v>
      </c>
      <c r="X702" s="9">
        <f t="shared" si="248"/>
        <v>3163.3062049382161</v>
      </c>
      <c r="Y702" s="2">
        <f t="shared" si="249"/>
        <v>12505283.726180313</v>
      </c>
      <c r="Z702" s="2">
        <f t="shared" si="234"/>
        <v>-2.1241326600760533</v>
      </c>
      <c r="AA702" s="2">
        <f t="shared" si="235"/>
        <v>-2.0586853870479973</v>
      </c>
      <c r="AB702" s="2">
        <f t="shared" si="236"/>
        <v>-2.0580863668401617</v>
      </c>
      <c r="AC702" s="2">
        <f t="shared" si="237"/>
        <v>-1.998716916757681</v>
      </c>
      <c r="AD702" s="2">
        <f t="shared" si="238"/>
        <v>2421.9226198616129</v>
      </c>
      <c r="AE702" s="10">
        <f t="shared" si="239"/>
        <v>13510624.914644282</v>
      </c>
    </row>
    <row r="703" spans="1:31" x14ac:dyDescent="0.25">
      <c r="A703" s="1">
        <f t="shared" si="240"/>
        <v>2.8958333333333335</v>
      </c>
      <c r="B703" s="7">
        <f t="shared" si="241"/>
        <v>3330348.8838994382</v>
      </c>
      <c r="C703" s="7">
        <f t="shared" si="242"/>
        <v>13510624.914644282</v>
      </c>
      <c r="D703" s="7"/>
      <c r="E703" s="7"/>
      <c r="F703" s="7"/>
      <c r="G703" s="7"/>
      <c r="H703" s="7"/>
      <c r="I703" s="7"/>
      <c r="J703" s="7"/>
      <c r="K703" s="7"/>
      <c r="L703" s="1">
        <f t="shared" si="245"/>
        <v>2.8958333333333335</v>
      </c>
      <c r="M703">
        <f t="shared" si="243"/>
        <v>250200</v>
      </c>
      <c r="N703" s="9">
        <f t="shared" si="246"/>
        <v>-3348.0669332641151</v>
      </c>
      <c r="O703" s="7">
        <f t="shared" si="247"/>
        <v>3330348.8838994382</v>
      </c>
      <c r="P703" s="2">
        <f t="shared" si="228"/>
        <v>-0.49269129819945801</v>
      </c>
      <c r="Q703" s="2">
        <f t="shared" si="229"/>
        <v>-0.38041915936935777</v>
      </c>
      <c r="R703" s="2">
        <f t="shared" si="230"/>
        <v>-0.38057820881170307</v>
      </c>
      <c r="S703" s="2">
        <f t="shared" si="231"/>
        <v>-0.27977958604015568</v>
      </c>
      <c r="T703" s="9">
        <f t="shared" si="232"/>
        <v>-3485.7348705002191</v>
      </c>
      <c r="U703" s="7">
        <f t="shared" si="233"/>
        <v>2100264.5592218582</v>
      </c>
      <c r="W703">
        <f t="shared" si="244"/>
        <v>250200</v>
      </c>
      <c r="X703" s="9">
        <f t="shared" si="248"/>
        <v>2421.9226198616129</v>
      </c>
      <c r="Y703" s="2">
        <f t="shared" si="249"/>
        <v>13510624.914644282</v>
      </c>
      <c r="Z703" s="2">
        <f t="shared" si="234"/>
        <v>-1.9987597578329386</v>
      </c>
      <c r="AA703" s="2">
        <f t="shared" si="235"/>
        <v>-1.9462423129716258</v>
      </c>
      <c r="AB703" s="2">
        <f t="shared" si="236"/>
        <v>-1.9458737676280935</v>
      </c>
      <c r="AC703" s="2">
        <f t="shared" si="237"/>
        <v>-1.8990136179484127</v>
      </c>
      <c r="AD703" s="2">
        <f t="shared" si="238"/>
        <v>1721.0022876427656</v>
      </c>
      <c r="AE703" s="10">
        <f t="shared" si="239"/>
        <v>14256351.39799507</v>
      </c>
    </row>
    <row r="704" spans="1:31" x14ac:dyDescent="0.25">
      <c r="A704" s="1">
        <f t="shared" si="240"/>
        <v>2.9</v>
      </c>
      <c r="B704" s="7">
        <f t="shared" si="241"/>
        <v>2100264.5592218582</v>
      </c>
      <c r="C704" s="7">
        <f t="shared" si="242"/>
        <v>14256351.39799507</v>
      </c>
      <c r="D704" s="7"/>
      <c r="E704" s="7"/>
      <c r="F704" s="7"/>
      <c r="G704" s="7"/>
      <c r="H704" s="7"/>
      <c r="I704" s="7"/>
      <c r="J704" s="7"/>
      <c r="K704" s="7"/>
      <c r="L704" s="1">
        <f t="shared" si="245"/>
        <v>2.9</v>
      </c>
      <c r="M704">
        <f t="shared" si="243"/>
        <v>250560</v>
      </c>
      <c r="N704" s="9">
        <f t="shared" si="246"/>
        <v>-3485.7348705002191</v>
      </c>
      <c r="O704" s="7">
        <f t="shared" si="247"/>
        <v>2100264.5592218582</v>
      </c>
      <c r="P704" s="2">
        <f t="shared" si="228"/>
        <v>-0.27976898341696432</v>
      </c>
      <c r="Q704" s="2">
        <f t="shared" si="229"/>
        <v>-0.18769864492044852</v>
      </c>
      <c r="R704" s="2">
        <f t="shared" si="230"/>
        <v>-0.18785808093114822</v>
      </c>
      <c r="S704" s="2">
        <f t="shared" si="231"/>
        <v>-0.1028877635992517</v>
      </c>
      <c r="T704" s="9">
        <f t="shared" si="232"/>
        <v>-3553.7610824233839</v>
      </c>
      <c r="U704" s="7">
        <f t="shared" si="233"/>
        <v>833155.28769560973</v>
      </c>
      <c r="W704">
        <f t="shared" si="244"/>
        <v>250560</v>
      </c>
      <c r="X704" s="9">
        <f t="shared" si="248"/>
        <v>1721.0022876427656</v>
      </c>
      <c r="Y704" s="2">
        <f t="shared" si="249"/>
        <v>14256351.39799507</v>
      </c>
      <c r="Z704" s="2">
        <f t="shared" si="234"/>
        <v>-1.8990392997584169</v>
      </c>
      <c r="AA704" s="2">
        <f t="shared" si="235"/>
        <v>-1.858113950078879</v>
      </c>
      <c r="AB704" s="2">
        <f t="shared" si="236"/>
        <v>-1.8578898086511935</v>
      </c>
      <c r="AC704" s="2">
        <f t="shared" si="237"/>
        <v>-1.8220279862729978</v>
      </c>
      <c r="AD704" s="2">
        <f t="shared" si="238"/>
        <v>1051.8177994332721</v>
      </c>
      <c r="AE704" s="10">
        <f t="shared" si="239"/>
        <v>14755459.013668757</v>
      </c>
    </row>
    <row r="705" spans="1:31" x14ac:dyDescent="0.25">
      <c r="A705" s="1">
        <f t="shared" si="240"/>
        <v>2.9041666666666668</v>
      </c>
      <c r="B705" s="7">
        <f t="shared" si="241"/>
        <v>833155.28769560973</v>
      </c>
      <c r="C705" s="7">
        <f t="shared" si="242"/>
        <v>14755459.013668757</v>
      </c>
      <c r="D705" s="7"/>
      <c r="E705" s="7"/>
      <c r="F705" s="7"/>
      <c r="G705" s="7"/>
      <c r="H705" s="7"/>
      <c r="I705" s="7"/>
      <c r="J705" s="7"/>
      <c r="K705" s="7"/>
      <c r="L705" s="1">
        <f t="shared" si="245"/>
        <v>2.9041666666666668</v>
      </c>
      <c r="M705">
        <f t="shared" si="243"/>
        <v>250920</v>
      </c>
      <c r="N705" s="9">
        <f t="shared" si="246"/>
        <v>-3553.7610824233839</v>
      </c>
      <c r="O705" s="7">
        <f t="shared" si="247"/>
        <v>833155.28769560973</v>
      </c>
      <c r="P705" s="2">
        <f t="shared" si="228"/>
        <v>-0.1028803087538447</v>
      </c>
      <c r="Q705" s="2">
        <f t="shared" si="229"/>
        <v>-2.3036263445522558E-2</v>
      </c>
      <c r="R705" s="2">
        <f t="shared" si="230"/>
        <v>-2.3189206865254032E-2</v>
      </c>
      <c r="S705" s="2">
        <f t="shared" si="231"/>
        <v>5.2614762243099161E-2</v>
      </c>
      <c r="T705" s="9">
        <f t="shared" si="232"/>
        <v>-3562.3240716513219</v>
      </c>
      <c r="U705" s="7">
        <f t="shared" si="233"/>
        <v>-447740.04003783735</v>
      </c>
      <c r="W705">
        <f t="shared" si="244"/>
        <v>250920</v>
      </c>
      <c r="X705" s="9">
        <f t="shared" si="248"/>
        <v>1051.8177994332721</v>
      </c>
      <c r="Y705" s="2">
        <f t="shared" si="249"/>
        <v>14755459.013668757</v>
      </c>
      <c r="Z705" s="2">
        <f t="shared" si="234"/>
        <v>-1.8220447034905638</v>
      </c>
      <c r="AA705" s="2">
        <f t="shared" si="235"/>
        <v>-1.7912994372043225</v>
      </c>
      <c r="AB705" s="2">
        <f t="shared" si="236"/>
        <v>-1.7911738256780225</v>
      </c>
      <c r="AC705" s="2">
        <f t="shared" si="237"/>
        <v>-1.7649508174100885</v>
      </c>
      <c r="AD705" s="2">
        <f t="shared" si="238"/>
        <v>406.70127663335154</v>
      </c>
      <c r="AE705" s="10">
        <f t="shared" si="239"/>
        <v>15017992.447360748</v>
      </c>
    </row>
    <row r="706" spans="1:31" x14ac:dyDescent="0.25">
      <c r="A706" s="1">
        <f t="shared" si="240"/>
        <v>2.9083333333333332</v>
      </c>
      <c r="B706" s="7">
        <f t="shared" si="241"/>
        <v>-447740.04003783735</v>
      </c>
      <c r="C706" s="7">
        <f t="shared" si="242"/>
        <v>15017992.447360748</v>
      </c>
      <c r="D706" s="7"/>
      <c r="E706" s="7"/>
      <c r="F706" s="7"/>
      <c r="G706" s="7"/>
      <c r="H706" s="7"/>
      <c r="I706" s="7"/>
      <c r="J706" s="7"/>
      <c r="K706" s="7"/>
      <c r="L706" s="1">
        <f t="shared" si="245"/>
        <v>2.9083333333333332</v>
      </c>
      <c r="M706">
        <f t="shared" si="243"/>
        <v>251280</v>
      </c>
      <c r="N706" s="9">
        <f t="shared" si="246"/>
        <v>-3562.3240716513219</v>
      </c>
      <c r="O706" s="7">
        <f t="shared" si="247"/>
        <v>-447740.04003783735</v>
      </c>
      <c r="P706" s="2">
        <f t="shared" si="228"/>
        <v>5.2619851246492003E-2</v>
      </c>
      <c r="Q706" s="2">
        <f t="shared" si="229"/>
        <v>0.12592681729853047</v>
      </c>
      <c r="R706" s="2">
        <f t="shared" si="230"/>
        <v>0.12578272935019855</v>
      </c>
      <c r="S706" s="2">
        <f t="shared" si="231"/>
        <v>0.19741091594873431</v>
      </c>
      <c r="T706" s="9">
        <f t="shared" si="232"/>
        <v>-3517.117080021761</v>
      </c>
      <c r="U706" s="7">
        <f t="shared" si="233"/>
        <v>-1722039.4473389923</v>
      </c>
      <c r="W706">
        <f t="shared" si="244"/>
        <v>251280</v>
      </c>
      <c r="X706" s="9">
        <f t="shared" si="248"/>
        <v>406.70127663335154</v>
      </c>
      <c r="Y706" s="2">
        <f t="shared" si="249"/>
        <v>15017992.447360748</v>
      </c>
      <c r="Z706" s="2">
        <f t="shared" si="234"/>
        <v>-1.7649628309638834</v>
      </c>
      <c r="AA706" s="2">
        <f t="shared" si="235"/>
        <v>-1.7431998248808784</v>
      </c>
      <c r="AB706" s="2">
        <f t="shared" si="236"/>
        <v>-1.7431484712500129</v>
      </c>
      <c r="AC706" s="2">
        <f t="shared" si="237"/>
        <v>-1.7254793695776733</v>
      </c>
      <c r="AD706" s="2">
        <f t="shared" si="238"/>
        <v>-221.08705093484878</v>
      </c>
      <c r="AE706" s="10">
        <f t="shared" si="239"/>
        <v>15051403.007986479</v>
      </c>
    </row>
    <row r="707" spans="1:31" x14ac:dyDescent="0.25">
      <c r="A707" s="1">
        <f t="shared" si="240"/>
        <v>2.9125000000000001</v>
      </c>
      <c r="B707" s="7">
        <f t="shared" si="241"/>
        <v>-1722039.4473389923</v>
      </c>
      <c r="C707" s="7">
        <f t="shared" si="242"/>
        <v>15051403.007986479</v>
      </c>
      <c r="D707" s="7"/>
      <c r="E707" s="7"/>
      <c r="F707" s="7"/>
      <c r="G707" s="7"/>
      <c r="H707" s="7"/>
      <c r="I707" s="7"/>
      <c r="J707" s="7"/>
      <c r="K707" s="7"/>
      <c r="L707" s="1">
        <f t="shared" si="245"/>
        <v>2.9125000000000001</v>
      </c>
      <c r="M707">
        <f t="shared" si="243"/>
        <v>251640</v>
      </c>
      <c r="N707" s="9">
        <f t="shared" si="246"/>
        <v>-3517.117080021761</v>
      </c>
      <c r="O707" s="7">
        <f t="shared" si="247"/>
        <v>-1722039.4473389923</v>
      </c>
      <c r="P707" s="2">
        <f t="shared" si="228"/>
        <v>0.19741418131004956</v>
      </c>
      <c r="Q707" s="2">
        <f t="shared" si="229"/>
        <v>0.2686902958421174</v>
      </c>
      <c r="R707" s="2">
        <f t="shared" si="230"/>
        <v>0.26855623286277908</v>
      </c>
      <c r="S707" s="2">
        <f t="shared" si="231"/>
        <v>0.34021256423657431</v>
      </c>
      <c r="T707" s="9">
        <f t="shared" si="232"/>
        <v>-3420.3898918443761</v>
      </c>
      <c r="U707" s="7">
        <f t="shared" si="233"/>
        <v>-2970790.7022748971</v>
      </c>
      <c r="W707">
        <f t="shared" si="244"/>
        <v>251640</v>
      </c>
      <c r="X707" s="9">
        <f t="shared" si="248"/>
        <v>-221.08705093484878</v>
      </c>
      <c r="Y707" s="2">
        <f t="shared" si="249"/>
        <v>15051403.007986479</v>
      </c>
      <c r="Z707" s="2">
        <f t="shared" si="234"/>
        <v>-1.7254891616918571</v>
      </c>
      <c r="AA707" s="2">
        <f t="shared" si="235"/>
        <v>-1.7117752341020358</v>
      </c>
      <c r="AB707" s="2">
        <f t="shared" si="236"/>
        <v>-1.7117869117131312</v>
      </c>
      <c r="AC707" s="2">
        <f t="shared" si="237"/>
        <v>-1.7018520985799555</v>
      </c>
      <c r="AD707" s="2">
        <f t="shared" si="238"/>
        <v>-837.55498404897753</v>
      </c>
      <c r="AE707" s="10">
        <f t="shared" si="239"/>
        <v>14860847.441689391</v>
      </c>
    </row>
    <row r="708" spans="1:31" x14ac:dyDescent="0.25">
      <c r="A708" s="1">
        <f t="shared" si="240"/>
        <v>2.9166666666666665</v>
      </c>
      <c r="B708" s="7">
        <f t="shared" si="241"/>
        <v>-2970790.7022748971</v>
      </c>
      <c r="C708" s="7">
        <f t="shared" si="242"/>
        <v>14860847.441689391</v>
      </c>
      <c r="D708" s="7"/>
      <c r="E708" s="7"/>
      <c r="F708" s="7"/>
      <c r="G708" s="7"/>
      <c r="H708" s="7"/>
      <c r="I708" s="7"/>
      <c r="J708" s="7"/>
      <c r="K708" s="7"/>
      <c r="L708" s="1">
        <f t="shared" si="245"/>
        <v>2.9166666666666665</v>
      </c>
      <c r="M708">
        <f t="shared" si="243"/>
        <v>252000</v>
      </c>
      <c r="N708" s="9">
        <f t="shared" si="246"/>
        <v>-3420.3898918443761</v>
      </c>
      <c r="O708" s="7">
        <f t="shared" si="247"/>
        <v>-2970790.7022748971</v>
      </c>
      <c r="P708" s="2">
        <f t="shared" si="228"/>
        <v>0.3402143785281877</v>
      </c>
      <c r="Q708" s="2">
        <f t="shared" si="229"/>
        <v>0.41351714537386253</v>
      </c>
      <c r="R708" s="2">
        <f t="shared" si="230"/>
        <v>0.41339487631008931</v>
      </c>
      <c r="S708" s="2">
        <f t="shared" si="231"/>
        <v>0.48913988934068803</v>
      </c>
      <c r="T708" s="9">
        <f t="shared" si="232"/>
        <v>-3271.3991931701694</v>
      </c>
      <c r="U708" s="7">
        <f t="shared" si="233"/>
        <v>-4175312.7375775152</v>
      </c>
      <c r="W708">
        <f t="shared" si="244"/>
        <v>252000</v>
      </c>
      <c r="X708" s="9">
        <f t="shared" si="248"/>
        <v>-837.55498404897753</v>
      </c>
      <c r="Y708" s="2">
        <f t="shared" si="249"/>
        <v>14860847.441689391</v>
      </c>
      <c r="Z708" s="2">
        <f t="shared" si="234"/>
        <v>-1.7018613842116186</v>
      </c>
      <c r="AA708" s="2">
        <f t="shared" si="235"/>
        <v>-1.6954924471506774</v>
      </c>
      <c r="AB708" s="2">
        <f t="shared" si="236"/>
        <v>-1.6955653124870711</v>
      </c>
      <c r="AC708" s="2">
        <f t="shared" si="237"/>
        <v>-1.6927482842976846</v>
      </c>
      <c r="AD708" s="2">
        <f t="shared" si="238"/>
        <v>-1448.1584953160655</v>
      </c>
      <c r="AE708" s="10">
        <f t="shared" si="239"/>
        <v>14449419.015403682</v>
      </c>
    </row>
    <row r="709" spans="1:31" x14ac:dyDescent="0.25">
      <c r="A709" s="1">
        <f t="shared" si="240"/>
        <v>2.9208333333333334</v>
      </c>
      <c r="B709" s="7">
        <f t="shared" si="241"/>
        <v>-4175312.7375775152</v>
      </c>
      <c r="C709" s="7">
        <f t="shared" si="242"/>
        <v>14449419.015403682</v>
      </c>
      <c r="D709" s="7"/>
      <c r="E709" s="7"/>
      <c r="F709" s="7"/>
      <c r="G709" s="7"/>
      <c r="H709" s="7"/>
      <c r="I709" s="7"/>
      <c r="J709" s="7"/>
      <c r="K709" s="7"/>
      <c r="L709" s="1">
        <f t="shared" si="245"/>
        <v>2.9208333333333334</v>
      </c>
      <c r="M709">
        <f t="shared" si="243"/>
        <v>252360</v>
      </c>
      <c r="N709" s="9">
        <f t="shared" si="246"/>
        <v>-3271.3991931701694</v>
      </c>
      <c r="O709" s="7">
        <f t="shared" si="247"/>
        <v>-4175312.7375775152</v>
      </c>
      <c r="P709" s="2">
        <f t="shared" si="228"/>
        <v>0.48914053117242062</v>
      </c>
      <c r="Q709" s="2">
        <f t="shared" si="229"/>
        <v>0.56867312255342128</v>
      </c>
      <c r="R709" s="2">
        <f t="shared" si="230"/>
        <v>0.56856664186937311</v>
      </c>
      <c r="S709" s="2">
        <f t="shared" si="231"/>
        <v>0.65290616056990514</v>
      </c>
      <c r="T709" s="9">
        <f t="shared" si="232"/>
        <v>-3066.4076199348947</v>
      </c>
      <c r="U709" s="7">
        <f t="shared" si="233"/>
        <v>-5316117.9639364267</v>
      </c>
      <c r="W709">
        <f t="shared" si="244"/>
        <v>252360</v>
      </c>
      <c r="X709" s="9">
        <f t="shared" si="248"/>
        <v>-1448.1584953160655</v>
      </c>
      <c r="Y709" s="2">
        <f t="shared" si="249"/>
        <v>14449419.015403682</v>
      </c>
      <c r="Z709" s="2">
        <f t="shared" si="234"/>
        <v>-1.6927585875706432</v>
      </c>
      <c r="AA709" s="2">
        <f t="shared" si="235"/>
        <v>-1.6931789868993061</v>
      </c>
      <c r="AB709" s="2">
        <f t="shared" si="236"/>
        <v>-1.6933198419686544</v>
      </c>
      <c r="AC709" s="2">
        <f t="shared" si="237"/>
        <v>-1.6971021147046013</v>
      </c>
      <c r="AD709" s="2">
        <f t="shared" si="238"/>
        <v>-2057.9299969167355</v>
      </c>
      <c r="AE709" s="10">
        <f t="shared" si="239"/>
        <v>13818323.086801779</v>
      </c>
    </row>
    <row r="710" spans="1:31" x14ac:dyDescent="0.25">
      <c r="A710" s="1">
        <f t="shared" si="240"/>
        <v>2.9249999999999998</v>
      </c>
      <c r="B710" s="7">
        <f t="shared" si="241"/>
        <v>-5316117.9639364267</v>
      </c>
      <c r="C710" s="7">
        <f t="shared" si="242"/>
        <v>13818323.086801779</v>
      </c>
      <c r="D710" s="7"/>
      <c r="E710" s="7"/>
      <c r="F710" s="7"/>
      <c r="G710" s="7"/>
      <c r="H710" s="7"/>
      <c r="I710" s="7"/>
      <c r="J710" s="7"/>
      <c r="K710" s="7"/>
      <c r="L710" s="1">
        <f t="shared" si="245"/>
        <v>2.9249999999999998</v>
      </c>
      <c r="M710">
        <f t="shared" si="243"/>
        <v>252720</v>
      </c>
      <c r="N710" s="9">
        <f t="shared" si="246"/>
        <v>-3066.4076199348947</v>
      </c>
      <c r="O710" s="7">
        <f t="shared" si="247"/>
        <v>-5316117.9639364267</v>
      </c>
      <c r="P710" s="2">
        <f t="shared" si="228"/>
        <v>0.65290591043674995</v>
      </c>
      <c r="Q710" s="2">
        <f t="shared" si="229"/>
        <v>0.74363498743773171</v>
      </c>
      <c r="R710" s="2">
        <f t="shared" si="230"/>
        <v>0.74355301533539497</v>
      </c>
      <c r="S710" s="2">
        <f t="shared" si="231"/>
        <v>0.84213139462124365</v>
      </c>
      <c r="T710" s="9">
        <f t="shared" si="232"/>
        <v>-2798.2428212986397</v>
      </c>
      <c r="U710" s="7">
        <f t="shared" si="233"/>
        <v>-6371755.0433584629</v>
      </c>
      <c r="W710">
        <f t="shared" si="244"/>
        <v>252720</v>
      </c>
      <c r="X710" s="9">
        <f t="shared" si="248"/>
        <v>-2057.9299969167355</v>
      </c>
      <c r="Y710" s="2">
        <f t="shared" si="249"/>
        <v>13818323.086801779</v>
      </c>
      <c r="Z710" s="2">
        <f t="shared" si="234"/>
        <v>-1.6971152402752376</v>
      </c>
      <c r="AA710" s="2">
        <f t="shared" si="235"/>
        <v>-1.7037798660571886</v>
      </c>
      <c r="AB710" s="2">
        <f t="shared" si="236"/>
        <v>-1.7040059335434872</v>
      </c>
      <c r="AC710" s="2">
        <f t="shared" si="237"/>
        <v>-1.7137835496087941</v>
      </c>
      <c r="AD710" s="2">
        <f t="shared" si="238"/>
        <v>-2671.5182202618585</v>
      </c>
      <c r="AE710" s="10">
        <f t="shared" si="239"/>
        <v>12967022.407709632</v>
      </c>
    </row>
    <row r="711" spans="1:31" x14ac:dyDescent="0.25">
      <c r="A711" s="1">
        <f t="shared" si="240"/>
        <v>2.9291666666666667</v>
      </c>
      <c r="B711" s="7">
        <f t="shared" si="241"/>
        <v>-6371755.0433584629</v>
      </c>
      <c r="C711" s="7">
        <f t="shared" si="242"/>
        <v>12967022.407709632</v>
      </c>
      <c r="D711" s="7"/>
      <c r="E711" s="7"/>
      <c r="F711" s="7"/>
      <c r="G711" s="7"/>
      <c r="H711" s="7"/>
      <c r="I711" s="7"/>
      <c r="J711" s="7"/>
      <c r="K711" s="7"/>
      <c r="L711" s="1">
        <f t="shared" si="245"/>
        <v>2.9291666666666667</v>
      </c>
      <c r="M711">
        <f t="shared" si="243"/>
        <v>253080</v>
      </c>
      <c r="N711" s="9">
        <f t="shared" si="246"/>
        <v>-2798.2428212986397</v>
      </c>
      <c r="O711" s="7">
        <f t="shared" si="247"/>
        <v>-6371755.0433584629</v>
      </c>
      <c r="P711" s="2">
        <f t="shared" si="228"/>
        <v>0.84213070861618866</v>
      </c>
      <c r="Q711" s="2">
        <f t="shared" si="229"/>
        <v>0.95059649469633489</v>
      </c>
      <c r="R711" s="2">
        <f t="shared" si="230"/>
        <v>0.95055747456225603</v>
      </c>
      <c r="S711" s="2">
        <f t="shared" si="231"/>
        <v>1.0711546672915842</v>
      </c>
      <c r="T711" s="9">
        <f t="shared" si="232"/>
        <v>-2455.3072224331427</v>
      </c>
      <c r="U711" s="7">
        <f t="shared" si="233"/>
        <v>-7317394.0512301838</v>
      </c>
      <c r="W711">
        <f t="shared" si="244"/>
        <v>253080</v>
      </c>
      <c r="X711" s="9">
        <f t="shared" si="248"/>
        <v>-2671.5182202618585</v>
      </c>
      <c r="Y711" s="2">
        <f t="shared" si="249"/>
        <v>12967022.407709632</v>
      </c>
      <c r="Z711" s="2">
        <f t="shared" si="234"/>
        <v>-1.7138021933578234</v>
      </c>
      <c r="AA711" s="2">
        <f t="shared" si="235"/>
        <v>-1.7259179977705243</v>
      </c>
      <c r="AB711" s="2">
        <f t="shared" si="236"/>
        <v>-1.7262620176652985</v>
      </c>
      <c r="AC711" s="2">
        <f t="shared" si="237"/>
        <v>-1.7409825954970184</v>
      </c>
      <c r="AD711" s="2">
        <f t="shared" si="238"/>
        <v>-3293.0669094454479</v>
      </c>
      <c r="AE711" s="10">
        <f t="shared" si="239"/>
        <v>11893397.084362317</v>
      </c>
    </row>
    <row r="712" spans="1:31" x14ac:dyDescent="0.25">
      <c r="A712" s="1">
        <f t="shared" si="240"/>
        <v>2.9333333333333331</v>
      </c>
      <c r="B712" s="7">
        <f t="shared" si="241"/>
        <v>-7317394.0512301838</v>
      </c>
      <c r="C712" s="7">
        <f t="shared" si="242"/>
        <v>11893397.084362317</v>
      </c>
      <c r="D712" s="7"/>
      <c r="E712" s="7"/>
      <c r="F712" s="7"/>
      <c r="G712" s="7"/>
      <c r="H712" s="7"/>
      <c r="I712" s="7"/>
      <c r="J712" s="7"/>
      <c r="K712" s="7"/>
      <c r="L712" s="1">
        <f t="shared" si="245"/>
        <v>2.9333333333333331</v>
      </c>
      <c r="M712">
        <f t="shared" si="243"/>
        <v>253440</v>
      </c>
      <c r="N712" s="9">
        <f t="shared" si="246"/>
        <v>-2455.3072224331427</v>
      </c>
      <c r="O712" s="7">
        <f t="shared" si="247"/>
        <v>-7317394.0512301838</v>
      </c>
      <c r="P712" s="2">
        <f t="shared" ref="P712:P728" si="250">dvdt_x($O712,$Y712)</f>
        <v>1.0711545840101628</v>
      </c>
      <c r="Q712" s="2">
        <f t="shared" ref="Q712:Q775" si="251">dvdt_x($O712+h/4*($N712+($N712+h/2*P712)),$Y712+h/4*($X712+($X712+h/2*Z712)))</f>
        <v>1.206719335340952</v>
      </c>
      <c r="R712" s="2">
        <f t="shared" ref="R712:R775" si="252">dvdt_x($O712+h/4*($N712+($N712+h/2*Q712)),$Y712+h/4*($X712+($X712+h/2*AA712)))</f>
        <v>1.2067626328271177</v>
      </c>
      <c r="S712" s="2">
        <f t="shared" ref="S712:S775" si="253">dvdt_x($O712+h/2*($N712+($N712+h*R712)),$Y712+h/2*($X712+($X712+h*AB712)))</f>
        <v>1.3609230531592162</v>
      </c>
      <c r="T712" s="9">
        <f t="shared" ref="T712:T775" si="254">N712+h/6*(P712+2*Q712+2*R712+S712)</f>
        <v>-2019.7647280228116</v>
      </c>
      <c r="U712" s="7">
        <f t="shared" ref="U712:U775" si="255">O712+h/2*(N712+T712)</f>
        <v>-8122907.002312256</v>
      </c>
      <c r="W712">
        <f t="shared" si="244"/>
        <v>253440</v>
      </c>
      <c r="X712" s="9">
        <f t="shared" si="248"/>
        <v>-3293.0669094454479</v>
      </c>
      <c r="Y712" s="2">
        <f t="shared" si="249"/>
        <v>11893397.084362317</v>
      </c>
      <c r="Z712" s="2">
        <f t="shared" ref="Z712:Z728" si="256">dvdt_y($O712,$Y712)</f>
        <v>-1.7410114471320617</v>
      </c>
      <c r="AA712" s="2">
        <f t="shared" ref="AA712:AA775" si="257">dvdt_y($O712+h/4*($N712+($N712+h/2*P712)),$Y712+h/4*($X712+($X712+h/2*Z712)))</f>
        <v>-1.7569979315857853</v>
      </c>
      <c r="AB712" s="2">
        <f t="shared" ref="AB712:AB775" si="258">dvdt_y($O712+h/4*($N712+($N712+h/2*Q712)),$Y712+h/4*($X712+($X712+h/2*AA712)))</f>
        <v>-1.7575191554717642</v>
      </c>
      <c r="AC712" s="2">
        <f t="shared" ref="AC712:AC775" si="259">dvdt_y($O712+h/2*($N712+($N712+h*R712)),$Y712+h/2*($X712+($X712+h*AB712)))</f>
        <v>-1.7748907733351091</v>
      </c>
      <c r="AD712" s="2">
        <f t="shared" ref="AD712:AD775" si="260">X712+h/6*(Z712+2*AA712+2*AB712+AC712)</f>
        <v>-3925.7630931203839</v>
      </c>
      <c r="AE712" s="10">
        <f t="shared" ref="AE712:AE775" si="261">Y712+h/2*(X712+AD712)</f>
        <v>10594007.683900468</v>
      </c>
    </row>
    <row r="713" spans="1:31" x14ac:dyDescent="0.25">
      <c r="A713" s="1">
        <f t="shared" ref="A713:A728" si="262">L713</f>
        <v>2.9375</v>
      </c>
      <c r="B713" s="7">
        <f t="shared" ref="B713:B728" si="263">O713</f>
        <v>-8122907.002312256</v>
      </c>
      <c r="C713" s="7">
        <f t="shared" ref="C713:C728" si="264">Y713</f>
        <v>10594007.683900468</v>
      </c>
      <c r="D713" s="7"/>
      <c r="E713" s="7"/>
      <c r="F713" s="7"/>
      <c r="G713" s="7"/>
      <c r="H713" s="7"/>
      <c r="I713" s="7"/>
      <c r="J713" s="7"/>
      <c r="K713" s="7"/>
      <c r="L713" s="1">
        <f t="shared" si="245"/>
        <v>2.9375</v>
      </c>
      <c r="M713">
        <f t="shared" ref="M713:M728" si="265">M712+h</f>
        <v>253800</v>
      </c>
      <c r="N713" s="9">
        <f t="shared" si="246"/>
        <v>-2019.7647280228116</v>
      </c>
      <c r="O713" s="7">
        <f t="shared" si="247"/>
        <v>-8122907.002312256</v>
      </c>
      <c r="P713" s="2">
        <f t="shared" si="250"/>
        <v>1.3609262848744719</v>
      </c>
      <c r="Q713" s="2">
        <f t="shared" si="251"/>
        <v>1.5378970297184442</v>
      </c>
      <c r="R713" s="2">
        <f t="shared" si="252"/>
        <v>1.5381101902644558</v>
      </c>
      <c r="S713" s="2">
        <f t="shared" si="253"/>
        <v>1.7440189396172063</v>
      </c>
      <c r="T713" s="9">
        <f t="shared" si="254"/>
        <v>-1464.3471481553629</v>
      </c>
      <c r="U713" s="7">
        <f t="shared" si="255"/>
        <v>-8750047.1400243267</v>
      </c>
      <c r="W713">
        <f t="shared" ref="W713:W728" si="266">W712+h</f>
        <v>253800</v>
      </c>
      <c r="X713" s="9">
        <f t="shared" si="248"/>
        <v>-3925.7630931203839</v>
      </c>
      <c r="Y713" s="2">
        <f t="shared" si="249"/>
        <v>10594007.683900468</v>
      </c>
      <c r="Z713" s="2">
        <f t="shared" si="256"/>
        <v>-1.7749388876516936</v>
      </c>
      <c r="AA713" s="2">
        <f t="shared" si="257"/>
        <v>-1.7912084897767584</v>
      </c>
      <c r="AB713" s="2">
        <f t="shared" si="258"/>
        <v>-1.7920158281276699</v>
      </c>
      <c r="AC713" s="2">
        <f t="shared" si="259"/>
        <v>-1.8066531198996578</v>
      </c>
      <c r="AD713" s="2">
        <f t="shared" si="260"/>
        <v>-4570.6455317219961</v>
      </c>
      <c r="AE713" s="10">
        <f t="shared" si="261"/>
        <v>9064654.1314288396</v>
      </c>
    </row>
    <row r="714" spans="1:31" x14ac:dyDescent="0.25">
      <c r="A714" s="1">
        <f t="shared" si="262"/>
        <v>2.9416666666666669</v>
      </c>
      <c r="B714" s="7">
        <f t="shared" si="263"/>
        <v>-8750047.1400243267</v>
      </c>
      <c r="C714" s="7">
        <f t="shared" si="264"/>
        <v>9064654.1314288396</v>
      </c>
      <c r="D714" s="7"/>
      <c r="E714" s="7"/>
      <c r="F714" s="7"/>
      <c r="G714" s="7"/>
      <c r="H714" s="7"/>
      <c r="I714" s="7"/>
      <c r="J714" s="7"/>
      <c r="K714" s="7"/>
      <c r="L714" s="1">
        <f t="shared" ref="L714:L728" si="267">M714/(24*3600)</f>
        <v>2.9416666666666669</v>
      </c>
      <c r="M714">
        <f t="shared" si="265"/>
        <v>254160</v>
      </c>
      <c r="N714" s="9">
        <f t="shared" si="246"/>
        <v>-1464.3471481553629</v>
      </c>
      <c r="O714" s="7">
        <f t="shared" si="247"/>
        <v>-8750047.1400243267</v>
      </c>
      <c r="P714" s="2">
        <f t="shared" si="250"/>
        <v>1.7440330898389322</v>
      </c>
      <c r="Q714" s="2">
        <f t="shared" si="251"/>
        <v>1.9854930849866179</v>
      </c>
      <c r="R714" s="2">
        <f t="shared" si="252"/>
        <v>1.9860843121749272</v>
      </c>
      <c r="S714" s="2">
        <f t="shared" si="253"/>
        <v>2.2738962057265204</v>
      </c>
      <c r="T714" s="9">
        <f t="shared" si="254"/>
        <v>-746.68210276205036</v>
      </c>
      <c r="U714" s="7">
        <f t="shared" si="255"/>
        <v>-9148032.405189462</v>
      </c>
      <c r="W714">
        <f t="shared" si="266"/>
        <v>254160</v>
      </c>
      <c r="X714" s="9">
        <f t="shared" si="248"/>
        <v>-4570.6455317219961</v>
      </c>
      <c r="Y714" s="2">
        <f t="shared" si="249"/>
        <v>9064654.1314288396</v>
      </c>
      <c r="Z714" s="2">
        <f t="shared" si="256"/>
        <v>-1.8067396095323356</v>
      </c>
      <c r="AA714" s="2">
        <f t="shared" si="257"/>
        <v>-1.814748374804581</v>
      </c>
      <c r="AB714" s="2">
        <f t="shared" si="258"/>
        <v>-1.8160506722524834</v>
      </c>
      <c r="AC714" s="2">
        <f t="shared" si="259"/>
        <v>-1.8148245869107489</v>
      </c>
      <c r="AD714" s="2">
        <f t="shared" si="260"/>
        <v>-5223.6352691554293</v>
      </c>
      <c r="AE714" s="10">
        <f t="shared" si="261"/>
        <v>7301683.5872709025</v>
      </c>
    </row>
    <row r="715" spans="1:31" x14ac:dyDescent="0.25">
      <c r="A715" s="1">
        <f t="shared" si="262"/>
        <v>2.9458333333333333</v>
      </c>
      <c r="B715" s="7">
        <f t="shared" si="263"/>
        <v>-9148032.405189462</v>
      </c>
      <c r="C715" s="7">
        <f t="shared" si="264"/>
        <v>7301683.5872709025</v>
      </c>
      <c r="D715" s="7"/>
      <c r="E715" s="7"/>
      <c r="F715" s="7"/>
      <c r="G715" s="7"/>
      <c r="H715" s="7"/>
      <c r="I715" s="7"/>
      <c r="J715" s="7"/>
      <c r="K715" s="7"/>
      <c r="L715" s="1">
        <f t="shared" si="267"/>
        <v>2.9458333333333333</v>
      </c>
      <c r="M715">
        <f t="shared" si="265"/>
        <v>254520</v>
      </c>
      <c r="N715" s="9">
        <f t="shared" si="246"/>
        <v>-746.68210276205036</v>
      </c>
      <c r="O715" s="7">
        <f t="shared" si="247"/>
        <v>-9148032.405189462</v>
      </c>
      <c r="P715" s="2">
        <f t="shared" si="250"/>
        <v>2.2739442399945142</v>
      </c>
      <c r="Q715" s="2">
        <f t="shared" si="251"/>
        <v>2.6188766555801424</v>
      </c>
      <c r="R715" s="2">
        <f t="shared" si="252"/>
        <v>2.6203889894733727</v>
      </c>
      <c r="S715" s="2">
        <f t="shared" si="253"/>
        <v>3.042245104044027</v>
      </c>
      <c r="T715" s="9">
        <f t="shared" si="254"/>
        <v>201.00113528668408</v>
      </c>
      <c r="U715" s="7">
        <f t="shared" si="255"/>
        <v>-9246254.9793350287</v>
      </c>
      <c r="W715">
        <f t="shared" si="266"/>
        <v>254520</v>
      </c>
      <c r="X715" s="9">
        <f t="shared" si="248"/>
        <v>-5223.6352691554293</v>
      </c>
      <c r="Y715" s="2">
        <f t="shared" si="249"/>
        <v>7301683.5872709025</v>
      </c>
      <c r="Z715" s="2">
        <f t="shared" si="256"/>
        <v>-1.814993716694566</v>
      </c>
      <c r="AA715" s="2">
        <f t="shared" si="257"/>
        <v>-1.7935883914463273</v>
      </c>
      <c r="AB715" s="2">
        <f t="shared" si="258"/>
        <v>-1.795807783385406</v>
      </c>
      <c r="AC715" s="2">
        <f t="shared" si="259"/>
        <v>-1.7452641499035768</v>
      </c>
      <c r="AD715" s="2">
        <f t="shared" si="260"/>
        <v>-5867.9782821311255</v>
      </c>
      <c r="AE715" s="10">
        <f t="shared" si="261"/>
        <v>5305193.1480393223</v>
      </c>
    </row>
    <row r="716" spans="1:31" x14ac:dyDescent="0.25">
      <c r="A716" s="1">
        <f t="shared" si="262"/>
        <v>2.95</v>
      </c>
      <c r="B716" s="7">
        <f t="shared" si="263"/>
        <v>-9246254.9793350287</v>
      </c>
      <c r="C716" s="7">
        <f t="shared" si="264"/>
        <v>5305193.1480393223</v>
      </c>
      <c r="D716" s="7"/>
      <c r="E716" s="7"/>
      <c r="F716" s="7"/>
      <c r="G716" s="7"/>
      <c r="H716" s="7"/>
      <c r="I716" s="7"/>
      <c r="J716" s="7"/>
      <c r="K716" s="7"/>
      <c r="L716" s="1">
        <f t="shared" si="267"/>
        <v>2.95</v>
      </c>
      <c r="M716">
        <f t="shared" si="265"/>
        <v>254880</v>
      </c>
      <c r="N716" s="9">
        <f t="shared" si="246"/>
        <v>201.00113528668408</v>
      </c>
      <c r="O716" s="7">
        <f t="shared" si="247"/>
        <v>-9246254.9793350287</v>
      </c>
      <c r="P716" s="2">
        <f t="shared" si="250"/>
        <v>3.0424037326257936</v>
      </c>
      <c r="Q716" s="2">
        <f t="shared" si="251"/>
        <v>3.5585309966576606</v>
      </c>
      <c r="R716" s="2">
        <f t="shared" si="252"/>
        <v>3.5625613940501957</v>
      </c>
      <c r="S716" s="2">
        <f t="shared" si="253"/>
        <v>4.2098726864848102</v>
      </c>
      <c r="T716" s="9">
        <f t="shared" si="254"/>
        <v>1490.6688073182631</v>
      </c>
      <c r="U716" s="7">
        <f t="shared" si="255"/>
        <v>-8941754.3896661382</v>
      </c>
      <c r="W716">
        <f t="shared" si="266"/>
        <v>254880</v>
      </c>
      <c r="X716" s="9">
        <f t="shared" si="248"/>
        <v>-5867.9782821311255</v>
      </c>
      <c r="Y716" s="2">
        <f t="shared" si="249"/>
        <v>5305193.1480393223</v>
      </c>
      <c r="Z716" s="2">
        <f t="shared" si="256"/>
        <v>-1.7456299303846823</v>
      </c>
      <c r="AA716" s="2">
        <f t="shared" si="257"/>
        <v>-1.6395328912678044</v>
      </c>
      <c r="AB716" s="2">
        <f t="shared" si="258"/>
        <v>-1.6435583596113794</v>
      </c>
      <c r="AC716" s="2">
        <f t="shared" si="259"/>
        <v>-1.4528153314833465</v>
      </c>
      <c r="AD716" s="2">
        <f t="shared" si="260"/>
        <v>-6453.8559479487094</v>
      </c>
      <c r="AE716" s="10">
        <f t="shared" si="261"/>
        <v>3087262.9866249519</v>
      </c>
    </row>
    <row r="717" spans="1:31" x14ac:dyDescent="0.25">
      <c r="A717" s="1">
        <f t="shared" si="262"/>
        <v>2.9541666666666666</v>
      </c>
      <c r="B717" s="7">
        <f t="shared" si="263"/>
        <v>-8941754.3896661382</v>
      </c>
      <c r="C717" s="7">
        <f t="shared" si="264"/>
        <v>3087262.9866249519</v>
      </c>
      <c r="D717" s="7"/>
      <c r="E717" s="7"/>
      <c r="F717" s="7"/>
      <c r="G717" s="7"/>
      <c r="H717" s="7"/>
      <c r="I717" s="7"/>
      <c r="J717" s="7"/>
      <c r="K717" s="7"/>
      <c r="L717" s="1">
        <f t="shared" si="267"/>
        <v>2.9541666666666666</v>
      </c>
      <c r="M717">
        <f t="shared" si="265"/>
        <v>255240</v>
      </c>
      <c r="N717" s="9">
        <f t="shared" si="246"/>
        <v>1490.6688073182631</v>
      </c>
      <c r="O717" s="7">
        <f t="shared" si="247"/>
        <v>-8941754.3896661382</v>
      </c>
      <c r="P717" s="2">
        <f t="shared" si="250"/>
        <v>4.2104353202493483</v>
      </c>
      <c r="Q717" s="2">
        <f t="shared" si="251"/>
        <v>5.011188482974438</v>
      </c>
      <c r="R717" s="2">
        <f t="shared" si="252"/>
        <v>5.0231920135325359</v>
      </c>
      <c r="S717" s="2">
        <f t="shared" si="253"/>
        <v>6.0395054055572208</v>
      </c>
      <c r="T717" s="9">
        <f t="shared" si="254"/>
        <v>3309.7909104474943</v>
      </c>
      <c r="U717" s="7">
        <f t="shared" si="255"/>
        <v>-8077671.6404683022</v>
      </c>
      <c r="W717">
        <f t="shared" si="266"/>
        <v>255240</v>
      </c>
      <c r="X717" s="9">
        <f t="shared" si="248"/>
        <v>-6453.8559479487094</v>
      </c>
      <c r="Y717" s="2">
        <f t="shared" si="249"/>
        <v>3087262.9866249519</v>
      </c>
      <c r="Z717" s="2">
        <f t="shared" si="256"/>
        <v>-1.4537103744212239</v>
      </c>
      <c r="AA717" s="2">
        <f t="shared" si="257"/>
        <v>-1.1076264476152928</v>
      </c>
      <c r="AB717" s="2">
        <f t="shared" si="258"/>
        <v>-1.1152335468741781</v>
      </c>
      <c r="AC717" s="2">
        <f t="shared" si="259"/>
        <v>-0.51697645193587349</v>
      </c>
      <c r="AD717" s="2">
        <f t="shared" si="260"/>
        <v>-6838.8403568688718</v>
      </c>
      <c r="AE717" s="10">
        <f t="shared" si="261"/>
        <v>694577.65175778698</v>
      </c>
    </row>
    <row r="718" spans="1:31" x14ac:dyDescent="0.25">
      <c r="A718" s="1">
        <f t="shared" si="262"/>
        <v>2.9583333333333335</v>
      </c>
      <c r="B718" s="7">
        <f t="shared" si="263"/>
        <v>-8077671.6404683022</v>
      </c>
      <c r="C718" s="7">
        <f t="shared" si="264"/>
        <v>694577.65175778698</v>
      </c>
      <c r="D718" s="7"/>
      <c r="E718" s="7"/>
      <c r="F718" s="7"/>
      <c r="G718" s="7"/>
      <c r="H718" s="7"/>
      <c r="I718" s="7"/>
      <c r="J718" s="7"/>
      <c r="K718" s="7"/>
      <c r="L718" s="1">
        <f t="shared" si="267"/>
        <v>2.9583333333333335</v>
      </c>
      <c r="M718">
        <f t="shared" si="265"/>
        <v>255600</v>
      </c>
      <c r="N718" s="9">
        <f t="shared" si="246"/>
        <v>3309.7909104474943</v>
      </c>
      <c r="O718" s="7">
        <f t="shared" si="247"/>
        <v>-8077671.6404683022</v>
      </c>
      <c r="P718" s="2">
        <f t="shared" si="250"/>
        <v>6.0418061376736878</v>
      </c>
      <c r="Q718" s="2">
        <f t="shared" si="251"/>
        <v>7.2512686758070863</v>
      </c>
      <c r="R718" s="2">
        <f t="shared" si="252"/>
        <v>7.2932646271679307</v>
      </c>
      <c r="S718" s="2">
        <f t="shared" si="253"/>
        <v>8.717801406637987</v>
      </c>
      <c r="T718" s="9">
        <f t="shared" si="254"/>
        <v>5940.7113594631974</v>
      </c>
      <c r="U718" s="7">
        <f t="shared" si="255"/>
        <v>-6412581.2318843771</v>
      </c>
      <c r="W718">
        <f t="shared" si="266"/>
        <v>255600</v>
      </c>
      <c r="X718" s="9">
        <f t="shared" si="248"/>
        <v>-6838.8403568688718</v>
      </c>
      <c r="Y718" s="2">
        <f t="shared" si="249"/>
        <v>694577.65175778698</v>
      </c>
      <c r="Z718" s="2">
        <f t="shared" si="256"/>
        <v>-0.51951895376102453</v>
      </c>
      <c r="AA718" s="2">
        <f t="shared" si="257"/>
        <v>0.53503389405954827</v>
      </c>
      <c r="AB718" s="2">
        <f t="shared" si="258"/>
        <v>0.52264562725201247</v>
      </c>
      <c r="AC718" s="2">
        <f t="shared" si="259"/>
        <v>2.3563628206336849</v>
      </c>
      <c r="AD718" s="2">
        <f t="shared" si="260"/>
        <v>-6601.7081822991249</v>
      </c>
      <c r="AE718" s="10">
        <f t="shared" si="261"/>
        <v>-1724721.0852924525</v>
      </c>
    </row>
    <row r="719" spans="1:31" x14ac:dyDescent="0.25">
      <c r="A719" s="1">
        <f t="shared" si="262"/>
        <v>2.9624999999999999</v>
      </c>
      <c r="B719" s="7">
        <f t="shared" si="263"/>
        <v>-6412581.2318843771</v>
      </c>
      <c r="C719" s="7">
        <f t="shared" si="264"/>
        <v>-1724721.0852924525</v>
      </c>
      <c r="D719" s="7"/>
      <c r="E719" s="7"/>
      <c r="F719" s="7"/>
      <c r="G719" s="7"/>
      <c r="H719" s="7"/>
      <c r="I719" s="7"/>
      <c r="J719" s="7"/>
      <c r="K719" s="7"/>
      <c r="L719" s="1">
        <f t="shared" si="267"/>
        <v>2.9624999999999999</v>
      </c>
      <c r="M719">
        <f t="shared" si="265"/>
        <v>255960</v>
      </c>
      <c r="N719" s="9">
        <f t="shared" si="246"/>
        <v>5940.7113594631974</v>
      </c>
      <c r="O719" s="7">
        <f t="shared" si="247"/>
        <v>-6412581.2318843771</v>
      </c>
      <c r="P719" s="2">
        <f t="shared" si="250"/>
        <v>8.7291959878042178</v>
      </c>
      <c r="Q719" s="2">
        <f t="shared" si="251"/>
        <v>9.8759018862982781</v>
      </c>
      <c r="R719" s="2">
        <f t="shared" si="252"/>
        <v>10.044723308910193</v>
      </c>
      <c r="S719" s="2">
        <f t="shared" si="253"/>
        <v>10.200687144938298</v>
      </c>
      <c r="T719" s="9">
        <f t="shared" si="254"/>
        <v>9466.979370852765</v>
      </c>
      <c r="U719" s="7">
        <f t="shared" si="255"/>
        <v>-3639196.900427504</v>
      </c>
      <c r="W719">
        <f t="shared" si="266"/>
        <v>255960</v>
      </c>
      <c r="X719" s="9">
        <f t="shared" si="248"/>
        <v>-6601.7081822991249</v>
      </c>
      <c r="Y719" s="2">
        <f t="shared" si="249"/>
        <v>-1724721.0852924525</v>
      </c>
      <c r="Z719" s="2">
        <f t="shared" si="256"/>
        <v>2.3477953468968491</v>
      </c>
      <c r="AA719" s="2">
        <f t="shared" si="257"/>
        <v>5.4582917218696032</v>
      </c>
      <c r="AB719" s="2">
        <f t="shared" si="258"/>
        <v>5.4738424064924072</v>
      </c>
      <c r="AC719" s="2">
        <f t="shared" si="259"/>
        <v>10.54869598178689</v>
      </c>
      <c r="AD719" s="2">
        <f t="shared" si="260"/>
        <v>-4516.0626071746592</v>
      </c>
      <c r="AE719" s="10">
        <f t="shared" si="261"/>
        <v>-3725919.8273977335</v>
      </c>
    </row>
    <row r="720" spans="1:31" x14ac:dyDescent="0.25">
      <c r="A720" s="1">
        <f t="shared" si="262"/>
        <v>2.9666666666666668</v>
      </c>
      <c r="B720" s="7">
        <f t="shared" si="263"/>
        <v>-3639196.900427504</v>
      </c>
      <c r="C720" s="7">
        <f t="shared" si="264"/>
        <v>-3725919.8273977335</v>
      </c>
      <c r="D720" s="7"/>
      <c r="E720" s="7"/>
      <c r="F720" s="7"/>
      <c r="G720" s="7"/>
      <c r="H720" s="7"/>
      <c r="I720" s="7"/>
      <c r="J720" s="7"/>
      <c r="K720" s="7"/>
      <c r="L720" s="1">
        <f t="shared" si="267"/>
        <v>2.9666666666666668</v>
      </c>
      <c r="M720">
        <f t="shared" si="265"/>
        <v>256320</v>
      </c>
      <c r="N720" s="9">
        <f t="shared" si="246"/>
        <v>9466.979370852765</v>
      </c>
      <c r="O720" s="7">
        <f t="shared" si="247"/>
        <v>-3639196.900427504</v>
      </c>
      <c r="P720" s="2">
        <f t="shared" si="250"/>
        <v>10.267375234781774</v>
      </c>
      <c r="Q720" s="2">
        <f t="shared" si="251"/>
        <v>6.7347190889251971</v>
      </c>
      <c r="R720" s="2">
        <f t="shared" si="252"/>
        <v>7.2697607172214456</v>
      </c>
      <c r="S720" s="2">
        <f t="shared" si="253"/>
        <v>-1.2399698792902722</v>
      </c>
      <c r="T720" s="9">
        <f t="shared" si="254"/>
        <v>11689.161268919852</v>
      </c>
      <c r="U720" s="7">
        <f t="shared" si="255"/>
        <v>168908.41473156726</v>
      </c>
      <c r="W720">
        <f t="shared" si="266"/>
        <v>256320</v>
      </c>
      <c r="X720" s="9">
        <f t="shared" si="248"/>
        <v>-4516.0626071746592</v>
      </c>
      <c r="Y720" s="2">
        <f t="shared" si="249"/>
        <v>-3725919.8273977335</v>
      </c>
      <c r="Z720" s="2">
        <f t="shared" si="256"/>
        <v>10.512049226605992</v>
      </c>
      <c r="AA720" s="2">
        <f t="shared" si="257"/>
        <v>16.633070712228669</v>
      </c>
      <c r="AB720" s="2">
        <f t="shared" si="258"/>
        <v>16.997011576309188</v>
      </c>
      <c r="AC720" s="2">
        <f t="shared" si="259"/>
        <v>21.959679987332859</v>
      </c>
      <c r="AD720" s="2">
        <f t="shared" si="260"/>
        <v>1467.8510202862144</v>
      </c>
      <c r="AE720" s="10">
        <f t="shared" si="261"/>
        <v>-4274597.913037654</v>
      </c>
    </row>
    <row r="721" spans="1:31" x14ac:dyDescent="0.25">
      <c r="A721" s="1">
        <f t="shared" si="262"/>
        <v>2.9708333333333332</v>
      </c>
      <c r="B721" s="7">
        <f t="shared" si="263"/>
        <v>168908.41473156726</v>
      </c>
      <c r="C721" s="7">
        <f t="shared" si="264"/>
        <v>-4274597.913037654</v>
      </c>
      <c r="D721" s="7"/>
      <c r="E721" s="7"/>
      <c r="F721" s="7"/>
      <c r="G721" s="7"/>
      <c r="H721" s="7"/>
      <c r="I721" s="7"/>
      <c r="J721" s="7"/>
      <c r="K721" s="7"/>
      <c r="L721" s="1">
        <f t="shared" si="267"/>
        <v>2.9708333333333332</v>
      </c>
      <c r="M721">
        <f t="shared" si="265"/>
        <v>256680</v>
      </c>
      <c r="N721" s="9">
        <f t="shared" si="246"/>
        <v>11689.161268919852</v>
      </c>
      <c r="O721" s="7">
        <f t="shared" si="247"/>
        <v>168908.41473156726</v>
      </c>
      <c r="P721" s="2">
        <f t="shared" si="250"/>
        <v>-0.85997775643092145</v>
      </c>
      <c r="Q721" s="2">
        <f t="shared" si="251"/>
        <v>-11.332027278529484</v>
      </c>
      <c r="R721" s="2">
        <f t="shared" si="252"/>
        <v>-10.768059058505621</v>
      </c>
      <c r="S721" s="2">
        <f t="shared" si="253"/>
        <v>-16.623536043690912</v>
      </c>
      <c r="T721" s="9">
        <f t="shared" si="254"/>
        <v>7988.140080468329</v>
      </c>
      <c r="U721" s="7">
        <f t="shared" si="255"/>
        <v>3710822.65762144</v>
      </c>
      <c r="W721">
        <f t="shared" si="266"/>
        <v>256680</v>
      </c>
      <c r="X721" s="9">
        <f t="shared" si="248"/>
        <v>1467.8510202862144</v>
      </c>
      <c r="Y721" s="2">
        <f t="shared" si="249"/>
        <v>-4274597.913037654</v>
      </c>
      <c r="Z721" s="2">
        <f t="shared" si="256"/>
        <v>21.763623373888716</v>
      </c>
      <c r="AA721" s="2">
        <f t="shared" si="257"/>
        <v>18.348815809054631</v>
      </c>
      <c r="AB721" s="2">
        <f t="shared" si="258"/>
        <v>19.136429006639478</v>
      </c>
      <c r="AC721" s="2">
        <f t="shared" si="259"/>
        <v>11.323208226834927</v>
      </c>
      <c r="AD721" s="2">
        <f t="shared" si="260"/>
        <v>7951.2902942129249</v>
      </c>
      <c r="AE721" s="10">
        <f t="shared" si="261"/>
        <v>-2579152.4764278093</v>
      </c>
    </row>
    <row r="722" spans="1:31" x14ac:dyDescent="0.25">
      <c r="A722" s="1">
        <f t="shared" si="262"/>
        <v>2.9750000000000001</v>
      </c>
      <c r="B722" s="7">
        <f t="shared" si="263"/>
        <v>3710822.65762144</v>
      </c>
      <c r="C722" s="7">
        <f t="shared" si="264"/>
        <v>-2579152.4764278093</v>
      </c>
      <c r="D722" s="7"/>
      <c r="E722" s="7"/>
      <c r="F722" s="7"/>
      <c r="G722" s="7"/>
      <c r="H722" s="7"/>
      <c r="I722" s="7"/>
      <c r="J722" s="7"/>
      <c r="K722" s="7"/>
      <c r="L722" s="1">
        <f t="shared" si="267"/>
        <v>2.9750000000000001</v>
      </c>
      <c r="M722">
        <f t="shared" si="265"/>
        <v>257040</v>
      </c>
      <c r="N722" s="9">
        <f t="shared" si="246"/>
        <v>7988.140080468329</v>
      </c>
      <c r="O722" s="7">
        <f t="shared" si="247"/>
        <v>3710822.65762144</v>
      </c>
      <c r="P722" s="2">
        <f t="shared" si="250"/>
        <v>-16.027046069482765</v>
      </c>
      <c r="Q722" s="2">
        <f t="shared" si="251"/>
        <v>-15.742252605669883</v>
      </c>
      <c r="R722" s="2">
        <f t="shared" si="252"/>
        <v>-15.463378004078312</v>
      </c>
      <c r="S722" s="2">
        <f t="shared" si="253"/>
        <v>-12.623986887621204</v>
      </c>
      <c r="T722" s="9">
        <f t="shared" si="254"/>
        <v>2524.402429872307</v>
      </c>
      <c r="U722" s="7">
        <f t="shared" si="255"/>
        <v>5603080.3094827542</v>
      </c>
      <c r="W722">
        <f t="shared" si="266"/>
        <v>257040</v>
      </c>
      <c r="X722" s="9">
        <f t="shared" si="248"/>
        <v>7951.2902942129249</v>
      </c>
      <c r="Y722" s="2">
        <f t="shared" si="249"/>
        <v>-2579152.4764278093</v>
      </c>
      <c r="Z722" s="2">
        <f t="shared" si="256"/>
        <v>11.139361638592753</v>
      </c>
      <c r="AA722" s="2">
        <f t="shared" si="257"/>
        <v>3.11513298857624</v>
      </c>
      <c r="AB722" s="2">
        <f t="shared" si="258"/>
        <v>3.4678238484908661</v>
      </c>
      <c r="AC722" s="2">
        <f t="shared" si="259"/>
        <v>-1.1484101164324227</v>
      </c>
      <c r="AD722" s="2">
        <f t="shared" si="260"/>
        <v>9340.7022059905976</v>
      </c>
      <c r="AE722" s="10">
        <f t="shared" si="261"/>
        <v>533406.17360882508</v>
      </c>
    </row>
    <row r="723" spans="1:31" x14ac:dyDescent="0.25">
      <c r="A723" s="1">
        <f t="shared" si="262"/>
        <v>2.9791666666666665</v>
      </c>
      <c r="B723" s="7">
        <f t="shared" si="263"/>
        <v>5603080.3094827542</v>
      </c>
      <c r="C723" s="7">
        <f t="shared" si="264"/>
        <v>533406.17360882508</v>
      </c>
      <c r="D723" s="7"/>
      <c r="E723" s="7"/>
      <c r="F723" s="7"/>
      <c r="G723" s="7"/>
      <c r="H723" s="7"/>
      <c r="I723" s="7"/>
      <c r="J723" s="7"/>
      <c r="K723" s="7"/>
      <c r="L723" s="1">
        <f t="shared" si="267"/>
        <v>2.9791666666666665</v>
      </c>
      <c r="M723">
        <f t="shared" si="265"/>
        <v>257400</v>
      </c>
      <c r="N723" s="9">
        <f t="shared" si="246"/>
        <v>2524.402429872307</v>
      </c>
      <c r="O723" s="7">
        <f t="shared" si="247"/>
        <v>5603080.3094827542</v>
      </c>
      <c r="P723" s="2">
        <f t="shared" si="250"/>
        <v>-12.525847362995886</v>
      </c>
      <c r="Q723" s="2">
        <f t="shared" si="251"/>
        <v>-9.5463921370674338</v>
      </c>
      <c r="R723" s="2">
        <f t="shared" si="252"/>
        <v>-9.4795446724826018</v>
      </c>
      <c r="S723" s="2">
        <f t="shared" si="253"/>
        <v>-7.0113216031983363</v>
      </c>
      <c r="T723" s="9">
        <f t="shared" si="254"/>
        <v>-930.94012524535083</v>
      </c>
      <c r="U723" s="7">
        <f t="shared" si="255"/>
        <v>5889903.5243156068</v>
      </c>
      <c r="W723">
        <f t="shared" si="266"/>
        <v>257400</v>
      </c>
      <c r="X723" s="9">
        <f t="shared" si="248"/>
        <v>9340.7022059905976</v>
      </c>
      <c r="Y723" s="2">
        <f t="shared" si="249"/>
        <v>533406.17360882508</v>
      </c>
      <c r="Z723" s="2">
        <f t="shared" si="256"/>
        <v>-1.1924448596240997</v>
      </c>
      <c r="AA723" s="2">
        <f t="shared" si="257"/>
        <v>-3.5798272728322802</v>
      </c>
      <c r="AB723" s="2">
        <f t="shared" si="258"/>
        <v>-3.4635823314505574</v>
      </c>
      <c r="AC723" s="2">
        <f t="shared" si="259"/>
        <v>-4.3649859401634377</v>
      </c>
      <c r="AD723" s="2">
        <f t="shared" si="260"/>
        <v>8162.0472054894053</v>
      </c>
      <c r="AE723" s="10">
        <f t="shared" si="261"/>
        <v>3683901.0676752254</v>
      </c>
    </row>
    <row r="724" spans="1:31" x14ac:dyDescent="0.25">
      <c r="A724" s="1">
        <f t="shared" si="262"/>
        <v>2.9833333333333334</v>
      </c>
      <c r="B724" s="7">
        <f t="shared" si="263"/>
        <v>5889903.5243156068</v>
      </c>
      <c r="C724" s="7">
        <f t="shared" si="264"/>
        <v>3683901.0676752254</v>
      </c>
      <c r="D724" s="7"/>
      <c r="E724" s="7"/>
      <c r="F724" s="7"/>
      <c r="G724" s="7"/>
      <c r="H724" s="7"/>
      <c r="I724" s="7"/>
      <c r="J724" s="7"/>
      <c r="K724" s="7"/>
      <c r="L724" s="1">
        <f t="shared" si="267"/>
        <v>2.9833333333333334</v>
      </c>
      <c r="M724">
        <f t="shared" si="265"/>
        <v>257760</v>
      </c>
      <c r="N724" s="9">
        <f t="shared" si="246"/>
        <v>-930.94012524535083</v>
      </c>
      <c r="O724" s="7">
        <f t="shared" si="247"/>
        <v>5889903.5243156068</v>
      </c>
      <c r="P724" s="2">
        <f t="shared" si="250"/>
        <v>-7.0022415565078839</v>
      </c>
      <c r="Q724" s="2">
        <f t="shared" si="251"/>
        <v>-5.1561296501086913</v>
      </c>
      <c r="R724" s="2">
        <f t="shared" si="252"/>
        <v>-5.1447392908800404</v>
      </c>
      <c r="S724" s="2">
        <f t="shared" si="253"/>
        <v>-3.7754398604648158</v>
      </c>
      <c r="T724" s="9">
        <f t="shared" si="254"/>
        <v>-2813.7052831823603</v>
      </c>
      <c r="U724" s="7">
        <f t="shared" si="255"/>
        <v>5215867.350798619</v>
      </c>
      <c r="W724">
        <f t="shared" si="266"/>
        <v>257760</v>
      </c>
      <c r="X724" s="9">
        <f t="shared" si="248"/>
        <v>8162.0472054894053</v>
      </c>
      <c r="Y724" s="2">
        <f t="shared" si="249"/>
        <v>3683901.0676752254</v>
      </c>
      <c r="Z724" s="2">
        <f t="shared" si="256"/>
        <v>-4.3796243927673855</v>
      </c>
      <c r="AA724" s="2">
        <f t="shared" si="257"/>
        <v>-4.6718745578283514</v>
      </c>
      <c r="AB724" s="2">
        <f t="shared" si="258"/>
        <v>-4.6325104539661588</v>
      </c>
      <c r="AC724" s="2">
        <f t="shared" si="259"/>
        <v>-4.5713005930907249</v>
      </c>
      <c r="AD724" s="2">
        <f t="shared" si="260"/>
        <v>6508.4655049225776</v>
      </c>
      <c r="AE724" s="10">
        <f t="shared" si="261"/>
        <v>6324593.355549382</v>
      </c>
    </row>
    <row r="725" spans="1:31" x14ac:dyDescent="0.25">
      <c r="A725" s="1">
        <f t="shared" si="262"/>
        <v>2.9874999999999998</v>
      </c>
      <c r="B725" s="7">
        <f t="shared" si="263"/>
        <v>5215867.350798619</v>
      </c>
      <c r="C725" s="7">
        <f t="shared" si="264"/>
        <v>6324593.355549382</v>
      </c>
      <c r="D725" s="7"/>
      <c r="E725" s="7"/>
      <c r="F725" s="7"/>
      <c r="G725" s="7"/>
      <c r="H725" s="7"/>
      <c r="I725" s="7"/>
      <c r="J725" s="7"/>
      <c r="K725" s="7"/>
      <c r="L725" s="1">
        <f t="shared" si="267"/>
        <v>2.9874999999999998</v>
      </c>
      <c r="M725">
        <f t="shared" si="265"/>
        <v>258120</v>
      </c>
      <c r="N725" s="9">
        <f t="shared" si="246"/>
        <v>-2813.7052831823603</v>
      </c>
      <c r="O725" s="7">
        <f t="shared" si="247"/>
        <v>5215867.350798619</v>
      </c>
      <c r="P725" s="2">
        <f t="shared" si="250"/>
        <v>-3.7735921588354047</v>
      </c>
      <c r="Q725" s="2">
        <f t="shared" si="251"/>
        <v>-2.7586800408786969</v>
      </c>
      <c r="R725" s="2">
        <f t="shared" si="252"/>
        <v>-2.7579545031069208</v>
      </c>
      <c r="S725" s="2">
        <f t="shared" si="253"/>
        <v>-1.9948297269894624</v>
      </c>
      <c r="T725" s="9">
        <f t="shared" si="254"/>
        <v>-3821.8067416101267</v>
      </c>
      <c r="U725" s="7">
        <f t="shared" si="255"/>
        <v>4021475.1863359716</v>
      </c>
      <c r="W725">
        <f t="shared" si="266"/>
        <v>258120</v>
      </c>
      <c r="X725" s="9">
        <f t="shared" si="248"/>
        <v>6508.4655049225776</v>
      </c>
      <c r="Y725" s="2">
        <f t="shared" si="249"/>
        <v>6324593.355549382</v>
      </c>
      <c r="Z725" s="2">
        <f t="shared" si="256"/>
        <v>-4.5757367450438293</v>
      </c>
      <c r="AA725" s="2">
        <f t="shared" si="257"/>
        <v>-4.4048439866174416</v>
      </c>
      <c r="AB725" s="2">
        <f t="shared" si="258"/>
        <v>-4.3898007745179735</v>
      </c>
      <c r="AC725" s="2">
        <f t="shared" si="259"/>
        <v>-4.1555950417375529</v>
      </c>
      <c r="AD725" s="2">
        <f t="shared" si="260"/>
        <v>4929.228226379445</v>
      </c>
      <c r="AE725" s="10">
        <f t="shared" si="261"/>
        <v>8383378.2271837462</v>
      </c>
    </row>
    <row r="726" spans="1:31" x14ac:dyDescent="0.25">
      <c r="A726" s="1">
        <f t="shared" si="262"/>
        <v>2.9916666666666667</v>
      </c>
      <c r="B726" s="7">
        <f t="shared" si="263"/>
        <v>4021475.1863359716</v>
      </c>
      <c r="C726" s="7">
        <f t="shared" si="264"/>
        <v>8383378.2271837462</v>
      </c>
      <c r="D726" s="7"/>
      <c r="E726" s="7"/>
      <c r="F726" s="7"/>
      <c r="G726" s="7"/>
      <c r="H726" s="7"/>
      <c r="I726" s="7"/>
      <c r="J726" s="7"/>
      <c r="K726" s="7"/>
      <c r="L726" s="1">
        <f t="shared" si="267"/>
        <v>2.9916666666666667</v>
      </c>
      <c r="M726">
        <f t="shared" si="265"/>
        <v>258480</v>
      </c>
      <c r="N726" s="9">
        <f t="shared" si="246"/>
        <v>-3821.8067416101267</v>
      </c>
      <c r="O726" s="7">
        <f t="shared" si="247"/>
        <v>4021475.1863359716</v>
      </c>
      <c r="P726" s="2">
        <f t="shared" si="250"/>
        <v>-1.9941195215080856</v>
      </c>
      <c r="Q726" s="2">
        <f t="shared" si="251"/>
        <v>-1.4077865375025298</v>
      </c>
      <c r="R726" s="2">
        <f t="shared" si="252"/>
        <v>-1.4089155536477069</v>
      </c>
      <c r="S726" s="2">
        <f t="shared" si="253"/>
        <v>-0.95154765258281293</v>
      </c>
      <c r="T726" s="9">
        <f t="shared" si="254"/>
        <v>-4336.551022993609</v>
      </c>
      <c r="U726" s="7">
        <f t="shared" si="255"/>
        <v>2552970.7887072992</v>
      </c>
      <c r="W726">
        <f t="shared" si="266"/>
        <v>258480</v>
      </c>
      <c r="X726" s="9">
        <f t="shared" si="248"/>
        <v>4929.228226379445</v>
      </c>
      <c r="Y726" s="2">
        <f t="shared" si="249"/>
        <v>8383378.2271837462</v>
      </c>
      <c r="Z726" s="2">
        <f t="shared" si="256"/>
        <v>-4.1570462092654354</v>
      </c>
      <c r="AA726" s="2">
        <f t="shared" si="257"/>
        <v>-3.9246629975713678</v>
      </c>
      <c r="AB726" s="2">
        <f t="shared" si="258"/>
        <v>-3.9181435870669565</v>
      </c>
      <c r="AC726" s="2">
        <f t="shared" si="259"/>
        <v>-3.6894776167310033</v>
      </c>
      <c r="AD726" s="2">
        <f t="shared" si="260"/>
        <v>3517.3000066630598</v>
      </c>
      <c r="AE726" s="10">
        <f t="shared" si="261"/>
        <v>9903753.3091313969</v>
      </c>
    </row>
    <row r="727" spans="1:31" x14ac:dyDescent="0.25">
      <c r="A727" s="1">
        <f t="shared" si="262"/>
        <v>2.9958333333333331</v>
      </c>
      <c r="B727" s="7">
        <f t="shared" si="263"/>
        <v>2552970.7887072992</v>
      </c>
      <c r="C727" s="7">
        <f t="shared" si="264"/>
        <v>9903753.3091313969</v>
      </c>
      <c r="D727" s="7"/>
      <c r="E727" s="7"/>
      <c r="F727" s="7"/>
      <c r="G727" s="7"/>
      <c r="H727" s="7"/>
      <c r="I727" s="7"/>
      <c r="J727" s="7"/>
      <c r="K727" s="7"/>
      <c r="L727" s="1">
        <f t="shared" si="267"/>
        <v>2.9958333333333331</v>
      </c>
      <c r="M727">
        <f t="shared" si="265"/>
        <v>258840</v>
      </c>
      <c r="N727" s="9">
        <f t="shared" si="246"/>
        <v>-4336.551022993609</v>
      </c>
      <c r="O727" s="7">
        <f t="shared" si="247"/>
        <v>2552970.7887072992</v>
      </c>
      <c r="P727" s="2">
        <f t="shared" si="250"/>
        <v>-0.95120479750554743</v>
      </c>
      <c r="Q727" s="2">
        <f t="shared" si="251"/>
        <v>-0.58413906797967607</v>
      </c>
      <c r="R727" s="2">
        <f t="shared" si="252"/>
        <v>-0.58540697296838973</v>
      </c>
      <c r="S727" s="2">
        <f t="shared" si="253"/>
        <v>-0.28675932048086611</v>
      </c>
      <c r="T727" s="9">
        <f t="shared" si="254"/>
        <v>-4551.1743949865613</v>
      </c>
      <c r="U727" s="7">
        <f t="shared" si="255"/>
        <v>953180.2134708683</v>
      </c>
      <c r="W727">
        <f t="shared" si="266"/>
        <v>258840</v>
      </c>
      <c r="X727" s="9">
        <f t="shared" si="248"/>
        <v>3517.3000066630598</v>
      </c>
      <c r="Y727" s="2">
        <f t="shared" si="249"/>
        <v>9903753.3091313969</v>
      </c>
      <c r="Z727" s="2">
        <f t="shared" si="256"/>
        <v>-3.6900138860293468</v>
      </c>
      <c r="AA727" s="2">
        <f t="shared" si="257"/>
        <v>-3.4832893854077569</v>
      </c>
      <c r="AB727" s="2">
        <f t="shared" si="258"/>
        <v>-3.4801872669245957</v>
      </c>
      <c r="AC727" s="2">
        <f t="shared" si="259"/>
        <v>-3.2901767702337188</v>
      </c>
      <c r="AD727" s="2">
        <f t="shared" si="260"/>
        <v>2262.8713690073937</v>
      </c>
      <c r="AE727" s="10">
        <f t="shared" si="261"/>
        <v>10944184.156752078</v>
      </c>
    </row>
    <row r="728" spans="1:31" x14ac:dyDescent="0.25">
      <c r="A728" s="1">
        <f t="shared" si="262"/>
        <v>3</v>
      </c>
      <c r="B728" s="7">
        <f t="shared" si="263"/>
        <v>953180.2134708683</v>
      </c>
      <c r="C728" s="7">
        <f t="shared" si="264"/>
        <v>10944184.156752078</v>
      </c>
      <c r="D728" s="7"/>
      <c r="E728" s="7"/>
      <c r="F728" s="7"/>
      <c r="G728" s="7"/>
      <c r="H728" s="7"/>
      <c r="I728" s="7"/>
      <c r="J728" s="7"/>
      <c r="K728" s="7"/>
      <c r="L728" s="1">
        <f t="shared" si="267"/>
        <v>3</v>
      </c>
      <c r="M728">
        <f t="shared" si="265"/>
        <v>259200</v>
      </c>
      <c r="N728" s="9">
        <f t="shared" si="246"/>
        <v>-4551.1743949865613</v>
      </c>
      <c r="O728" s="7">
        <f t="shared" si="247"/>
        <v>953180.2134708683</v>
      </c>
      <c r="P728" s="2">
        <f t="shared" si="250"/>
        <v>-0.28657618197517382</v>
      </c>
      <c r="Q728" s="2">
        <f t="shared" si="251"/>
        <v>-3.5736514276980096E-2</v>
      </c>
      <c r="R728" s="2">
        <f t="shared" si="252"/>
        <v>-3.6832259029897868E-2</v>
      </c>
      <c r="S728" s="2">
        <f t="shared" si="253"/>
        <v>0.17664390170351485</v>
      </c>
      <c r="T728" s="9">
        <f t="shared" si="254"/>
        <v>-4566.4785845996867</v>
      </c>
      <c r="U728" s="7">
        <f t="shared" si="255"/>
        <v>-687997.32285465626</v>
      </c>
      <c r="W728">
        <f t="shared" si="266"/>
        <v>259200</v>
      </c>
      <c r="X728" s="9">
        <f t="shared" si="248"/>
        <v>2262.8713690073937</v>
      </c>
      <c r="Y728" s="2">
        <f t="shared" si="249"/>
        <v>10944184.156752078</v>
      </c>
      <c r="Z728" s="2">
        <f t="shared" si="256"/>
        <v>-3.2903982543391876</v>
      </c>
      <c r="AA728" s="2">
        <f t="shared" si="257"/>
        <v>-3.1220115253116876</v>
      </c>
      <c r="AB728" s="2">
        <f t="shared" si="258"/>
        <v>-3.1204656721513624</v>
      </c>
      <c r="AC728" s="2">
        <f t="shared" si="259"/>
        <v>-2.9687579909968589</v>
      </c>
      <c r="AD728" s="2">
        <f t="shared" si="260"/>
        <v>1138.2247305916649</v>
      </c>
      <c r="AE728" s="10">
        <f t="shared" si="261"/>
        <v>11556381.454679908</v>
      </c>
    </row>
    <row r="729" spans="1:31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1"/>
      <c r="N729" s="9"/>
      <c r="O729" s="7"/>
      <c r="P729" s="2"/>
      <c r="Q729" s="2"/>
      <c r="R729" s="2"/>
      <c r="S729" s="2"/>
      <c r="T729" s="9"/>
      <c r="U729" s="7"/>
      <c r="X729" s="9"/>
      <c r="Y729" s="2"/>
      <c r="Z729" s="2"/>
      <c r="AA729" s="2"/>
      <c r="AB729" s="2"/>
      <c r="AC729" s="2"/>
      <c r="AD729" s="2"/>
      <c r="AE729" s="10"/>
    </row>
    <row r="730" spans="1:31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1"/>
      <c r="N730" s="9"/>
      <c r="O730" s="7"/>
      <c r="P730" s="2"/>
      <c r="Q730" s="2"/>
      <c r="R730" s="2"/>
      <c r="S730" s="2"/>
      <c r="T730" s="9"/>
      <c r="U730" s="7"/>
      <c r="X730" s="9"/>
      <c r="Y730" s="2"/>
      <c r="Z730" s="2"/>
      <c r="AA730" s="2"/>
      <c r="AB730" s="2"/>
      <c r="AC730" s="2"/>
      <c r="AD730" s="2"/>
      <c r="AE730" s="10"/>
    </row>
    <row r="731" spans="1:31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1"/>
      <c r="N731" s="9"/>
      <c r="O731" s="7"/>
      <c r="P731" s="2"/>
      <c r="Q731" s="2"/>
      <c r="R731" s="2"/>
      <c r="S731" s="2"/>
      <c r="T731" s="9"/>
      <c r="U731" s="7"/>
      <c r="X731" s="9"/>
      <c r="Y731" s="2"/>
      <c r="Z731" s="2"/>
      <c r="AA731" s="2"/>
      <c r="AB731" s="2"/>
      <c r="AC731" s="2"/>
      <c r="AD731" s="2"/>
      <c r="AE731" s="10"/>
    </row>
    <row r="732" spans="1:31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1"/>
      <c r="N732" s="9"/>
      <c r="O732" s="7"/>
      <c r="P732" s="2"/>
      <c r="Q732" s="2"/>
      <c r="R732" s="2"/>
      <c r="S732" s="2"/>
      <c r="T732" s="9"/>
      <c r="U732" s="7"/>
      <c r="X732" s="9"/>
      <c r="Y732" s="2"/>
      <c r="Z732" s="2"/>
      <c r="AA732" s="2"/>
      <c r="AB732" s="2"/>
      <c r="AC732" s="2"/>
      <c r="AD732" s="2"/>
      <c r="AE732" s="10"/>
    </row>
    <row r="733" spans="1:31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1"/>
      <c r="N733" s="9"/>
      <c r="O733" s="7"/>
      <c r="P733" s="2"/>
      <c r="Q733" s="2"/>
      <c r="R733" s="2"/>
      <c r="S733" s="2"/>
      <c r="T733" s="9"/>
      <c r="U733" s="7"/>
      <c r="X733" s="9"/>
      <c r="Y733" s="2"/>
      <c r="Z733" s="2"/>
      <c r="AA733" s="2"/>
      <c r="AB733" s="2"/>
      <c r="AC733" s="2"/>
      <c r="AD733" s="2"/>
      <c r="AE733" s="10"/>
    </row>
    <row r="734" spans="1:31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1"/>
      <c r="N734" s="9"/>
      <c r="O734" s="7"/>
      <c r="P734" s="2"/>
      <c r="Q734" s="2"/>
      <c r="R734" s="2"/>
      <c r="S734" s="2"/>
      <c r="T734" s="9"/>
      <c r="U734" s="7"/>
      <c r="X734" s="9"/>
      <c r="Y734" s="2"/>
      <c r="Z734" s="2"/>
      <c r="AA734" s="2"/>
      <c r="AB734" s="2"/>
      <c r="AC734" s="2"/>
      <c r="AD734" s="2"/>
      <c r="AE734" s="10"/>
    </row>
    <row r="735" spans="1:31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1"/>
      <c r="N735" s="9"/>
      <c r="O735" s="7"/>
      <c r="P735" s="2"/>
      <c r="Q735" s="2"/>
      <c r="R735" s="2"/>
      <c r="S735" s="2"/>
      <c r="T735" s="9"/>
      <c r="U735" s="7"/>
      <c r="X735" s="9"/>
      <c r="Y735" s="2"/>
      <c r="Z735" s="2"/>
      <c r="AA735" s="2"/>
      <c r="AB735" s="2"/>
      <c r="AC735" s="2"/>
      <c r="AD735" s="2"/>
      <c r="AE735" s="10"/>
    </row>
    <row r="736" spans="1:31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1"/>
      <c r="N736" s="9"/>
      <c r="O736" s="7"/>
      <c r="P736" s="2"/>
      <c r="Q736" s="2"/>
      <c r="R736" s="2"/>
      <c r="S736" s="2"/>
      <c r="T736" s="9"/>
      <c r="U736" s="7"/>
      <c r="X736" s="9"/>
      <c r="Y736" s="2"/>
      <c r="Z736" s="2"/>
      <c r="AA736" s="2"/>
      <c r="AB736" s="2"/>
      <c r="AC736" s="2"/>
      <c r="AD736" s="2"/>
      <c r="AE736" s="10"/>
    </row>
    <row r="737" spans="1:31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1"/>
      <c r="N737" s="9"/>
      <c r="O737" s="7"/>
      <c r="P737" s="2"/>
      <c r="Q737" s="2"/>
      <c r="R737" s="2"/>
      <c r="S737" s="2"/>
      <c r="T737" s="9"/>
      <c r="U737" s="7"/>
      <c r="X737" s="9"/>
      <c r="Y737" s="2"/>
      <c r="Z737" s="2"/>
      <c r="AA737" s="2"/>
      <c r="AB737" s="2"/>
      <c r="AC737" s="2"/>
      <c r="AD737" s="2"/>
      <c r="AE737" s="10"/>
    </row>
    <row r="738" spans="1:31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1"/>
      <c r="N738" s="9"/>
      <c r="O738" s="7"/>
      <c r="P738" s="2"/>
      <c r="Q738" s="2"/>
      <c r="R738" s="2"/>
      <c r="S738" s="2"/>
      <c r="T738" s="9"/>
      <c r="U738" s="7"/>
      <c r="X738" s="9"/>
      <c r="Y738" s="2"/>
      <c r="Z738" s="2"/>
      <c r="AA738" s="2"/>
      <c r="AB738" s="2"/>
      <c r="AC738" s="2"/>
      <c r="AD738" s="2"/>
      <c r="AE738" s="10"/>
    </row>
    <row r="739" spans="1:31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1"/>
      <c r="N739" s="9"/>
      <c r="O739" s="7"/>
      <c r="P739" s="2"/>
      <c r="Q739" s="2"/>
      <c r="R739" s="2"/>
      <c r="S739" s="2"/>
      <c r="T739" s="9"/>
      <c r="U739" s="7"/>
      <c r="X739" s="9"/>
      <c r="Y739" s="2"/>
      <c r="Z739" s="2"/>
      <c r="AA739" s="2"/>
      <c r="AB739" s="2"/>
      <c r="AC739" s="2"/>
      <c r="AD739" s="2"/>
      <c r="AE739" s="10"/>
    </row>
    <row r="740" spans="1:31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1"/>
      <c r="N740" s="9"/>
      <c r="O740" s="7"/>
      <c r="P740" s="2"/>
      <c r="Q740" s="2"/>
      <c r="R740" s="2"/>
      <c r="S740" s="2"/>
      <c r="T740" s="9"/>
      <c r="U740" s="7"/>
      <c r="X740" s="9"/>
      <c r="Y740" s="2"/>
      <c r="Z740" s="2"/>
      <c r="AA740" s="2"/>
      <c r="AB740" s="2"/>
      <c r="AC740" s="2"/>
      <c r="AD740" s="2"/>
      <c r="AE740" s="10"/>
    </row>
    <row r="741" spans="1:31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1"/>
      <c r="N741" s="9"/>
      <c r="O741" s="7"/>
      <c r="P741" s="2"/>
      <c r="Q741" s="2"/>
      <c r="R741" s="2"/>
      <c r="S741" s="2"/>
      <c r="T741" s="9"/>
      <c r="U741" s="7"/>
      <c r="X741" s="9"/>
      <c r="Y741" s="2"/>
      <c r="Z741" s="2"/>
      <c r="AA741" s="2"/>
      <c r="AB741" s="2"/>
      <c r="AC741" s="2"/>
      <c r="AD741" s="2"/>
      <c r="AE741" s="10"/>
    </row>
    <row r="742" spans="1:31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1"/>
      <c r="N742" s="9"/>
      <c r="O742" s="7"/>
      <c r="P742" s="2"/>
      <c r="Q742" s="2"/>
      <c r="R742" s="2"/>
      <c r="S742" s="2"/>
      <c r="T742" s="9"/>
      <c r="U742" s="7"/>
      <c r="X742" s="9"/>
      <c r="Y742" s="2"/>
      <c r="Z742" s="2"/>
      <c r="AA742" s="2"/>
      <c r="AB742" s="2"/>
      <c r="AC742" s="2"/>
      <c r="AD742" s="2"/>
      <c r="AE742" s="10"/>
    </row>
    <row r="743" spans="1:31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1"/>
      <c r="N743" s="9"/>
      <c r="O743" s="7"/>
      <c r="P743" s="2"/>
      <c r="Q743" s="2"/>
      <c r="R743" s="2"/>
      <c r="S743" s="2"/>
      <c r="T743" s="9"/>
      <c r="U743" s="7"/>
      <c r="X743" s="9"/>
      <c r="Y743" s="2"/>
      <c r="Z743" s="2"/>
      <c r="AA743" s="2"/>
      <c r="AB743" s="2"/>
      <c r="AC743" s="2"/>
      <c r="AD743" s="2"/>
      <c r="AE743" s="10"/>
    </row>
    <row r="744" spans="1:31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O744" s="9"/>
      <c r="P744" s="6"/>
    </row>
    <row r="745" spans="1:31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O745" s="9"/>
      <c r="P745" s="6"/>
    </row>
    <row r="746" spans="1:31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O746" s="9"/>
      <c r="P746" s="6"/>
    </row>
    <row r="747" spans="1:31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O747" s="9"/>
      <c r="P747" s="6"/>
    </row>
    <row r="748" spans="1:31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O748" s="9"/>
      <c r="P748" s="6"/>
    </row>
    <row r="749" spans="1:31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O749" s="9"/>
      <c r="P749" s="6"/>
    </row>
    <row r="750" spans="1:31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O750" s="9"/>
      <c r="P750" s="6"/>
    </row>
    <row r="751" spans="1:31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O751" s="9"/>
      <c r="P751" s="6"/>
    </row>
    <row r="752" spans="1:31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O752" s="9"/>
      <c r="P752" s="6"/>
    </row>
    <row r="753" spans="1:1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O753" s="9"/>
      <c r="P753" s="6"/>
    </row>
    <row r="754" spans="1:1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O754" s="9"/>
      <c r="P754" s="6"/>
    </row>
    <row r="755" spans="1:1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O755" s="9"/>
      <c r="P755" s="6"/>
    </row>
    <row r="756" spans="1:1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O756" s="9"/>
      <c r="P756" s="6"/>
    </row>
    <row r="757" spans="1:1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O757" s="9"/>
      <c r="P757" s="6"/>
    </row>
    <row r="758" spans="1:1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O758" s="9"/>
      <c r="P758" s="6"/>
    </row>
    <row r="759" spans="1:1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O759" s="9"/>
      <c r="P759" s="6"/>
    </row>
    <row r="760" spans="1:1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O760" s="9"/>
      <c r="P760" s="6"/>
    </row>
    <row r="761" spans="1:1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O761" s="9"/>
      <c r="P761" s="6"/>
    </row>
    <row r="762" spans="1:1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O762" s="9"/>
      <c r="P762" s="6"/>
    </row>
    <row r="763" spans="1:1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O763" s="9"/>
      <c r="P763" s="6"/>
    </row>
    <row r="764" spans="1:1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O764" s="9"/>
      <c r="P764" s="6"/>
    </row>
    <row r="765" spans="1:1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O765" s="9"/>
      <c r="P765" s="6"/>
    </row>
    <row r="766" spans="1:1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O766" s="9"/>
      <c r="P766" s="6"/>
    </row>
    <row r="767" spans="1:1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O767" s="9"/>
      <c r="P767" s="6"/>
    </row>
    <row r="768" spans="1:1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O768" s="9"/>
      <c r="P768" s="6"/>
    </row>
    <row r="769" spans="1:1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O769" s="9"/>
      <c r="P769" s="6"/>
    </row>
    <row r="770" spans="1:1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O770" s="9"/>
      <c r="P770" s="6"/>
    </row>
    <row r="771" spans="1:1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O771" s="9"/>
      <c r="P771" s="6"/>
    </row>
    <row r="772" spans="1:1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O772" s="9"/>
      <c r="P772" s="6"/>
    </row>
    <row r="773" spans="1:1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O773" s="9"/>
      <c r="P773" s="6"/>
    </row>
    <row r="774" spans="1:1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O774" s="9"/>
      <c r="P774" s="6"/>
    </row>
    <row r="775" spans="1:1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O775" s="9"/>
      <c r="P775" s="6"/>
    </row>
    <row r="776" spans="1:1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O776" s="9"/>
      <c r="P776" s="6"/>
    </row>
    <row r="777" spans="1:1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O777" s="9"/>
      <c r="P777" s="6"/>
    </row>
    <row r="778" spans="1:1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O778" s="9"/>
      <c r="P778" s="6"/>
    </row>
    <row r="779" spans="1:1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O779" s="9"/>
      <c r="P779" s="6"/>
    </row>
    <row r="780" spans="1:1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O780" s="9"/>
      <c r="P780" s="6"/>
    </row>
  </sheetData>
  <mergeCells count="2">
    <mergeCell ref="M4:N4"/>
    <mergeCell ref="R5:S5"/>
  </mergeCells>
  <conditionalFormatting sqref="P744:P780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{94AE02CA-BC77-4B41-ACDC-2C5A909E997B}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AE02CA-BC77-4B41-ACDC-2C5A909E99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P744:P780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Hoja1</vt:lpstr>
      <vt:lpstr>Hoja1 (2)</vt:lpstr>
      <vt:lpstr>Hoja1!G</vt:lpstr>
      <vt:lpstr>'Hoja1 (2)'!G</vt:lpstr>
      <vt:lpstr>Hoja1!h</vt:lpstr>
      <vt:lpstr>'Hoja1 (2)'!h</vt:lpstr>
      <vt:lpstr>Hoja1!MasaK21</vt:lpstr>
      <vt:lpstr>'Hoja1 (2)'!MasaK21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2021-03-22T13:21:58Z</dcterms:created>
  <dcterms:modified xsi:type="dcterms:W3CDTF">2021-04-24T15:15:20Z</dcterms:modified>
</cp:coreProperties>
</file>