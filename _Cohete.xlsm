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CI\ANUM\ANUM 2021_I\"/>
    </mc:Choice>
  </mc:AlternateContent>
  <bookViews>
    <workbookView xWindow="0" yWindow="0" windowWidth="28800" windowHeight="12330"/>
  </bookViews>
  <sheets>
    <sheet name="Hoja1" sheetId="1" r:id="rId1"/>
  </sheets>
  <functionGroups builtInGroupCount="18"/>
  <definedNames>
    <definedName name="_xlchart.0" hidden="1">Hoja1!$I$5</definedName>
    <definedName name="_xlchart.1" hidden="1">Hoja1!$I$6</definedName>
    <definedName name="_xlchart.2" hidden="1">Hoja1!$H$5</definedName>
    <definedName name="_xlchart.3" hidden="1">Hoja1!$H$6</definedName>
    <definedName name="h" comment="intervalo de tiempo" localSheetId="0">Hoja1!$C$5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F6" i="1"/>
  <c r="I6" i="1"/>
  <c r="F7" i="1"/>
  <c r="G7" i="1"/>
  <c r="H6" i="1" l="1"/>
  <c r="E7" i="1"/>
  <c r="O7" i="1" l="1"/>
  <c r="P7" i="1"/>
  <c r="Q7" i="1"/>
  <c r="O8" i="1" l="1"/>
  <c r="P8" i="1"/>
  <c r="O9" i="1" l="1"/>
  <c r="P9" i="1"/>
  <c r="Q8" i="1"/>
  <c r="O10" i="1" l="1"/>
  <c r="P10" i="1"/>
  <c r="P11" i="1"/>
  <c r="Q9" i="1"/>
  <c r="O11" i="1" l="1"/>
  <c r="Q10" i="1"/>
  <c r="P12" i="1"/>
  <c r="O12" i="1" l="1"/>
  <c r="Q11" i="1"/>
  <c r="P13" i="1"/>
  <c r="O13" i="1" l="1"/>
  <c r="Q12" i="1"/>
  <c r="P14" i="1"/>
  <c r="O14" i="1" l="1"/>
  <c r="Q13" i="1"/>
  <c r="Q14" i="1" s="1"/>
  <c r="Q15" i="1"/>
  <c r="P15" i="1"/>
  <c r="O15" i="1" l="1"/>
  <c r="Q16" i="1"/>
  <c r="P16" i="1"/>
  <c r="O16" i="1" l="1"/>
  <c r="P17" i="1"/>
  <c r="Q17" i="1"/>
  <c r="O17" i="1" l="1"/>
  <c r="P18" i="1"/>
  <c r="Q18" i="1"/>
  <c r="O18" i="1" l="1"/>
  <c r="Q19" i="1"/>
  <c r="P19" i="1"/>
  <c r="O19" i="1" l="1"/>
  <c r="P20" i="1"/>
  <c r="Q20" i="1"/>
  <c r="O20" i="1" l="1"/>
  <c r="Q21" i="1"/>
  <c r="P21" i="1"/>
  <c r="O21" i="1" l="1"/>
  <c r="Q22" i="1"/>
  <c r="P22" i="1"/>
  <c r="O22" i="1" l="1"/>
  <c r="P23" i="1"/>
  <c r="Q23" i="1"/>
  <c r="O23" i="1" l="1"/>
  <c r="P24" i="1"/>
  <c r="Q24" i="1"/>
  <c r="O24" i="1" l="1"/>
  <c r="P25" i="1"/>
  <c r="Q25" i="1"/>
  <c r="O25" i="1" l="1"/>
  <c r="Q26" i="1"/>
  <c r="P26" i="1"/>
  <c r="O26" i="1" l="1"/>
  <c r="Q27" i="1"/>
  <c r="P27" i="1"/>
  <c r="O27" i="1" l="1"/>
  <c r="P28" i="1"/>
  <c r="Q28" i="1"/>
  <c r="O28" i="1" l="1"/>
  <c r="P29" i="1"/>
  <c r="Q29" i="1"/>
  <c r="O29" i="1" l="1"/>
  <c r="Q30" i="1"/>
  <c r="P30" i="1"/>
  <c r="O30" i="1" l="1"/>
  <c r="P31" i="1"/>
  <c r="Q31" i="1"/>
  <c r="O31" i="1" l="1"/>
  <c r="Q32" i="1"/>
  <c r="P32" i="1"/>
  <c r="O32" i="1" l="1"/>
  <c r="Q33" i="1"/>
  <c r="P33" i="1"/>
  <c r="O33" i="1" l="1"/>
  <c r="Q34" i="1"/>
  <c r="P34" i="1"/>
  <c r="O34" i="1" l="1"/>
  <c r="Q35" i="1"/>
  <c r="P35" i="1"/>
  <c r="O35" i="1" l="1"/>
  <c r="P36" i="1"/>
  <c r="Q36" i="1"/>
  <c r="O36" i="1" l="1"/>
  <c r="Q37" i="1"/>
  <c r="P37" i="1"/>
  <c r="O37" i="1" l="1"/>
  <c r="Q38" i="1"/>
  <c r="P38" i="1"/>
  <c r="O38" i="1" l="1"/>
  <c r="Q39" i="1"/>
  <c r="P39" i="1"/>
  <c r="O39" i="1" l="1"/>
  <c r="P40" i="1"/>
  <c r="Q40" i="1"/>
  <c r="O40" i="1" l="1"/>
  <c r="Q41" i="1"/>
  <c r="P41" i="1"/>
  <c r="O41" i="1" l="1"/>
  <c r="Q42" i="1"/>
  <c r="P42" i="1"/>
  <c r="O42" i="1" l="1"/>
  <c r="P43" i="1"/>
  <c r="Q43" i="1"/>
  <c r="O43" i="1" l="1"/>
  <c r="P44" i="1"/>
  <c r="Q44" i="1"/>
  <c r="O44" i="1" l="1"/>
  <c r="P45" i="1"/>
  <c r="Q45" i="1"/>
  <c r="O45" i="1" l="1"/>
  <c r="P46" i="1"/>
  <c r="Q46" i="1"/>
  <c r="O46" i="1" l="1"/>
  <c r="P47" i="1"/>
  <c r="Q47" i="1"/>
  <c r="O47" i="1" l="1"/>
  <c r="Q48" i="1"/>
  <c r="P48" i="1"/>
  <c r="O48" i="1" l="1"/>
  <c r="Q49" i="1"/>
  <c r="P49" i="1"/>
  <c r="O49" i="1" l="1"/>
  <c r="P50" i="1"/>
  <c r="Q50" i="1"/>
  <c r="O50" i="1" l="1"/>
  <c r="P51" i="1"/>
  <c r="Q51" i="1"/>
  <c r="O51" i="1" l="1"/>
  <c r="Q52" i="1"/>
  <c r="P52" i="1"/>
  <c r="O52" i="1" l="1"/>
  <c r="Q53" i="1"/>
  <c r="P53" i="1"/>
  <c r="O53" i="1" l="1"/>
  <c r="Q54" i="1"/>
  <c r="P54" i="1"/>
  <c r="O54" i="1" l="1"/>
  <c r="Q55" i="1"/>
  <c r="P55" i="1"/>
  <c r="O55" i="1" l="1"/>
  <c r="P56" i="1"/>
  <c r="Q56" i="1"/>
  <c r="O56" i="1" l="1"/>
  <c r="P57" i="1"/>
  <c r="Q57" i="1"/>
  <c r="O57" i="1" l="1"/>
  <c r="Q58" i="1"/>
  <c r="P58" i="1"/>
  <c r="O58" i="1" l="1"/>
  <c r="P59" i="1"/>
  <c r="Q59" i="1"/>
  <c r="O59" i="1" l="1"/>
  <c r="Q60" i="1"/>
  <c r="P60" i="1"/>
  <c r="O60" i="1" l="1"/>
  <c r="P61" i="1"/>
  <c r="Q61" i="1"/>
  <c r="O61" i="1" l="1"/>
  <c r="P62" i="1"/>
  <c r="Q62" i="1"/>
  <c r="O62" i="1" l="1"/>
  <c r="P63" i="1"/>
  <c r="Q63" i="1"/>
  <c r="O63" i="1" l="1"/>
  <c r="Q64" i="1"/>
  <c r="P64" i="1"/>
  <c r="O64" i="1" l="1"/>
  <c r="Q65" i="1"/>
  <c r="P65" i="1"/>
  <c r="O65" i="1" l="1"/>
  <c r="Q66" i="1"/>
  <c r="P66" i="1"/>
  <c r="O66" i="1" l="1"/>
  <c r="Q67" i="1"/>
  <c r="P67" i="1"/>
  <c r="O67" i="1" l="1"/>
  <c r="Q68" i="1"/>
  <c r="P68" i="1"/>
  <c r="O68" i="1" l="1"/>
  <c r="P69" i="1"/>
  <c r="Q69" i="1"/>
  <c r="O69" i="1" l="1"/>
  <c r="P70" i="1"/>
  <c r="Q70" i="1"/>
  <c r="O70" i="1" l="1"/>
  <c r="P71" i="1"/>
  <c r="Q71" i="1"/>
  <c r="O71" i="1" l="1"/>
  <c r="P72" i="1"/>
  <c r="Q72" i="1"/>
  <c r="O72" i="1" l="1"/>
  <c r="P73" i="1"/>
  <c r="Q73" i="1"/>
  <c r="O73" i="1" l="1"/>
  <c r="P74" i="1"/>
  <c r="Q74" i="1"/>
  <c r="O74" i="1" l="1"/>
  <c r="Q75" i="1"/>
  <c r="P75" i="1"/>
  <c r="O75" i="1" l="1"/>
  <c r="P76" i="1"/>
  <c r="Q76" i="1"/>
  <c r="O76" i="1" l="1"/>
  <c r="P77" i="1"/>
  <c r="Q77" i="1"/>
  <c r="O77" i="1" l="1"/>
  <c r="Q78" i="1"/>
  <c r="P78" i="1"/>
  <c r="O78" i="1" l="1"/>
  <c r="P79" i="1"/>
  <c r="Q79" i="1"/>
  <c r="O79" i="1" l="1"/>
  <c r="Q80" i="1"/>
  <c r="P80" i="1"/>
  <c r="O80" i="1" l="1"/>
  <c r="P81" i="1"/>
  <c r="Q81" i="1"/>
  <c r="O81" i="1" l="1"/>
  <c r="Q82" i="1"/>
  <c r="P82" i="1"/>
  <c r="O82" i="1" l="1"/>
  <c r="Q83" i="1"/>
  <c r="P83" i="1"/>
  <c r="O83" i="1" l="1"/>
  <c r="Q84" i="1"/>
  <c r="P84" i="1"/>
  <c r="O84" i="1" l="1"/>
  <c r="Q85" i="1"/>
  <c r="P85" i="1"/>
  <c r="O85" i="1" l="1"/>
  <c r="Q86" i="1"/>
  <c r="P86" i="1"/>
  <c r="O86" i="1" l="1"/>
  <c r="P87" i="1"/>
  <c r="Q87" i="1"/>
  <c r="O87" i="1" l="1"/>
  <c r="Q88" i="1"/>
  <c r="P88" i="1"/>
  <c r="O88" i="1" l="1"/>
  <c r="P89" i="1"/>
  <c r="Q89" i="1"/>
  <c r="O89" i="1" l="1"/>
  <c r="P90" i="1"/>
  <c r="Q90" i="1"/>
  <c r="O90" i="1" l="1"/>
  <c r="Q91" i="1"/>
  <c r="P91" i="1"/>
  <c r="O91" i="1" l="1"/>
  <c r="P92" i="1"/>
  <c r="Q92" i="1"/>
  <c r="O92" i="1" l="1"/>
  <c r="P93" i="1"/>
  <c r="Q93" i="1"/>
  <c r="O93" i="1" l="1"/>
  <c r="P94" i="1"/>
  <c r="Q94" i="1"/>
  <c r="O94" i="1" l="1"/>
  <c r="Q95" i="1"/>
  <c r="P95" i="1"/>
  <c r="O95" i="1" l="1"/>
  <c r="Q96" i="1"/>
  <c r="P96" i="1"/>
  <c r="O96" i="1" l="1"/>
  <c r="P97" i="1"/>
  <c r="Q97" i="1"/>
  <c r="O97" i="1" l="1"/>
  <c r="Q98" i="1"/>
  <c r="P98" i="1"/>
  <c r="O98" i="1" l="1"/>
  <c r="Q99" i="1"/>
  <c r="P99" i="1"/>
  <c r="O99" i="1" l="1"/>
  <c r="Q100" i="1"/>
  <c r="P100" i="1"/>
  <c r="O100" i="1" l="1"/>
  <c r="Q101" i="1"/>
  <c r="P101" i="1"/>
  <c r="O101" i="1" l="1"/>
  <c r="P102" i="1"/>
  <c r="Q102" i="1"/>
  <c r="O102" i="1" l="1"/>
  <c r="Q103" i="1"/>
  <c r="P103" i="1"/>
  <c r="O103" i="1" l="1"/>
  <c r="P104" i="1"/>
  <c r="Q104" i="1"/>
  <c r="O104" i="1" l="1"/>
  <c r="P105" i="1"/>
  <c r="Q105" i="1"/>
  <c r="O105" i="1" l="1"/>
  <c r="P106" i="1"/>
  <c r="Q106" i="1"/>
  <c r="O106" i="1" l="1"/>
  <c r="Q107" i="1"/>
  <c r="P107" i="1"/>
  <c r="O107" i="1" l="1"/>
  <c r="Q108" i="1"/>
  <c r="P108" i="1"/>
  <c r="O108" i="1" l="1"/>
  <c r="Q109" i="1"/>
  <c r="P109" i="1"/>
  <c r="O109" i="1" l="1"/>
  <c r="P110" i="1"/>
  <c r="Q110" i="1"/>
  <c r="O110" i="1" l="1"/>
  <c r="P111" i="1"/>
  <c r="Q111" i="1"/>
  <c r="O111" i="1" l="1"/>
  <c r="P112" i="1"/>
  <c r="Q112" i="1"/>
  <c r="O112" i="1" l="1"/>
  <c r="Q113" i="1"/>
  <c r="P113" i="1"/>
  <c r="O113" i="1" l="1"/>
  <c r="Q114" i="1"/>
  <c r="P114" i="1"/>
  <c r="O114" i="1" l="1"/>
  <c r="Q115" i="1"/>
  <c r="P115" i="1"/>
  <c r="O115" i="1" l="1"/>
  <c r="Q116" i="1"/>
  <c r="P116" i="1"/>
  <c r="O116" i="1" l="1"/>
  <c r="Q117" i="1"/>
  <c r="P117" i="1"/>
  <c r="O117" i="1" l="1"/>
  <c r="Q118" i="1"/>
  <c r="P118" i="1"/>
  <c r="O118" i="1" l="1"/>
  <c r="P119" i="1"/>
  <c r="Q119" i="1"/>
  <c r="O119" i="1" l="1"/>
  <c r="P120" i="1"/>
  <c r="Q120" i="1"/>
  <c r="O120" i="1" l="1"/>
  <c r="Q121" i="1"/>
  <c r="P121" i="1"/>
  <c r="O121" i="1" l="1"/>
  <c r="P122" i="1"/>
  <c r="Q122" i="1"/>
  <c r="O122" i="1" l="1"/>
  <c r="Q123" i="1"/>
  <c r="P123" i="1"/>
  <c r="O123" i="1" l="1"/>
  <c r="Q124" i="1"/>
  <c r="P124" i="1"/>
  <c r="O124" i="1" l="1"/>
  <c r="Q125" i="1"/>
  <c r="P125" i="1"/>
  <c r="O125" i="1" l="1"/>
  <c r="Q126" i="1"/>
  <c r="P126" i="1"/>
  <c r="O126" i="1" l="1"/>
  <c r="P127" i="1"/>
  <c r="Q127" i="1"/>
  <c r="O127" i="1" l="1"/>
  <c r="P128" i="1"/>
  <c r="Q128" i="1"/>
  <c r="O128" i="1" l="1"/>
  <c r="P129" i="1"/>
  <c r="Q129" i="1"/>
  <c r="O129" i="1" l="1"/>
  <c r="Q130" i="1"/>
  <c r="P130" i="1"/>
  <c r="O130" i="1" l="1"/>
  <c r="Q131" i="1"/>
  <c r="P131" i="1"/>
  <c r="O131" i="1" l="1"/>
  <c r="P132" i="1"/>
  <c r="Q132" i="1"/>
  <c r="O132" i="1" l="1"/>
  <c r="Q133" i="1"/>
  <c r="P133" i="1"/>
  <c r="O133" i="1" l="1"/>
  <c r="P134" i="1"/>
  <c r="Q134" i="1"/>
  <c r="O134" i="1" l="1"/>
  <c r="Q135" i="1"/>
  <c r="P135" i="1"/>
  <c r="O135" i="1" l="1"/>
  <c r="P136" i="1"/>
  <c r="Q136" i="1"/>
  <c r="O136" i="1" l="1"/>
  <c r="P137" i="1"/>
  <c r="Q137" i="1"/>
  <c r="O137" i="1" l="1"/>
  <c r="Q138" i="1"/>
  <c r="P138" i="1"/>
  <c r="O138" i="1" l="1"/>
  <c r="Q139" i="1"/>
  <c r="P139" i="1"/>
  <c r="O139" i="1" l="1"/>
  <c r="Q140" i="1"/>
  <c r="P140" i="1"/>
  <c r="O140" i="1" l="1"/>
  <c r="Q141" i="1"/>
  <c r="P141" i="1"/>
  <c r="O141" i="1" l="1"/>
  <c r="P142" i="1"/>
  <c r="Q142" i="1"/>
  <c r="O142" i="1" l="1"/>
  <c r="P143" i="1"/>
  <c r="Q143" i="1"/>
  <c r="O143" i="1" l="1"/>
  <c r="P144" i="1"/>
  <c r="Q144" i="1"/>
  <c r="O144" i="1" l="1"/>
  <c r="Q145" i="1"/>
  <c r="P145" i="1"/>
  <c r="O145" i="1" l="1"/>
  <c r="P146" i="1"/>
  <c r="Q146" i="1"/>
  <c r="O146" i="1" l="1"/>
  <c r="Q147" i="1"/>
  <c r="P147" i="1"/>
  <c r="O147" i="1" l="1"/>
  <c r="P148" i="1"/>
  <c r="Q148" i="1"/>
  <c r="O148" i="1" l="1"/>
  <c r="P149" i="1"/>
  <c r="Q149" i="1"/>
  <c r="O149" i="1" l="1"/>
  <c r="P150" i="1"/>
  <c r="Q150" i="1"/>
  <c r="O150" i="1" l="1"/>
  <c r="Q151" i="1"/>
  <c r="P151" i="1"/>
  <c r="O151" i="1" l="1"/>
  <c r="Q152" i="1"/>
  <c r="P152" i="1"/>
  <c r="O152" i="1" l="1"/>
  <c r="Q153" i="1"/>
  <c r="P153" i="1"/>
  <c r="O153" i="1" l="1"/>
  <c r="Q154" i="1"/>
  <c r="P154" i="1"/>
  <c r="O154" i="1" l="1"/>
  <c r="P155" i="1"/>
  <c r="Q155" i="1"/>
  <c r="O155" i="1" l="1"/>
  <c r="Q156" i="1"/>
  <c r="P156" i="1"/>
  <c r="O156" i="1" l="1"/>
  <c r="P157" i="1"/>
  <c r="Q157" i="1"/>
  <c r="O157" i="1" l="1"/>
  <c r="Q158" i="1"/>
  <c r="P158" i="1"/>
  <c r="O158" i="1" l="1"/>
  <c r="P159" i="1"/>
  <c r="Q159" i="1"/>
  <c r="O159" i="1" l="1"/>
  <c r="P160" i="1"/>
  <c r="Q160" i="1"/>
  <c r="O160" i="1" l="1"/>
  <c r="P161" i="1"/>
  <c r="Q161" i="1"/>
  <c r="O161" i="1" l="1"/>
  <c r="Q162" i="1"/>
  <c r="P162" i="1"/>
  <c r="O162" i="1" l="1"/>
  <c r="Q163" i="1"/>
  <c r="P163" i="1"/>
  <c r="O163" i="1" l="1"/>
  <c r="P164" i="1"/>
  <c r="Q164" i="1"/>
  <c r="O164" i="1" l="1"/>
  <c r="P165" i="1"/>
  <c r="Q165" i="1"/>
  <c r="O165" i="1" l="1"/>
  <c r="P166" i="1"/>
  <c r="Q166" i="1"/>
  <c r="O166" i="1" l="1"/>
  <c r="Q167" i="1"/>
  <c r="P167" i="1"/>
  <c r="O167" i="1" l="1"/>
  <c r="P168" i="1"/>
  <c r="Q168" i="1"/>
  <c r="O168" i="1" l="1"/>
  <c r="Q169" i="1"/>
  <c r="P169" i="1"/>
  <c r="O169" i="1" l="1"/>
  <c r="Q170" i="1"/>
  <c r="P170" i="1"/>
  <c r="O170" i="1" l="1"/>
  <c r="Q171" i="1"/>
  <c r="P171" i="1"/>
  <c r="O171" i="1" l="1"/>
  <c r="Q172" i="1"/>
  <c r="P172" i="1"/>
  <c r="O172" i="1" l="1"/>
  <c r="Q173" i="1"/>
  <c r="P173" i="1"/>
  <c r="O173" i="1" l="1"/>
  <c r="Q174" i="1"/>
  <c r="P174" i="1"/>
  <c r="O174" i="1" l="1"/>
  <c r="P175" i="1"/>
  <c r="Q175" i="1"/>
  <c r="O175" i="1" l="1"/>
  <c r="P176" i="1"/>
  <c r="Q176" i="1"/>
  <c r="O176" i="1" l="1"/>
  <c r="Q177" i="1"/>
  <c r="P177" i="1"/>
  <c r="O177" i="1" l="1"/>
  <c r="P178" i="1"/>
  <c r="Q178" i="1"/>
  <c r="O178" i="1" l="1"/>
  <c r="Q179" i="1"/>
  <c r="P179" i="1"/>
  <c r="O179" i="1" l="1"/>
  <c r="P180" i="1"/>
  <c r="Q180" i="1"/>
  <c r="O180" i="1" l="1"/>
  <c r="Q181" i="1"/>
  <c r="P181" i="1"/>
  <c r="O181" i="1" l="1"/>
  <c r="P182" i="1"/>
  <c r="Q182" i="1"/>
  <c r="O182" i="1" l="1"/>
  <c r="Q183" i="1"/>
  <c r="P183" i="1"/>
  <c r="O183" i="1" l="1"/>
  <c r="P184" i="1"/>
  <c r="Q184" i="1"/>
  <c r="O184" i="1" l="1"/>
  <c r="P185" i="1"/>
  <c r="Q185" i="1"/>
  <c r="O185" i="1" l="1"/>
  <c r="P186" i="1"/>
  <c r="Q186" i="1"/>
  <c r="O186" i="1" l="1"/>
  <c r="Q187" i="1"/>
  <c r="P187" i="1"/>
  <c r="O187" i="1" l="1"/>
  <c r="P188" i="1"/>
  <c r="Q188" i="1"/>
  <c r="O188" i="1" l="1"/>
  <c r="P189" i="1"/>
  <c r="Q189" i="1"/>
  <c r="O189" i="1" l="1"/>
  <c r="Q190" i="1"/>
  <c r="P190" i="1"/>
  <c r="O190" i="1" l="1"/>
  <c r="Q191" i="1"/>
  <c r="P191" i="1"/>
  <c r="O191" i="1" l="1"/>
  <c r="P192" i="1"/>
  <c r="Q192" i="1"/>
  <c r="O192" i="1" l="1"/>
  <c r="Q193" i="1"/>
  <c r="P193" i="1"/>
  <c r="O193" i="1" l="1"/>
  <c r="P194" i="1"/>
  <c r="Q194" i="1"/>
  <c r="O194" i="1" l="1"/>
  <c r="P195" i="1"/>
  <c r="Q195" i="1"/>
  <c r="O195" i="1" l="1"/>
  <c r="P196" i="1"/>
  <c r="Q196" i="1"/>
  <c r="O196" i="1" l="1"/>
  <c r="P197" i="1"/>
  <c r="Q197" i="1"/>
  <c r="O197" i="1" l="1"/>
  <c r="P198" i="1"/>
  <c r="Q198" i="1"/>
  <c r="O198" i="1" l="1"/>
  <c r="P199" i="1"/>
  <c r="Q199" i="1"/>
  <c r="O199" i="1" l="1"/>
  <c r="P200" i="1"/>
  <c r="Q200" i="1"/>
  <c r="O200" i="1" l="1"/>
  <c r="P201" i="1"/>
  <c r="Q201" i="1"/>
  <c r="O201" i="1" l="1"/>
  <c r="Q202" i="1"/>
  <c r="P202" i="1"/>
  <c r="O202" i="1" l="1"/>
  <c r="P203" i="1"/>
  <c r="Q203" i="1"/>
  <c r="O203" i="1" l="1"/>
  <c r="P204" i="1"/>
  <c r="Q204" i="1"/>
  <c r="O204" i="1" l="1"/>
  <c r="P205" i="1"/>
  <c r="Q205" i="1"/>
  <c r="O205" i="1" l="1"/>
  <c r="Q206" i="1"/>
  <c r="P206" i="1"/>
  <c r="O206" i="1" l="1"/>
  <c r="P207" i="1"/>
  <c r="Q207" i="1"/>
  <c r="O207" i="1" l="1"/>
  <c r="P208" i="1"/>
  <c r="Q208" i="1"/>
  <c r="O208" i="1" l="1"/>
  <c r="P209" i="1"/>
  <c r="Q209" i="1"/>
  <c r="O209" i="1" l="1"/>
  <c r="Q210" i="1"/>
  <c r="P210" i="1"/>
  <c r="O210" i="1" l="1"/>
  <c r="Q211" i="1"/>
  <c r="P211" i="1"/>
  <c r="O211" i="1" l="1"/>
  <c r="Q212" i="1"/>
  <c r="P212" i="1"/>
  <c r="O212" i="1" l="1"/>
  <c r="Q213" i="1"/>
  <c r="P213" i="1"/>
  <c r="O213" i="1" l="1"/>
  <c r="Q214" i="1"/>
  <c r="P214" i="1"/>
  <c r="O214" i="1" l="1"/>
  <c r="Q215" i="1"/>
  <c r="P215" i="1"/>
  <c r="O215" i="1" l="1"/>
  <c r="P216" i="1"/>
  <c r="Q216" i="1"/>
  <c r="O216" i="1" l="1"/>
  <c r="P217" i="1"/>
  <c r="Q217" i="1"/>
  <c r="O217" i="1" l="1"/>
  <c r="Q218" i="1"/>
  <c r="P218" i="1"/>
  <c r="O218" i="1" l="1"/>
  <c r="Q219" i="1"/>
  <c r="P219" i="1"/>
  <c r="O219" i="1" l="1"/>
  <c r="P220" i="1"/>
  <c r="Q220" i="1"/>
  <c r="O220" i="1" l="1"/>
  <c r="Q221" i="1"/>
  <c r="P221" i="1"/>
  <c r="O221" i="1" l="1"/>
  <c r="P222" i="1"/>
  <c r="Q222" i="1"/>
  <c r="O222" i="1" l="1"/>
  <c r="P223" i="1"/>
  <c r="Q223" i="1"/>
  <c r="O223" i="1" l="1"/>
  <c r="Q224" i="1"/>
  <c r="P224" i="1"/>
  <c r="O224" i="1" l="1"/>
  <c r="Q225" i="1"/>
  <c r="P225" i="1"/>
  <c r="O225" i="1" l="1"/>
  <c r="Q226" i="1"/>
  <c r="P226" i="1"/>
  <c r="O226" i="1" l="1"/>
  <c r="Q227" i="1"/>
  <c r="P227" i="1"/>
  <c r="O227" i="1" l="1"/>
  <c r="Q228" i="1"/>
  <c r="P228" i="1"/>
  <c r="O228" i="1" l="1"/>
  <c r="Q229" i="1"/>
  <c r="P229" i="1"/>
  <c r="O229" i="1" l="1"/>
  <c r="P230" i="1"/>
  <c r="Q230" i="1"/>
  <c r="O230" i="1" l="1"/>
  <c r="P231" i="1"/>
  <c r="Q231" i="1"/>
  <c r="O231" i="1" l="1"/>
  <c r="Q232" i="1"/>
  <c r="P232" i="1"/>
  <c r="O232" i="1" l="1"/>
  <c r="P233" i="1"/>
  <c r="Q233" i="1"/>
  <c r="O233" i="1" l="1"/>
  <c r="P234" i="1"/>
  <c r="Q234" i="1"/>
  <c r="O234" i="1" l="1"/>
  <c r="Q235" i="1"/>
  <c r="P235" i="1"/>
  <c r="O235" i="1" l="1"/>
  <c r="P236" i="1"/>
  <c r="Q236" i="1"/>
  <c r="O236" i="1" l="1"/>
  <c r="Q237" i="1"/>
  <c r="P237" i="1"/>
  <c r="O237" i="1" l="1"/>
  <c r="Q238" i="1"/>
  <c r="P238" i="1"/>
  <c r="O238" i="1" l="1"/>
  <c r="Q239" i="1"/>
  <c r="P239" i="1"/>
  <c r="O239" i="1" l="1"/>
  <c r="P240" i="1"/>
  <c r="Q240" i="1"/>
  <c r="O240" i="1" l="1"/>
  <c r="P241" i="1"/>
  <c r="Q241" i="1"/>
  <c r="O241" i="1" l="1"/>
  <c r="P242" i="1"/>
  <c r="Q242" i="1"/>
  <c r="O242" i="1" l="1"/>
  <c r="Q243" i="1"/>
  <c r="P243" i="1"/>
  <c r="O243" i="1" l="1"/>
  <c r="P244" i="1"/>
  <c r="Q244" i="1"/>
  <c r="O244" i="1" l="1"/>
  <c r="P245" i="1"/>
  <c r="Q245" i="1"/>
  <c r="O245" i="1" l="1"/>
  <c r="Q246" i="1"/>
  <c r="P246" i="1"/>
  <c r="O246" i="1" l="1"/>
  <c r="P247" i="1"/>
  <c r="Q247" i="1"/>
  <c r="O247" i="1" l="1"/>
  <c r="Q248" i="1"/>
  <c r="P248" i="1"/>
  <c r="O248" i="1" l="1"/>
  <c r="Q249" i="1"/>
  <c r="P249" i="1"/>
  <c r="O249" i="1" l="1"/>
  <c r="P250" i="1"/>
  <c r="Q250" i="1"/>
  <c r="O250" i="1" l="1"/>
  <c r="P251" i="1"/>
  <c r="Q251" i="1"/>
  <c r="O251" i="1" l="1"/>
  <c r="P252" i="1"/>
  <c r="Q252" i="1"/>
  <c r="O252" i="1" l="1"/>
  <c r="P253" i="1"/>
  <c r="Q253" i="1"/>
  <c r="O253" i="1" l="1"/>
  <c r="P254" i="1"/>
  <c r="Q254" i="1"/>
  <c r="O254" i="1" l="1"/>
  <c r="Q255" i="1"/>
  <c r="P255" i="1"/>
  <c r="O255" i="1" l="1"/>
  <c r="P256" i="1"/>
  <c r="Q256" i="1"/>
  <c r="O256" i="1" l="1"/>
  <c r="Q257" i="1"/>
  <c r="P257" i="1"/>
  <c r="O257" i="1" l="1"/>
  <c r="P258" i="1"/>
  <c r="Q258" i="1"/>
  <c r="O258" i="1" l="1"/>
  <c r="P259" i="1"/>
  <c r="Q259" i="1"/>
  <c r="O259" i="1" l="1"/>
  <c r="P260" i="1"/>
  <c r="Q260" i="1"/>
  <c r="O260" i="1" l="1"/>
  <c r="P261" i="1"/>
  <c r="Q261" i="1"/>
  <c r="O261" i="1" l="1"/>
  <c r="P262" i="1"/>
  <c r="Q262" i="1"/>
  <c r="O262" i="1" l="1"/>
  <c r="P263" i="1"/>
  <c r="Q263" i="1"/>
  <c r="O263" i="1" l="1"/>
  <c r="Q264" i="1"/>
  <c r="P264" i="1"/>
  <c r="O264" i="1" l="1"/>
  <c r="P265" i="1"/>
  <c r="Q265" i="1"/>
  <c r="O265" i="1" l="1"/>
  <c r="Q266" i="1"/>
  <c r="P266" i="1"/>
  <c r="O266" i="1" l="1"/>
  <c r="Q267" i="1"/>
  <c r="P267" i="1"/>
  <c r="O267" i="1" l="1"/>
  <c r="Q268" i="1"/>
  <c r="P268" i="1"/>
  <c r="O268" i="1" l="1"/>
  <c r="P269" i="1"/>
  <c r="Q269" i="1"/>
  <c r="O269" i="1" l="1"/>
  <c r="P270" i="1"/>
  <c r="Q270" i="1"/>
  <c r="O270" i="1" l="1"/>
  <c r="P271" i="1"/>
  <c r="Q271" i="1"/>
  <c r="O271" i="1" l="1"/>
  <c r="P272" i="1"/>
  <c r="Q272" i="1"/>
  <c r="O272" i="1" l="1"/>
  <c r="Q273" i="1"/>
  <c r="P273" i="1"/>
  <c r="O273" i="1" l="1"/>
  <c r="Q274" i="1"/>
  <c r="P274" i="1"/>
  <c r="O274" i="1" l="1"/>
  <c r="P275" i="1"/>
  <c r="Q275" i="1"/>
  <c r="O275" i="1" l="1"/>
  <c r="Q276" i="1"/>
  <c r="P276" i="1"/>
  <c r="O276" i="1" l="1"/>
  <c r="Q277" i="1"/>
  <c r="P277" i="1"/>
  <c r="O277" i="1" l="1"/>
  <c r="P278" i="1"/>
  <c r="Q278" i="1"/>
  <c r="O278" i="1" l="1"/>
  <c r="P279" i="1"/>
  <c r="Q279" i="1"/>
  <c r="G3" i="1" l="1"/>
  <c r="O279" i="1"/>
</calcChain>
</file>

<file path=xl/sharedStrings.xml><?xml version="1.0" encoding="utf-8"?>
<sst xmlns="http://schemas.openxmlformats.org/spreadsheetml/2006/main" count="16" uniqueCount="13">
  <si>
    <r>
      <t>t</t>
    </r>
    <r>
      <rPr>
        <b/>
        <i/>
        <vertAlign val="subscript"/>
        <sz val="14"/>
        <color theme="1"/>
        <rFont val="Calibri"/>
        <family val="2"/>
        <scheme val="minor"/>
      </rPr>
      <t>i</t>
    </r>
  </si>
  <si>
    <r>
      <t>v</t>
    </r>
    <r>
      <rPr>
        <b/>
        <i/>
        <vertAlign val="subscript"/>
        <sz val="14"/>
        <color theme="1"/>
        <rFont val="Calibri"/>
        <family val="2"/>
        <scheme val="minor"/>
      </rPr>
      <t>i</t>
    </r>
  </si>
  <si>
    <r>
      <t>y</t>
    </r>
    <r>
      <rPr>
        <b/>
        <i/>
        <vertAlign val="subscript"/>
        <sz val="14"/>
        <color theme="1"/>
        <rFont val="Calibri"/>
        <family val="2"/>
        <scheme val="minor"/>
      </rPr>
      <t>i</t>
    </r>
  </si>
  <si>
    <t>Max Altura</t>
  </si>
  <si>
    <t>=TimerNow()</t>
  </si>
  <si>
    <t>Application.RTD.ThrottleInterval = 10</t>
  </si>
  <si>
    <t>(Alt+F11)En inmediato, se cambia el valor para incrementar el evento del tiempo o disminuirlo</t>
  </si>
  <si>
    <t>asigna -&gt;</t>
  </si>
  <si>
    <t>consulta-&gt;</t>
  </si>
  <si>
    <t>? Application.RTD.ThrottleInterval</t>
  </si>
  <si>
    <t>Combustible</t>
  </si>
  <si>
    <t>Acel.</t>
  </si>
  <si>
    <t>https://www.youtube.com/watch?v=3OQTavLH_2I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</si>
</sst>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&quot;Masa del cohete: &quot;General&quot; kg &quot;"/>
    <numFmt numFmtId="165" formatCode="&quot;Masa Combustible: &quot;General&quot; kg &quot;"/>
    <numFmt numFmtId="166" formatCode="&quot;h = &quot;General&quot; s&quot;"/>
    <numFmt numFmtId="167" formatCode="General&quot; s &quot;"/>
    <numFmt numFmtId="168" formatCode="General&quot; m/s &quot;"/>
    <numFmt numFmtId="169" formatCode="General&quot; m &quot;"/>
    <numFmt numFmtId="170" formatCode="0.0&quot; g &quot;"/>
  </numFmts>
  <fonts count="4" x14ac:knownFonts="1">
    <font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vertAlign val="subscript"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167" fontId="0" fillId="0" borderId="0" xfId="0" applyNumberFormat="1"/>
    <xf numFmtId="168" fontId="0" fillId="0" borderId="0" xfId="0" applyNumberFormat="1"/>
    <xf numFmtId="166" fontId="0" fillId="2" borderId="0" xfId="0" applyNumberFormat="1" applyFill="1" applyAlignment="1">
      <alignment horizontal="left"/>
    </xf>
    <xf numFmtId="0" fontId="0" fillId="2" borderId="0" xfId="0" applyFill="1"/>
    <xf numFmtId="167" fontId="0" fillId="0" borderId="0" xfId="0" applyNumberFormat="1" applyAlignment="1">
      <alignment horizontal="center"/>
    </xf>
    <xf numFmtId="169" fontId="0" fillId="0" borderId="0" xfId="0" applyNumberFormat="1"/>
    <xf numFmtId="0" fontId="0" fillId="3" borderId="0" xfId="0" quotePrefix="1" applyFill="1"/>
    <xf numFmtId="0" fontId="1" fillId="4" borderId="1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9" fontId="0" fillId="0" borderId="0" xfId="1" applyFont="1" applyAlignment="1">
      <alignment horizontal="center"/>
    </xf>
    <xf numFmtId="170" fontId="0" fillId="0" borderId="0" xfId="0" applyNumberFormat="1" applyAlignment="1">
      <alignment horizontal="center"/>
    </xf>
  </cellXfs>
  <cellStyles count="2">
    <cellStyle name="Normal" xfId="0" builtinId="0"/>
    <cellStyle name="Porcentaje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Velocidad</a:t>
            </a:r>
            <a:r>
              <a:rPr lang="es-CO" baseline="0"/>
              <a:t> vs Tiempo</a:t>
            </a:r>
            <a:endParaRPr lang="es-CO"/>
          </a:p>
        </c:rich>
      </c:tx>
      <c:layout/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555805722072319"/>
          <c:y val="2.3192974144260282E-2"/>
          <c:w val="0.83672072067364689"/>
          <c:h val="0.92476274938629222"/>
        </c:manualLayout>
      </c:layout>
      <c:scatterChart>
        <c:scatterStyle val="smoothMarker"/>
        <c:varyColors val="0"/>
        <c:ser>
          <c:idx val="0"/>
          <c:order val="0"/>
          <c:tx>
            <c:v>Velocidad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Hoja1!$O$6:$O$300</c:f>
              <c:numCache>
                <c:formatCode>General" s "</c:formatCode>
                <c:ptCount val="295"/>
                <c:pt idx="0">
                  <c:v>0</c:v>
                </c:pt>
                <c:pt idx="1">
                  <c:v>0.34</c:v>
                </c:pt>
                <c:pt idx="2">
                  <c:v>0.68</c:v>
                </c:pt>
                <c:pt idx="3">
                  <c:v>1.02</c:v>
                </c:pt>
                <c:pt idx="4">
                  <c:v>1.36</c:v>
                </c:pt>
                <c:pt idx="5">
                  <c:v>1.7000000000000002</c:v>
                </c:pt>
                <c:pt idx="6">
                  <c:v>2.04</c:v>
                </c:pt>
                <c:pt idx="7">
                  <c:v>2.38</c:v>
                </c:pt>
                <c:pt idx="8">
                  <c:v>2.7199999999999998</c:v>
                </c:pt>
                <c:pt idx="9">
                  <c:v>3.0599999999999996</c:v>
                </c:pt>
                <c:pt idx="10">
                  <c:v>3.3999999999999995</c:v>
                </c:pt>
                <c:pt idx="11">
                  <c:v>3.7399999999999993</c:v>
                </c:pt>
                <c:pt idx="12">
                  <c:v>4.0799999999999992</c:v>
                </c:pt>
                <c:pt idx="13">
                  <c:v>4.419999999999999</c:v>
                </c:pt>
                <c:pt idx="14">
                  <c:v>4.7599999999999989</c:v>
                </c:pt>
                <c:pt idx="15">
                  <c:v>5.0999999999999988</c:v>
                </c:pt>
                <c:pt idx="16">
                  <c:v>5.4399999999999986</c:v>
                </c:pt>
                <c:pt idx="17">
                  <c:v>5.7799999999999985</c:v>
                </c:pt>
                <c:pt idx="18">
                  <c:v>6.1199999999999983</c:v>
                </c:pt>
                <c:pt idx="19">
                  <c:v>6.4599999999999982</c:v>
                </c:pt>
                <c:pt idx="20">
                  <c:v>6.799999999999998</c:v>
                </c:pt>
                <c:pt idx="21">
                  <c:v>7.1399999999999979</c:v>
                </c:pt>
                <c:pt idx="22">
                  <c:v>7.4799999999999978</c:v>
                </c:pt>
                <c:pt idx="23">
                  <c:v>7.8199999999999976</c:v>
                </c:pt>
                <c:pt idx="24">
                  <c:v>8.1599999999999984</c:v>
                </c:pt>
                <c:pt idx="25">
                  <c:v>8.4999999999999982</c:v>
                </c:pt>
                <c:pt idx="26">
                  <c:v>8.8399999999999981</c:v>
                </c:pt>
                <c:pt idx="27">
                  <c:v>9.1799999999999979</c:v>
                </c:pt>
                <c:pt idx="28">
                  <c:v>9.5199999999999978</c:v>
                </c:pt>
                <c:pt idx="29">
                  <c:v>9.8599999999999977</c:v>
                </c:pt>
                <c:pt idx="30">
                  <c:v>10.199999999999998</c:v>
                </c:pt>
                <c:pt idx="31">
                  <c:v>10.539999999999997</c:v>
                </c:pt>
                <c:pt idx="32">
                  <c:v>10.879999999999997</c:v>
                </c:pt>
                <c:pt idx="33">
                  <c:v>11.219999999999997</c:v>
                </c:pt>
                <c:pt idx="34">
                  <c:v>11.559999999999997</c:v>
                </c:pt>
                <c:pt idx="35">
                  <c:v>11.899999999999997</c:v>
                </c:pt>
                <c:pt idx="36">
                  <c:v>12.239999999999997</c:v>
                </c:pt>
                <c:pt idx="37">
                  <c:v>12.579999999999997</c:v>
                </c:pt>
                <c:pt idx="38">
                  <c:v>12.919999999999996</c:v>
                </c:pt>
                <c:pt idx="39">
                  <c:v>13.259999999999996</c:v>
                </c:pt>
                <c:pt idx="40">
                  <c:v>13.599999999999996</c:v>
                </c:pt>
                <c:pt idx="41">
                  <c:v>13.939999999999996</c:v>
                </c:pt>
                <c:pt idx="42">
                  <c:v>14.279999999999996</c:v>
                </c:pt>
                <c:pt idx="43">
                  <c:v>14.619999999999996</c:v>
                </c:pt>
                <c:pt idx="44">
                  <c:v>14.959999999999996</c:v>
                </c:pt>
                <c:pt idx="45">
                  <c:v>15.299999999999995</c:v>
                </c:pt>
                <c:pt idx="46">
                  <c:v>15.639999999999995</c:v>
                </c:pt>
                <c:pt idx="47">
                  <c:v>15.979999999999995</c:v>
                </c:pt>
                <c:pt idx="48">
                  <c:v>16.319999999999997</c:v>
                </c:pt>
                <c:pt idx="49">
                  <c:v>16.659999999999997</c:v>
                </c:pt>
                <c:pt idx="50">
                  <c:v>16.999999999999996</c:v>
                </c:pt>
                <c:pt idx="51">
                  <c:v>17.339999999999996</c:v>
                </c:pt>
                <c:pt idx="52">
                  <c:v>17.679999999999996</c:v>
                </c:pt>
                <c:pt idx="53">
                  <c:v>18.019999999999996</c:v>
                </c:pt>
                <c:pt idx="54">
                  <c:v>18.359999999999996</c:v>
                </c:pt>
                <c:pt idx="55">
                  <c:v>18.699999999999996</c:v>
                </c:pt>
                <c:pt idx="56">
                  <c:v>19.039999999999996</c:v>
                </c:pt>
                <c:pt idx="57">
                  <c:v>19.379999999999995</c:v>
                </c:pt>
                <c:pt idx="58">
                  <c:v>19.719999999999995</c:v>
                </c:pt>
                <c:pt idx="59">
                  <c:v>20.059999999999995</c:v>
                </c:pt>
                <c:pt idx="60">
                  <c:v>20.399999999999995</c:v>
                </c:pt>
                <c:pt idx="61">
                  <c:v>20.739999999999995</c:v>
                </c:pt>
                <c:pt idx="62">
                  <c:v>21.079999999999995</c:v>
                </c:pt>
                <c:pt idx="63">
                  <c:v>21.419999999999995</c:v>
                </c:pt>
                <c:pt idx="64">
                  <c:v>21.759999999999994</c:v>
                </c:pt>
                <c:pt idx="65">
                  <c:v>22.099999999999994</c:v>
                </c:pt>
                <c:pt idx="66">
                  <c:v>22.439999999999994</c:v>
                </c:pt>
                <c:pt idx="67">
                  <c:v>22.779999999999994</c:v>
                </c:pt>
                <c:pt idx="68">
                  <c:v>23.119999999999994</c:v>
                </c:pt>
                <c:pt idx="69">
                  <c:v>23.459999999999994</c:v>
                </c:pt>
                <c:pt idx="70">
                  <c:v>23.799999999999994</c:v>
                </c:pt>
                <c:pt idx="71">
                  <c:v>24.139999999999993</c:v>
                </c:pt>
                <c:pt idx="72">
                  <c:v>24.479999999999993</c:v>
                </c:pt>
                <c:pt idx="73">
                  <c:v>24.819999999999993</c:v>
                </c:pt>
                <c:pt idx="74">
                  <c:v>25.159999999999993</c:v>
                </c:pt>
                <c:pt idx="75">
                  <c:v>25.499999999999993</c:v>
                </c:pt>
                <c:pt idx="76">
                  <c:v>25.839999999999993</c:v>
                </c:pt>
                <c:pt idx="77">
                  <c:v>26.179999999999993</c:v>
                </c:pt>
                <c:pt idx="78">
                  <c:v>26.519999999999992</c:v>
                </c:pt>
                <c:pt idx="79">
                  <c:v>26.859999999999992</c:v>
                </c:pt>
                <c:pt idx="80">
                  <c:v>27.199999999999992</c:v>
                </c:pt>
                <c:pt idx="81">
                  <c:v>27.539999999999992</c:v>
                </c:pt>
                <c:pt idx="82">
                  <c:v>27.879999999999992</c:v>
                </c:pt>
                <c:pt idx="83">
                  <c:v>28.219999999999992</c:v>
                </c:pt>
                <c:pt idx="84">
                  <c:v>28.559999999999992</c:v>
                </c:pt>
                <c:pt idx="85">
                  <c:v>28.899999999999991</c:v>
                </c:pt>
                <c:pt idx="86">
                  <c:v>29.239999999999991</c:v>
                </c:pt>
                <c:pt idx="87">
                  <c:v>29.579999999999991</c:v>
                </c:pt>
                <c:pt idx="88">
                  <c:v>29.919999999999991</c:v>
                </c:pt>
                <c:pt idx="89">
                  <c:v>30.259999999999991</c:v>
                </c:pt>
                <c:pt idx="90">
                  <c:v>30.599999999999991</c:v>
                </c:pt>
                <c:pt idx="91">
                  <c:v>30.939999999999991</c:v>
                </c:pt>
                <c:pt idx="92">
                  <c:v>31.27999999999999</c:v>
                </c:pt>
                <c:pt idx="93">
                  <c:v>31.61999999999999</c:v>
                </c:pt>
                <c:pt idx="94">
                  <c:v>31.95999999999999</c:v>
                </c:pt>
                <c:pt idx="95">
                  <c:v>32.29999999999999</c:v>
                </c:pt>
                <c:pt idx="96">
                  <c:v>32.639999999999993</c:v>
                </c:pt>
                <c:pt idx="97">
                  <c:v>32.979999999999997</c:v>
                </c:pt>
                <c:pt idx="98">
                  <c:v>33.32</c:v>
                </c:pt>
                <c:pt idx="99">
                  <c:v>33.660000000000004</c:v>
                </c:pt>
                <c:pt idx="100">
                  <c:v>34.000000000000007</c:v>
                </c:pt>
                <c:pt idx="101">
                  <c:v>34.340000000000011</c:v>
                </c:pt>
                <c:pt idx="102">
                  <c:v>34.680000000000014</c:v>
                </c:pt>
                <c:pt idx="103">
                  <c:v>35.020000000000017</c:v>
                </c:pt>
                <c:pt idx="104">
                  <c:v>35.360000000000021</c:v>
                </c:pt>
                <c:pt idx="105">
                  <c:v>35.700000000000024</c:v>
                </c:pt>
                <c:pt idx="106">
                  <c:v>36.040000000000028</c:v>
                </c:pt>
                <c:pt idx="107">
                  <c:v>36.380000000000031</c:v>
                </c:pt>
                <c:pt idx="108">
                  <c:v>36.720000000000034</c:v>
                </c:pt>
                <c:pt idx="109">
                  <c:v>37.060000000000038</c:v>
                </c:pt>
                <c:pt idx="110">
                  <c:v>37.400000000000041</c:v>
                </c:pt>
                <c:pt idx="111">
                  <c:v>37.740000000000045</c:v>
                </c:pt>
                <c:pt idx="112">
                  <c:v>38.080000000000048</c:v>
                </c:pt>
                <c:pt idx="113">
                  <c:v>38.420000000000051</c:v>
                </c:pt>
                <c:pt idx="114">
                  <c:v>38.760000000000055</c:v>
                </c:pt>
                <c:pt idx="115">
                  <c:v>39.100000000000058</c:v>
                </c:pt>
                <c:pt idx="116">
                  <c:v>39.440000000000062</c:v>
                </c:pt>
                <c:pt idx="117">
                  <c:v>39.780000000000065</c:v>
                </c:pt>
                <c:pt idx="118">
                  <c:v>40.120000000000068</c:v>
                </c:pt>
                <c:pt idx="119">
                  <c:v>40.460000000000072</c:v>
                </c:pt>
                <c:pt idx="120">
                  <c:v>40.800000000000075</c:v>
                </c:pt>
                <c:pt idx="121">
                  <c:v>41.140000000000079</c:v>
                </c:pt>
                <c:pt idx="122">
                  <c:v>41.480000000000082</c:v>
                </c:pt>
                <c:pt idx="123">
                  <c:v>41.820000000000086</c:v>
                </c:pt>
                <c:pt idx="124">
                  <c:v>42.160000000000089</c:v>
                </c:pt>
                <c:pt idx="125">
                  <c:v>42.500000000000092</c:v>
                </c:pt>
                <c:pt idx="126">
                  <c:v>42.840000000000096</c:v>
                </c:pt>
                <c:pt idx="127">
                  <c:v>43.180000000000099</c:v>
                </c:pt>
                <c:pt idx="128">
                  <c:v>43.520000000000103</c:v>
                </c:pt>
                <c:pt idx="129">
                  <c:v>43.860000000000106</c:v>
                </c:pt>
                <c:pt idx="130">
                  <c:v>44.200000000000109</c:v>
                </c:pt>
                <c:pt idx="131">
                  <c:v>44.540000000000113</c:v>
                </c:pt>
                <c:pt idx="132">
                  <c:v>44.880000000000116</c:v>
                </c:pt>
                <c:pt idx="133">
                  <c:v>45.22000000000012</c:v>
                </c:pt>
                <c:pt idx="134">
                  <c:v>45.560000000000123</c:v>
                </c:pt>
                <c:pt idx="135">
                  <c:v>45.900000000000126</c:v>
                </c:pt>
                <c:pt idx="136">
                  <c:v>46.24000000000013</c:v>
                </c:pt>
                <c:pt idx="137">
                  <c:v>46.580000000000133</c:v>
                </c:pt>
                <c:pt idx="138">
                  <c:v>46.920000000000137</c:v>
                </c:pt>
                <c:pt idx="139">
                  <c:v>47.26000000000014</c:v>
                </c:pt>
                <c:pt idx="140">
                  <c:v>47.600000000000144</c:v>
                </c:pt>
                <c:pt idx="141">
                  <c:v>47.940000000000147</c:v>
                </c:pt>
                <c:pt idx="142">
                  <c:v>48.28000000000015</c:v>
                </c:pt>
                <c:pt idx="143">
                  <c:v>48.620000000000154</c:v>
                </c:pt>
                <c:pt idx="144">
                  <c:v>48.960000000000157</c:v>
                </c:pt>
                <c:pt idx="145">
                  <c:v>49.300000000000161</c:v>
                </c:pt>
                <c:pt idx="146">
                  <c:v>49.640000000000164</c:v>
                </c:pt>
                <c:pt idx="147">
                  <c:v>49.980000000000167</c:v>
                </c:pt>
                <c:pt idx="148">
                  <c:v>50.320000000000171</c:v>
                </c:pt>
                <c:pt idx="149">
                  <c:v>50.660000000000174</c:v>
                </c:pt>
                <c:pt idx="150">
                  <c:v>51.000000000000178</c:v>
                </c:pt>
                <c:pt idx="151">
                  <c:v>51.340000000000181</c:v>
                </c:pt>
                <c:pt idx="152">
                  <c:v>51.680000000000184</c:v>
                </c:pt>
                <c:pt idx="153">
                  <c:v>52.020000000000188</c:v>
                </c:pt>
                <c:pt idx="154">
                  <c:v>52.360000000000191</c:v>
                </c:pt>
                <c:pt idx="155">
                  <c:v>52.700000000000195</c:v>
                </c:pt>
                <c:pt idx="156">
                  <c:v>53.040000000000198</c:v>
                </c:pt>
                <c:pt idx="157">
                  <c:v>53.380000000000202</c:v>
                </c:pt>
                <c:pt idx="158">
                  <c:v>53.720000000000205</c:v>
                </c:pt>
                <c:pt idx="159">
                  <c:v>54.060000000000208</c:v>
                </c:pt>
                <c:pt idx="160">
                  <c:v>54.400000000000212</c:v>
                </c:pt>
                <c:pt idx="161">
                  <c:v>54.740000000000215</c:v>
                </c:pt>
                <c:pt idx="162">
                  <c:v>55.080000000000219</c:v>
                </c:pt>
                <c:pt idx="163">
                  <c:v>55.420000000000222</c:v>
                </c:pt>
                <c:pt idx="164">
                  <c:v>55.760000000000225</c:v>
                </c:pt>
                <c:pt idx="165">
                  <c:v>56.100000000000229</c:v>
                </c:pt>
                <c:pt idx="166">
                  <c:v>56.440000000000232</c:v>
                </c:pt>
                <c:pt idx="167">
                  <c:v>56.780000000000236</c:v>
                </c:pt>
                <c:pt idx="168">
                  <c:v>57.120000000000239</c:v>
                </c:pt>
                <c:pt idx="169">
                  <c:v>57.460000000000242</c:v>
                </c:pt>
                <c:pt idx="170">
                  <c:v>57.800000000000246</c:v>
                </c:pt>
                <c:pt idx="171">
                  <c:v>58.140000000000249</c:v>
                </c:pt>
                <c:pt idx="172">
                  <c:v>58.480000000000253</c:v>
                </c:pt>
                <c:pt idx="173">
                  <c:v>58.820000000000256</c:v>
                </c:pt>
                <c:pt idx="174">
                  <c:v>59.160000000000259</c:v>
                </c:pt>
                <c:pt idx="175">
                  <c:v>59.500000000000263</c:v>
                </c:pt>
                <c:pt idx="176">
                  <c:v>59.840000000000266</c:v>
                </c:pt>
                <c:pt idx="177">
                  <c:v>60.18000000000027</c:v>
                </c:pt>
                <c:pt idx="178">
                  <c:v>60.520000000000273</c:v>
                </c:pt>
                <c:pt idx="179">
                  <c:v>60.860000000000277</c:v>
                </c:pt>
                <c:pt idx="180">
                  <c:v>61.20000000000028</c:v>
                </c:pt>
                <c:pt idx="181">
                  <c:v>61.540000000000283</c:v>
                </c:pt>
                <c:pt idx="182">
                  <c:v>61.880000000000287</c:v>
                </c:pt>
                <c:pt idx="183">
                  <c:v>62.22000000000029</c:v>
                </c:pt>
                <c:pt idx="184">
                  <c:v>62.560000000000294</c:v>
                </c:pt>
                <c:pt idx="185">
                  <c:v>62.900000000000297</c:v>
                </c:pt>
                <c:pt idx="186">
                  <c:v>63.2400000000003</c:v>
                </c:pt>
                <c:pt idx="187">
                  <c:v>63.580000000000304</c:v>
                </c:pt>
                <c:pt idx="188">
                  <c:v>63.920000000000307</c:v>
                </c:pt>
                <c:pt idx="189">
                  <c:v>64.260000000000304</c:v>
                </c:pt>
                <c:pt idx="190">
                  <c:v>64.600000000000307</c:v>
                </c:pt>
                <c:pt idx="191">
                  <c:v>64.94000000000031</c:v>
                </c:pt>
                <c:pt idx="192">
                  <c:v>65.280000000000314</c:v>
                </c:pt>
                <c:pt idx="193">
                  <c:v>65.620000000000317</c:v>
                </c:pt>
                <c:pt idx="194">
                  <c:v>65.960000000000321</c:v>
                </c:pt>
                <c:pt idx="195">
                  <c:v>66.300000000000324</c:v>
                </c:pt>
                <c:pt idx="196">
                  <c:v>66.640000000000327</c:v>
                </c:pt>
                <c:pt idx="197">
                  <c:v>66.980000000000331</c:v>
                </c:pt>
                <c:pt idx="198">
                  <c:v>67.320000000000334</c:v>
                </c:pt>
                <c:pt idx="199">
                  <c:v>67.660000000000338</c:v>
                </c:pt>
                <c:pt idx="200">
                  <c:v>68.000000000000341</c:v>
                </c:pt>
                <c:pt idx="201">
                  <c:v>68.340000000000344</c:v>
                </c:pt>
                <c:pt idx="202">
                  <c:v>68.680000000000348</c:v>
                </c:pt>
                <c:pt idx="203">
                  <c:v>69.020000000000351</c:v>
                </c:pt>
                <c:pt idx="204">
                  <c:v>69.360000000000355</c:v>
                </c:pt>
                <c:pt idx="205">
                  <c:v>69.700000000000358</c:v>
                </c:pt>
                <c:pt idx="206">
                  <c:v>70.040000000000362</c:v>
                </c:pt>
                <c:pt idx="207">
                  <c:v>70.380000000000365</c:v>
                </c:pt>
                <c:pt idx="208">
                  <c:v>70.720000000000368</c:v>
                </c:pt>
                <c:pt idx="209">
                  <c:v>71.060000000000372</c:v>
                </c:pt>
                <c:pt idx="210">
                  <c:v>71.400000000000375</c:v>
                </c:pt>
                <c:pt idx="211">
                  <c:v>71.740000000000379</c:v>
                </c:pt>
                <c:pt idx="212">
                  <c:v>72.080000000000382</c:v>
                </c:pt>
                <c:pt idx="213">
                  <c:v>72.420000000000385</c:v>
                </c:pt>
                <c:pt idx="214">
                  <c:v>72.760000000000389</c:v>
                </c:pt>
                <c:pt idx="215">
                  <c:v>73.100000000000392</c:v>
                </c:pt>
                <c:pt idx="216">
                  <c:v>73.440000000000396</c:v>
                </c:pt>
                <c:pt idx="217">
                  <c:v>73.780000000000399</c:v>
                </c:pt>
                <c:pt idx="218">
                  <c:v>74.120000000000402</c:v>
                </c:pt>
                <c:pt idx="219">
                  <c:v>74.460000000000406</c:v>
                </c:pt>
                <c:pt idx="220">
                  <c:v>74.800000000000409</c:v>
                </c:pt>
                <c:pt idx="221">
                  <c:v>75.140000000000413</c:v>
                </c:pt>
                <c:pt idx="222">
                  <c:v>75.480000000000416</c:v>
                </c:pt>
                <c:pt idx="223">
                  <c:v>75.82000000000042</c:v>
                </c:pt>
                <c:pt idx="224">
                  <c:v>76.160000000000423</c:v>
                </c:pt>
                <c:pt idx="225">
                  <c:v>76.500000000000426</c:v>
                </c:pt>
                <c:pt idx="226">
                  <c:v>76.84000000000043</c:v>
                </c:pt>
                <c:pt idx="227">
                  <c:v>77.180000000000433</c:v>
                </c:pt>
                <c:pt idx="228">
                  <c:v>77.520000000000437</c:v>
                </c:pt>
                <c:pt idx="229">
                  <c:v>77.86000000000044</c:v>
                </c:pt>
                <c:pt idx="230">
                  <c:v>78.200000000000443</c:v>
                </c:pt>
                <c:pt idx="231">
                  <c:v>78.540000000000447</c:v>
                </c:pt>
                <c:pt idx="232">
                  <c:v>78.88000000000045</c:v>
                </c:pt>
                <c:pt idx="233">
                  <c:v>79.220000000000454</c:v>
                </c:pt>
                <c:pt idx="234">
                  <c:v>79.560000000000457</c:v>
                </c:pt>
                <c:pt idx="235">
                  <c:v>79.90000000000046</c:v>
                </c:pt>
                <c:pt idx="236">
                  <c:v>80.240000000000464</c:v>
                </c:pt>
                <c:pt idx="237">
                  <c:v>80.580000000000467</c:v>
                </c:pt>
                <c:pt idx="238">
                  <c:v>80.920000000000471</c:v>
                </c:pt>
                <c:pt idx="239">
                  <c:v>81.260000000000474</c:v>
                </c:pt>
                <c:pt idx="240">
                  <c:v>81.600000000000477</c:v>
                </c:pt>
                <c:pt idx="241">
                  <c:v>81.940000000000481</c:v>
                </c:pt>
                <c:pt idx="242">
                  <c:v>82.280000000000484</c:v>
                </c:pt>
                <c:pt idx="243">
                  <c:v>82.620000000000488</c:v>
                </c:pt>
                <c:pt idx="244">
                  <c:v>82.960000000000491</c:v>
                </c:pt>
                <c:pt idx="245">
                  <c:v>83.300000000000495</c:v>
                </c:pt>
                <c:pt idx="246">
                  <c:v>83.640000000000498</c:v>
                </c:pt>
                <c:pt idx="247">
                  <c:v>83.980000000000501</c:v>
                </c:pt>
                <c:pt idx="248">
                  <c:v>84.320000000000505</c:v>
                </c:pt>
                <c:pt idx="249">
                  <c:v>84.660000000000508</c:v>
                </c:pt>
                <c:pt idx="250">
                  <c:v>85.000000000000512</c:v>
                </c:pt>
                <c:pt idx="251">
                  <c:v>85.340000000000515</c:v>
                </c:pt>
                <c:pt idx="252">
                  <c:v>85.680000000000518</c:v>
                </c:pt>
                <c:pt idx="253">
                  <c:v>86.020000000000522</c:v>
                </c:pt>
                <c:pt idx="254">
                  <c:v>86.360000000000525</c:v>
                </c:pt>
                <c:pt idx="255">
                  <c:v>86.700000000000529</c:v>
                </c:pt>
                <c:pt idx="256">
                  <c:v>87.040000000000532</c:v>
                </c:pt>
                <c:pt idx="257">
                  <c:v>87.380000000000535</c:v>
                </c:pt>
                <c:pt idx="258">
                  <c:v>87.720000000000539</c:v>
                </c:pt>
                <c:pt idx="259">
                  <c:v>88.060000000000542</c:v>
                </c:pt>
                <c:pt idx="260">
                  <c:v>88.400000000000546</c:v>
                </c:pt>
                <c:pt idx="261">
                  <c:v>88.740000000000549</c:v>
                </c:pt>
                <c:pt idx="262">
                  <c:v>89.080000000000553</c:v>
                </c:pt>
                <c:pt idx="263">
                  <c:v>89.420000000000556</c:v>
                </c:pt>
                <c:pt idx="264">
                  <c:v>89.760000000000559</c:v>
                </c:pt>
                <c:pt idx="265">
                  <c:v>90.100000000000563</c:v>
                </c:pt>
                <c:pt idx="266">
                  <c:v>90.440000000000566</c:v>
                </c:pt>
                <c:pt idx="267">
                  <c:v>90.78000000000057</c:v>
                </c:pt>
                <c:pt idx="268">
                  <c:v>91.120000000000573</c:v>
                </c:pt>
                <c:pt idx="269">
                  <c:v>91.460000000000576</c:v>
                </c:pt>
                <c:pt idx="270">
                  <c:v>91.80000000000058</c:v>
                </c:pt>
                <c:pt idx="271">
                  <c:v>92.140000000000583</c:v>
                </c:pt>
                <c:pt idx="272">
                  <c:v>92.480000000000587</c:v>
                </c:pt>
                <c:pt idx="273">
                  <c:v>92.82000000000059</c:v>
                </c:pt>
              </c:numCache>
            </c:numRef>
          </c:xVal>
          <c:yVal>
            <c:numRef>
              <c:f>Hoja1!$P$6:$P$300</c:f>
              <c:numCache>
                <c:formatCode>General" m/s "</c:formatCode>
                <c:ptCount val="295"/>
                <c:pt idx="0">
                  <c:v>0</c:v>
                </c:pt>
                <c:pt idx="1">
                  <c:v>11.261036571077902</c:v>
                </c:pt>
                <c:pt idx="2">
                  <c:v>22.530153422986949</c:v>
                </c:pt>
                <c:pt idx="3">
                  <c:v>33.744128097545037</c:v>
                </c:pt>
                <c:pt idx="4">
                  <c:v>44.840448595882506</c:v>
                </c:pt>
                <c:pt idx="5">
                  <c:v>55.758705804103229</c:v>
                </c:pt>
                <c:pt idx="6">
                  <c:v>66.441902033110878</c:v>
                </c:pt>
                <c:pt idx="7">
                  <c:v>76.837616226451203</c:v>
                </c:pt>
                <c:pt idx="8">
                  <c:v>86.898976946412532</c:v>
                </c:pt>
                <c:pt idx="9">
                  <c:v>96.585408172520332</c:v>
                </c:pt>
                <c:pt idx="10">
                  <c:v>105.86312870977662</c:v>
                </c:pt>
                <c:pt idx="11">
                  <c:v>114.70540197771973</c:v>
                </c:pt>
                <c:pt idx="12">
                  <c:v>123.09254763644435</c:v>
                </c:pt>
                <c:pt idx="13">
                  <c:v>131.01173871738021</c:v>
                </c:pt>
                <c:pt idx="14">
                  <c:v>138.45661690656289</c:v>
                </c:pt>
                <c:pt idx="15">
                  <c:v>145.42676407515756</c:v>
                </c:pt>
                <c:pt idx="16">
                  <c:v>151.92707018047605</c:v>
                </c:pt>
                <c:pt idx="17">
                  <c:v>157.96703670776509</c:v>
                </c:pt>
                <c:pt idx="18">
                  <c:v>163.56005153057882</c:v>
                </c:pt>
                <c:pt idx="19">
                  <c:v>168.7226661637435</c:v>
                </c:pt>
                <c:pt idx="20">
                  <c:v>173.47390058117256</c:v>
                </c:pt>
                <c:pt idx="21">
                  <c:v>177.83459469663532</c:v>
                </c:pt>
                <c:pt idx="22">
                  <c:v>181.82681975421931</c:v>
                </c:pt>
                <c:pt idx="23">
                  <c:v>185.47335759657463</c:v>
                </c:pt>
                <c:pt idx="24">
                  <c:v>188.79725128398124</c:v>
                </c:pt>
                <c:pt idx="25">
                  <c:v>191.82142691763477</c:v>
                </c:pt>
                <c:pt idx="26">
                  <c:v>194.56838377568164</c:v>
                </c:pt>
                <c:pt idx="27">
                  <c:v>197.05994793529669</c:v>
                </c:pt>
                <c:pt idx="28">
                  <c:v>199.3170833242047</c:v>
                </c:pt>
                <c:pt idx="29">
                  <c:v>201.35975349795953</c:v>
                </c:pt>
                <c:pt idx="30">
                  <c:v>203.20682724981714</c:v>
                </c:pt>
                <c:pt idx="31">
                  <c:v>204.87602131089636</c:v>
                </c:pt>
                <c:pt idx="32">
                  <c:v>206.38387378639933</c:v>
                </c:pt>
                <c:pt idx="33">
                  <c:v>207.74574251288135</c:v>
                </c:pt>
                <c:pt idx="34">
                  <c:v>208.97582314333528</c:v>
                </c:pt>
                <c:pt idx="35">
                  <c:v>210.08718241899891</c:v>
                </c:pt>
                <c:pt idx="36">
                  <c:v>211.09180273152344</c:v>
                </c:pt>
                <c:pt idx="37">
                  <c:v>212.00063469071563</c:v>
                </c:pt>
                <c:pt idx="38">
                  <c:v>212.82365497537717</c:v>
                </c:pt>
                <c:pt idx="39">
                  <c:v>213.56992724910543</c:v>
                </c:pt>
                <c:pt idx="40">
                  <c:v>214.24766436603514</c:v>
                </c:pt>
                <c:pt idx="41">
                  <c:v>214.8642904739674</c:v>
                </c:pt>
                <c:pt idx="42">
                  <c:v>215.42650194727022</c:v>
                </c:pt>
                <c:pt idx="43">
                  <c:v>215.94032635399893</c:v>
                </c:pt>
                <c:pt idx="44">
                  <c:v>216.41117888633934</c:v>
                </c:pt>
                <c:pt idx="45">
                  <c:v>216.84391586645569</c:v>
                </c:pt>
                <c:pt idx="46">
                  <c:v>217.24288508677745</c:v>
                </c:pt>
                <c:pt idx="47">
                  <c:v>217.6119728600161</c:v>
                </c:pt>
                <c:pt idx="48">
                  <c:v>217.95464774464293</c:v>
                </c:pt>
                <c:pt idx="49">
                  <c:v>218.27400098054187</c:v>
                </c:pt>
                <c:pt idx="50">
                  <c:v>218.57278372090084</c:v>
                </c:pt>
                <c:pt idx="51">
                  <c:v>218.85344118342343</c:v>
                </c:pt>
                <c:pt idx="52">
                  <c:v>219.11814386944272</c:v>
                </c:pt>
                <c:pt idx="53">
                  <c:v>219.36881601586927</c:v>
                </c:pt>
                <c:pt idx="54">
                  <c:v>219.60716145408213</c:v>
                </c:pt>
                <c:pt idx="55">
                  <c:v>219.83468705350251</c:v>
                </c:pt>
                <c:pt idx="56">
                  <c:v>220.05272392700988</c:v>
                </c:pt>
                <c:pt idx="57">
                  <c:v>220.26244657164918</c:v>
                </c:pt>
                <c:pt idx="58">
                  <c:v>220.46489011210335</c:v>
                </c:pt>
                <c:pt idx="59">
                  <c:v>217.26026009615521</c:v>
                </c:pt>
                <c:pt idx="60">
                  <c:v>198.93794570201823</c:v>
                </c:pt>
                <c:pt idx="61">
                  <c:v>182.98011714287142</c:v>
                </c:pt>
                <c:pt idx="62">
                  <c:v>168.92630376549951</c:v>
                </c:pt>
                <c:pt idx="63">
                  <c:v>156.42766397785613</c:v>
                </c:pt>
                <c:pt idx="64">
                  <c:v>145.21503726495456</c:v>
                </c:pt>
                <c:pt idx="65">
                  <c:v>135.07737125321816</c:v>
                </c:pt>
                <c:pt idx="66">
                  <c:v>125.84679454398824</c:v>
                </c:pt>
                <c:pt idx="67">
                  <c:v>117.38806315345182</c:v>
                </c:pt>
                <c:pt idx="68">
                  <c:v>109.5909548422033</c:v>
                </c:pt>
                <c:pt idx="69">
                  <c:v>102.36469310425929</c:v>
                </c:pt>
                <c:pt idx="70">
                  <c:v>95.633795504945098</c:v>
                </c:pt>
                <c:pt idx="71">
                  <c:v>89.334938906481369</c:v>
                </c:pt>
                <c:pt idx="72">
                  <c:v>83.414562069543109</c:v>
                </c:pt>
                <c:pt idx="73">
                  <c:v>77.827010570981244</c:v>
                </c:pt>
                <c:pt idx="74">
                  <c:v>72.533085764009613</c:v>
                </c:pt>
                <c:pt idx="75">
                  <c:v>67.49889834323271</c:v>
                </c:pt>
                <c:pt idx="76">
                  <c:v>62.694954052704631</c:v>
                </c:pt>
                <c:pt idx="77">
                  <c:v>58.095418082362393</c:v>
                </c:pt>
                <c:pt idx="78">
                  <c:v>53.677518268148113</c:v>
                </c:pt>
                <c:pt idx="79">
                  <c:v>49.421057017868463</c:v>
                </c:pt>
                <c:pt idx="80">
                  <c:v>45.308009052146311</c:v>
                </c:pt>
                <c:pt idx="81">
                  <c:v>41.322187342852544</c:v>
                </c:pt>
                <c:pt idx="82">
                  <c:v>37.448963577971341</c:v>
                </c:pt>
                <c:pt idx="83">
                  <c:v>33.675032450476778</c:v>
                </c:pt>
                <c:pt idx="84">
                  <c:v>29.988211319711965</c:v>
                </c:pt>
                <c:pt idx="85">
                  <c:v>26.377268512647106</c:v>
                </c:pt>
                <c:pt idx="86">
                  <c:v>22.831774853016888</c:v>
                </c:pt>
                <c:pt idx="87">
                  <c:v>19.341974025902779</c:v>
                </c:pt>
                <c:pt idx="88">
                  <c:v>15.898668175003046</c:v>
                </c:pt>
                <c:pt idx="89">
                  <c:v>12.493115742056069</c:v>
                </c:pt>
                <c:pt idx="90">
                  <c:v>9.1169390314461545</c:v>
                </c:pt>
                <c:pt idx="91">
                  <c:v>5.7620393466719948</c:v>
                </c:pt>
                <c:pt idx="92">
                  <c:v>2.4205178203315092</c:v>
                </c:pt>
                <c:pt idx="93">
                  <c:v>-0.91530299905642221</c:v>
                </c:pt>
                <c:pt idx="94">
                  <c:v>-4.2480712167395192</c:v>
                </c:pt>
                <c:pt idx="95">
                  <c:v>-7.5710438390807413</c:v>
                </c:pt>
                <c:pt idx="96">
                  <c:v>-10.876629747703284</c:v>
                </c:pt>
                <c:pt idx="97">
                  <c:v>-14.157396786985254</c:v>
                </c:pt>
                <c:pt idx="98">
                  <c:v>-17.406137546189338</c:v>
                </c:pt>
                <c:pt idx="99">
                  <c:v>-20.615930856662544</c:v>
                </c:pt>
                <c:pt idx="100">
                  <c:v>-23.780197928512269</c:v>
                </c:pt>
                <c:pt idx="101">
                  <c:v>-26.892752220801334</c:v>
                </c:pt>
                <c:pt idx="102">
                  <c:v>-29.947842331746372</c:v>
                </c:pt>
                <c:pt idx="103">
                  <c:v>-32.940187401844597</c:v>
                </c:pt>
                <c:pt idx="104">
                  <c:v>-35.865004734302133</c:v>
                </c:pt>
                <c:pt idx="105">
                  <c:v>-38.718029544945551</c:v>
                </c:pt>
                <c:pt idx="106">
                  <c:v>-41.495526950134114</c:v>
                </c:pt>
                <c:pt idx="107">
                  <c:v>-44.194296479406638</c:v>
                </c:pt>
                <c:pt idx="108">
                  <c:v>-46.811669554492212</c:v>
                </c:pt>
                <c:pt idx="109">
                  <c:v>-49.345500504270383</c:v>
                </c:pt>
                <c:pt idx="110">
                  <c:v>-51.794151784268614</c:v>
                </c:pt>
                <c:pt idx="111">
                  <c:v>-54.156474138837694</c:v>
                </c:pt>
                <c:pt idx="112">
                  <c:v>-56.431782485106687</c:v>
                </c:pt>
                <c:pt idx="113">
                  <c:v>-58.619828312171528</c:v>
                </c:pt>
                <c:pt idx="114">
                  <c:v>-60.720769379564082</c:v>
                </c:pt>
                <c:pt idx="115">
                  <c:v>-62.735137469324314</c:v>
                </c:pt>
                <c:pt idx="116">
                  <c:v>-64.663804899731616</c:v>
                </c:pt>
                <c:pt idx="117">
                  <c:v>-66.507950449813109</c:v>
                </c:pt>
                <c:pt idx="118">
                  <c:v>-68.269025275902379</c:v>
                </c:pt>
                <c:pt idx="119">
                  <c:v>-69.948719328275033</c:v>
                </c:pt>
                <c:pt idx="120">
                  <c:v>-71.548928700364954</c:v>
                </c:pt>
                <c:pt idx="121">
                  <c:v>-73.071724267944518</c:v>
                </c:pt>
                <c:pt idx="122">
                  <c:v>-74.519321903128798</c:v>
                </c:pt>
                <c:pt idx="123">
                  <c:v>-75.894054479847625</c:v>
                </c:pt>
                <c:pt idx="124">
                  <c:v>-77.198345824764829</c:v>
                </c:pt>
                <c:pt idx="125">
                  <c:v>-78.434686711334351</c:v>
                </c:pt>
                <c:pt idx="126">
                  <c:v>-79.605612945219164</c:v>
                </c:pt>
                <c:pt idx="127">
                  <c:v>-80.713685546797976</c:v>
                </c:pt>
                <c:pt idx="128">
                  <c:v>-81.761473000831899</c:v>
                </c:pt>
                <c:pt idx="129">
                  <c:v>-82.751535514247124</c:v>
                </c:pt>
                <c:pt idx="130">
                  <c:v>-83.686411199955941</c:v>
                </c:pt>
                <c:pt idx="131">
                  <c:v>-84.568604087139519</c:v>
                </c:pt>
                <c:pt idx="132">
                  <c:v>-85.400573845847688</c:v>
                </c:pt>
                <c:pt idx="133">
                  <c:v>-86.184727105508728</c:v>
                </c:pt>
                <c:pt idx="134">
                  <c:v>-86.923410242366231</c:v>
                </c:pt>
                <c:pt idx="135">
                  <c:v>-87.618903509374093</c:v>
                </c:pt>
                <c:pt idx="136">
                  <c:v>-88.273416383128179</c:v>
                </c:pt>
                <c:pt idx="137">
                  <c:v>-88.88908400548506</c:v>
                </c:pt>
                <c:pt idx="138">
                  <c:v>-89.467964602158659</c:v>
                </c:pt>
                <c:pt idx="139">
                  <c:v>-90.012037766394158</c:v>
                </c:pt>
                <c:pt idx="140">
                  <c:v>-90.523203502449448</c:v>
                </c:pt>
                <c:pt idx="141">
                  <c:v>-91.003281930774435</c:v>
                </c:pt>
                <c:pt idx="142">
                  <c:v>-91.454013564224184</c:v>
                </c:pt>
                <c:pt idx="143">
                  <c:v>-91.877060072173322</c:v>
                </c:pt>
                <c:pt idx="144">
                  <c:v>-92.274005456857765</c:v>
                </c:pt>
                <c:pt idx="145">
                  <c:v>-92.646357573531645</c:v>
                </c:pt>
                <c:pt idx="146">
                  <c:v>-92.995549932999126</c:v>
                </c:pt>
                <c:pt idx="147">
                  <c:v>-93.322943731695133</c:v>
                </c:pt>
                <c:pt idx="148">
                  <c:v>-93.629830060700812</c:v>
                </c:pt>
                <c:pt idx="149">
                  <c:v>-93.917432250860259</c:v>
                </c:pt>
                <c:pt idx="150">
                  <c:v>-94.186908316502979</c:v>
                </c:pt>
                <c:pt idx="151">
                  <c:v>-94.439353465168921</c:v>
                </c:pt>
                <c:pt idx="152">
                  <c:v>-94.675802645188142</c:v>
                </c:pt>
                <c:pt idx="153">
                  <c:v>-94.897233106999096</c:v>
                </c:pt>
                <c:pt idx="154">
                  <c:v>-95.104566957717196</c:v>
                </c:pt>
                <c:pt idx="155">
                  <c:v>-95.298673691712125</c:v>
                </c:pt>
                <c:pt idx="156">
                  <c:v>-95.480372682841875</c:v>
                </c:pt>
                <c:pt idx="157">
                  <c:v>-95.650435626550703</c:v>
                </c:pt>
                <c:pt idx="158">
                  <c:v>-95.809588922292861</c:v>
                </c:pt>
                <c:pt idx="159">
                  <c:v>-95.95851598871991</c:v>
                </c:pt>
                <c:pt idx="160">
                  <c:v>-96.097859505792826</c:v>
                </c:pt>
                <c:pt idx="161">
                  <c:v>-96.228223579473777</c:v>
                </c:pt>
                <c:pt idx="162">
                  <c:v>-96.350175825941236</c:v>
                </c:pt>
                <c:pt idx="163">
                  <c:v>-96.464249373375736</c:v>
                </c:pt>
                <c:pt idx="164">
                  <c:v>-96.570944780303421</c:v>
                </c:pt>
                <c:pt idx="165">
                  <c:v>-96.670731870278402</c:v>
                </c:pt>
                <c:pt idx="166">
                  <c:v>-96.764051483350357</c:v>
                </c:pt>
                <c:pt idx="167">
                  <c:v>-96.851317145315065</c:v>
                </c:pt>
                <c:pt idx="168">
                  <c:v>-96.932916656198785</c:v>
                </c:pt>
                <c:pt idx="169">
                  <c:v>-97.009213599792545</c:v>
                </c:pt>
                <c:pt idx="170">
                  <c:v>-97.080548776343505</c:v>
                </c:pt>
                <c:pt idx="171">
                  <c:v>-97.14724156073558</c:v>
                </c:pt>
                <c:pt idx="172">
                  <c:v>-97.209591188661136</c:v>
                </c:pt>
                <c:pt idx="173">
                  <c:v>-97.267877973406613</c:v>
                </c:pt>
                <c:pt idx="174">
                  <c:v>-97.322364455955608</c:v>
                </c:pt>
                <c:pt idx="175">
                  <c:v>-97.373296491158555</c:v>
                </c:pt>
                <c:pt idx="176">
                  <c:v>-97.420904272734845</c:v>
                </c:pt>
                <c:pt idx="177">
                  <c:v>-97.465403299865471</c:v>
                </c:pt>
                <c:pt idx="178">
                  <c:v>-97.506995288106665</c:v>
                </c:pt>
                <c:pt idx="179">
                  <c:v>-97.545869027310715</c:v>
                </c:pt>
                <c:pt idx="180">
                  <c:v>-97.58220118918274</c:v>
                </c:pt>
                <c:pt idx="181">
                  <c:v>-97.616157087034225</c:v>
                </c:pt>
                <c:pt idx="182">
                  <c:v>-97.647891390217993</c:v>
                </c:pt>
                <c:pt idx="183">
                  <c:v>-97.677548795647041</c:v>
                </c:pt>
                <c:pt idx="184">
                  <c:v>-97.705264658712949</c:v>
                </c:pt>
                <c:pt idx="185">
                  <c:v>-97.731165585829814</c:v>
                </c:pt>
                <c:pt idx="186">
                  <c:v>-97.755369990738501</c:v>
                </c:pt>
                <c:pt idx="187">
                  <c:v>-97.777988616613442</c:v>
                </c:pt>
                <c:pt idx="188">
                  <c:v>-97.799125025922706</c:v>
                </c:pt>
                <c:pt idx="189">
                  <c:v>-97.818876059900489</c:v>
                </c:pt>
                <c:pt idx="190">
                  <c:v>-97.837332269401742</c:v>
                </c:pt>
                <c:pt idx="191">
                  <c:v>-97.854578318820586</c:v>
                </c:pt>
                <c:pt idx="192">
                  <c:v>-97.870693364668782</c:v>
                </c:pt>
                <c:pt idx="193">
                  <c:v>-97.885751410327259</c:v>
                </c:pt>
                <c:pt idx="194">
                  <c:v>-97.899821638403438</c:v>
                </c:pt>
                <c:pt idx="195">
                  <c:v>-97.912968722049712</c:v>
                </c:pt>
                <c:pt idx="196">
                  <c:v>-97.925253116524033</c:v>
                </c:pt>
                <c:pt idx="197">
                  <c:v>-97.936731332202015</c:v>
                </c:pt>
                <c:pt idx="198">
                  <c:v>-97.94745619018191</c:v>
                </c:pt>
                <c:pt idx="199">
                  <c:v>-97.957477061558492</c:v>
                </c:pt>
                <c:pt idx="200">
                  <c:v>-97.966840091379751</c:v>
                </c:pt>
                <c:pt idx="201">
                  <c:v>-97.97558840824118</c:v>
                </c:pt>
                <c:pt idx="202">
                  <c:v>-97.983762320416247</c:v>
                </c:pt>
                <c:pt idx="203">
                  <c:v>-97.991399499368384</c:v>
                </c:pt>
                <c:pt idx="204">
                  <c:v>-97.998535151439157</c:v>
                </c:pt>
                <c:pt idx="205">
                  <c:v>-98.005202178459498</c:v>
                </c:pt>
                <c:pt idx="206">
                  <c:v>-98.011431327985704</c:v>
                </c:pt>
                <c:pt idx="207">
                  <c:v>-98.017251333818919</c:v>
                </c:pt>
                <c:pt idx="208">
                  <c:v>-98.022689047426738</c:v>
                </c:pt>
                <c:pt idx="209">
                  <c:v>-98.027769560847247</c:v>
                </c:pt>
                <c:pt idx="210">
                  <c:v>-98.032516321619923</c:v>
                </c:pt>
                <c:pt idx="211">
                  <c:v>-98.036951240254069</c:v>
                </c:pt>
                <c:pt idx="212">
                  <c:v>-98.041094790713657</c:v>
                </c:pt>
                <c:pt idx="213">
                  <c:v>-98.044966104367205</c:v>
                </c:pt>
                <c:pt idx="214">
                  <c:v>-98.048583057823407</c:v>
                </c:pt>
                <c:pt idx="215">
                  <c:v>-98.051962355046626</c:v>
                </c:pt>
                <c:pt idx="216">
                  <c:v>-98.055119604121259</c:v>
                </c:pt>
                <c:pt idx="217">
                  <c:v>-98.058069389010981</c:v>
                </c:pt>
                <c:pt idx="218">
                  <c:v>-98.060825336636555</c:v>
                </c:pt>
                <c:pt idx="219">
                  <c:v>-98.063400179575339</c:v>
                </c:pt>
                <c:pt idx="220">
                  <c:v>-98.065805814666476</c:v>
                </c:pt>
                <c:pt idx="221">
                  <c:v>-98.068053357787292</c:v>
                </c:pt>
                <c:pt idx="222">
                  <c:v>-98.07015319504967</c:v>
                </c:pt>
                <c:pt idx="223">
                  <c:v>-98.072115030649073</c:v>
                </c:pt>
                <c:pt idx="224">
                  <c:v>-98.073947931583874</c:v>
                </c:pt>
                <c:pt idx="225">
                  <c:v>-98.075660369448798</c:v>
                </c:pt>
                <c:pt idx="226">
                  <c:v>-98.077260259493073</c:v>
                </c:pt>
                <c:pt idx="227">
                  <c:v>-98.078754997121436</c:v>
                </c:pt>
                <c:pt idx="228">
                  <c:v>-98.080151492004902</c:v>
                </c:pt>
                <c:pt idx="229">
                  <c:v>-98.081456199957188</c:v>
                </c:pt>
                <c:pt idx="230">
                  <c:v>-98.082675152722587</c:v>
                </c:pt>
                <c:pt idx="231">
                  <c:v>-98.08381398581183</c:v>
                </c:pt>
                <c:pt idx="232">
                  <c:v>-98.084877964513353</c:v>
                </c:pt>
                <c:pt idx="233">
                  <c:v>-98.085872008199331</c:v>
                </c:pt>
                <c:pt idx="234">
                  <c:v>-98.086800713037917</c:v>
                </c:pt>
                <c:pt idx="235">
                  <c:v>-98.087668373215962</c:v>
                </c:pt>
                <c:pt idx="236">
                  <c:v>-98.088479000769681</c:v>
                </c:pt>
                <c:pt idx="237">
                  <c:v>-98.089236344114397</c:v>
                </c:pt>
                <c:pt idx="238">
                  <c:v>-98.089943905358567</c:v>
                </c:pt>
                <c:pt idx="239">
                  <c:v>-98.090604956481542</c:v>
                </c:pt>
                <c:pt idx="240">
                  <c:v>-98.091222554449772</c:v>
                </c:pt>
                <c:pt idx="241">
                  <c:v>-98.091799555340771</c:v>
                </c:pt>
                <c:pt idx="242">
                  <c:v>-98.092338627539959</c:v>
                </c:pt>
                <c:pt idx="243">
                  <c:v>-98.092842264071209</c:v>
                </c:pt>
                <c:pt idx="244">
                  <c:v>-98.093312794117779</c:v>
                </c:pt>
                <c:pt idx="245">
                  <c:v>-98.093752393786829</c:v>
                </c:pt>
                <c:pt idx="246">
                  <c:v>-98.094163096167065</c:v>
                </c:pt>
                <c:pt idx="247">
                  <c:v>-98.094546800725894</c:v>
                </c:pt>
                <c:pt idx="248">
                  <c:v>-98.094905282089428</c:v>
                </c:pt>
                <c:pt idx="249">
                  <c:v>-98.095240198245861</c:v>
                </c:pt>
                <c:pt idx="250">
                  <c:v>-98.095553098209948</c:v>
                </c:pt>
                <c:pt idx="251">
                  <c:v>-98.095845429184109</c:v>
                </c:pt>
                <c:pt idx="252">
                  <c:v>-98.096118543249105</c:v>
                </c:pt>
                <c:pt idx="253">
                  <c:v>-98.096373703615114</c:v>
                </c:pt>
                <c:pt idx="254">
                  <c:v>-98.096612090462244</c:v>
                </c:pt>
                <c:pt idx="255">
                  <c:v>-98.096834806397212</c:v>
                </c:pt>
                <c:pt idx="256">
                  <c:v>-98.09704288155163</c:v>
                </c:pt>
                <c:pt idx="257">
                  <c:v>-98.097237278345204</c:v>
                </c:pt>
                <c:pt idx="258">
                  <c:v>-98.09741889593603</c:v>
                </c:pt>
                <c:pt idx="259">
                  <c:v>-98.097588574378435</c:v>
                </c:pt>
                <c:pt idx="260">
                  <c:v>-98.097747098507611</c:v>
                </c:pt>
                <c:pt idx="261">
                  <c:v>-98.097895201568974</c:v>
                </c:pt>
                <c:pt idx="262">
                  <c:v>-98.098033568609026</c:v>
                </c:pt>
                <c:pt idx="263">
                  <c:v>-98.098162839643393</c:v>
                </c:pt>
                <c:pt idx="264">
                  <c:v>-98.09828361261664</c:v>
                </c:pt>
                <c:pt idx="265">
                  <c:v>-98.098396446167612</c:v>
                </c:pt>
                <c:pt idx="266">
                  <c:v>-98.098501862212999</c:v>
                </c:pt>
                <c:pt idx="267">
                  <c:v>-98.098600348361103</c:v>
                </c:pt>
                <c:pt idx="268">
                  <c:v>-98.098692360166993</c:v>
                </c:pt>
                <c:pt idx="269">
                  <c:v>-98.098778323239415</c:v>
                </c:pt>
                <c:pt idx="270">
                  <c:v>-98.098858635209254</c:v>
                </c:pt>
                <c:pt idx="271">
                  <c:v>-98.098933667568602</c:v>
                </c:pt>
                <c:pt idx="272">
                  <c:v>-98.099003767388936</c:v>
                </c:pt>
                <c:pt idx="273">
                  <c:v>-98.099069258926377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0E-4632-98F5-9407A2772CC9}"/>
            </c:ext>
          </c:extLst>
        </c:ser>
        <c:ser>
          <c:idx val="1"/>
          <c:order val="1"/>
          <c:tx>
            <c:v>Cohete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0"/>
            <c:spPr>
              <a:gradFill>
                <a:gsLst>
                  <a:gs pos="0">
                    <a:schemeClr val="tx1"/>
                  </a:gs>
                  <a:gs pos="48000">
                    <a:schemeClr val="accent1">
                      <a:lumMod val="45000"/>
                      <a:lumOff val="55000"/>
                    </a:schemeClr>
                  </a:gs>
                  <a:gs pos="53000">
                    <a:srgbClr val="FF0000"/>
                  </a:gs>
                  <a:gs pos="95000">
                    <a:srgbClr val="FFFF00"/>
                  </a:gs>
                </a:gsLst>
                <a:lin ang="5400000" scaled="1"/>
              </a:gra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Hoja1!$E$6</c:f>
              <c:numCache>
                <c:formatCode>General" s "</c:formatCode>
                <c:ptCount val="1"/>
                <c:pt idx="0">
                  <c:v>20</c:v>
                </c:pt>
              </c:numCache>
            </c:numRef>
          </c:xVal>
          <c:yVal>
            <c:numRef>
              <c:f>Hoja1!$F$6</c:f>
              <c:numCache>
                <c:formatCode>General" m/s "</c:formatCode>
                <c:ptCount val="1"/>
                <c:pt idx="0">
                  <c:v>220.46489011210335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C3-43DA-A156-6BB59C25B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772800"/>
        <c:axId val="1833776128"/>
      </c:scatterChart>
      <c:valAx>
        <c:axId val="183377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 s &quot;" sourceLinked="1"/>
        <c:majorTickMark val="none"/>
        <c:minorTickMark val="none"/>
        <c:tickLblPos val="low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776128"/>
        <c:crosses val="autoZero"/>
        <c:crossBetween val="midCat"/>
      </c:valAx>
      <c:valAx>
        <c:axId val="183377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 m/s 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33772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861392592504124"/>
          <c:y val="0.22474155212319505"/>
          <c:w val="0.15650332275667039"/>
          <c:h val="8.6966631220847759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Altura vs Tiempo</a:t>
            </a:r>
          </a:p>
        </c:rich>
      </c:tx>
      <c:layout/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5298863312286543E-2"/>
          <c:y val="2.6665625647484679E-2"/>
          <c:w val="0.87808311303579345"/>
          <c:h val="0.92567022166647395"/>
        </c:manualLayout>
      </c:layout>
      <c:scatterChart>
        <c:scatterStyle val="lineMarker"/>
        <c:varyColors val="0"/>
        <c:ser>
          <c:idx val="0"/>
          <c:order val="0"/>
          <c:tx>
            <c:v>Trayectoria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Hoja1!$O$6:$O$279</c:f>
              <c:numCache>
                <c:formatCode>General" s "</c:formatCode>
                <c:ptCount val="274"/>
                <c:pt idx="0">
                  <c:v>0</c:v>
                </c:pt>
                <c:pt idx="1">
                  <c:v>0.34</c:v>
                </c:pt>
                <c:pt idx="2">
                  <c:v>0.68</c:v>
                </c:pt>
                <c:pt idx="3">
                  <c:v>1.02</c:v>
                </c:pt>
                <c:pt idx="4">
                  <c:v>1.36</c:v>
                </c:pt>
                <c:pt idx="5">
                  <c:v>1.7000000000000002</c:v>
                </c:pt>
                <c:pt idx="6">
                  <c:v>2.04</c:v>
                </c:pt>
                <c:pt idx="7">
                  <c:v>2.38</c:v>
                </c:pt>
                <c:pt idx="8">
                  <c:v>2.7199999999999998</c:v>
                </c:pt>
                <c:pt idx="9">
                  <c:v>3.0599999999999996</c:v>
                </c:pt>
                <c:pt idx="10">
                  <c:v>3.3999999999999995</c:v>
                </c:pt>
                <c:pt idx="11">
                  <c:v>3.7399999999999993</c:v>
                </c:pt>
                <c:pt idx="12">
                  <c:v>4.0799999999999992</c:v>
                </c:pt>
                <c:pt idx="13">
                  <c:v>4.419999999999999</c:v>
                </c:pt>
                <c:pt idx="14">
                  <c:v>4.7599999999999989</c:v>
                </c:pt>
                <c:pt idx="15">
                  <c:v>5.0999999999999988</c:v>
                </c:pt>
                <c:pt idx="16">
                  <c:v>5.4399999999999986</c:v>
                </c:pt>
                <c:pt idx="17">
                  <c:v>5.7799999999999985</c:v>
                </c:pt>
                <c:pt idx="18">
                  <c:v>6.1199999999999983</c:v>
                </c:pt>
                <c:pt idx="19">
                  <c:v>6.4599999999999982</c:v>
                </c:pt>
                <c:pt idx="20">
                  <c:v>6.799999999999998</c:v>
                </c:pt>
                <c:pt idx="21">
                  <c:v>7.1399999999999979</c:v>
                </c:pt>
                <c:pt idx="22">
                  <c:v>7.4799999999999978</c:v>
                </c:pt>
                <c:pt idx="23">
                  <c:v>7.8199999999999976</c:v>
                </c:pt>
                <c:pt idx="24">
                  <c:v>8.1599999999999984</c:v>
                </c:pt>
                <c:pt idx="25">
                  <c:v>8.4999999999999982</c:v>
                </c:pt>
                <c:pt idx="26">
                  <c:v>8.8399999999999981</c:v>
                </c:pt>
                <c:pt idx="27">
                  <c:v>9.1799999999999979</c:v>
                </c:pt>
                <c:pt idx="28">
                  <c:v>9.5199999999999978</c:v>
                </c:pt>
                <c:pt idx="29">
                  <c:v>9.8599999999999977</c:v>
                </c:pt>
                <c:pt idx="30">
                  <c:v>10.199999999999998</c:v>
                </c:pt>
                <c:pt idx="31">
                  <c:v>10.539999999999997</c:v>
                </c:pt>
                <c:pt idx="32">
                  <c:v>10.879999999999997</c:v>
                </c:pt>
                <c:pt idx="33">
                  <c:v>11.219999999999997</c:v>
                </c:pt>
                <c:pt idx="34">
                  <c:v>11.559999999999997</c:v>
                </c:pt>
                <c:pt idx="35">
                  <c:v>11.899999999999997</c:v>
                </c:pt>
                <c:pt idx="36">
                  <c:v>12.239999999999997</c:v>
                </c:pt>
                <c:pt idx="37">
                  <c:v>12.579999999999997</c:v>
                </c:pt>
                <c:pt idx="38">
                  <c:v>12.919999999999996</c:v>
                </c:pt>
                <c:pt idx="39">
                  <c:v>13.259999999999996</c:v>
                </c:pt>
                <c:pt idx="40">
                  <c:v>13.599999999999996</c:v>
                </c:pt>
                <c:pt idx="41">
                  <c:v>13.939999999999996</c:v>
                </c:pt>
                <c:pt idx="42">
                  <c:v>14.279999999999996</c:v>
                </c:pt>
                <c:pt idx="43">
                  <c:v>14.619999999999996</c:v>
                </c:pt>
                <c:pt idx="44">
                  <c:v>14.959999999999996</c:v>
                </c:pt>
                <c:pt idx="45">
                  <c:v>15.299999999999995</c:v>
                </c:pt>
                <c:pt idx="46">
                  <c:v>15.639999999999995</c:v>
                </c:pt>
                <c:pt idx="47">
                  <c:v>15.979999999999995</c:v>
                </c:pt>
                <c:pt idx="48">
                  <c:v>16.319999999999997</c:v>
                </c:pt>
                <c:pt idx="49">
                  <c:v>16.659999999999997</c:v>
                </c:pt>
                <c:pt idx="50">
                  <c:v>16.999999999999996</c:v>
                </c:pt>
                <c:pt idx="51">
                  <c:v>17.339999999999996</c:v>
                </c:pt>
                <c:pt idx="52">
                  <c:v>17.679999999999996</c:v>
                </c:pt>
                <c:pt idx="53">
                  <c:v>18.019999999999996</c:v>
                </c:pt>
                <c:pt idx="54">
                  <c:v>18.359999999999996</c:v>
                </c:pt>
                <c:pt idx="55">
                  <c:v>18.699999999999996</c:v>
                </c:pt>
                <c:pt idx="56">
                  <c:v>19.039999999999996</c:v>
                </c:pt>
                <c:pt idx="57">
                  <c:v>19.379999999999995</c:v>
                </c:pt>
                <c:pt idx="58">
                  <c:v>19.719999999999995</c:v>
                </c:pt>
                <c:pt idx="59">
                  <c:v>20.059999999999995</c:v>
                </c:pt>
                <c:pt idx="60">
                  <c:v>20.399999999999995</c:v>
                </c:pt>
                <c:pt idx="61">
                  <c:v>20.739999999999995</c:v>
                </c:pt>
                <c:pt idx="62">
                  <c:v>21.079999999999995</c:v>
                </c:pt>
                <c:pt idx="63">
                  <c:v>21.419999999999995</c:v>
                </c:pt>
                <c:pt idx="64">
                  <c:v>21.759999999999994</c:v>
                </c:pt>
                <c:pt idx="65">
                  <c:v>22.099999999999994</c:v>
                </c:pt>
                <c:pt idx="66">
                  <c:v>22.439999999999994</c:v>
                </c:pt>
                <c:pt idx="67">
                  <c:v>22.779999999999994</c:v>
                </c:pt>
                <c:pt idx="68">
                  <c:v>23.119999999999994</c:v>
                </c:pt>
                <c:pt idx="69">
                  <c:v>23.459999999999994</c:v>
                </c:pt>
                <c:pt idx="70">
                  <c:v>23.799999999999994</c:v>
                </c:pt>
                <c:pt idx="71">
                  <c:v>24.139999999999993</c:v>
                </c:pt>
                <c:pt idx="72">
                  <c:v>24.479999999999993</c:v>
                </c:pt>
                <c:pt idx="73">
                  <c:v>24.819999999999993</c:v>
                </c:pt>
                <c:pt idx="74">
                  <c:v>25.159999999999993</c:v>
                </c:pt>
                <c:pt idx="75">
                  <c:v>25.499999999999993</c:v>
                </c:pt>
                <c:pt idx="76">
                  <c:v>25.839999999999993</c:v>
                </c:pt>
                <c:pt idx="77">
                  <c:v>26.179999999999993</c:v>
                </c:pt>
                <c:pt idx="78">
                  <c:v>26.519999999999992</c:v>
                </c:pt>
                <c:pt idx="79">
                  <c:v>26.859999999999992</c:v>
                </c:pt>
                <c:pt idx="80">
                  <c:v>27.199999999999992</c:v>
                </c:pt>
                <c:pt idx="81">
                  <c:v>27.539999999999992</c:v>
                </c:pt>
                <c:pt idx="82">
                  <c:v>27.879999999999992</c:v>
                </c:pt>
                <c:pt idx="83">
                  <c:v>28.219999999999992</c:v>
                </c:pt>
                <c:pt idx="84">
                  <c:v>28.559999999999992</c:v>
                </c:pt>
                <c:pt idx="85">
                  <c:v>28.899999999999991</c:v>
                </c:pt>
                <c:pt idx="86">
                  <c:v>29.239999999999991</c:v>
                </c:pt>
                <c:pt idx="87">
                  <c:v>29.579999999999991</c:v>
                </c:pt>
                <c:pt idx="88">
                  <c:v>29.919999999999991</c:v>
                </c:pt>
                <c:pt idx="89">
                  <c:v>30.259999999999991</c:v>
                </c:pt>
                <c:pt idx="90">
                  <c:v>30.599999999999991</c:v>
                </c:pt>
                <c:pt idx="91">
                  <c:v>30.939999999999991</c:v>
                </c:pt>
                <c:pt idx="92">
                  <c:v>31.27999999999999</c:v>
                </c:pt>
                <c:pt idx="93">
                  <c:v>31.61999999999999</c:v>
                </c:pt>
                <c:pt idx="94">
                  <c:v>31.95999999999999</c:v>
                </c:pt>
                <c:pt idx="95">
                  <c:v>32.29999999999999</c:v>
                </c:pt>
                <c:pt idx="96">
                  <c:v>32.639999999999993</c:v>
                </c:pt>
                <c:pt idx="97">
                  <c:v>32.979999999999997</c:v>
                </c:pt>
                <c:pt idx="98">
                  <c:v>33.32</c:v>
                </c:pt>
                <c:pt idx="99">
                  <c:v>33.660000000000004</c:v>
                </c:pt>
                <c:pt idx="100">
                  <c:v>34.000000000000007</c:v>
                </c:pt>
                <c:pt idx="101">
                  <c:v>34.340000000000011</c:v>
                </c:pt>
                <c:pt idx="102">
                  <c:v>34.680000000000014</c:v>
                </c:pt>
                <c:pt idx="103">
                  <c:v>35.020000000000017</c:v>
                </c:pt>
                <c:pt idx="104">
                  <c:v>35.360000000000021</c:v>
                </c:pt>
                <c:pt idx="105">
                  <c:v>35.700000000000024</c:v>
                </c:pt>
                <c:pt idx="106">
                  <c:v>36.040000000000028</c:v>
                </c:pt>
                <c:pt idx="107">
                  <c:v>36.380000000000031</c:v>
                </c:pt>
                <c:pt idx="108">
                  <c:v>36.720000000000034</c:v>
                </c:pt>
                <c:pt idx="109">
                  <c:v>37.060000000000038</c:v>
                </c:pt>
                <c:pt idx="110">
                  <c:v>37.400000000000041</c:v>
                </c:pt>
                <c:pt idx="111">
                  <c:v>37.740000000000045</c:v>
                </c:pt>
                <c:pt idx="112">
                  <c:v>38.080000000000048</c:v>
                </c:pt>
                <c:pt idx="113">
                  <c:v>38.420000000000051</c:v>
                </c:pt>
                <c:pt idx="114">
                  <c:v>38.760000000000055</c:v>
                </c:pt>
                <c:pt idx="115">
                  <c:v>39.100000000000058</c:v>
                </c:pt>
                <c:pt idx="116">
                  <c:v>39.440000000000062</c:v>
                </c:pt>
                <c:pt idx="117">
                  <c:v>39.780000000000065</c:v>
                </c:pt>
                <c:pt idx="118">
                  <c:v>40.120000000000068</c:v>
                </c:pt>
                <c:pt idx="119">
                  <c:v>40.460000000000072</c:v>
                </c:pt>
                <c:pt idx="120">
                  <c:v>40.800000000000075</c:v>
                </c:pt>
                <c:pt idx="121">
                  <c:v>41.140000000000079</c:v>
                </c:pt>
                <c:pt idx="122">
                  <c:v>41.480000000000082</c:v>
                </c:pt>
                <c:pt idx="123">
                  <c:v>41.820000000000086</c:v>
                </c:pt>
                <c:pt idx="124">
                  <c:v>42.160000000000089</c:v>
                </c:pt>
                <c:pt idx="125">
                  <c:v>42.500000000000092</c:v>
                </c:pt>
                <c:pt idx="126">
                  <c:v>42.840000000000096</c:v>
                </c:pt>
                <c:pt idx="127">
                  <c:v>43.180000000000099</c:v>
                </c:pt>
                <c:pt idx="128">
                  <c:v>43.520000000000103</c:v>
                </c:pt>
                <c:pt idx="129">
                  <c:v>43.860000000000106</c:v>
                </c:pt>
                <c:pt idx="130">
                  <c:v>44.200000000000109</c:v>
                </c:pt>
                <c:pt idx="131">
                  <c:v>44.540000000000113</c:v>
                </c:pt>
                <c:pt idx="132">
                  <c:v>44.880000000000116</c:v>
                </c:pt>
                <c:pt idx="133">
                  <c:v>45.22000000000012</c:v>
                </c:pt>
                <c:pt idx="134">
                  <c:v>45.560000000000123</c:v>
                </c:pt>
                <c:pt idx="135">
                  <c:v>45.900000000000126</c:v>
                </c:pt>
                <c:pt idx="136">
                  <c:v>46.24000000000013</c:v>
                </c:pt>
                <c:pt idx="137">
                  <c:v>46.580000000000133</c:v>
                </c:pt>
                <c:pt idx="138">
                  <c:v>46.920000000000137</c:v>
                </c:pt>
                <c:pt idx="139">
                  <c:v>47.26000000000014</c:v>
                </c:pt>
                <c:pt idx="140">
                  <c:v>47.600000000000144</c:v>
                </c:pt>
                <c:pt idx="141">
                  <c:v>47.940000000000147</c:v>
                </c:pt>
                <c:pt idx="142">
                  <c:v>48.28000000000015</c:v>
                </c:pt>
                <c:pt idx="143">
                  <c:v>48.620000000000154</c:v>
                </c:pt>
                <c:pt idx="144">
                  <c:v>48.960000000000157</c:v>
                </c:pt>
                <c:pt idx="145">
                  <c:v>49.300000000000161</c:v>
                </c:pt>
                <c:pt idx="146">
                  <c:v>49.640000000000164</c:v>
                </c:pt>
                <c:pt idx="147">
                  <c:v>49.980000000000167</c:v>
                </c:pt>
                <c:pt idx="148">
                  <c:v>50.320000000000171</c:v>
                </c:pt>
                <c:pt idx="149">
                  <c:v>50.660000000000174</c:v>
                </c:pt>
                <c:pt idx="150">
                  <c:v>51.000000000000178</c:v>
                </c:pt>
                <c:pt idx="151">
                  <c:v>51.340000000000181</c:v>
                </c:pt>
                <c:pt idx="152">
                  <c:v>51.680000000000184</c:v>
                </c:pt>
                <c:pt idx="153">
                  <c:v>52.020000000000188</c:v>
                </c:pt>
                <c:pt idx="154">
                  <c:v>52.360000000000191</c:v>
                </c:pt>
                <c:pt idx="155">
                  <c:v>52.700000000000195</c:v>
                </c:pt>
                <c:pt idx="156">
                  <c:v>53.040000000000198</c:v>
                </c:pt>
                <c:pt idx="157">
                  <c:v>53.380000000000202</c:v>
                </c:pt>
                <c:pt idx="158">
                  <c:v>53.720000000000205</c:v>
                </c:pt>
                <c:pt idx="159">
                  <c:v>54.060000000000208</c:v>
                </c:pt>
                <c:pt idx="160">
                  <c:v>54.400000000000212</c:v>
                </c:pt>
                <c:pt idx="161">
                  <c:v>54.740000000000215</c:v>
                </c:pt>
                <c:pt idx="162">
                  <c:v>55.080000000000219</c:v>
                </c:pt>
                <c:pt idx="163">
                  <c:v>55.420000000000222</c:v>
                </c:pt>
                <c:pt idx="164">
                  <c:v>55.760000000000225</c:v>
                </c:pt>
                <c:pt idx="165">
                  <c:v>56.100000000000229</c:v>
                </c:pt>
                <c:pt idx="166">
                  <c:v>56.440000000000232</c:v>
                </c:pt>
                <c:pt idx="167">
                  <c:v>56.780000000000236</c:v>
                </c:pt>
                <c:pt idx="168">
                  <c:v>57.120000000000239</c:v>
                </c:pt>
                <c:pt idx="169">
                  <c:v>57.460000000000242</c:v>
                </c:pt>
                <c:pt idx="170">
                  <c:v>57.800000000000246</c:v>
                </c:pt>
                <c:pt idx="171">
                  <c:v>58.140000000000249</c:v>
                </c:pt>
                <c:pt idx="172">
                  <c:v>58.480000000000253</c:v>
                </c:pt>
                <c:pt idx="173">
                  <c:v>58.820000000000256</c:v>
                </c:pt>
                <c:pt idx="174">
                  <c:v>59.160000000000259</c:v>
                </c:pt>
                <c:pt idx="175">
                  <c:v>59.500000000000263</c:v>
                </c:pt>
                <c:pt idx="176">
                  <c:v>59.840000000000266</c:v>
                </c:pt>
                <c:pt idx="177">
                  <c:v>60.18000000000027</c:v>
                </c:pt>
                <c:pt idx="178">
                  <c:v>60.520000000000273</c:v>
                </c:pt>
                <c:pt idx="179">
                  <c:v>60.860000000000277</c:v>
                </c:pt>
                <c:pt idx="180">
                  <c:v>61.20000000000028</c:v>
                </c:pt>
                <c:pt idx="181">
                  <c:v>61.540000000000283</c:v>
                </c:pt>
                <c:pt idx="182">
                  <c:v>61.880000000000287</c:v>
                </c:pt>
                <c:pt idx="183">
                  <c:v>62.22000000000029</c:v>
                </c:pt>
                <c:pt idx="184">
                  <c:v>62.560000000000294</c:v>
                </c:pt>
                <c:pt idx="185">
                  <c:v>62.900000000000297</c:v>
                </c:pt>
                <c:pt idx="186">
                  <c:v>63.2400000000003</c:v>
                </c:pt>
                <c:pt idx="187">
                  <c:v>63.580000000000304</c:v>
                </c:pt>
                <c:pt idx="188">
                  <c:v>63.920000000000307</c:v>
                </c:pt>
                <c:pt idx="189">
                  <c:v>64.260000000000304</c:v>
                </c:pt>
                <c:pt idx="190">
                  <c:v>64.600000000000307</c:v>
                </c:pt>
                <c:pt idx="191">
                  <c:v>64.94000000000031</c:v>
                </c:pt>
                <c:pt idx="192">
                  <c:v>65.280000000000314</c:v>
                </c:pt>
                <c:pt idx="193">
                  <c:v>65.620000000000317</c:v>
                </c:pt>
                <c:pt idx="194">
                  <c:v>65.960000000000321</c:v>
                </c:pt>
                <c:pt idx="195">
                  <c:v>66.300000000000324</c:v>
                </c:pt>
                <c:pt idx="196">
                  <c:v>66.640000000000327</c:v>
                </c:pt>
                <c:pt idx="197">
                  <c:v>66.980000000000331</c:v>
                </c:pt>
                <c:pt idx="198">
                  <c:v>67.320000000000334</c:v>
                </c:pt>
                <c:pt idx="199">
                  <c:v>67.660000000000338</c:v>
                </c:pt>
                <c:pt idx="200">
                  <c:v>68.000000000000341</c:v>
                </c:pt>
                <c:pt idx="201">
                  <c:v>68.340000000000344</c:v>
                </c:pt>
                <c:pt idx="202">
                  <c:v>68.680000000000348</c:v>
                </c:pt>
                <c:pt idx="203">
                  <c:v>69.020000000000351</c:v>
                </c:pt>
                <c:pt idx="204">
                  <c:v>69.360000000000355</c:v>
                </c:pt>
                <c:pt idx="205">
                  <c:v>69.700000000000358</c:v>
                </c:pt>
                <c:pt idx="206">
                  <c:v>70.040000000000362</c:v>
                </c:pt>
                <c:pt idx="207">
                  <c:v>70.380000000000365</c:v>
                </c:pt>
                <c:pt idx="208">
                  <c:v>70.720000000000368</c:v>
                </c:pt>
                <c:pt idx="209">
                  <c:v>71.060000000000372</c:v>
                </c:pt>
                <c:pt idx="210">
                  <c:v>71.400000000000375</c:v>
                </c:pt>
                <c:pt idx="211">
                  <c:v>71.740000000000379</c:v>
                </c:pt>
                <c:pt idx="212">
                  <c:v>72.080000000000382</c:v>
                </c:pt>
                <c:pt idx="213">
                  <c:v>72.420000000000385</c:v>
                </c:pt>
                <c:pt idx="214">
                  <c:v>72.760000000000389</c:v>
                </c:pt>
                <c:pt idx="215">
                  <c:v>73.100000000000392</c:v>
                </c:pt>
                <c:pt idx="216">
                  <c:v>73.440000000000396</c:v>
                </c:pt>
                <c:pt idx="217">
                  <c:v>73.780000000000399</c:v>
                </c:pt>
                <c:pt idx="218">
                  <c:v>74.120000000000402</c:v>
                </c:pt>
                <c:pt idx="219">
                  <c:v>74.460000000000406</c:v>
                </c:pt>
                <c:pt idx="220">
                  <c:v>74.800000000000409</c:v>
                </c:pt>
                <c:pt idx="221">
                  <c:v>75.140000000000413</c:v>
                </c:pt>
                <c:pt idx="222">
                  <c:v>75.480000000000416</c:v>
                </c:pt>
                <c:pt idx="223">
                  <c:v>75.82000000000042</c:v>
                </c:pt>
                <c:pt idx="224">
                  <c:v>76.160000000000423</c:v>
                </c:pt>
                <c:pt idx="225">
                  <c:v>76.500000000000426</c:v>
                </c:pt>
                <c:pt idx="226">
                  <c:v>76.84000000000043</c:v>
                </c:pt>
                <c:pt idx="227">
                  <c:v>77.180000000000433</c:v>
                </c:pt>
                <c:pt idx="228">
                  <c:v>77.520000000000437</c:v>
                </c:pt>
                <c:pt idx="229">
                  <c:v>77.86000000000044</c:v>
                </c:pt>
                <c:pt idx="230">
                  <c:v>78.200000000000443</c:v>
                </c:pt>
                <c:pt idx="231">
                  <c:v>78.540000000000447</c:v>
                </c:pt>
                <c:pt idx="232">
                  <c:v>78.88000000000045</c:v>
                </c:pt>
                <c:pt idx="233">
                  <c:v>79.220000000000454</c:v>
                </c:pt>
                <c:pt idx="234">
                  <c:v>79.560000000000457</c:v>
                </c:pt>
                <c:pt idx="235">
                  <c:v>79.90000000000046</c:v>
                </c:pt>
                <c:pt idx="236">
                  <c:v>80.240000000000464</c:v>
                </c:pt>
                <c:pt idx="237">
                  <c:v>80.580000000000467</c:v>
                </c:pt>
                <c:pt idx="238">
                  <c:v>80.920000000000471</c:v>
                </c:pt>
                <c:pt idx="239">
                  <c:v>81.260000000000474</c:v>
                </c:pt>
                <c:pt idx="240">
                  <c:v>81.600000000000477</c:v>
                </c:pt>
                <c:pt idx="241">
                  <c:v>81.940000000000481</c:v>
                </c:pt>
                <c:pt idx="242">
                  <c:v>82.280000000000484</c:v>
                </c:pt>
                <c:pt idx="243">
                  <c:v>82.620000000000488</c:v>
                </c:pt>
                <c:pt idx="244">
                  <c:v>82.960000000000491</c:v>
                </c:pt>
                <c:pt idx="245">
                  <c:v>83.300000000000495</c:v>
                </c:pt>
                <c:pt idx="246">
                  <c:v>83.640000000000498</c:v>
                </c:pt>
                <c:pt idx="247">
                  <c:v>83.980000000000501</c:v>
                </c:pt>
                <c:pt idx="248">
                  <c:v>84.320000000000505</c:v>
                </c:pt>
                <c:pt idx="249">
                  <c:v>84.660000000000508</c:v>
                </c:pt>
                <c:pt idx="250">
                  <c:v>85.000000000000512</c:v>
                </c:pt>
                <c:pt idx="251">
                  <c:v>85.340000000000515</c:v>
                </c:pt>
                <c:pt idx="252">
                  <c:v>85.680000000000518</c:v>
                </c:pt>
                <c:pt idx="253">
                  <c:v>86.020000000000522</c:v>
                </c:pt>
                <c:pt idx="254">
                  <c:v>86.360000000000525</c:v>
                </c:pt>
                <c:pt idx="255">
                  <c:v>86.700000000000529</c:v>
                </c:pt>
                <c:pt idx="256">
                  <c:v>87.040000000000532</c:v>
                </c:pt>
                <c:pt idx="257">
                  <c:v>87.380000000000535</c:v>
                </c:pt>
                <c:pt idx="258">
                  <c:v>87.720000000000539</c:v>
                </c:pt>
                <c:pt idx="259">
                  <c:v>88.060000000000542</c:v>
                </c:pt>
                <c:pt idx="260">
                  <c:v>88.400000000000546</c:v>
                </c:pt>
                <c:pt idx="261">
                  <c:v>88.740000000000549</c:v>
                </c:pt>
                <c:pt idx="262">
                  <c:v>89.080000000000553</c:v>
                </c:pt>
                <c:pt idx="263">
                  <c:v>89.420000000000556</c:v>
                </c:pt>
                <c:pt idx="264">
                  <c:v>89.760000000000559</c:v>
                </c:pt>
                <c:pt idx="265">
                  <c:v>90.100000000000563</c:v>
                </c:pt>
                <c:pt idx="266">
                  <c:v>90.440000000000566</c:v>
                </c:pt>
                <c:pt idx="267">
                  <c:v>90.78000000000057</c:v>
                </c:pt>
                <c:pt idx="268">
                  <c:v>91.120000000000573</c:v>
                </c:pt>
                <c:pt idx="269">
                  <c:v>91.460000000000576</c:v>
                </c:pt>
                <c:pt idx="270">
                  <c:v>91.80000000000058</c:v>
                </c:pt>
                <c:pt idx="271">
                  <c:v>92.140000000000583</c:v>
                </c:pt>
                <c:pt idx="272">
                  <c:v>92.480000000000587</c:v>
                </c:pt>
                <c:pt idx="273">
                  <c:v>92.82000000000059</c:v>
                </c:pt>
              </c:numCache>
            </c:numRef>
          </c:xVal>
          <c:yVal>
            <c:numRef>
              <c:f>Hoja1!$Q$6:$Q$279</c:f>
              <c:numCache>
                <c:formatCode>General" m "</c:formatCode>
                <c:ptCount val="274"/>
                <c:pt idx="0">
                  <c:v>0</c:v>
                </c:pt>
                <c:pt idx="1">
                  <c:v>9.5158512464767475E-2</c:v>
                </c:pt>
                <c:pt idx="2">
                  <c:v>4.0166740623174633</c:v>
                </c:pt>
                <c:pt idx="3">
                  <c:v>11.756524589986642</c:v>
                </c:pt>
                <c:pt idx="4">
                  <c:v>23.285284135037237</c:v>
                </c:pt>
                <c:pt idx="5">
                  <c:v>38.552601155631947</c:v>
                </c:pt>
                <c:pt idx="6">
                  <c:v>57.488136633937579</c:v>
                </c:pt>
                <c:pt idx="7">
                  <c:v>80.002923300352521</c:v>
                </c:pt>
                <c:pt idx="8">
                  <c:v>105.99108886708341</c:v>
                </c:pt>
                <c:pt idx="9">
                  <c:v>135.33187188616049</c:v>
                </c:pt>
                <c:pt idx="10">
                  <c:v>167.89184962479092</c:v>
                </c:pt>
                <c:pt idx="11">
                  <c:v>203.52729353095143</c:v>
                </c:pt>
                <c:pt idx="12">
                  <c:v>242.08656926081986</c:v>
                </c:pt>
                <c:pt idx="13">
                  <c:v>283.41250421669747</c:v>
                </c:pt>
                <c:pt idx="14">
                  <c:v>327.34465512840319</c:v>
                </c:pt>
                <c:pt idx="15">
                  <c:v>373.72142025131711</c:v>
                </c:pt>
                <c:pt idx="16">
                  <c:v>422.38195406710332</c:v>
                </c:pt>
                <c:pt idx="17">
                  <c:v>473.16785586930939</c:v>
                </c:pt>
                <c:pt idx="18">
                  <c:v>525.92461638983991</c:v>
                </c:pt>
                <c:pt idx="19">
                  <c:v>580.50281800124901</c:v>
                </c:pt>
                <c:pt idx="20">
                  <c:v>636.75909358676745</c:v>
                </c:pt>
                <c:pt idx="21">
                  <c:v>694.55685670573939</c:v>
                </c:pt>
                <c:pt idx="22">
                  <c:v>753.76682118820656</c:v>
                </c:pt>
                <c:pt idx="23">
                  <c:v>814.26733190410641</c:v>
                </c:pt>
                <c:pt idx="24">
                  <c:v>875.9445304007603</c:v>
                </c:pt>
                <c:pt idx="25">
                  <c:v>938.69237966935248</c:v>
                </c:pt>
                <c:pt idx="26">
                  <c:v>1002.4125717848087</c:v>
                </c:pt>
                <c:pt idx="27">
                  <c:v>1067.0143408505385</c:v>
                </c:pt>
                <c:pt idx="28">
                  <c:v>1132.4142018277591</c:v>
                </c:pt>
                <c:pt idx="29">
                  <c:v>1198.5356336578075</c:v>
                </c:pt>
                <c:pt idx="30">
                  <c:v>1265.3087227720459</c:v>
                </c:pt>
                <c:pt idx="31">
                  <c:v>1332.6697807635096</c:v>
                </c:pt>
                <c:pt idx="32">
                  <c:v>1400.5609477656212</c:v>
                </c:pt>
                <c:pt idx="33">
                  <c:v>1468.9297910122273</c:v>
                </c:pt>
                <c:pt idx="34">
                  <c:v>1537.7289061796844</c:v>
                </c:pt>
                <c:pt idx="35">
                  <c:v>1606.9155274549569</c:v>
                </c:pt>
                <c:pt idx="36">
                  <c:v>1676.4511508376149</c:v>
                </c:pt>
                <c:pt idx="37">
                  <c:v>1746.3011739613369</c:v>
                </c:pt>
                <c:pt idx="38">
                  <c:v>1816.4345546980071</c:v>
                </c:pt>
                <c:pt idx="39">
                  <c:v>1886.8234899665142</c:v>
                </c:pt>
                <c:pt idx="40">
                  <c:v>1957.4431154886222</c:v>
                </c:pt>
                <c:pt idx="41">
                  <c:v>2028.2712266950516</c:v>
                </c:pt>
                <c:pt idx="42">
                  <c:v>2099.2880205660831</c:v>
                </c:pt>
                <c:pt idx="43">
                  <c:v>2170.4758578737783</c:v>
                </c:pt>
                <c:pt idx="44">
                  <c:v>2241.8190450602337</c:v>
                </c:pt>
                <c:pt idx="45">
                  <c:v>2313.3036348230075</c:v>
                </c:pt>
                <c:pt idx="46">
                  <c:v>2384.9172443717171</c:v>
                </c:pt>
                <c:pt idx="47">
                  <c:v>2456.6488902574947</c:v>
                </c:pt>
                <c:pt idx="48">
                  <c:v>2528.4888386498533</c:v>
                </c:pt>
                <c:pt idx="49">
                  <c:v>2600.428469935508</c:v>
                </c:pt>
                <c:pt idx="50">
                  <c:v>2672.4601565342105</c:v>
                </c:pt>
                <c:pt idx="51">
                  <c:v>2744.5771528621794</c:v>
                </c:pt>
                <c:pt idx="52">
                  <c:v>2816.7734964199058</c:v>
                </c:pt>
                <c:pt idx="53">
                  <c:v>2889.0439190344196</c:v>
                </c:pt>
                <c:pt idx="54">
                  <c:v>2961.3837673437833</c:v>
                </c:pt>
                <c:pt idx="55">
                  <c:v>3033.7889316714113</c:v>
                </c:pt>
                <c:pt idx="56">
                  <c:v>3106.2557824982036</c:v>
                </c:pt>
                <c:pt idx="57">
                  <c:v>3178.7811138001171</c:v>
                </c:pt>
                <c:pt idx="58">
                  <c:v>3251.3620925768105</c:v>
                </c:pt>
                <c:pt idx="59">
                  <c:v>3323.8423998534386</c:v>
                </c:pt>
                <c:pt idx="60">
                  <c:v>3394.596094839128</c:v>
                </c:pt>
                <c:pt idx="61">
                  <c:v>3459.5221655227592</c:v>
                </c:pt>
                <c:pt idx="62">
                  <c:v>3519.3462570771821</c:v>
                </c:pt>
                <c:pt idx="63">
                  <c:v>3574.6564315935525</c:v>
                </c:pt>
                <c:pt idx="64">
                  <c:v>3625.9356908048303</c:v>
                </c:pt>
                <c:pt idx="65">
                  <c:v>3673.5854002529195</c:v>
                </c:pt>
                <c:pt idx="66">
                  <c:v>3717.9425084384447</c:v>
                </c:pt>
                <c:pt idx="67">
                  <c:v>3759.2924342470096</c:v>
                </c:pt>
                <c:pt idx="68">
                  <c:v>3797.8788673062709</c:v>
                </c:pt>
                <c:pt idx="69">
                  <c:v>3833.9113274571696</c:v>
                </c:pt>
                <c:pt idx="70">
                  <c:v>3867.5710705207343</c:v>
                </c:pt>
                <c:pt idx="71">
                  <c:v>3899.0157553706767</c:v>
                </c:pt>
                <c:pt idx="72">
                  <c:v>3928.383170536601</c:v>
                </c:pt>
                <c:pt idx="73">
                  <c:v>3955.79423788549</c:v>
                </c:pt>
                <c:pt idx="74">
                  <c:v>3981.3554542624383</c:v>
                </c:pt>
                <c:pt idx="75">
                  <c:v>4005.1608915606694</c:v>
                </c:pt>
                <c:pt idx="76">
                  <c:v>4027.2938464679787</c:v>
                </c:pt>
                <c:pt idx="77">
                  <c:v>4047.8282097309402</c:v>
                </c:pt>
                <c:pt idx="78">
                  <c:v>4066.829608910527</c:v>
                </c:pt>
                <c:pt idx="79">
                  <c:v>4084.3563667091498</c:v>
                </c:pt>
                <c:pt idx="80">
                  <c:v>4100.4603079410526</c:v>
                </c:pt>
                <c:pt idx="81">
                  <c:v>4115.1874413282021</c:v>
                </c:pt>
                <c:pt idx="82">
                  <c:v>4128.5785369847417</c:v>
                </c:pt>
                <c:pt idx="83">
                  <c:v>4140.6696163095776</c:v>
                </c:pt>
                <c:pt idx="84">
                  <c:v>4151.4923677505094</c:v>
                </c:pt>
                <c:pt idx="85">
                  <c:v>4161.0744993220105</c:v>
                </c:pt>
                <c:pt idx="86">
                  <c:v>4169.4400366941736</c:v>
                </c:pt>
                <c:pt idx="87">
                  <c:v>4176.6095740035898</c:v>
                </c:pt>
                <c:pt idx="88">
                  <c:v>4182.6004831777436</c:v>
                </c:pt>
                <c:pt idx="89">
                  <c:v>4187.4270864436439</c:v>
                </c:pt>
                <c:pt idx="90">
                  <c:v>4191.1007957551392</c:v>
                </c:pt>
                <c:pt idx="91">
                  <c:v>4193.6302220794196</c:v>
                </c:pt>
                <c:pt idx="92">
                  <c:v>4195.0212567978106</c:v>
                </c:pt>
                <c:pt idx="93">
                  <c:v>4195.2771433174275</c:v>
                </c:pt>
                <c:pt idx="94">
                  <c:v>4194.3993697007427</c:v>
                </c:pt>
                <c:pt idx="95">
                  <c:v>4192.3901201412536</c:v>
                </c:pt>
                <c:pt idx="96">
                  <c:v>4189.2540156315008</c:v>
                </c:pt>
                <c:pt idx="97">
                  <c:v>4184.998231120604</c:v>
                </c:pt>
                <c:pt idx="98">
                  <c:v>4179.6324302839639</c:v>
                </c:pt>
                <c:pt idx="99">
                  <c:v>4173.1686786554792</c:v>
                </c:pt>
                <c:pt idx="100">
                  <c:v>4165.6213367619994</c:v>
                </c:pt>
                <c:pt idx="101">
                  <c:v>4157.0069352366163</c:v>
                </c:pt>
                <c:pt idx="102">
                  <c:v>4147.3440341626829</c:v>
                </c:pt>
                <c:pt idx="103">
                  <c:v>4136.6530691079724</c:v>
                </c:pt>
                <c:pt idx="104">
                  <c:v>4124.9561864448278</c:v>
                </c:pt>
                <c:pt idx="105">
                  <c:v>4112.277070617356</c:v>
                </c:pt>
                <c:pt idx="106">
                  <c:v>4098.6407660131927</c:v>
                </c:pt>
                <c:pt idx="107">
                  <c:v>4084.0734960301706</c:v>
                </c:pt>
                <c:pt idx="108">
                  <c:v>4068.6024818044079</c:v>
                </c:pt>
                <c:pt idx="109">
                  <c:v>4052.2557628944182</c:v>
                </c:pt>
                <c:pt idx="110">
                  <c:v>4035.0620220053665</c:v>
                </c:pt>
                <c:pt idx="111">
                  <c:v>4017.0504155984386</c:v>
                </c:pt>
                <c:pt idx="112">
                  <c:v>3998.2504119723681</c:v>
                </c:pt>
                <c:pt idx="113">
                  <c:v>3978.6916381368305</c:v>
                </c:pt>
                <c:pt idx="114">
                  <c:v>3958.4037365292356</c:v>
                </c:pt>
                <c:pt idx="115">
                  <c:v>3937.4162323649248</c:v>
                </c:pt>
                <c:pt idx="116">
                  <c:v>3915.7584121621853</c:v>
                </c:pt>
                <c:pt idx="117">
                  <c:v>3893.4592137527629</c:v>
                </c:pt>
                <c:pt idx="118">
                  <c:v>3870.5471278793912</c:v>
                </c:pt>
                <c:pt idx="119">
                  <c:v>3847.0501112966808</c:v>
                </c:pt>
                <c:pt idx="120">
                  <c:v>3822.9955111318122</c:v>
                </c:pt>
                <c:pt idx="121">
                  <c:v>3798.4100001271995</c:v>
                </c:pt>
                <c:pt idx="122">
                  <c:v>3773.3195222781169</c:v>
                </c:pt>
                <c:pt idx="123">
                  <c:v>3747.7492482930111</c:v>
                </c:pt>
                <c:pt idx="124">
                  <c:v>3721.7235402412271</c:v>
                </c:pt>
                <c:pt idx="125">
                  <c:v>3695.2659247100901</c:v>
                </c:pt>
                <c:pt idx="126">
                  <c:v>3668.3990737684758</c:v>
                </c:pt>
                <c:pt idx="127">
                  <c:v>3641.1447930248328</c:v>
                </c:pt>
                <c:pt idx="128">
                  <c:v>3613.5240160717358</c:v>
                </c:pt>
                <c:pt idx="129">
                  <c:v>3585.5568046241724</c:v>
                </c:pt>
                <c:pt idx="130">
                  <c:v>3557.2623536827577</c:v>
                </c:pt>
                <c:pt idx="131">
                  <c:v>3528.6590010839514</c:v>
                </c:pt>
                <c:pt idx="132">
                  <c:v>3499.7642408353436</c:v>
                </c:pt>
                <c:pt idx="133">
                  <c:v>3470.5947396736128</c:v>
                </c:pt>
                <c:pt idx="134">
                  <c:v>3441.1663563244742</c:v>
                </c:pt>
                <c:pt idx="135">
                  <c:v>3411.4941629866785</c:v>
                </c:pt>
                <c:pt idx="136">
                  <c:v>3381.592468604953</c:v>
                </c:pt>
                <c:pt idx="137">
                  <c:v>3351.4748435388888</c:v>
                </c:pt>
                <c:pt idx="138">
                  <c:v>3321.1541452755891</c:v>
                </c:pt>
                <c:pt idx="139">
                  <c:v>3290.6425448729351</c:v>
                </c:pt>
                <c:pt idx="140">
                  <c:v>3259.9515538572318</c:v>
                </c:pt>
                <c:pt idx="141">
                  <c:v>3229.0920513335836</c:v>
                </c:pt>
                <c:pt idx="142">
                  <c:v>3198.074311099434</c:v>
                </c:pt>
                <c:pt idx="143">
                  <c:v>3166.9080285812465</c:v>
                </c:pt>
                <c:pt idx="144">
                  <c:v>3135.6023474413114</c:v>
                </c:pt>
                <c:pt idx="145">
                  <c:v>3104.165885726145</c:v>
                </c:pt>
                <c:pt idx="146">
                  <c:v>3072.6067614500348</c:v>
                </c:pt>
                <c:pt idx="147">
                  <c:v>3040.9326175270367</c:v>
                </c:pt>
                <c:pt idx="148">
                  <c:v>3009.1506459823295</c:v>
                </c:pt>
                <c:pt idx="149">
                  <c:v>2977.267611389364</c:v>
                </c:pt>
                <c:pt idx="150">
                  <c:v>2945.2898734929122</c:v>
                </c:pt>
                <c:pt idx="151">
                  <c:v>2913.223408990028</c:v>
                </c:pt>
                <c:pt idx="152">
                  <c:v>2881.0738324512672</c:v>
                </c:pt>
                <c:pt idx="153">
                  <c:v>2848.8464163733952</c:v>
                </c:pt>
                <c:pt idx="154">
                  <c:v>2816.5461103623934</c:v>
                </c:pt>
                <c:pt idx="155">
                  <c:v>2784.1775594519904</c:v>
                </c:pt>
                <c:pt idx="156">
                  <c:v>2751.7451215683163</c:v>
                </c:pt>
                <c:pt idx="157">
                  <c:v>2719.2528841557196</c:v>
                </c:pt>
                <c:pt idx="158">
                  <c:v>2686.7046799824161</c:v>
                </c:pt>
                <c:pt idx="159">
                  <c:v>2654.1041021475439</c:v>
                </c:pt>
                <c:pt idx="160">
                  <c:v>2621.4545183134769</c:v>
                </c:pt>
                <c:pt idx="161">
                  <c:v>2588.7590841889814</c:v>
                </c:pt>
                <c:pt idx="162">
                  <c:v>2556.0207562900609</c:v>
                </c:pt>
                <c:pt idx="163">
                  <c:v>2523.2423040061772</c:v>
                </c:pt>
                <c:pt idx="164">
                  <c:v>2490.4263210000518</c:v>
                </c:pt>
                <c:pt idx="165">
                  <c:v>2457.5752359694529</c:v>
                </c:pt>
                <c:pt idx="166">
                  <c:v>2424.6913227993359</c:v>
                </c:pt>
                <c:pt idx="167">
                  <c:v>2391.776710132463</c:v>
                </c:pt>
                <c:pt idx="168">
                  <c:v>2358.8333903862058</c:v>
                </c:pt>
                <c:pt idx="169">
                  <c:v>2325.8632282426875</c:v>
                </c:pt>
                <c:pt idx="170">
                  <c:v>2292.8679686387445</c:v>
                </c:pt>
                <c:pt idx="171">
                  <c:v>2259.8492442814409</c:v>
                </c:pt>
                <c:pt idx="172">
                  <c:v>2226.8085827140435</c:v>
                </c:pt>
                <c:pt idx="173">
                  <c:v>2193.7474129564921</c:v>
                </c:pt>
                <c:pt idx="174">
                  <c:v>2160.6670717435004</c:v>
                </c:pt>
                <c:pt idx="175">
                  <c:v>2127.5688093824911</c:v>
                </c:pt>
                <c:pt idx="176">
                  <c:v>2094.4537952526293</c:v>
                </c:pt>
                <c:pt idx="177">
                  <c:v>2061.3231229652874</c:v>
                </c:pt>
                <c:pt idx="178">
                  <c:v>2028.1778152053321</c:v>
                </c:pt>
                <c:pt idx="179">
                  <c:v>1995.0188282717111</c:v>
                </c:pt>
                <c:pt idx="180">
                  <c:v>1961.8470563349072</c:v>
                </c:pt>
                <c:pt idx="181">
                  <c:v>1928.6633354279502</c:v>
                </c:pt>
                <c:pt idx="182">
                  <c:v>1895.4684471868172</c:v>
                </c:pt>
                <c:pt idx="183">
                  <c:v>1862.2631223552203</c:v>
                </c:pt>
                <c:pt idx="184">
                  <c:v>1829.0480440679792</c:v>
                </c:pt>
                <c:pt idx="185">
                  <c:v>1795.823850926407</c:v>
                </c:pt>
                <c:pt idx="186">
                  <c:v>1762.5911398783903</c:v>
                </c:pt>
                <c:pt idx="187">
                  <c:v>1729.3504689151405</c:v>
                </c:pt>
                <c:pt idx="188">
                  <c:v>1696.1023595959093</c:v>
                </c:pt>
                <c:pt idx="189">
                  <c:v>1662.8472994113195</c:v>
                </c:pt>
                <c:pt idx="190">
                  <c:v>1629.5857439953381</c:v>
                </c:pt>
                <c:pt idx="191">
                  <c:v>1596.3181191953404</c:v>
                </c:pt>
                <c:pt idx="192">
                  <c:v>1563.0448230091472</c:v>
                </c:pt>
                <c:pt idx="193">
                  <c:v>1529.7662273973979</c:v>
                </c:pt>
                <c:pt idx="194">
                  <c:v>1496.4826799791138</c:v>
                </c:pt>
                <c:pt idx="195">
                  <c:v>1463.1945056178367</c:v>
                </c:pt>
                <c:pt idx="196">
                  <c:v>1429.9020079052791</c:v>
                </c:pt>
                <c:pt idx="197">
                  <c:v>1396.6054705489958</c:v>
                </c:pt>
                <c:pt idx="198">
                  <c:v>1363.3051586701904</c:v>
                </c:pt>
                <c:pt idx="199">
                  <c:v>1330.0013200173946</c:v>
                </c:pt>
                <c:pt idx="200">
                  <c:v>1296.6941861013952</c:v>
                </c:pt>
                <c:pt idx="201">
                  <c:v>1263.3839732564597</c:v>
                </c:pt>
                <c:pt idx="202">
                  <c:v>1230.070883632588</c:v>
                </c:pt>
                <c:pt idx="203">
                  <c:v>1196.7551061232246</c:v>
                </c:pt>
                <c:pt idx="204">
                  <c:v>1163.4368172325874</c:v>
                </c:pt>
                <c:pt idx="205">
                  <c:v>1130.1161818865046</c:v>
                </c:pt>
                <c:pt idx="206">
                  <c:v>1096.793354190409</c:v>
                </c:pt>
                <c:pt idx="207">
                  <c:v>1063.4684781379021</c:v>
                </c:pt>
                <c:pt idx="208">
                  <c:v>1030.1416882730903</c:v>
                </c:pt>
                <c:pt idx="209">
                  <c:v>996.81311030968368</c:v>
                </c:pt>
                <c:pt idx="210">
                  <c:v>963.48286170966423</c:v>
                </c:pt>
                <c:pt idx="211">
                  <c:v>930.1510522241457</c:v>
                </c:pt>
                <c:pt idx="212">
                  <c:v>896.81778439888114</c:v>
                </c:pt>
                <c:pt idx="213">
                  <c:v>863.48315404671735</c:v>
                </c:pt>
                <c:pt idx="214">
                  <c:v>830.14725068914493</c:v>
                </c:pt>
                <c:pt idx="215">
                  <c:v>796.81015796895701</c:v>
                </c:pt>
                <c:pt idx="216">
                  <c:v>763.47195403589842</c:v>
                </c:pt>
                <c:pt idx="217">
                  <c:v>730.13271190706598</c:v>
                </c:pt>
                <c:pt idx="218">
                  <c:v>696.79249980370594</c:v>
                </c:pt>
                <c:pt idx="219">
                  <c:v>663.45138146594991</c:v>
                </c:pt>
                <c:pt idx="220">
                  <c:v>630.10941644692878</c:v>
                </c:pt>
                <c:pt idx="221">
                  <c:v>596.76666038761164</c:v>
                </c:pt>
                <c:pt idx="222">
                  <c:v>563.42316527362937</c:v>
                </c:pt>
                <c:pt idx="223">
                  <c:v>530.0789796752606</c:v>
                </c:pt>
                <c:pt idx="224">
                  <c:v>496.73414897168101</c:v>
                </c:pt>
                <c:pt idx="225">
                  <c:v>463.38871556050543</c:v>
                </c:pt>
                <c:pt idx="226">
                  <c:v>430.0427190535853</c:v>
                </c:pt>
                <c:pt idx="227">
                  <c:v>396.69619645996085</c:v>
                </c:pt>
                <c:pt idx="228">
                  <c:v>363.34918235680937</c:v>
                </c:pt>
                <c:pt idx="229">
                  <c:v>330.00170904917582</c:v>
                </c:pt>
                <c:pt idx="230">
                  <c:v>296.65380671922026</c:v>
                </c:pt>
                <c:pt idx="231">
                  <c:v>263.30550356566943</c:v>
                </c:pt>
                <c:pt idx="232">
                  <c:v>229.95682593411414</c:v>
                </c:pt>
                <c:pt idx="233">
                  <c:v>196.60779843875298</c:v>
                </c:pt>
                <c:pt idx="234">
                  <c:v>163.25844407614264</c:v>
                </c:pt>
                <c:pt idx="235">
                  <c:v>129.90878433147947</c:v>
                </c:pt>
                <c:pt idx="236">
                  <c:v>96.55883927790191</c:v>
                </c:pt>
                <c:pt idx="237">
                  <c:v>63.208627669271614</c:v>
                </c:pt>
                <c:pt idx="238">
                  <c:v>29.858167026861206</c:v>
                </c:pt>
                <c:pt idx="239">
                  <c:v>-3.4925262796516146</c:v>
                </c:pt>
                <c:pt idx="240">
                  <c:v>-36.84343695650994</c:v>
                </c:pt>
                <c:pt idx="241">
                  <c:v>-70.19455071517433</c:v>
                </c:pt>
                <c:pt idx="242">
                  <c:v>-103.54585420626405</c:v>
                </c:pt>
                <c:pt idx="243">
                  <c:v>-136.89733495783796</c:v>
                </c:pt>
                <c:pt idx="244">
                  <c:v>-170.24898131773008</c:v>
                </c:pt>
                <c:pt idx="245">
                  <c:v>-203.60078239967388</c:v>
                </c:pt>
                <c:pt idx="246">
                  <c:v>-236.95272803296604</c:v>
                </c:pt>
                <c:pt idx="247">
                  <c:v>-270.30480871543784</c:v>
                </c:pt>
                <c:pt idx="248">
                  <c:v>-303.65701556951643</c:v>
                </c:pt>
                <c:pt idx="249">
                  <c:v>-337.00934030117344</c:v>
                </c:pt>
                <c:pt idx="250">
                  <c:v>-370.3617751615709</c:v>
                </c:pt>
                <c:pt idx="251">
                  <c:v>-403.71431291122792</c:v>
                </c:pt>
                <c:pt idx="252">
                  <c:v>-437.06694678654156</c:v>
                </c:pt>
                <c:pt idx="253">
                  <c:v>-470.41967046850846</c:v>
                </c:pt>
                <c:pt idx="254">
                  <c:v>-503.77247805350163</c:v>
                </c:pt>
                <c:pt idx="255">
                  <c:v>-537.12536402596777</c:v>
                </c:pt>
                <c:pt idx="256">
                  <c:v>-570.47832323291902</c:v>
                </c:pt>
                <c:pt idx="257">
                  <c:v>-603.83135086010145</c:v>
                </c:pt>
                <c:pt idx="258">
                  <c:v>-637.18444240972929</c:v>
                </c:pt>
                <c:pt idx="259">
                  <c:v>-670.5375936796828</c:v>
                </c:pt>
                <c:pt idx="260">
                  <c:v>-703.89080074407343</c:v>
                </c:pt>
                <c:pt idx="261">
                  <c:v>-737.2440599350864</c:v>
                </c:pt>
                <c:pt idx="262">
                  <c:v>-770.59736782601669</c:v>
                </c:pt>
                <c:pt idx="263">
                  <c:v>-803.95072121541966</c:v>
                </c:pt>
                <c:pt idx="264">
                  <c:v>-837.30411711230386</c:v>
                </c:pt>
                <c:pt idx="265">
                  <c:v>-870.65755272229717</c:v>
                </c:pt>
                <c:pt idx="266">
                  <c:v>-904.01102543472189</c:v>
                </c:pt>
                <c:pt idx="267">
                  <c:v>-937.36453281051945</c:v>
                </c:pt>
                <c:pt idx="268">
                  <c:v>-970.71807257096918</c:v>
                </c:pt>
                <c:pt idx="269">
                  <c:v>-1004.0716425871483</c:v>
                </c:pt>
                <c:pt idx="270">
                  <c:v>-1037.4252408700845</c:v>
                </c:pt>
                <c:pt idx="271">
                  <c:v>-1070.7788655615568</c:v>
                </c:pt>
                <c:pt idx="272">
                  <c:v>-1104.1325149254997</c:v>
                </c:pt>
                <c:pt idx="273">
                  <c:v>-1137.4861873399732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7E-4CDF-86D0-39CCC1224505}"/>
            </c:ext>
          </c:extLst>
        </c:ser>
        <c:ser>
          <c:idx val="1"/>
          <c:order val="1"/>
          <c:tx>
            <c:v>Cohete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9"/>
            <c:spPr>
              <a:gradFill>
                <a:gsLst>
                  <a:gs pos="0">
                    <a:schemeClr val="tx1"/>
                  </a:gs>
                  <a:gs pos="48000">
                    <a:schemeClr val="accent1">
                      <a:lumMod val="45000"/>
                      <a:lumOff val="55000"/>
                    </a:schemeClr>
                  </a:gs>
                  <a:gs pos="53000">
                    <a:srgbClr val="FF0000"/>
                  </a:gs>
                  <a:gs pos="95000">
                    <a:srgbClr val="FFFF00"/>
                  </a:gs>
                </a:gsLst>
                <a:lin ang="5400000" scaled="1"/>
              </a:gra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Hoja1!$E$6</c:f>
              <c:numCache>
                <c:formatCode>General" s "</c:formatCode>
                <c:ptCount val="1"/>
                <c:pt idx="0">
                  <c:v>20</c:v>
                </c:pt>
              </c:numCache>
            </c:numRef>
          </c:xVal>
          <c:yVal>
            <c:numRef>
              <c:f>Hoja1!$G$6</c:f>
              <c:numCache>
                <c:formatCode>General" m/s "</c:formatCode>
                <c:ptCount val="1"/>
                <c:pt idx="0">
                  <c:v>3251.3620925768105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CE-441C-8381-4994EA238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097600"/>
        <c:axId val="888099264"/>
      </c:scatterChart>
      <c:valAx>
        <c:axId val="88809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 s 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88099264"/>
        <c:crosses val="autoZero"/>
        <c:crossBetween val="midCat"/>
      </c:valAx>
      <c:valAx>
        <c:axId val="88809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 m 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8809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350137634121087"/>
          <c:y val="0.1494140938260905"/>
          <c:w val="0.18151566377021505"/>
          <c:h val="0.1146589824925186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s-CO"/>
              <a:t>Combustible</a:t>
            </a:r>
          </a:p>
        </cx:rich>
      </cx:tx>
    </cx:title>
    <cx:plotArea>
      <cx:plotAreaRegion>
        <cx:plotSurface>
          <cx:spPr>
            <a:ln>
              <a:solidFill>
                <a:schemeClr val="tx1"/>
              </a:solidFill>
            </a:ln>
          </cx:spPr>
        </cx:plotSurface>
        <cx:series layoutId="clusteredColumn" uniqueId="{92A4087C-786C-4147-8A69-98B88C09A955}">
          <cx:tx>
            <cx:txData>
              <cx:f>_xlchart.0</cx:f>
              <cx:v>Combustible</cx:v>
            </cx:txData>
          </cx:tx>
          <cx:spPr>
            <a:gradFill>
              <a:gsLst>
                <a:gs pos="0">
                  <a:srgbClr val="FFC000"/>
                </a:gs>
                <a:gs pos="74000">
                  <a:schemeClr val="accent4">
                    <a:lumMod val="60000"/>
                    <a:lumOff val="40000"/>
                  </a:schemeClr>
                </a:gs>
                <a:gs pos="83000">
                  <a:schemeClr val="accent4">
                    <a:lumMod val="60000"/>
                    <a:lumOff val="40000"/>
                  </a:schemeClr>
                </a:gs>
                <a:gs pos="100000">
                  <a:schemeClr val="accent4">
                    <a:lumMod val="20000"/>
                    <a:lumOff val="80000"/>
                  </a:schemeClr>
                </a:gs>
              </a:gsLst>
              <a:lin ang="5400000" scaled="1"/>
            </a:gradFill>
            <a:ln>
              <a:solidFill>
                <a:schemeClr val="tx1"/>
              </a:solidFill>
            </a:ln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x:spPr>
          <cx:dataId val="0"/>
          <cx:layoutPr>
            <cx:aggregation/>
          </cx:layoutPr>
        </cx:series>
      </cx:plotAreaRegion>
      <cx:axis id="0">
        <cx:catScaling gapWidth="1"/>
        <cx:tickLabels/>
      </cx:axis>
      <cx:axis id="1">
        <cx:valScaling max="1" min="0"/>
        <cx:majorGridlines/>
        <cx:tickLabels/>
      </cx:axis>
    </cx:plotArea>
  </cx:chart>
</cx:chartSpace>
</file>

<file path=xl/charts/chart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_xlchart.3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s-CO"/>
              <a:t>Aceleración</a:t>
            </a:r>
          </a:p>
        </cx:rich>
      </cx:tx>
    </cx:title>
    <cx:plotArea>
      <cx:plotAreaRegion>
        <cx:plotSurface>
          <cx:spPr>
            <a:ln>
              <a:solidFill>
                <a:schemeClr val="tx1"/>
              </a:solidFill>
            </a:ln>
          </cx:spPr>
        </cx:plotSurface>
        <cx:series layoutId="clusteredColumn" uniqueId="{92A4087C-786C-4147-8A69-98B88C09A955}">
          <cx:tx>
            <cx:txData>
              <cx:f>_xlchart.2</cx:f>
              <cx:v>Acel.</cx:v>
            </cx:txData>
          </cx:tx>
          <cx:spPr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</cx:spPr>
          <cx:dataId val="0"/>
          <cx:layoutPr>
            <cx:aggregation/>
          </cx:layoutPr>
        </cx:series>
      </cx:plotAreaRegion>
      <cx:axis id="0">
        <cx:catScaling gapWidth="1"/>
        <cx:tickLabels/>
      </cx:axis>
      <cx:axis id="1">
        <cx:valScaling max="7" min="-7"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421660</xdr:colOff>
      <xdr:row>8</xdr:row>
      <xdr:rowOff>70037</xdr:rowOff>
    </xdr:from>
    <xdr:to>
      <xdr:col>6</xdr:col>
      <xdr:colOff>27213</xdr:colOff>
      <xdr:row>34</xdr:row>
      <xdr:rowOff>66674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108457</xdr:colOff>
      <xdr:row>8</xdr:row>
      <xdr:rowOff>64354</xdr:rowOff>
    </xdr:from>
    <xdr:to>
      <xdr:col>13</xdr:col>
      <xdr:colOff>264738</xdr:colOff>
      <xdr:row>34</xdr:row>
      <xdr:rowOff>68035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1819276</xdr:colOff>
      <xdr:row>10</xdr:row>
      <xdr:rowOff>85725</xdr:rowOff>
    </xdr:from>
    <xdr:to>
      <xdr:col>4</xdr:col>
      <xdr:colOff>352425</xdr:colOff>
      <xdr:row>25</xdr:row>
      <xdr:rowOff>171450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4" name="Gráfico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4</xdr:col>
      <xdr:colOff>361951</xdr:colOff>
      <xdr:row>10</xdr:row>
      <xdr:rowOff>85726</xdr:rowOff>
    </xdr:from>
    <xdr:to>
      <xdr:col>6</xdr:col>
      <xdr:colOff>19050</xdr:colOff>
      <xdr:row>25</xdr:row>
      <xdr:rowOff>171450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5" name="Gráfico 4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Y354"/>
  <sheetViews>
    <sheetView tabSelected="1" zoomScaleNormal="100" workbookViewId="0">
      <selection activeCell="E7" sqref="E7"/>
    </sheetView>
  </sheetViews>
  <sheetFormatPr baseColWidth="10" defaultRowHeight="15" x14ac:dyDescent="0.25"/>
  <cols>
    <col min="3" max="3" width="28.7109375" customWidth="1"/>
    <col min="5" max="5" width="11.85546875" bestFit="1" customWidth="1"/>
    <col min="9" max="9" width="15.5703125" customWidth="1"/>
    <col min="15" max="15" width="11.85546875" bestFit="1" customWidth="1"/>
  </cols>
  <sheetData>
    <row r="1" spans="2:25" x14ac:dyDescent="0.25">
      <c r="B1" t="s">
        <v>12</v>
      </c>
      <c r="K1" t="s">
        <v>6</v>
      </c>
    </row>
    <row r="2" spans="2:25" x14ac:dyDescent="0.25">
      <c r="G2" t="s">
        <v>3</v>
      </c>
      <c r="K2" t="s">
        <v>7</v>
      </c>
      <c r="L2" t="s">
        <v>5</v>
      </c>
    </row>
    <row r="3" spans="2:25" x14ac:dyDescent="0.25">
      <c r="C3" s="2">
        <v>50</v>
      </c>
      <c r="G3" s="8">
        <f>MAX(Q6:Q279)</f>
        <v>4195.2771433174275</v>
      </c>
      <c r="K3" t="s">
        <v>8</v>
      </c>
      <c r="L3" t="s">
        <v>9</v>
      </c>
      <c r="O3" s="1"/>
    </row>
    <row r="4" spans="2:25" x14ac:dyDescent="0.25">
      <c r="C4" s="3">
        <v>20</v>
      </c>
      <c r="O4" s="1"/>
    </row>
    <row r="5" spans="2:25" ht="20.25" x14ac:dyDescent="0.35">
      <c r="C5" s="7">
        <v>0.34</v>
      </c>
      <c r="E5" s="12" t="s">
        <v>0</v>
      </c>
      <c r="F5" s="12" t="s">
        <v>1</v>
      </c>
      <c r="G5" s="12" t="s">
        <v>2</v>
      </c>
      <c r="H5" s="12" t="s">
        <v>11</v>
      </c>
      <c r="I5" s="13" t="s">
        <v>10</v>
      </c>
      <c r="O5" s="4" t="s">
        <v>0</v>
      </c>
      <c r="P5" s="4" t="s">
        <v>1</v>
      </c>
      <c r="Q5" s="4" t="s">
        <v>2</v>
      </c>
      <c r="R5" s="4"/>
      <c r="S5" s="4"/>
      <c r="T5" s="4"/>
      <c r="U5" s="4"/>
      <c r="V5" s="4"/>
      <c r="W5" s="4"/>
      <c r="X5" s="4"/>
      <c r="Y5" s="4"/>
    </row>
    <row r="6" spans="2:25" x14ac:dyDescent="0.25">
      <c r="E6" s="9">
        <v>20</v>
      </c>
      <c r="F6" s="6">
        <f>VLOOKUP($E6,$O$6:$Q$279,2)</f>
        <v>220.46489011210335</v>
      </c>
      <c r="G6" s="6">
        <f>VLOOKUP($E6,$O$6:$Q$279,3)</f>
        <v>3251.3620925768105</v>
      </c>
      <c r="H6" s="15">
        <f>((F7-F6)/h+9.81)/9.81</f>
        <v>-4.6230805352127025</v>
      </c>
      <c r="I6" s="14">
        <f>Combust(E6,C4)</f>
        <v>0</v>
      </c>
      <c r="O6" s="5">
        <v>0</v>
      </c>
      <c r="P6" s="6">
        <v>0</v>
      </c>
      <c r="Q6" s="10">
        <v>0</v>
      </c>
    </row>
    <row r="7" spans="2:25" x14ac:dyDescent="0.25">
      <c r="C7" s="11" t="s">
        <v>4</v>
      </c>
      <c r="E7" s="9">
        <f>E6+h</f>
        <v>20.34</v>
      </c>
      <c r="F7" s="6">
        <f>VSig($C$3,$C$4,F6,E6,h)</f>
        <v>201.7096672949549</v>
      </c>
      <c r="G7">
        <f>YSig($C$3,$C$4,G6,F6,E6,h)</f>
        <v>3323.1317673360104</v>
      </c>
      <c r="O7" s="5">
        <f t="shared" ref="O7:O46" si="0">O6+h</f>
        <v>0.34</v>
      </c>
      <c r="P7" s="6">
        <f t="shared" ref="P7:P70" si="1">VSig($C$3,$C$4,P6,O6,h)</f>
        <v>11.261036571077902</v>
      </c>
      <c r="Q7" s="10">
        <f t="shared" ref="Q7:Q70" si="2">YSig($C$3,$C$4,Q6,P6,O6,h)</f>
        <v>9.5158512464767475E-2</v>
      </c>
    </row>
    <row r="8" spans="2:25" x14ac:dyDescent="0.25">
      <c r="O8" s="5">
        <f t="shared" si="0"/>
        <v>0.68</v>
      </c>
      <c r="P8" s="6">
        <f t="shared" si="1"/>
        <v>22.530153422986949</v>
      </c>
      <c r="Q8" s="10">
        <f t="shared" si="2"/>
        <v>4.0166740623174633</v>
      </c>
    </row>
    <row r="9" spans="2:25" x14ac:dyDescent="0.25">
      <c r="O9" s="5">
        <f t="shared" si="0"/>
        <v>1.02</v>
      </c>
      <c r="P9" s="6">
        <f t="shared" si="1"/>
        <v>33.744128097545037</v>
      </c>
      <c r="Q9" s="10">
        <f t="shared" si="2"/>
        <v>11.756524589986642</v>
      </c>
    </row>
    <row r="10" spans="2:25" x14ac:dyDescent="0.25">
      <c r="O10" s="5">
        <f t="shared" si="0"/>
        <v>1.36</v>
      </c>
      <c r="P10" s="6">
        <f t="shared" si="1"/>
        <v>44.840448595882506</v>
      </c>
      <c r="Q10" s="10">
        <f t="shared" si="2"/>
        <v>23.285284135037237</v>
      </c>
    </row>
    <row r="11" spans="2:25" x14ac:dyDescent="0.25">
      <c r="O11" s="5">
        <f t="shared" si="0"/>
        <v>1.7000000000000002</v>
      </c>
      <c r="P11" s="6">
        <f t="shared" si="1"/>
        <v>55.758705804103229</v>
      </c>
      <c r="Q11" s="10">
        <f t="shared" si="2"/>
        <v>38.552601155631947</v>
      </c>
    </row>
    <row r="12" spans="2:25" x14ac:dyDescent="0.25">
      <c r="O12" s="5">
        <f t="shared" si="0"/>
        <v>2.04</v>
      </c>
      <c r="P12" s="6">
        <f t="shared" si="1"/>
        <v>66.441902033110878</v>
      </c>
      <c r="Q12" s="10">
        <f t="shared" si="2"/>
        <v>57.488136633937579</v>
      </c>
    </row>
    <row r="13" spans="2:25" x14ac:dyDescent="0.25">
      <c r="O13" s="5">
        <f t="shared" si="0"/>
        <v>2.38</v>
      </c>
      <c r="P13" s="6">
        <f t="shared" si="1"/>
        <v>76.837616226451203</v>
      </c>
      <c r="Q13" s="10">
        <f t="shared" si="2"/>
        <v>80.002923300352521</v>
      </c>
    </row>
    <row r="14" spans="2:25" x14ac:dyDescent="0.25">
      <c r="O14" s="5">
        <f t="shared" si="0"/>
        <v>2.7199999999999998</v>
      </c>
      <c r="P14" s="6">
        <f t="shared" si="1"/>
        <v>86.898976946412532</v>
      </c>
      <c r="Q14" s="10">
        <f t="shared" si="2"/>
        <v>105.99108886708341</v>
      </c>
    </row>
    <row r="15" spans="2:25" x14ac:dyDescent="0.25">
      <c r="O15" s="5">
        <f t="shared" si="0"/>
        <v>3.0599999999999996</v>
      </c>
      <c r="P15" s="6">
        <f t="shared" si="1"/>
        <v>96.585408172520332</v>
      </c>
      <c r="Q15" s="10">
        <f t="shared" si="2"/>
        <v>135.33187188616049</v>
      </c>
    </row>
    <row r="16" spans="2:25" x14ac:dyDescent="0.25">
      <c r="O16" s="5">
        <f t="shared" si="0"/>
        <v>3.3999999999999995</v>
      </c>
      <c r="P16" s="6">
        <f t="shared" si="1"/>
        <v>105.86312870977662</v>
      </c>
      <c r="Q16" s="10">
        <f t="shared" si="2"/>
        <v>167.89184962479092</v>
      </c>
    </row>
    <row r="17" spans="15:17" x14ac:dyDescent="0.25">
      <c r="O17" s="5">
        <f t="shared" si="0"/>
        <v>3.7399999999999993</v>
      </c>
      <c r="P17" s="6">
        <f t="shared" si="1"/>
        <v>114.70540197771973</v>
      </c>
      <c r="Q17" s="10">
        <f t="shared" si="2"/>
        <v>203.52729353095143</v>
      </c>
    </row>
    <row r="18" spans="15:17" x14ac:dyDescent="0.25">
      <c r="O18" s="5">
        <f t="shared" si="0"/>
        <v>4.0799999999999992</v>
      </c>
      <c r="P18" s="6">
        <f t="shared" si="1"/>
        <v>123.09254763644435</v>
      </c>
      <c r="Q18" s="10">
        <f t="shared" si="2"/>
        <v>242.08656926081986</v>
      </c>
    </row>
    <row r="19" spans="15:17" x14ac:dyDescent="0.25">
      <c r="O19" s="5">
        <f t="shared" si="0"/>
        <v>4.419999999999999</v>
      </c>
      <c r="P19" s="6">
        <f t="shared" si="1"/>
        <v>131.01173871738021</v>
      </c>
      <c r="Q19" s="10">
        <f t="shared" si="2"/>
        <v>283.41250421669747</v>
      </c>
    </row>
    <row r="20" spans="15:17" x14ac:dyDescent="0.25">
      <c r="O20" s="5">
        <f t="shared" si="0"/>
        <v>4.7599999999999989</v>
      </c>
      <c r="P20" s="6">
        <f t="shared" si="1"/>
        <v>138.45661690656289</v>
      </c>
      <c r="Q20" s="10">
        <f t="shared" si="2"/>
        <v>327.34465512840319</v>
      </c>
    </row>
    <row r="21" spans="15:17" x14ac:dyDescent="0.25">
      <c r="O21" s="5">
        <f t="shared" si="0"/>
        <v>5.0999999999999988</v>
      </c>
      <c r="P21" s="6">
        <f t="shared" si="1"/>
        <v>145.42676407515756</v>
      </c>
      <c r="Q21" s="10">
        <f t="shared" si="2"/>
        <v>373.72142025131711</v>
      </c>
    </row>
    <row r="22" spans="15:17" x14ac:dyDescent="0.25">
      <c r="O22" s="5">
        <f t="shared" si="0"/>
        <v>5.4399999999999986</v>
      </c>
      <c r="P22" s="6">
        <f t="shared" si="1"/>
        <v>151.92707018047605</v>
      </c>
      <c r="Q22" s="10">
        <f t="shared" si="2"/>
        <v>422.38195406710332</v>
      </c>
    </row>
    <row r="23" spans="15:17" x14ac:dyDescent="0.25">
      <c r="O23" s="5">
        <f t="shared" si="0"/>
        <v>5.7799999999999985</v>
      </c>
      <c r="P23" s="6">
        <f t="shared" si="1"/>
        <v>157.96703670776509</v>
      </c>
      <c r="Q23" s="10">
        <f t="shared" si="2"/>
        <v>473.16785586930939</v>
      </c>
    </row>
    <row r="24" spans="15:17" x14ac:dyDescent="0.25">
      <c r="O24" s="5">
        <f t="shared" si="0"/>
        <v>6.1199999999999983</v>
      </c>
      <c r="P24" s="6">
        <f t="shared" si="1"/>
        <v>163.56005153057882</v>
      </c>
      <c r="Q24" s="10">
        <f t="shared" si="2"/>
        <v>525.92461638983991</v>
      </c>
    </row>
    <row r="25" spans="15:17" x14ac:dyDescent="0.25">
      <c r="O25" s="5">
        <f t="shared" si="0"/>
        <v>6.4599999999999982</v>
      </c>
      <c r="P25" s="6">
        <f t="shared" si="1"/>
        <v>168.7226661637435</v>
      </c>
      <c r="Q25" s="10">
        <f t="shared" si="2"/>
        <v>580.50281800124901</v>
      </c>
    </row>
    <row r="26" spans="15:17" x14ac:dyDescent="0.25">
      <c r="O26" s="5">
        <f t="shared" si="0"/>
        <v>6.799999999999998</v>
      </c>
      <c r="P26" s="6">
        <f t="shared" si="1"/>
        <v>173.47390058117256</v>
      </c>
      <c r="Q26" s="10">
        <f t="shared" si="2"/>
        <v>636.75909358676745</v>
      </c>
    </row>
    <row r="27" spans="15:17" x14ac:dyDescent="0.25">
      <c r="O27" s="5">
        <f t="shared" si="0"/>
        <v>7.1399999999999979</v>
      </c>
      <c r="P27" s="6">
        <f t="shared" si="1"/>
        <v>177.83459469663532</v>
      </c>
      <c r="Q27" s="10">
        <f t="shared" si="2"/>
        <v>694.55685670573939</v>
      </c>
    </row>
    <row r="28" spans="15:17" x14ac:dyDescent="0.25">
      <c r="O28" s="5">
        <f t="shared" si="0"/>
        <v>7.4799999999999978</v>
      </c>
      <c r="P28" s="6">
        <f t="shared" si="1"/>
        <v>181.82681975421931</v>
      </c>
      <c r="Q28" s="10">
        <f t="shared" si="2"/>
        <v>753.76682118820656</v>
      </c>
    </row>
    <row r="29" spans="15:17" x14ac:dyDescent="0.25">
      <c r="O29" s="5">
        <f t="shared" si="0"/>
        <v>7.8199999999999976</v>
      </c>
      <c r="P29" s="6">
        <f t="shared" si="1"/>
        <v>185.47335759657463</v>
      </c>
      <c r="Q29" s="10">
        <f t="shared" si="2"/>
        <v>814.26733190410641</v>
      </c>
    </row>
    <row r="30" spans="15:17" x14ac:dyDescent="0.25">
      <c r="O30" s="5">
        <f t="shared" si="0"/>
        <v>8.1599999999999984</v>
      </c>
      <c r="P30" s="6">
        <f t="shared" si="1"/>
        <v>188.79725128398124</v>
      </c>
      <c r="Q30" s="10">
        <f t="shared" si="2"/>
        <v>875.9445304007603</v>
      </c>
    </row>
    <row r="31" spans="15:17" x14ac:dyDescent="0.25">
      <c r="O31" s="5">
        <f t="shared" si="0"/>
        <v>8.4999999999999982</v>
      </c>
      <c r="P31" s="6">
        <f t="shared" si="1"/>
        <v>191.82142691763477</v>
      </c>
      <c r="Q31" s="10">
        <f t="shared" si="2"/>
        <v>938.69237966935248</v>
      </c>
    </row>
    <row r="32" spans="15:17" x14ac:dyDescent="0.25">
      <c r="O32" s="5">
        <f t="shared" si="0"/>
        <v>8.8399999999999981</v>
      </c>
      <c r="P32" s="6">
        <f t="shared" si="1"/>
        <v>194.56838377568164</v>
      </c>
      <c r="Q32" s="10">
        <f t="shared" si="2"/>
        <v>1002.4125717848087</v>
      </c>
    </row>
    <row r="33" spans="15:17" x14ac:dyDescent="0.25">
      <c r="O33" s="5">
        <f t="shared" si="0"/>
        <v>9.1799999999999979</v>
      </c>
      <c r="P33" s="6">
        <f t="shared" si="1"/>
        <v>197.05994793529669</v>
      </c>
      <c r="Q33" s="10">
        <f t="shared" si="2"/>
        <v>1067.0143408505385</v>
      </c>
    </row>
    <row r="34" spans="15:17" x14ac:dyDescent="0.25">
      <c r="O34" s="5">
        <f t="shared" si="0"/>
        <v>9.5199999999999978</v>
      </c>
      <c r="P34" s="6">
        <f t="shared" si="1"/>
        <v>199.3170833242047</v>
      </c>
      <c r="Q34" s="10">
        <f t="shared" si="2"/>
        <v>1132.4142018277591</v>
      </c>
    </row>
    <row r="35" spans="15:17" x14ac:dyDescent="0.25">
      <c r="O35" s="5">
        <f t="shared" si="0"/>
        <v>9.8599999999999977</v>
      </c>
      <c r="P35" s="6">
        <f t="shared" si="1"/>
        <v>201.35975349795953</v>
      </c>
      <c r="Q35" s="10">
        <f t="shared" si="2"/>
        <v>1198.5356336578075</v>
      </c>
    </row>
    <row r="36" spans="15:17" x14ac:dyDescent="0.25">
      <c r="O36" s="5">
        <f t="shared" si="0"/>
        <v>10.199999999999998</v>
      </c>
      <c r="P36" s="6">
        <f t="shared" si="1"/>
        <v>203.20682724981714</v>
      </c>
      <c r="Q36" s="10">
        <f t="shared" si="2"/>
        <v>1265.3087227720459</v>
      </c>
    </row>
    <row r="37" spans="15:17" x14ac:dyDescent="0.25">
      <c r="O37" s="5">
        <f t="shared" si="0"/>
        <v>10.539999999999997</v>
      </c>
      <c r="P37" s="6">
        <f t="shared" si="1"/>
        <v>204.87602131089636</v>
      </c>
      <c r="Q37" s="10">
        <f t="shared" si="2"/>
        <v>1332.6697807635096</v>
      </c>
    </row>
    <row r="38" spans="15:17" x14ac:dyDescent="0.25">
      <c r="O38" s="5">
        <f t="shared" si="0"/>
        <v>10.879999999999997</v>
      </c>
      <c r="P38" s="6">
        <f t="shared" si="1"/>
        <v>206.38387378639933</v>
      </c>
      <c r="Q38" s="10">
        <f t="shared" si="2"/>
        <v>1400.5609477656212</v>
      </c>
    </row>
    <row r="39" spans="15:17" x14ac:dyDescent="0.25">
      <c r="O39" s="5">
        <f t="shared" si="0"/>
        <v>11.219999999999997</v>
      </c>
      <c r="P39" s="6">
        <f t="shared" si="1"/>
        <v>207.74574251288135</v>
      </c>
      <c r="Q39" s="10">
        <f t="shared" si="2"/>
        <v>1468.9297910122273</v>
      </c>
    </row>
    <row r="40" spans="15:17" x14ac:dyDescent="0.25">
      <c r="O40" s="5">
        <f t="shared" si="0"/>
        <v>11.559999999999997</v>
      </c>
      <c r="P40" s="6">
        <f t="shared" si="1"/>
        <v>208.97582314333528</v>
      </c>
      <c r="Q40" s="10">
        <f t="shared" si="2"/>
        <v>1537.7289061796844</v>
      </c>
    </row>
    <row r="41" spans="15:17" x14ac:dyDescent="0.25">
      <c r="O41" s="5">
        <f t="shared" si="0"/>
        <v>11.899999999999997</v>
      </c>
      <c r="P41" s="6">
        <f t="shared" si="1"/>
        <v>210.08718241899891</v>
      </c>
      <c r="Q41" s="10">
        <f t="shared" si="2"/>
        <v>1606.9155274549569</v>
      </c>
    </row>
    <row r="42" spans="15:17" x14ac:dyDescent="0.25">
      <c r="O42" s="5">
        <f t="shared" si="0"/>
        <v>12.239999999999997</v>
      </c>
      <c r="P42" s="6">
        <f t="shared" si="1"/>
        <v>211.09180273152344</v>
      </c>
      <c r="Q42" s="10">
        <f t="shared" si="2"/>
        <v>1676.4511508376149</v>
      </c>
    </row>
    <row r="43" spans="15:17" x14ac:dyDescent="0.25">
      <c r="O43" s="5">
        <f t="shared" si="0"/>
        <v>12.579999999999997</v>
      </c>
      <c r="P43" s="6">
        <f t="shared" si="1"/>
        <v>212.00063469071563</v>
      </c>
      <c r="Q43" s="10">
        <f t="shared" si="2"/>
        <v>1746.3011739613369</v>
      </c>
    </row>
    <row r="44" spans="15:17" x14ac:dyDescent="0.25">
      <c r="O44" s="5">
        <f t="shared" si="0"/>
        <v>12.919999999999996</v>
      </c>
      <c r="P44" s="6">
        <f t="shared" si="1"/>
        <v>212.82365497537717</v>
      </c>
      <c r="Q44" s="10">
        <f t="shared" si="2"/>
        <v>1816.4345546980071</v>
      </c>
    </row>
    <row r="45" spans="15:17" x14ac:dyDescent="0.25">
      <c r="O45" s="5">
        <f t="shared" si="0"/>
        <v>13.259999999999996</v>
      </c>
      <c r="P45" s="6">
        <f t="shared" si="1"/>
        <v>213.56992724910543</v>
      </c>
      <c r="Q45" s="10">
        <f t="shared" si="2"/>
        <v>1886.8234899665142</v>
      </c>
    </row>
    <row r="46" spans="15:17" x14ac:dyDescent="0.25">
      <c r="O46" s="5">
        <f t="shared" si="0"/>
        <v>13.599999999999996</v>
      </c>
      <c r="P46" s="6">
        <f t="shared" si="1"/>
        <v>214.24766436603514</v>
      </c>
      <c r="Q46" s="10">
        <f t="shared" si="2"/>
        <v>1957.4431154886222</v>
      </c>
    </row>
    <row r="47" spans="15:17" x14ac:dyDescent="0.25">
      <c r="O47" s="5">
        <f t="shared" ref="O47:O110" si="3">O46+h</f>
        <v>13.939999999999996</v>
      </c>
      <c r="P47" s="6">
        <f t="shared" si="1"/>
        <v>214.8642904739674</v>
      </c>
      <c r="Q47" s="10">
        <f t="shared" si="2"/>
        <v>2028.2712266950516</v>
      </c>
    </row>
    <row r="48" spans="15:17" x14ac:dyDescent="0.25">
      <c r="O48" s="5">
        <f t="shared" si="3"/>
        <v>14.279999999999996</v>
      </c>
      <c r="P48" s="6">
        <f t="shared" si="1"/>
        <v>215.42650194727022</v>
      </c>
      <c r="Q48" s="10">
        <f t="shared" si="2"/>
        <v>2099.2880205660831</v>
      </c>
    </row>
    <row r="49" spans="15:17" x14ac:dyDescent="0.25">
      <c r="O49" s="5">
        <f t="shared" si="3"/>
        <v>14.619999999999996</v>
      </c>
      <c r="P49" s="6">
        <f t="shared" si="1"/>
        <v>215.94032635399893</v>
      </c>
      <c r="Q49" s="10">
        <f t="shared" si="2"/>
        <v>2170.4758578737783</v>
      </c>
    </row>
    <row r="50" spans="15:17" x14ac:dyDescent="0.25">
      <c r="O50" s="5">
        <f t="shared" si="3"/>
        <v>14.959999999999996</v>
      </c>
      <c r="P50" s="6">
        <f t="shared" si="1"/>
        <v>216.41117888633934</v>
      </c>
      <c r="Q50" s="10">
        <f t="shared" si="2"/>
        <v>2241.8190450602337</v>
      </c>
    </row>
    <row r="51" spans="15:17" x14ac:dyDescent="0.25">
      <c r="O51" s="5">
        <f t="shared" si="3"/>
        <v>15.299999999999995</v>
      </c>
      <c r="P51" s="6">
        <f t="shared" si="1"/>
        <v>216.84391586645569</v>
      </c>
      <c r="Q51" s="10">
        <f t="shared" si="2"/>
        <v>2313.3036348230075</v>
      </c>
    </row>
    <row r="52" spans="15:17" x14ac:dyDescent="0.25">
      <c r="O52" s="5">
        <f t="shared" si="3"/>
        <v>15.639999999999995</v>
      </c>
      <c r="P52" s="6">
        <f t="shared" si="1"/>
        <v>217.24288508677745</v>
      </c>
      <c r="Q52" s="10">
        <f t="shared" si="2"/>
        <v>2384.9172443717171</v>
      </c>
    </row>
    <row r="53" spans="15:17" x14ac:dyDescent="0.25">
      <c r="O53" s="5">
        <f t="shared" si="3"/>
        <v>15.979999999999995</v>
      </c>
      <c r="P53" s="6">
        <f t="shared" si="1"/>
        <v>217.6119728600161</v>
      </c>
      <c r="Q53" s="10">
        <f t="shared" si="2"/>
        <v>2456.6488902574947</v>
      </c>
    </row>
    <row r="54" spans="15:17" x14ac:dyDescent="0.25">
      <c r="O54" s="5">
        <f t="shared" si="3"/>
        <v>16.319999999999997</v>
      </c>
      <c r="P54" s="6">
        <f t="shared" si="1"/>
        <v>217.95464774464293</v>
      </c>
      <c r="Q54" s="10">
        <f t="shared" si="2"/>
        <v>2528.4888386498533</v>
      </c>
    </row>
    <row r="55" spans="15:17" x14ac:dyDescent="0.25">
      <c r="O55" s="5">
        <f t="shared" si="3"/>
        <v>16.659999999999997</v>
      </c>
      <c r="P55" s="6">
        <f t="shared" si="1"/>
        <v>218.27400098054187</v>
      </c>
      <c r="Q55" s="10">
        <f t="shared" si="2"/>
        <v>2600.428469935508</v>
      </c>
    </row>
    <row r="56" spans="15:17" x14ac:dyDescent="0.25">
      <c r="O56" s="5">
        <f t="shared" si="3"/>
        <v>16.999999999999996</v>
      </c>
      <c r="P56" s="6">
        <f t="shared" si="1"/>
        <v>218.57278372090084</v>
      </c>
      <c r="Q56" s="10">
        <f t="shared" si="2"/>
        <v>2672.4601565342105</v>
      </c>
    </row>
    <row r="57" spans="15:17" x14ac:dyDescent="0.25">
      <c r="O57" s="5">
        <f t="shared" si="3"/>
        <v>17.339999999999996</v>
      </c>
      <c r="P57" s="6">
        <f t="shared" si="1"/>
        <v>218.85344118342343</v>
      </c>
      <c r="Q57" s="10">
        <f t="shared" si="2"/>
        <v>2744.5771528621794</v>
      </c>
    </row>
    <row r="58" spans="15:17" x14ac:dyDescent="0.25">
      <c r="O58" s="5">
        <f t="shared" si="3"/>
        <v>17.679999999999996</v>
      </c>
      <c r="P58" s="6">
        <f t="shared" si="1"/>
        <v>219.11814386944272</v>
      </c>
      <c r="Q58" s="10">
        <f t="shared" si="2"/>
        <v>2816.7734964199058</v>
      </c>
    </row>
    <row r="59" spans="15:17" x14ac:dyDescent="0.25">
      <c r="O59" s="5">
        <f t="shared" si="3"/>
        <v>18.019999999999996</v>
      </c>
      <c r="P59" s="6">
        <f t="shared" si="1"/>
        <v>219.36881601586927</v>
      </c>
      <c r="Q59" s="10">
        <f t="shared" si="2"/>
        <v>2889.0439190344196</v>
      </c>
    </row>
    <row r="60" spans="15:17" x14ac:dyDescent="0.25">
      <c r="O60" s="5">
        <f t="shared" si="3"/>
        <v>18.359999999999996</v>
      </c>
      <c r="P60" s="6">
        <f t="shared" si="1"/>
        <v>219.60716145408213</v>
      </c>
      <c r="Q60" s="10">
        <f t="shared" si="2"/>
        <v>2961.3837673437833</v>
      </c>
    </row>
    <row r="61" spans="15:17" x14ac:dyDescent="0.25">
      <c r="O61" s="5">
        <f t="shared" si="3"/>
        <v>18.699999999999996</v>
      </c>
      <c r="P61" s="6">
        <f t="shared" si="1"/>
        <v>219.83468705350251</v>
      </c>
      <c r="Q61" s="10">
        <f t="shared" si="2"/>
        <v>3033.7889316714113</v>
      </c>
    </row>
    <row r="62" spans="15:17" x14ac:dyDescent="0.25">
      <c r="O62" s="5">
        <f t="shared" si="3"/>
        <v>19.039999999999996</v>
      </c>
      <c r="P62" s="6">
        <f t="shared" si="1"/>
        <v>220.05272392700988</v>
      </c>
      <c r="Q62" s="10">
        <f t="shared" si="2"/>
        <v>3106.2557824982036</v>
      </c>
    </row>
    <row r="63" spans="15:17" x14ac:dyDescent="0.25">
      <c r="O63" s="5">
        <f t="shared" si="3"/>
        <v>19.379999999999995</v>
      </c>
      <c r="P63" s="6">
        <f t="shared" si="1"/>
        <v>220.26244657164918</v>
      </c>
      <c r="Q63" s="10">
        <f t="shared" si="2"/>
        <v>3178.7811138001171</v>
      </c>
    </row>
    <row r="64" spans="15:17" x14ac:dyDescent="0.25">
      <c r="O64" s="5">
        <f t="shared" si="3"/>
        <v>19.719999999999995</v>
      </c>
      <c r="P64" s="6">
        <f t="shared" si="1"/>
        <v>220.46489011210335</v>
      </c>
      <c r="Q64" s="10">
        <f t="shared" si="2"/>
        <v>3251.3620925768105</v>
      </c>
    </row>
    <row r="65" spans="15:17" x14ac:dyDescent="0.25">
      <c r="O65" s="5">
        <f t="shared" si="3"/>
        <v>20.059999999999995</v>
      </c>
      <c r="P65" s="6">
        <f t="shared" si="1"/>
        <v>217.26026009615521</v>
      </c>
      <c r="Q65" s="10">
        <f t="shared" si="2"/>
        <v>3323.8423998534386</v>
      </c>
    </row>
    <row r="66" spans="15:17" x14ac:dyDescent="0.25">
      <c r="O66" s="5">
        <f t="shared" si="3"/>
        <v>20.399999999999995</v>
      </c>
      <c r="P66" s="6">
        <f t="shared" si="1"/>
        <v>198.93794570201823</v>
      </c>
      <c r="Q66" s="10">
        <f t="shared" si="2"/>
        <v>3394.596094839128</v>
      </c>
    </row>
    <row r="67" spans="15:17" x14ac:dyDescent="0.25">
      <c r="O67" s="5">
        <f t="shared" si="3"/>
        <v>20.739999999999995</v>
      </c>
      <c r="P67" s="6">
        <f t="shared" si="1"/>
        <v>182.98011714287142</v>
      </c>
      <c r="Q67" s="10">
        <f t="shared" si="2"/>
        <v>3459.5221655227592</v>
      </c>
    </row>
    <row r="68" spans="15:17" x14ac:dyDescent="0.25">
      <c r="O68" s="5">
        <f t="shared" si="3"/>
        <v>21.079999999999995</v>
      </c>
      <c r="P68" s="6">
        <f t="shared" si="1"/>
        <v>168.92630376549951</v>
      </c>
      <c r="Q68" s="10">
        <f t="shared" si="2"/>
        <v>3519.3462570771821</v>
      </c>
    </row>
    <row r="69" spans="15:17" x14ac:dyDescent="0.25">
      <c r="O69" s="5">
        <f t="shared" si="3"/>
        <v>21.419999999999995</v>
      </c>
      <c r="P69" s="6">
        <f t="shared" si="1"/>
        <v>156.42766397785613</v>
      </c>
      <c r="Q69" s="10">
        <f t="shared" si="2"/>
        <v>3574.6564315935525</v>
      </c>
    </row>
    <row r="70" spans="15:17" x14ac:dyDescent="0.25">
      <c r="O70" s="5">
        <f t="shared" si="3"/>
        <v>21.759999999999994</v>
      </c>
      <c r="P70" s="6">
        <f t="shared" si="1"/>
        <v>145.21503726495456</v>
      </c>
      <c r="Q70" s="10">
        <f t="shared" si="2"/>
        <v>3625.9356908048303</v>
      </c>
    </row>
    <row r="71" spans="15:17" x14ac:dyDescent="0.25">
      <c r="O71" s="5">
        <f t="shared" si="3"/>
        <v>22.099999999999994</v>
      </c>
      <c r="P71" s="6">
        <f t="shared" ref="P71:P134" si="4">VSig($C$3,$C$4,P70,O70,h)</f>
        <v>135.07737125321816</v>
      </c>
      <c r="Q71" s="10">
        <f t="shared" ref="Q71:Q134" si="5">YSig($C$3,$C$4,Q70,P70,O70,h)</f>
        <v>3673.5854002529195</v>
      </c>
    </row>
    <row r="72" spans="15:17" x14ac:dyDescent="0.25">
      <c r="O72" s="5">
        <f t="shared" si="3"/>
        <v>22.439999999999994</v>
      </c>
      <c r="P72" s="6">
        <f t="shared" si="4"/>
        <v>125.84679454398824</v>
      </c>
      <c r="Q72" s="10">
        <f t="shared" si="5"/>
        <v>3717.9425084384447</v>
      </c>
    </row>
    <row r="73" spans="15:17" x14ac:dyDescent="0.25">
      <c r="O73" s="5">
        <f t="shared" si="3"/>
        <v>22.779999999999994</v>
      </c>
      <c r="P73" s="6">
        <f t="shared" si="4"/>
        <v>117.38806315345182</v>
      </c>
      <c r="Q73" s="10">
        <f t="shared" si="5"/>
        <v>3759.2924342470096</v>
      </c>
    </row>
    <row r="74" spans="15:17" x14ac:dyDescent="0.25">
      <c r="O74" s="5">
        <f t="shared" si="3"/>
        <v>23.119999999999994</v>
      </c>
      <c r="P74" s="6">
        <f t="shared" si="4"/>
        <v>109.5909548422033</v>
      </c>
      <c r="Q74" s="10">
        <f t="shared" si="5"/>
        <v>3797.8788673062709</v>
      </c>
    </row>
    <row r="75" spans="15:17" x14ac:dyDescent="0.25">
      <c r="O75" s="5">
        <f t="shared" si="3"/>
        <v>23.459999999999994</v>
      </c>
      <c r="P75" s="6">
        <f t="shared" si="4"/>
        <v>102.36469310425929</v>
      </c>
      <c r="Q75" s="10">
        <f t="shared" si="5"/>
        <v>3833.9113274571696</v>
      </c>
    </row>
    <row r="76" spans="15:17" x14ac:dyDescent="0.25">
      <c r="O76" s="5">
        <f t="shared" si="3"/>
        <v>23.799999999999994</v>
      </c>
      <c r="P76" s="6">
        <f t="shared" si="4"/>
        <v>95.633795504945098</v>
      </c>
      <c r="Q76" s="10">
        <f t="shared" si="5"/>
        <v>3867.5710705207343</v>
      </c>
    </row>
    <row r="77" spans="15:17" x14ac:dyDescent="0.25">
      <c r="O77" s="5">
        <f t="shared" si="3"/>
        <v>24.139999999999993</v>
      </c>
      <c r="P77" s="6">
        <f t="shared" si="4"/>
        <v>89.334938906481369</v>
      </c>
      <c r="Q77" s="10">
        <f t="shared" si="5"/>
        <v>3899.0157553706767</v>
      </c>
    </row>
    <row r="78" spans="15:17" x14ac:dyDescent="0.25">
      <c r="O78" s="5">
        <f t="shared" si="3"/>
        <v>24.479999999999993</v>
      </c>
      <c r="P78" s="6">
        <f t="shared" si="4"/>
        <v>83.414562069543109</v>
      </c>
      <c r="Q78" s="10">
        <f t="shared" si="5"/>
        <v>3928.383170536601</v>
      </c>
    </row>
    <row r="79" spans="15:17" x14ac:dyDescent="0.25">
      <c r="O79" s="5">
        <f t="shared" si="3"/>
        <v>24.819999999999993</v>
      </c>
      <c r="P79" s="6">
        <f t="shared" si="4"/>
        <v>77.827010570981244</v>
      </c>
      <c r="Q79" s="10">
        <f t="shared" si="5"/>
        <v>3955.79423788549</v>
      </c>
    </row>
    <row r="80" spans="15:17" x14ac:dyDescent="0.25">
      <c r="O80" s="5">
        <f t="shared" si="3"/>
        <v>25.159999999999993</v>
      </c>
      <c r="P80" s="6">
        <f t="shared" si="4"/>
        <v>72.533085764009613</v>
      </c>
      <c r="Q80" s="10">
        <f t="shared" si="5"/>
        <v>3981.3554542624383</v>
      </c>
    </row>
    <row r="81" spans="15:17" x14ac:dyDescent="0.25">
      <c r="O81" s="5">
        <f t="shared" si="3"/>
        <v>25.499999999999993</v>
      </c>
      <c r="P81" s="6">
        <f t="shared" si="4"/>
        <v>67.49889834323271</v>
      </c>
      <c r="Q81" s="10">
        <f t="shared" si="5"/>
        <v>4005.1608915606694</v>
      </c>
    </row>
    <row r="82" spans="15:17" x14ac:dyDescent="0.25">
      <c r="O82" s="5">
        <f t="shared" si="3"/>
        <v>25.839999999999993</v>
      </c>
      <c r="P82" s="6">
        <f t="shared" si="4"/>
        <v>62.694954052704631</v>
      </c>
      <c r="Q82" s="10">
        <f t="shared" si="5"/>
        <v>4027.2938464679787</v>
      </c>
    </row>
    <row r="83" spans="15:17" x14ac:dyDescent="0.25">
      <c r="O83" s="5">
        <f t="shared" si="3"/>
        <v>26.179999999999993</v>
      </c>
      <c r="P83" s="6">
        <f t="shared" si="4"/>
        <v>58.095418082362393</v>
      </c>
      <c r="Q83" s="10">
        <f t="shared" si="5"/>
        <v>4047.8282097309402</v>
      </c>
    </row>
    <row r="84" spans="15:17" x14ac:dyDescent="0.25">
      <c r="O84" s="5">
        <f t="shared" si="3"/>
        <v>26.519999999999992</v>
      </c>
      <c r="P84" s="6">
        <f t="shared" si="4"/>
        <v>53.677518268148113</v>
      </c>
      <c r="Q84" s="10">
        <f t="shared" si="5"/>
        <v>4066.829608910527</v>
      </c>
    </row>
    <row r="85" spans="15:17" x14ac:dyDescent="0.25">
      <c r="O85" s="5">
        <f t="shared" si="3"/>
        <v>26.859999999999992</v>
      </c>
      <c r="P85" s="6">
        <f t="shared" si="4"/>
        <v>49.421057017868463</v>
      </c>
      <c r="Q85" s="10">
        <f t="shared" si="5"/>
        <v>4084.3563667091498</v>
      </c>
    </row>
    <row r="86" spans="15:17" x14ac:dyDescent="0.25">
      <c r="O86" s="5">
        <f t="shared" si="3"/>
        <v>27.199999999999992</v>
      </c>
      <c r="P86" s="6">
        <f t="shared" si="4"/>
        <v>45.308009052146311</v>
      </c>
      <c r="Q86" s="10">
        <f t="shared" si="5"/>
        <v>4100.4603079410526</v>
      </c>
    </row>
    <row r="87" spans="15:17" x14ac:dyDescent="0.25">
      <c r="O87" s="5">
        <f t="shared" si="3"/>
        <v>27.539999999999992</v>
      </c>
      <c r="P87" s="6">
        <f t="shared" si="4"/>
        <v>41.322187342852544</v>
      </c>
      <c r="Q87" s="10">
        <f t="shared" si="5"/>
        <v>4115.1874413282021</v>
      </c>
    </row>
    <row r="88" spans="15:17" x14ac:dyDescent="0.25">
      <c r="O88" s="5">
        <f t="shared" si="3"/>
        <v>27.879999999999992</v>
      </c>
      <c r="P88" s="6">
        <f t="shared" si="4"/>
        <v>37.448963577971341</v>
      </c>
      <c r="Q88" s="10">
        <f t="shared" si="5"/>
        <v>4128.5785369847417</v>
      </c>
    </row>
    <row r="89" spans="15:17" x14ac:dyDescent="0.25">
      <c r="O89" s="5">
        <f t="shared" si="3"/>
        <v>28.219999999999992</v>
      </c>
      <c r="P89" s="6">
        <f t="shared" si="4"/>
        <v>33.675032450476778</v>
      </c>
      <c r="Q89" s="10">
        <f t="shared" si="5"/>
        <v>4140.6696163095776</v>
      </c>
    </row>
    <row r="90" spans="15:17" x14ac:dyDescent="0.25">
      <c r="O90" s="5">
        <f t="shared" si="3"/>
        <v>28.559999999999992</v>
      </c>
      <c r="P90" s="6">
        <f t="shared" si="4"/>
        <v>29.988211319711965</v>
      </c>
      <c r="Q90" s="10">
        <f t="shared" si="5"/>
        <v>4151.4923677505094</v>
      </c>
    </row>
    <row r="91" spans="15:17" x14ac:dyDescent="0.25">
      <c r="O91" s="5">
        <f t="shared" si="3"/>
        <v>28.899999999999991</v>
      </c>
      <c r="P91" s="6">
        <f t="shared" si="4"/>
        <v>26.377268512647106</v>
      </c>
      <c r="Q91" s="10">
        <f t="shared" si="5"/>
        <v>4161.0744993220105</v>
      </c>
    </row>
    <row r="92" spans="15:17" x14ac:dyDescent="0.25">
      <c r="O92" s="5">
        <f t="shared" si="3"/>
        <v>29.239999999999991</v>
      </c>
      <c r="P92" s="6">
        <f t="shared" si="4"/>
        <v>22.831774853016888</v>
      </c>
      <c r="Q92" s="10">
        <f t="shared" si="5"/>
        <v>4169.4400366941736</v>
      </c>
    </row>
    <row r="93" spans="15:17" x14ac:dyDescent="0.25">
      <c r="O93" s="5">
        <f t="shared" si="3"/>
        <v>29.579999999999991</v>
      </c>
      <c r="P93" s="6">
        <f t="shared" si="4"/>
        <v>19.341974025902779</v>
      </c>
      <c r="Q93" s="10">
        <f t="shared" si="5"/>
        <v>4176.6095740035898</v>
      </c>
    </row>
    <row r="94" spans="15:17" x14ac:dyDescent="0.25">
      <c r="O94" s="5">
        <f t="shared" si="3"/>
        <v>29.919999999999991</v>
      </c>
      <c r="P94" s="6">
        <f t="shared" si="4"/>
        <v>15.898668175003046</v>
      </c>
      <c r="Q94" s="10">
        <f t="shared" si="5"/>
        <v>4182.6004831777436</v>
      </c>
    </row>
    <row r="95" spans="15:17" x14ac:dyDescent="0.25">
      <c r="O95" s="5">
        <f t="shared" si="3"/>
        <v>30.259999999999991</v>
      </c>
      <c r="P95" s="6">
        <f t="shared" si="4"/>
        <v>12.493115742056069</v>
      </c>
      <c r="Q95" s="10">
        <f t="shared" si="5"/>
        <v>4187.4270864436439</v>
      </c>
    </row>
    <row r="96" spans="15:17" x14ac:dyDescent="0.25">
      <c r="O96" s="5">
        <f t="shared" si="3"/>
        <v>30.599999999999991</v>
      </c>
      <c r="P96" s="6">
        <f t="shared" si="4"/>
        <v>9.1169390314461545</v>
      </c>
      <c r="Q96" s="10">
        <f t="shared" si="5"/>
        <v>4191.1007957551392</v>
      </c>
    </row>
    <row r="97" spans="15:17" x14ac:dyDescent="0.25">
      <c r="O97" s="5">
        <f t="shared" si="3"/>
        <v>30.939999999999991</v>
      </c>
      <c r="P97" s="6">
        <f t="shared" si="4"/>
        <v>5.7620393466719948</v>
      </c>
      <c r="Q97" s="10">
        <f t="shared" si="5"/>
        <v>4193.6302220794196</v>
      </c>
    </row>
    <row r="98" spans="15:17" x14ac:dyDescent="0.25">
      <c r="O98" s="5">
        <f t="shared" si="3"/>
        <v>31.27999999999999</v>
      </c>
      <c r="P98" s="6">
        <f t="shared" si="4"/>
        <v>2.4205178203315092</v>
      </c>
      <c r="Q98" s="10">
        <f t="shared" si="5"/>
        <v>4195.0212567978106</v>
      </c>
    </row>
    <row r="99" spans="15:17" x14ac:dyDescent="0.25">
      <c r="O99" s="5">
        <f t="shared" si="3"/>
        <v>31.61999999999999</v>
      </c>
      <c r="P99" s="6">
        <f t="shared" si="4"/>
        <v>-0.91530299905642221</v>
      </c>
      <c r="Q99" s="10">
        <f t="shared" si="5"/>
        <v>4195.2771433174275</v>
      </c>
    </row>
    <row r="100" spans="15:17" x14ac:dyDescent="0.25">
      <c r="O100" s="5">
        <f t="shared" si="3"/>
        <v>31.95999999999999</v>
      </c>
      <c r="P100" s="6">
        <f t="shared" si="4"/>
        <v>-4.2480712167395192</v>
      </c>
      <c r="Q100" s="10">
        <f t="shared" si="5"/>
        <v>4194.3993697007427</v>
      </c>
    </row>
    <row r="101" spans="15:17" x14ac:dyDescent="0.25">
      <c r="O101" s="5">
        <f t="shared" si="3"/>
        <v>32.29999999999999</v>
      </c>
      <c r="P101" s="6">
        <f t="shared" si="4"/>
        <v>-7.5710438390807413</v>
      </c>
      <c r="Q101" s="10">
        <f t="shared" si="5"/>
        <v>4192.3901201412536</v>
      </c>
    </row>
    <row r="102" spans="15:17" x14ac:dyDescent="0.25">
      <c r="O102" s="5">
        <f t="shared" si="3"/>
        <v>32.639999999999993</v>
      </c>
      <c r="P102" s="6">
        <f t="shared" si="4"/>
        <v>-10.876629747703284</v>
      </c>
      <c r="Q102" s="10">
        <f t="shared" si="5"/>
        <v>4189.2540156315008</v>
      </c>
    </row>
    <row r="103" spans="15:17" x14ac:dyDescent="0.25">
      <c r="O103" s="5">
        <f t="shared" si="3"/>
        <v>32.979999999999997</v>
      </c>
      <c r="P103" s="6">
        <f t="shared" si="4"/>
        <v>-14.157396786985254</v>
      </c>
      <c r="Q103" s="10">
        <f t="shared" si="5"/>
        <v>4184.998231120604</v>
      </c>
    </row>
    <row r="104" spans="15:17" x14ac:dyDescent="0.25">
      <c r="O104" s="5">
        <f t="shared" si="3"/>
        <v>33.32</v>
      </c>
      <c r="P104" s="6">
        <f t="shared" si="4"/>
        <v>-17.406137546189338</v>
      </c>
      <c r="Q104" s="10">
        <f t="shared" si="5"/>
        <v>4179.6324302839639</v>
      </c>
    </row>
    <row r="105" spans="15:17" x14ac:dyDescent="0.25">
      <c r="O105" s="5">
        <f t="shared" si="3"/>
        <v>33.660000000000004</v>
      </c>
      <c r="P105" s="6">
        <f t="shared" si="4"/>
        <v>-20.615930856662544</v>
      </c>
      <c r="Q105" s="10">
        <f t="shared" si="5"/>
        <v>4173.1686786554792</v>
      </c>
    </row>
    <row r="106" spans="15:17" x14ac:dyDescent="0.25">
      <c r="O106" s="5">
        <f t="shared" si="3"/>
        <v>34.000000000000007</v>
      </c>
      <c r="P106" s="6">
        <f t="shared" si="4"/>
        <v>-23.780197928512269</v>
      </c>
      <c r="Q106" s="10">
        <f t="shared" si="5"/>
        <v>4165.6213367619994</v>
      </c>
    </row>
    <row r="107" spans="15:17" x14ac:dyDescent="0.25">
      <c r="O107" s="5">
        <f t="shared" si="3"/>
        <v>34.340000000000011</v>
      </c>
      <c r="P107" s="6">
        <f t="shared" si="4"/>
        <v>-26.892752220801334</v>
      </c>
      <c r="Q107" s="10">
        <f t="shared" si="5"/>
        <v>4157.0069352366163</v>
      </c>
    </row>
    <row r="108" spans="15:17" x14ac:dyDescent="0.25">
      <c r="O108" s="5">
        <f t="shared" si="3"/>
        <v>34.680000000000014</v>
      </c>
      <c r="P108" s="6">
        <f t="shared" si="4"/>
        <v>-29.947842331746372</v>
      </c>
      <c r="Q108" s="10">
        <f t="shared" si="5"/>
        <v>4147.3440341626829</v>
      </c>
    </row>
    <row r="109" spans="15:17" x14ac:dyDescent="0.25">
      <c r="O109" s="5">
        <f t="shared" si="3"/>
        <v>35.020000000000017</v>
      </c>
      <c r="P109" s="6">
        <f t="shared" si="4"/>
        <v>-32.940187401844597</v>
      </c>
      <c r="Q109" s="10">
        <f t="shared" si="5"/>
        <v>4136.6530691079724</v>
      </c>
    </row>
    <row r="110" spans="15:17" x14ac:dyDescent="0.25">
      <c r="O110" s="5">
        <f t="shared" si="3"/>
        <v>35.360000000000021</v>
      </c>
      <c r="P110" s="6">
        <f t="shared" si="4"/>
        <v>-35.865004734302133</v>
      </c>
      <c r="Q110" s="10">
        <f t="shared" si="5"/>
        <v>4124.9561864448278</v>
      </c>
    </row>
    <row r="111" spans="15:17" x14ac:dyDescent="0.25">
      <c r="O111" s="5">
        <f t="shared" ref="O111:O123" si="6">O110+h</f>
        <v>35.700000000000024</v>
      </c>
      <c r="P111" s="6">
        <f t="shared" si="4"/>
        <v>-38.718029544945551</v>
      </c>
      <c r="Q111" s="10">
        <f t="shared" si="5"/>
        <v>4112.277070617356</v>
      </c>
    </row>
    <row r="112" spans="15:17" x14ac:dyDescent="0.25">
      <c r="O112" s="5">
        <f t="shared" si="6"/>
        <v>36.040000000000028</v>
      </c>
      <c r="P112" s="6">
        <f t="shared" si="4"/>
        <v>-41.495526950134114</v>
      </c>
      <c r="Q112" s="10">
        <f t="shared" si="5"/>
        <v>4098.6407660131927</v>
      </c>
    </row>
    <row r="113" spans="15:17" x14ac:dyDescent="0.25">
      <c r="O113" s="5">
        <f t="shared" si="6"/>
        <v>36.380000000000031</v>
      </c>
      <c r="P113" s="6">
        <f t="shared" si="4"/>
        <v>-44.194296479406638</v>
      </c>
      <c r="Q113" s="10">
        <f t="shared" si="5"/>
        <v>4084.0734960301706</v>
      </c>
    </row>
    <row r="114" spans="15:17" x14ac:dyDescent="0.25">
      <c r="O114" s="5">
        <f t="shared" si="6"/>
        <v>36.720000000000034</v>
      </c>
      <c r="P114" s="6">
        <f t="shared" si="4"/>
        <v>-46.811669554492212</v>
      </c>
      <c r="Q114" s="10">
        <f t="shared" si="5"/>
        <v>4068.6024818044079</v>
      </c>
    </row>
    <row r="115" spans="15:17" x14ac:dyDescent="0.25">
      <c r="O115" s="5">
        <f t="shared" si="6"/>
        <v>37.060000000000038</v>
      </c>
      <c r="P115" s="6">
        <f t="shared" si="4"/>
        <v>-49.345500504270383</v>
      </c>
      <c r="Q115" s="10">
        <f t="shared" si="5"/>
        <v>4052.2557628944182</v>
      </c>
    </row>
    <row r="116" spans="15:17" x14ac:dyDescent="0.25">
      <c r="O116" s="5">
        <f t="shared" si="6"/>
        <v>37.400000000000041</v>
      </c>
      <c r="P116" s="6">
        <f t="shared" si="4"/>
        <v>-51.794151784268614</v>
      </c>
      <c r="Q116" s="10">
        <f t="shared" si="5"/>
        <v>4035.0620220053665</v>
      </c>
    </row>
    <row r="117" spans="15:17" x14ac:dyDescent="0.25">
      <c r="O117" s="5">
        <f t="shared" si="6"/>
        <v>37.740000000000045</v>
      </c>
      <c r="P117" s="6">
        <f t="shared" si="4"/>
        <v>-54.156474138837694</v>
      </c>
      <c r="Q117" s="10">
        <f t="shared" si="5"/>
        <v>4017.0504155984386</v>
      </c>
    </row>
    <row r="118" spans="15:17" x14ac:dyDescent="0.25">
      <c r="O118" s="5">
        <f t="shared" si="6"/>
        <v>38.080000000000048</v>
      </c>
      <c r="P118" s="6">
        <f t="shared" si="4"/>
        <v>-56.431782485106687</v>
      </c>
      <c r="Q118" s="10">
        <f t="shared" si="5"/>
        <v>3998.2504119723681</v>
      </c>
    </row>
    <row r="119" spans="15:17" x14ac:dyDescent="0.25">
      <c r="O119" s="5">
        <f t="shared" si="6"/>
        <v>38.420000000000051</v>
      </c>
      <c r="P119" s="6">
        <f t="shared" si="4"/>
        <v>-58.619828312171528</v>
      </c>
      <c r="Q119" s="10">
        <f t="shared" si="5"/>
        <v>3978.6916381368305</v>
      </c>
    </row>
    <row r="120" spans="15:17" x14ac:dyDescent="0.25">
      <c r="O120" s="5">
        <f t="shared" si="6"/>
        <v>38.760000000000055</v>
      </c>
      <c r="P120" s="6">
        <f t="shared" si="4"/>
        <v>-60.720769379564082</v>
      </c>
      <c r="Q120" s="10">
        <f t="shared" si="5"/>
        <v>3958.4037365292356</v>
      </c>
    </row>
    <row r="121" spans="15:17" x14ac:dyDescent="0.25">
      <c r="O121" s="5">
        <f t="shared" si="6"/>
        <v>39.100000000000058</v>
      </c>
      <c r="P121" s="6">
        <f t="shared" si="4"/>
        <v>-62.735137469324314</v>
      </c>
      <c r="Q121" s="10">
        <f t="shared" si="5"/>
        <v>3937.4162323649248</v>
      </c>
    </row>
    <row r="122" spans="15:17" x14ac:dyDescent="0.25">
      <c r="O122" s="5">
        <f t="shared" si="6"/>
        <v>39.440000000000062</v>
      </c>
      <c r="P122" s="6">
        <f t="shared" si="4"/>
        <v>-64.663804899731616</v>
      </c>
      <c r="Q122" s="10">
        <f t="shared" si="5"/>
        <v>3915.7584121621853</v>
      </c>
    </row>
    <row r="123" spans="15:17" x14ac:dyDescent="0.25">
      <c r="O123" s="5">
        <f t="shared" si="6"/>
        <v>39.780000000000065</v>
      </c>
      <c r="P123" s="6">
        <f t="shared" si="4"/>
        <v>-66.507950449813109</v>
      </c>
      <c r="Q123" s="10">
        <f t="shared" si="5"/>
        <v>3893.4592137527629</v>
      </c>
    </row>
    <row r="124" spans="15:17" x14ac:dyDescent="0.25">
      <c r="O124" s="5">
        <f t="shared" ref="O124:O149" si="7">O123+h</f>
        <v>40.120000000000068</v>
      </c>
      <c r="P124" s="6">
        <f t="shared" si="4"/>
        <v>-68.269025275902379</v>
      </c>
      <c r="Q124" s="10">
        <f t="shared" si="5"/>
        <v>3870.5471278793912</v>
      </c>
    </row>
    <row r="125" spans="15:17" x14ac:dyDescent="0.25">
      <c r="O125" s="5">
        <f t="shared" si="7"/>
        <v>40.460000000000072</v>
      </c>
      <c r="P125" s="6">
        <f t="shared" si="4"/>
        <v>-69.948719328275033</v>
      </c>
      <c r="Q125" s="10">
        <f t="shared" si="5"/>
        <v>3847.0501112966808</v>
      </c>
    </row>
    <row r="126" spans="15:17" x14ac:dyDescent="0.25">
      <c r="O126" s="5">
        <f t="shared" si="7"/>
        <v>40.800000000000075</v>
      </c>
      <c r="P126" s="6">
        <f t="shared" si="4"/>
        <v>-71.548928700364954</v>
      </c>
      <c r="Q126" s="10">
        <f t="shared" si="5"/>
        <v>3822.9955111318122</v>
      </c>
    </row>
    <row r="127" spans="15:17" x14ac:dyDescent="0.25">
      <c r="O127" s="5">
        <f t="shared" si="7"/>
        <v>41.140000000000079</v>
      </c>
      <c r="P127" s="6">
        <f t="shared" si="4"/>
        <v>-73.071724267944518</v>
      </c>
      <c r="Q127" s="10">
        <f t="shared" si="5"/>
        <v>3798.4100001271995</v>
      </c>
    </row>
    <row r="128" spans="15:17" x14ac:dyDescent="0.25">
      <c r="O128" s="5">
        <f t="shared" si="7"/>
        <v>41.480000000000082</v>
      </c>
      <c r="P128" s="6">
        <f t="shared" si="4"/>
        <v>-74.519321903128798</v>
      </c>
      <c r="Q128" s="10">
        <f t="shared" si="5"/>
        <v>3773.3195222781169</v>
      </c>
    </row>
    <row r="129" spans="15:17" x14ac:dyDescent="0.25">
      <c r="O129" s="5">
        <f t="shared" si="7"/>
        <v>41.820000000000086</v>
      </c>
      <c r="P129" s="6">
        <f t="shared" si="4"/>
        <v>-75.894054479847625</v>
      </c>
      <c r="Q129" s="10">
        <f t="shared" si="5"/>
        <v>3747.7492482930111</v>
      </c>
    </row>
    <row r="130" spans="15:17" x14ac:dyDescent="0.25">
      <c r="O130" s="5">
        <f t="shared" si="7"/>
        <v>42.160000000000089</v>
      </c>
      <c r="P130" s="6">
        <f t="shared" si="4"/>
        <v>-77.198345824764829</v>
      </c>
      <c r="Q130" s="10">
        <f t="shared" si="5"/>
        <v>3721.7235402412271</v>
      </c>
    </row>
    <row r="131" spans="15:17" x14ac:dyDescent="0.25">
      <c r="O131" s="5">
        <f t="shared" si="7"/>
        <v>42.500000000000092</v>
      </c>
      <c r="P131" s="6">
        <f t="shared" si="4"/>
        <v>-78.434686711334351</v>
      </c>
      <c r="Q131" s="10">
        <f t="shared" si="5"/>
        <v>3695.2659247100901</v>
      </c>
    </row>
    <row r="132" spans="15:17" x14ac:dyDescent="0.25">
      <c r="O132" s="5">
        <f t="shared" si="7"/>
        <v>42.840000000000096</v>
      </c>
      <c r="P132" s="6">
        <f t="shared" si="4"/>
        <v>-79.605612945219164</v>
      </c>
      <c r="Q132" s="10">
        <f t="shared" si="5"/>
        <v>3668.3990737684758</v>
      </c>
    </row>
    <row r="133" spans="15:17" x14ac:dyDescent="0.25">
      <c r="O133" s="5">
        <f t="shared" si="7"/>
        <v>43.180000000000099</v>
      </c>
      <c r="P133" s="6">
        <f t="shared" si="4"/>
        <v>-80.713685546797976</v>
      </c>
      <c r="Q133" s="10">
        <f t="shared" si="5"/>
        <v>3641.1447930248328</v>
      </c>
    </row>
    <row r="134" spans="15:17" x14ac:dyDescent="0.25">
      <c r="O134" s="5">
        <f t="shared" si="7"/>
        <v>43.520000000000103</v>
      </c>
      <c r="P134" s="6">
        <f t="shared" si="4"/>
        <v>-81.761473000831899</v>
      </c>
      <c r="Q134" s="10">
        <f t="shared" si="5"/>
        <v>3613.5240160717358</v>
      </c>
    </row>
    <row r="135" spans="15:17" x14ac:dyDescent="0.25">
      <c r="O135" s="5">
        <f t="shared" si="7"/>
        <v>43.860000000000106</v>
      </c>
      <c r="P135" s="6">
        <f t="shared" ref="P135:P198" si="8">VSig($C$3,$C$4,P134,O134,h)</f>
        <v>-82.751535514247124</v>
      </c>
      <c r="Q135" s="10">
        <f t="shared" ref="Q135:Q198" si="9">YSig($C$3,$C$4,Q134,P134,O134,h)</f>
        <v>3585.5568046241724</v>
      </c>
    </row>
    <row r="136" spans="15:17" x14ac:dyDescent="0.25">
      <c r="O136" s="5">
        <f t="shared" si="7"/>
        <v>44.200000000000109</v>
      </c>
      <c r="P136" s="6">
        <f t="shared" si="8"/>
        <v>-83.686411199955941</v>
      </c>
      <c r="Q136" s="10">
        <f t="shared" si="9"/>
        <v>3557.2623536827577</v>
      </c>
    </row>
    <row r="137" spans="15:17" x14ac:dyDescent="0.25">
      <c r="O137" s="5">
        <f t="shared" si="7"/>
        <v>44.540000000000113</v>
      </c>
      <c r="P137" s="6">
        <f t="shared" si="8"/>
        <v>-84.568604087139519</v>
      </c>
      <c r="Q137" s="10">
        <f t="shared" si="9"/>
        <v>3528.6590010839514</v>
      </c>
    </row>
    <row r="138" spans="15:17" x14ac:dyDescent="0.25">
      <c r="O138" s="5">
        <f t="shared" si="7"/>
        <v>44.880000000000116</v>
      </c>
      <c r="P138" s="6">
        <f t="shared" si="8"/>
        <v>-85.400573845847688</v>
      </c>
      <c r="Q138" s="10">
        <f t="shared" si="9"/>
        <v>3499.7642408353436</v>
      </c>
    </row>
    <row r="139" spans="15:17" x14ac:dyDescent="0.25">
      <c r="O139" s="5">
        <f t="shared" si="7"/>
        <v>45.22000000000012</v>
      </c>
      <c r="P139" s="6">
        <f t="shared" si="8"/>
        <v>-86.184727105508728</v>
      </c>
      <c r="Q139" s="10">
        <f t="shared" si="9"/>
        <v>3470.5947396736128</v>
      </c>
    </row>
    <row r="140" spans="15:17" x14ac:dyDescent="0.25">
      <c r="O140" s="5">
        <f t="shared" si="7"/>
        <v>45.560000000000123</v>
      </c>
      <c r="P140" s="6">
        <f t="shared" si="8"/>
        <v>-86.923410242366231</v>
      </c>
      <c r="Q140" s="10">
        <f t="shared" si="9"/>
        <v>3441.1663563244742</v>
      </c>
    </row>
    <row r="141" spans="15:17" x14ac:dyDescent="0.25">
      <c r="O141" s="5">
        <f t="shared" si="7"/>
        <v>45.900000000000126</v>
      </c>
      <c r="P141" s="6">
        <f t="shared" si="8"/>
        <v>-87.618903509374093</v>
      </c>
      <c r="Q141" s="10">
        <f t="shared" si="9"/>
        <v>3411.4941629866785</v>
      </c>
    </row>
    <row r="142" spans="15:17" x14ac:dyDescent="0.25">
      <c r="O142" s="5">
        <f t="shared" si="7"/>
        <v>46.24000000000013</v>
      </c>
      <c r="P142" s="6">
        <f t="shared" si="8"/>
        <v>-88.273416383128179</v>
      </c>
      <c r="Q142" s="10">
        <f t="shared" si="9"/>
        <v>3381.592468604953</v>
      </c>
    </row>
    <row r="143" spans="15:17" x14ac:dyDescent="0.25">
      <c r="O143" s="5">
        <f t="shared" si="7"/>
        <v>46.580000000000133</v>
      </c>
      <c r="P143" s="6">
        <f t="shared" si="8"/>
        <v>-88.88908400548506</v>
      </c>
      <c r="Q143" s="10">
        <f t="shared" si="9"/>
        <v>3351.4748435388888</v>
      </c>
    </row>
    <row r="144" spans="15:17" x14ac:dyDescent="0.25">
      <c r="O144" s="5">
        <f t="shared" si="7"/>
        <v>46.920000000000137</v>
      </c>
      <c r="P144" s="6">
        <f t="shared" si="8"/>
        <v>-89.467964602158659</v>
      </c>
      <c r="Q144" s="10">
        <f t="shared" si="9"/>
        <v>3321.1541452755891</v>
      </c>
    </row>
    <row r="145" spans="15:17" x14ac:dyDescent="0.25">
      <c r="O145" s="5">
        <f t="shared" si="7"/>
        <v>47.26000000000014</v>
      </c>
      <c r="P145" s="6">
        <f t="shared" si="8"/>
        <v>-90.012037766394158</v>
      </c>
      <c r="Q145" s="10">
        <f t="shared" si="9"/>
        <v>3290.6425448729351</v>
      </c>
    </row>
    <row r="146" spans="15:17" x14ac:dyDescent="0.25">
      <c r="O146" s="5">
        <f t="shared" si="7"/>
        <v>47.600000000000144</v>
      </c>
      <c r="P146" s="6">
        <f t="shared" si="8"/>
        <v>-90.523203502449448</v>
      </c>
      <c r="Q146" s="10">
        <f t="shared" si="9"/>
        <v>3259.9515538572318</v>
      </c>
    </row>
    <row r="147" spans="15:17" x14ac:dyDescent="0.25">
      <c r="O147" s="5">
        <f t="shared" si="7"/>
        <v>47.940000000000147</v>
      </c>
      <c r="P147" s="6">
        <f t="shared" si="8"/>
        <v>-91.003281930774435</v>
      </c>
      <c r="Q147" s="10">
        <f t="shared" si="9"/>
        <v>3229.0920513335836</v>
      </c>
    </row>
    <row r="148" spans="15:17" x14ac:dyDescent="0.25">
      <c r="O148" s="5">
        <f t="shared" si="7"/>
        <v>48.28000000000015</v>
      </c>
      <c r="P148" s="6">
        <f t="shared" si="8"/>
        <v>-91.454013564224184</v>
      </c>
      <c r="Q148" s="10">
        <f t="shared" si="9"/>
        <v>3198.074311099434</v>
      </c>
    </row>
    <row r="149" spans="15:17" x14ac:dyDescent="0.25">
      <c r="O149" s="5">
        <f t="shared" si="7"/>
        <v>48.620000000000154</v>
      </c>
      <c r="P149" s="6">
        <f t="shared" si="8"/>
        <v>-91.877060072173322</v>
      </c>
      <c r="Q149" s="10">
        <f t="shared" si="9"/>
        <v>3166.9080285812465</v>
      </c>
    </row>
    <row r="150" spans="15:17" x14ac:dyDescent="0.25">
      <c r="O150" s="5">
        <f t="shared" ref="O150:O178" si="10">O149+h</f>
        <v>48.960000000000157</v>
      </c>
      <c r="P150" s="6">
        <f t="shared" si="8"/>
        <v>-92.274005456857765</v>
      </c>
      <c r="Q150" s="10">
        <f t="shared" si="9"/>
        <v>3135.6023474413114</v>
      </c>
    </row>
    <row r="151" spans="15:17" x14ac:dyDescent="0.25">
      <c r="O151" s="5">
        <f t="shared" si="10"/>
        <v>49.300000000000161</v>
      </c>
      <c r="P151" s="6">
        <f t="shared" si="8"/>
        <v>-92.646357573531645</v>
      </c>
      <c r="Q151" s="10">
        <f t="shared" si="9"/>
        <v>3104.165885726145</v>
      </c>
    </row>
    <row r="152" spans="15:17" x14ac:dyDescent="0.25">
      <c r="O152" s="5">
        <f t="shared" si="10"/>
        <v>49.640000000000164</v>
      </c>
      <c r="P152" s="6">
        <f t="shared" si="8"/>
        <v>-92.995549932999126</v>
      </c>
      <c r="Q152" s="10">
        <f t="shared" si="9"/>
        <v>3072.6067614500348</v>
      </c>
    </row>
    <row r="153" spans="15:17" x14ac:dyDescent="0.25">
      <c r="O153" s="5">
        <f t="shared" si="10"/>
        <v>49.980000000000167</v>
      </c>
      <c r="P153" s="6">
        <f t="shared" si="8"/>
        <v>-93.322943731695133</v>
      </c>
      <c r="Q153" s="10">
        <f t="shared" si="9"/>
        <v>3040.9326175270367</v>
      </c>
    </row>
    <row r="154" spans="15:17" x14ac:dyDescent="0.25">
      <c r="O154" s="5">
        <f t="shared" si="10"/>
        <v>50.320000000000171</v>
      </c>
      <c r="P154" s="6">
        <f t="shared" si="8"/>
        <v>-93.629830060700812</v>
      </c>
      <c r="Q154" s="10">
        <f t="shared" si="9"/>
        <v>3009.1506459823295</v>
      </c>
    </row>
    <row r="155" spans="15:17" x14ac:dyDescent="0.25">
      <c r="O155" s="5">
        <f t="shared" si="10"/>
        <v>50.660000000000174</v>
      </c>
      <c r="P155" s="6">
        <f t="shared" si="8"/>
        <v>-93.917432250860259</v>
      </c>
      <c r="Q155" s="10">
        <f t="shared" si="9"/>
        <v>2977.267611389364</v>
      </c>
    </row>
    <row r="156" spans="15:17" x14ac:dyDescent="0.25">
      <c r="O156" s="5">
        <f t="shared" si="10"/>
        <v>51.000000000000178</v>
      </c>
      <c r="P156" s="6">
        <f t="shared" si="8"/>
        <v>-94.186908316502979</v>
      </c>
      <c r="Q156" s="10">
        <f t="shared" si="9"/>
        <v>2945.2898734929122</v>
      </c>
    </row>
    <row r="157" spans="15:17" x14ac:dyDescent="0.25">
      <c r="O157" s="5">
        <f t="shared" si="10"/>
        <v>51.340000000000181</v>
      </c>
      <c r="P157" s="6">
        <f t="shared" si="8"/>
        <v>-94.439353465168921</v>
      </c>
      <c r="Q157" s="10">
        <f t="shared" si="9"/>
        <v>2913.223408990028</v>
      </c>
    </row>
    <row r="158" spans="15:17" x14ac:dyDescent="0.25">
      <c r="O158" s="5">
        <f t="shared" si="10"/>
        <v>51.680000000000184</v>
      </c>
      <c r="P158" s="6">
        <f t="shared" si="8"/>
        <v>-94.675802645188142</v>
      </c>
      <c r="Q158" s="10">
        <f t="shared" si="9"/>
        <v>2881.0738324512672</v>
      </c>
    </row>
    <row r="159" spans="15:17" x14ac:dyDescent="0.25">
      <c r="O159" s="5">
        <f t="shared" si="10"/>
        <v>52.020000000000188</v>
      </c>
      <c r="P159" s="6">
        <f t="shared" si="8"/>
        <v>-94.897233106999096</v>
      </c>
      <c r="Q159" s="10">
        <f t="shared" si="9"/>
        <v>2848.8464163733952</v>
      </c>
    </row>
    <row r="160" spans="15:17" x14ac:dyDescent="0.25">
      <c r="O160" s="5">
        <f t="shared" si="10"/>
        <v>52.360000000000191</v>
      </c>
      <c r="P160" s="6">
        <f t="shared" si="8"/>
        <v>-95.104566957717196</v>
      </c>
      <c r="Q160" s="10">
        <f t="shared" si="9"/>
        <v>2816.5461103623934</v>
      </c>
    </row>
    <row r="161" spans="15:17" x14ac:dyDescent="0.25">
      <c r="O161" s="5">
        <f t="shared" si="10"/>
        <v>52.700000000000195</v>
      </c>
      <c r="P161" s="6">
        <f t="shared" si="8"/>
        <v>-95.298673691712125</v>
      </c>
      <c r="Q161" s="10">
        <f t="shared" si="9"/>
        <v>2784.1775594519904</v>
      </c>
    </row>
    <row r="162" spans="15:17" x14ac:dyDescent="0.25">
      <c r="O162" s="5">
        <f t="shared" si="10"/>
        <v>53.040000000000198</v>
      </c>
      <c r="P162" s="6">
        <f t="shared" si="8"/>
        <v>-95.480372682841875</v>
      </c>
      <c r="Q162" s="10">
        <f t="shared" si="9"/>
        <v>2751.7451215683163</v>
      </c>
    </row>
    <row r="163" spans="15:17" x14ac:dyDescent="0.25">
      <c r="O163" s="5">
        <f t="shared" si="10"/>
        <v>53.380000000000202</v>
      </c>
      <c r="P163" s="6">
        <f t="shared" si="8"/>
        <v>-95.650435626550703</v>
      </c>
      <c r="Q163" s="10">
        <f t="shared" si="9"/>
        <v>2719.2528841557196</v>
      </c>
    </row>
    <row r="164" spans="15:17" x14ac:dyDescent="0.25">
      <c r="O164" s="5">
        <f t="shared" si="10"/>
        <v>53.720000000000205</v>
      </c>
      <c r="P164" s="6">
        <f t="shared" si="8"/>
        <v>-95.809588922292861</v>
      </c>
      <c r="Q164" s="10">
        <f t="shared" si="9"/>
        <v>2686.7046799824161</v>
      </c>
    </row>
    <row r="165" spans="15:17" x14ac:dyDescent="0.25">
      <c r="O165" s="5">
        <f t="shared" si="10"/>
        <v>54.060000000000208</v>
      </c>
      <c r="P165" s="6">
        <f t="shared" si="8"/>
        <v>-95.95851598871991</v>
      </c>
      <c r="Q165" s="10">
        <f t="shared" si="9"/>
        <v>2654.1041021475439</v>
      </c>
    </row>
    <row r="166" spans="15:17" x14ac:dyDescent="0.25">
      <c r="O166" s="5">
        <f t="shared" si="10"/>
        <v>54.400000000000212</v>
      </c>
      <c r="P166" s="6">
        <f t="shared" si="8"/>
        <v>-96.097859505792826</v>
      </c>
      <c r="Q166" s="10">
        <f t="shared" si="9"/>
        <v>2621.4545183134769</v>
      </c>
    </row>
    <row r="167" spans="15:17" x14ac:dyDescent="0.25">
      <c r="O167" s="5">
        <f t="shared" si="10"/>
        <v>54.740000000000215</v>
      </c>
      <c r="P167" s="6">
        <f t="shared" si="8"/>
        <v>-96.228223579473777</v>
      </c>
      <c r="Q167" s="10">
        <f t="shared" si="9"/>
        <v>2588.7590841889814</v>
      </c>
    </row>
    <row r="168" spans="15:17" x14ac:dyDescent="0.25">
      <c r="O168" s="5">
        <f t="shared" si="10"/>
        <v>55.080000000000219</v>
      </c>
      <c r="P168" s="6">
        <f t="shared" si="8"/>
        <v>-96.350175825941236</v>
      </c>
      <c r="Q168" s="10">
        <f t="shared" si="9"/>
        <v>2556.0207562900609</v>
      </c>
    </row>
    <row r="169" spans="15:17" x14ac:dyDescent="0.25">
      <c r="O169" s="5">
        <f t="shared" si="10"/>
        <v>55.420000000000222</v>
      </c>
      <c r="P169" s="6">
        <f t="shared" si="8"/>
        <v>-96.464249373375736</v>
      </c>
      <c r="Q169" s="10">
        <f t="shared" si="9"/>
        <v>2523.2423040061772</v>
      </c>
    </row>
    <row r="170" spans="15:17" x14ac:dyDescent="0.25">
      <c r="O170" s="5">
        <f t="shared" si="10"/>
        <v>55.760000000000225</v>
      </c>
      <c r="P170" s="6">
        <f t="shared" si="8"/>
        <v>-96.570944780303421</v>
      </c>
      <c r="Q170" s="10">
        <f t="shared" si="9"/>
        <v>2490.4263210000518</v>
      </c>
    </row>
    <row r="171" spans="15:17" x14ac:dyDescent="0.25">
      <c r="O171" s="5">
        <f t="shared" si="10"/>
        <v>56.100000000000229</v>
      </c>
      <c r="P171" s="6">
        <f t="shared" si="8"/>
        <v>-96.670731870278402</v>
      </c>
      <c r="Q171" s="10">
        <f t="shared" si="9"/>
        <v>2457.5752359694529</v>
      </c>
    </row>
    <row r="172" spans="15:17" x14ac:dyDescent="0.25">
      <c r="O172" s="5">
        <f t="shared" si="10"/>
        <v>56.440000000000232</v>
      </c>
      <c r="P172" s="6">
        <f t="shared" si="8"/>
        <v>-96.764051483350357</v>
      </c>
      <c r="Q172" s="10">
        <f t="shared" si="9"/>
        <v>2424.6913227993359</v>
      </c>
    </row>
    <row r="173" spans="15:17" x14ac:dyDescent="0.25">
      <c r="O173" s="5">
        <f t="shared" si="10"/>
        <v>56.780000000000236</v>
      </c>
      <c r="P173" s="6">
        <f t="shared" si="8"/>
        <v>-96.851317145315065</v>
      </c>
      <c r="Q173" s="10">
        <f t="shared" si="9"/>
        <v>2391.776710132463</v>
      </c>
    </row>
    <row r="174" spans="15:17" x14ac:dyDescent="0.25">
      <c r="O174" s="5">
        <f t="shared" si="10"/>
        <v>57.120000000000239</v>
      </c>
      <c r="P174" s="6">
        <f t="shared" si="8"/>
        <v>-96.932916656198785</v>
      </c>
      <c r="Q174" s="10">
        <f t="shared" si="9"/>
        <v>2358.8333903862058</v>
      </c>
    </row>
    <row r="175" spans="15:17" x14ac:dyDescent="0.25">
      <c r="O175" s="5">
        <f t="shared" si="10"/>
        <v>57.460000000000242</v>
      </c>
      <c r="P175" s="6">
        <f t="shared" si="8"/>
        <v>-97.009213599792545</v>
      </c>
      <c r="Q175" s="10">
        <f t="shared" si="9"/>
        <v>2325.8632282426875</v>
      </c>
    </row>
    <row r="176" spans="15:17" x14ac:dyDescent="0.25">
      <c r="O176" s="5">
        <f t="shared" si="10"/>
        <v>57.800000000000246</v>
      </c>
      <c r="P176" s="6">
        <f t="shared" si="8"/>
        <v>-97.080548776343505</v>
      </c>
      <c r="Q176" s="10">
        <f t="shared" si="9"/>
        <v>2292.8679686387445</v>
      </c>
    </row>
    <row r="177" spans="15:17" x14ac:dyDescent="0.25">
      <c r="O177" s="5">
        <f t="shared" si="10"/>
        <v>58.140000000000249</v>
      </c>
      <c r="P177" s="6">
        <f t="shared" si="8"/>
        <v>-97.14724156073558</v>
      </c>
      <c r="Q177" s="10">
        <f t="shared" si="9"/>
        <v>2259.8492442814409</v>
      </c>
    </row>
    <row r="178" spans="15:17" x14ac:dyDescent="0.25">
      <c r="O178" s="5">
        <f t="shared" si="10"/>
        <v>58.480000000000253</v>
      </c>
      <c r="P178" s="6">
        <f t="shared" si="8"/>
        <v>-97.209591188661136</v>
      </c>
      <c r="Q178" s="10">
        <f t="shared" si="9"/>
        <v>2226.8085827140435</v>
      </c>
    </row>
    <row r="179" spans="15:17" x14ac:dyDescent="0.25">
      <c r="O179" s="5">
        <f t="shared" ref="O179:O237" si="11">O178+h</f>
        <v>58.820000000000256</v>
      </c>
      <c r="P179" s="6">
        <f t="shared" si="8"/>
        <v>-97.267877973406613</v>
      </c>
      <c r="Q179" s="10">
        <f t="shared" si="9"/>
        <v>2193.7474129564921</v>
      </c>
    </row>
    <row r="180" spans="15:17" x14ac:dyDescent="0.25">
      <c r="O180" s="5">
        <f t="shared" si="11"/>
        <v>59.160000000000259</v>
      </c>
      <c r="P180" s="6">
        <f t="shared" si="8"/>
        <v>-97.322364455955608</v>
      </c>
      <c r="Q180" s="10">
        <f t="shared" si="9"/>
        <v>2160.6670717435004</v>
      </c>
    </row>
    <row r="181" spans="15:17" x14ac:dyDescent="0.25">
      <c r="O181" s="5">
        <f t="shared" si="11"/>
        <v>59.500000000000263</v>
      </c>
      <c r="P181" s="6">
        <f t="shared" si="8"/>
        <v>-97.373296491158555</v>
      </c>
      <c r="Q181" s="10">
        <f t="shared" si="9"/>
        <v>2127.5688093824911</v>
      </c>
    </row>
    <row r="182" spans="15:17" x14ac:dyDescent="0.25">
      <c r="O182" s="5">
        <f t="shared" si="11"/>
        <v>59.840000000000266</v>
      </c>
      <c r="P182" s="6">
        <f t="shared" si="8"/>
        <v>-97.420904272734845</v>
      </c>
      <c r="Q182" s="10">
        <f t="shared" si="9"/>
        <v>2094.4537952526293</v>
      </c>
    </row>
    <row r="183" spans="15:17" x14ac:dyDescent="0.25">
      <c r="O183" s="5">
        <f t="shared" si="11"/>
        <v>60.18000000000027</v>
      </c>
      <c r="P183" s="6">
        <f t="shared" si="8"/>
        <v>-97.465403299865471</v>
      </c>
      <c r="Q183" s="10">
        <f t="shared" si="9"/>
        <v>2061.3231229652874</v>
      </c>
    </row>
    <row r="184" spans="15:17" x14ac:dyDescent="0.25">
      <c r="O184" s="5">
        <f t="shared" si="11"/>
        <v>60.520000000000273</v>
      </c>
      <c r="P184" s="6">
        <f t="shared" si="8"/>
        <v>-97.506995288106665</v>
      </c>
      <c r="Q184" s="10">
        <f t="shared" si="9"/>
        <v>2028.1778152053321</v>
      </c>
    </row>
    <row r="185" spans="15:17" x14ac:dyDescent="0.25">
      <c r="O185" s="5">
        <f t="shared" si="11"/>
        <v>60.860000000000277</v>
      </c>
      <c r="P185" s="6">
        <f t="shared" si="8"/>
        <v>-97.545869027310715</v>
      </c>
      <c r="Q185" s="10">
        <f t="shared" si="9"/>
        <v>1995.0188282717111</v>
      </c>
    </row>
    <row r="186" spans="15:17" x14ac:dyDescent="0.25">
      <c r="O186" s="5">
        <f t="shared" si="11"/>
        <v>61.20000000000028</v>
      </c>
      <c r="P186" s="6">
        <f t="shared" si="8"/>
        <v>-97.58220118918274</v>
      </c>
      <c r="Q186" s="10">
        <f t="shared" si="9"/>
        <v>1961.8470563349072</v>
      </c>
    </row>
    <row r="187" spans="15:17" x14ac:dyDescent="0.25">
      <c r="O187" s="5">
        <f t="shared" si="11"/>
        <v>61.540000000000283</v>
      </c>
      <c r="P187" s="6">
        <f t="shared" si="8"/>
        <v>-97.616157087034225</v>
      </c>
      <c r="Q187" s="10">
        <f t="shared" si="9"/>
        <v>1928.6633354279502</v>
      </c>
    </row>
    <row r="188" spans="15:17" x14ac:dyDescent="0.25">
      <c r="O188" s="5">
        <f t="shared" si="11"/>
        <v>61.880000000000287</v>
      </c>
      <c r="P188" s="6">
        <f t="shared" si="8"/>
        <v>-97.647891390217993</v>
      </c>
      <c r="Q188" s="10">
        <f t="shared" si="9"/>
        <v>1895.4684471868172</v>
      </c>
    </row>
    <row r="189" spans="15:17" x14ac:dyDescent="0.25">
      <c r="O189" s="5">
        <f t="shared" si="11"/>
        <v>62.22000000000029</v>
      </c>
      <c r="P189" s="6">
        <f t="shared" si="8"/>
        <v>-97.677548795647041</v>
      </c>
      <c r="Q189" s="10">
        <f t="shared" si="9"/>
        <v>1862.2631223552203</v>
      </c>
    </row>
    <row r="190" spans="15:17" x14ac:dyDescent="0.25">
      <c r="O190" s="5">
        <f t="shared" si="11"/>
        <v>62.560000000000294</v>
      </c>
      <c r="P190" s="6">
        <f t="shared" si="8"/>
        <v>-97.705264658712949</v>
      </c>
      <c r="Q190" s="10">
        <f t="shared" si="9"/>
        <v>1829.0480440679792</v>
      </c>
    </row>
    <row r="191" spans="15:17" x14ac:dyDescent="0.25">
      <c r="O191" s="5">
        <f t="shared" si="11"/>
        <v>62.900000000000297</v>
      </c>
      <c r="P191" s="6">
        <f t="shared" si="8"/>
        <v>-97.731165585829814</v>
      </c>
      <c r="Q191" s="10">
        <f t="shared" si="9"/>
        <v>1795.823850926407</v>
      </c>
    </row>
    <row r="192" spans="15:17" x14ac:dyDescent="0.25">
      <c r="O192" s="5">
        <f t="shared" si="11"/>
        <v>63.2400000000003</v>
      </c>
      <c r="P192" s="6">
        <f t="shared" si="8"/>
        <v>-97.755369990738501</v>
      </c>
      <c r="Q192" s="10">
        <f t="shared" si="9"/>
        <v>1762.5911398783903</v>
      </c>
    </row>
    <row r="193" spans="15:17" x14ac:dyDescent="0.25">
      <c r="O193" s="5">
        <f t="shared" si="11"/>
        <v>63.580000000000304</v>
      </c>
      <c r="P193" s="6">
        <f t="shared" si="8"/>
        <v>-97.777988616613442</v>
      </c>
      <c r="Q193" s="10">
        <f t="shared" si="9"/>
        <v>1729.3504689151405</v>
      </c>
    </row>
    <row r="194" spans="15:17" x14ac:dyDescent="0.25">
      <c r="O194" s="5">
        <f t="shared" si="11"/>
        <v>63.920000000000307</v>
      </c>
      <c r="P194" s="6">
        <f t="shared" si="8"/>
        <v>-97.799125025922706</v>
      </c>
      <c r="Q194" s="10">
        <f t="shared" si="9"/>
        <v>1696.1023595959093</v>
      </c>
    </row>
    <row r="195" spans="15:17" x14ac:dyDescent="0.25">
      <c r="O195" s="5">
        <f t="shared" si="11"/>
        <v>64.260000000000304</v>
      </c>
      <c r="P195" s="6">
        <f t="shared" si="8"/>
        <v>-97.818876059900489</v>
      </c>
      <c r="Q195" s="10">
        <f t="shared" si="9"/>
        <v>1662.8472994113195</v>
      </c>
    </row>
    <row r="196" spans="15:17" x14ac:dyDescent="0.25">
      <c r="O196" s="5">
        <f t="shared" si="11"/>
        <v>64.600000000000307</v>
      </c>
      <c r="P196" s="6">
        <f t="shared" si="8"/>
        <v>-97.837332269401742</v>
      </c>
      <c r="Q196" s="10">
        <f t="shared" si="9"/>
        <v>1629.5857439953381</v>
      </c>
    </row>
    <row r="197" spans="15:17" x14ac:dyDescent="0.25">
      <c r="O197" s="5">
        <f t="shared" si="11"/>
        <v>64.94000000000031</v>
      </c>
      <c r="P197" s="6">
        <f t="shared" si="8"/>
        <v>-97.854578318820586</v>
      </c>
      <c r="Q197" s="10">
        <f t="shared" si="9"/>
        <v>1596.3181191953404</v>
      </c>
    </row>
    <row r="198" spans="15:17" x14ac:dyDescent="0.25">
      <c r="O198" s="5">
        <f t="shared" si="11"/>
        <v>65.280000000000314</v>
      </c>
      <c r="P198" s="6">
        <f t="shared" si="8"/>
        <v>-97.870693364668782</v>
      </c>
      <c r="Q198" s="10">
        <f t="shared" si="9"/>
        <v>1563.0448230091472</v>
      </c>
    </row>
    <row r="199" spans="15:17" x14ac:dyDescent="0.25">
      <c r="O199" s="5">
        <f t="shared" si="11"/>
        <v>65.620000000000317</v>
      </c>
      <c r="P199" s="6">
        <f t="shared" ref="P199:P262" si="12">VSig($C$3,$C$4,P198,O198,h)</f>
        <v>-97.885751410327259</v>
      </c>
      <c r="Q199" s="10">
        <f t="shared" ref="Q199:Q262" si="13">YSig($C$3,$C$4,Q198,P198,O198,h)</f>
        <v>1529.7662273973979</v>
      </c>
    </row>
    <row r="200" spans="15:17" x14ac:dyDescent="0.25">
      <c r="O200" s="5">
        <f t="shared" si="11"/>
        <v>65.960000000000321</v>
      </c>
      <c r="P200" s="6">
        <f t="shared" si="12"/>
        <v>-97.899821638403438</v>
      </c>
      <c r="Q200" s="10">
        <f t="shared" si="13"/>
        <v>1496.4826799791138</v>
      </c>
    </row>
    <row r="201" spans="15:17" x14ac:dyDescent="0.25">
      <c r="O201" s="5">
        <f t="shared" si="11"/>
        <v>66.300000000000324</v>
      </c>
      <c r="P201" s="6">
        <f t="shared" si="12"/>
        <v>-97.912968722049712</v>
      </c>
      <c r="Q201" s="10">
        <f t="shared" si="13"/>
        <v>1463.1945056178367</v>
      </c>
    </row>
    <row r="202" spans="15:17" x14ac:dyDescent="0.25">
      <c r="O202" s="5">
        <f t="shared" si="11"/>
        <v>66.640000000000327</v>
      </c>
      <c r="P202" s="6">
        <f t="shared" si="12"/>
        <v>-97.925253116524033</v>
      </c>
      <c r="Q202" s="10">
        <f t="shared" si="13"/>
        <v>1429.9020079052791</v>
      </c>
    </row>
    <row r="203" spans="15:17" x14ac:dyDescent="0.25">
      <c r="O203" s="5">
        <f t="shared" si="11"/>
        <v>66.980000000000331</v>
      </c>
      <c r="P203" s="6">
        <f t="shared" si="12"/>
        <v>-97.936731332202015</v>
      </c>
      <c r="Q203" s="10">
        <f t="shared" si="13"/>
        <v>1396.6054705489958</v>
      </c>
    </row>
    <row r="204" spans="15:17" x14ac:dyDescent="0.25">
      <c r="O204" s="5">
        <f t="shared" si="11"/>
        <v>67.320000000000334</v>
      </c>
      <c r="P204" s="6">
        <f t="shared" si="12"/>
        <v>-97.94745619018191</v>
      </c>
      <c r="Q204" s="10">
        <f t="shared" si="13"/>
        <v>1363.3051586701904</v>
      </c>
    </row>
    <row r="205" spans="15:17" x14ac:dyDescent="0.25">
      <c r="O205" s="5">
        <f t="shared" si="11"/>
        <v>67.660000000000338</v>
      </c>
      <c r="P205" s="6">
        <f t="shared" si="12"/>
        <v>-97.957477061558492</v>
      </c>
      <c r="Q205" s="10">
        <f t="shared" si="13"/>
        <v>1330.0013200173946</v>
      </c>
    </row>
    <row r="206" spans="15:17" x14ac:dyDescent="0.25">
      <c r="O206" s="5">
        <f t="shared" si="11"/>
        <v>68.000000000000341</v>
      </c>
      <c r="P206" s="6">
        <f t="shared" si="12"/>
        <v>-97.966840091379751</v>
      </c>
      <c r="Q206" s="10">
        <f t="shared" si="13"/>
        <v>1296.6941861013952</v>
      </c>
    </row>
    <row r="207" spans="15:17" x14ac:dyDescent="0.25">
      <c r="O207" s="5">
        <f t="shared" si="11"/>
        <v>68.340000000000344</v>
      </c>
      <c r="P207" s="6">
        <f t="shared" si="12"/>
        <v>-97.97558840824118</v>
      </c>
      <c r="Q207" s="10">
        <f t="shared" si="13"/>
        <v>1263.3839732564597</v>
      </c>
    </row>
    <row r="208" spans="15:17" x14ac:dyDescent="0.25">
      <c r="O208" s="5">
        <f t="shared" si="11"/>
        <v>68.680000000000348</v>
      </c>
      <c r="P208" s="6">
        <f t="shared" si="12"/>
        <v>-97.983762320416247</v>
      </c>
      <c r="Q208" s="10">
        <f t="shared" si="13"/>
        <v>1230.070883632588</v>
      </c>
    </row>
    <row r="209" spans="15:17" x14ac:dyDescent="0.25">
      <c r="O209" s="5">
        <f t="shared" si="11"/>
        <v>69.020000000000351</v>
      </c>
      <c r="P209" s="6">
        <f t="shared" si="12"/>
        <v>-97.991399499368384</v>
      </c>
      <c r="Q209" s="10">
        <f t="shared" si="13"/>
        <v>1196.7551061232246</v>
      </c>
    </row>
    <row r="210" spans="15:17" x14ac:dyDescent="0.25">
      <c r="O210" s="5">
        <f t="shared" si="11"/>
        <v>69.360000000000355</v>
      </c>
      <c r="P210" s="6">
        <f t="shared" si="12"/>
        <v>-97.998535151439157</v>
      </c>
      <c r="Q210" s="10">
        <f t="shared" si="13"/>
        <v>1163.4368172325874</v>
      </c>
    </row>
    <row r="211" spans="15:17" x14ac:dyDescent="0.25">
      <c r="O211" s="5">
        <f t="shared" si="11"/>
        <v>69.700000000000358</v>
      </c>
      <c r="P211" s="6">
        <f t="shared" si="12"/>
        <v>-98.005202178459498</v>
      </c>
      <c r="Q211" s="10">
        <f t="shared" si="13"/>
        <v>1130.1161818865046</v>
      </c>
    </row>
    <row r="212" spans="15:17" x14ac:dyDescent="0.25">
      <c r="O212" s="5">
        <f t="shared" si="11"/>
        <v>70.040000000000362</v>
      </c>
      <c r="P212" s="6">
        <f t="shared" si="12"/>
        <v>-98.011431327985704</v>
      </c>
      <c r="Q212" s="10">
        <f t="shared" si="13"/>
        <v>1096.793354190409</v>
      </c>
    </row>
    <row r="213" spans="15:17" x14ac:dyDescent="0.25">
      <c r="O213" s="5">
        <f t="shared" si="11"/>
        <v>70.380000000000365</v>
      </c>
      <c r="P213" s="6">
        <f t="shared" si="12"/>
        <v>-98.017251333818919</v>
      </c>
      <c r="Q213" s="10">
        <f t="shared" si="13"/>
        <v>1063.4684781379021</v>
      </c>
    </row>
    <row r="214" spans="15:17" x14ac:dyDescent="0.25">
      <c r="O214" s="5">
        <f t="shared" si="11"/>
        <v>70.720000000000368</v>
      </c>
      <c r="P214" s="6">
        <f t="shared" si="12"/>
        <v>-98.022689047426738</v>
      </c>
      <c r="Q214" s="10">
        <f t="shared" si="13"/>
        <v>1030.1416882730903</v>
      </c>
    </row>
    <row r="215" spans="15:17" x14ac:dyDescent="0.25">
      <c r="O215" s="5">
        <f t="shared" si="11"/>
        <v>71.060000000000372</v>
      </c>
      <c r="P215" s="6">
        <f t="shared" si="12"/>
        <v>-98.027769560847247</v>
      </c>
      <c r="Q215" s="10">
        <f t="shared" si="13"/>
        <v>996.81311030968368</v>
      </c>
    </row>
    <row r="216" spans="15:17" x14ac:dyDescent="0.25">
      <c r="O216" s="5">
        <f t="shared" si="11"/>
        <v>71.400000000000375</v>
      </c>
      <c r="P216" s="6">
        <f t="shared" si="12"/>
        <v>-98.032516321619923</v>
      </c>
      <c r="Q216" s="10">
        <f t="shared" si="13"/>
        <v>963.48286170966423</v>
      </c>
    </row>
    <row r="217" spans="15:17" x14ac:dyDescent="0.25">
      <c r="O217" s="5">
        <f t="shared" si="11"/>
        <v>71.740000000000379</v>
      </c>
      <c r="P217" s="6">
        <f t="shared" si="12"/>
        <v>-98.036951240254069</v>
      </c>
      <c r="Q217" s="10">
        <f t="shared" si="13"/>
        <v>930.1510522241457</v>
      </c>
    </row>
    <row r="218" spans="15:17" x14ac:dyDescent="0.25">
      <c r="O218" s="5">
        <f t="shared" si="11"/>
        <v>72.080000000000382</v>
      </c>
      <c r="P218" s="6">
        <f t="shared" si="12"/>
        <v>-98.041094790713657</v>
      </c>
      <c r="Q218" s="10">
        <f t="shared" si="13"/>
        <v>896.81778439888114</v>
      </c>
    </row>
    <row r="219" spans="15:17" x14ac:dyDescent="0.25">
      <c r="O219" s="5">
        <f t="shared" si="11"/>
        <v>72.420000000000385</v>
      </c>
      <c r="P219" s="6">
        <f t="shared" si="12"/>
        <v>-98.044966104367205</v>
      </c>
      <c r="Q219" s="10">
        <f t="shared" si="13"/>
        <v>863.48315404671735</v>
      </c>
    </row>
    <row r="220" spans="15:17" x14ac:dyDescent="0.25">
      <c r="O220" s="5">
        <f t="shared" si="11"/>
        <v>72.760000000000389</v>
      </c>
      <c r="P220" s="6">
        <f t="shared" si="12"/>
        <v>-98.048583057823407</v>
      </c>
      <c r="Q220" s="10">
        <f t="shared" si="13"/>
        <v>830.14725068914493</v>
      </c>
    </row>
    <row r="221" spans="15:17" x14ac:dyDescent="0.25">
      <c r="O221" s="5">
        <f t="shared" si="11"/>
        <v>73.100000000000392</v>
      </c>
      <c r="P221" s="6">
        <f t="shared" si="12"/>
        <v>-98.051962355046626</v>
      </c>
      <c r="Q221" s="10">
        <f t="shared" si="13"/>
        <v>796.81015796895701</v>
      </c>
    </row>
    <row r="222" spans="15:17" x14ac:dyDescent="0.25">
      <c r="O222" s="5">
        <f t="shared" si="11"/>
        <v>73.440000000000396</v>
      </c>
      <c r="P222" s="6">
        <f t="shared" si="12"/>
        <v>-98.055119604121259</v>
      </c>
      <c r="Q222" s="10">
        <f t="shared" si="13"/>
        <v>763.47195403589842</v>
      </c>
    </row>
    <row r="223" spans="15:17" x14ac:dyDescent="0.25">
      <c r="O223" s="5">
        <f t="shared" si="11"/>
        <v>73.780000000000399</v>
      </c>
      <c r="P223" s="6">
        <f t="shared" si="12"/>
        <v>-98.058069389010981</v>
      </c>
      <c r="Q223" s="10">
        <f t="shared" si="13"/>
        <v>730.13271190706598</v>
      </c>
    </row>
    <row r="224" spans="15:17" x14ac:dyDescent="0.25">
      <c r="O224" s="5">
        <f t="shared" si="11"/>
        <v>74.120000000000402</v>
      </c>
      <c r="P224" s="6">
        <f t="shared" si="12"/>
        <v>-98.060825336636555</v>
      </c>
      <c r="Q224" s="10">
        <f t="shared" si="13"/>
        <v>696.79249980370594</v>
      </c>
    </row>
    <row r="225" spans="15:17" x14ac:dyDescent="0.25">
      <c r="O225" s="5">
        <f t="shared" si="11"/>
        <v>74.460000000000406</v>
      </c>
      <c r="P225" s="6">
        <f t="shared" si="12"/>
        <v>-98.063400179575339</v>
      </c>
      <c r="Q225" s="10">
        <f t="shared" si="13"/>
        <v>663.45138146594991</v>
      </c>
    </row>
    <row r="226" spans="15:17" x14ac:dyDescent="0.25">
      <c r="O226" s="5">
        <f t="shared" si="11"/>
        <v>74.800000000000409</v>
      </c>
      <c r="P226" s="6">
        <f t="shared" si="12"/>
        <v>-98.065805814666476</v>
      </c>
      <c r="Q226" s="10">
        <f t="shared" si="13"/>
        <v>630.10941644692878</v>
      </c>
    </row>
    <row r="227" spans="15:17" x14ac:dyDescent="0.25">
      <c r="O227" s="5">
        <f t="shared" si="11"/>
        <v>75.140000000000413</v>
      </c>
      <c r="P227" s="6">
        <f t="shared" si="12"/>
        <v>-98.068053357787292</v>
      </c>
      <c r="Q227" s="10">
        <f t="shared" si="13"/>
        <v>596.76666038761164</v>
      </c>
    </row>
    <row r="228" spans="15:17" x14ac:dyDescent="0.25">
      <c r="O228" s="5">
        <f t="shared" si="11"/>
        <v>75.480000000000416</v>
      </c>
      <c r="P228" s="6">
        <f t="shared" si="12"/>
        <v>-98.07015319504967</v>
      </c>
      <c r="Q228" s="10">
        <f t="shared" si="13"/>
        <v>563.42316527362937</v>
      </c>
    </row>
    <row r="229" spans="15:17" x14ac:dyDescent="0.25">
      <c r="O229" s="5">
        <f t="shared" si="11"/>
        <v>75.82000000000042</v>
      </c>
      <c r="P229" s="6">
        <f t="shared" si="12"/>
        <v>-98.072115030649073</v>
      </c>
      <c r="Q229" s="10">
        <f t="shared" si="13"/>
        <v>530.0789796752606</v>
      </c>
    </row>
    <row r="230" spans="15:17" x14ac:dyDescent="0.25">
      <c r="O230" s="5">
        <f t="shared" si="11"/>
        <v>76.160000000000423</v>
      </c>
      <c r="P230" s="6">
        <f t="shared" si="12"/>
        <v>-98.073947931583874</v>
      </c>
      <c r="Q230" s="10">
        <f t="shared" si="13"/>
        <v>496.73414897168101</v>
      </c>
    </row>
    <row r="231" spans="15:17" x14ac:dyDescent="0.25">
      <c r="O231" s="5">
        <f t="shared" si="11"/>
        <v>76.500000000000426</v>
      </c>
      <c r="P231" s="6">
        <f t="shared" si="12"/>
        <v>-98.075660369448798</v>
      </c>
      <c r="Q231" s="10">
        <f t="shared" si="13"/>
        <v>463.38871556050543</v>
      </c>
    </row>
    <row r="232" spans="15:17" x14ac:dyDescent="0.25">
      <c r="O232" s="5">
        <f t="shared" si="11"/>
        <v>76.84000000000043</v>
      </c>
      <c r="P232" s="6">
        <f t="shared" si="12"/>
        <v>-98.077260259493073</v>
      </c>
      <c r="Q232" s="10">
        <f t="shared" si="13"/>
        <v>430.0427190535853</v>
      </c>
    </row>
    <row r="233" spans="15:17" x14ac:dyDescent="0.25">
      <c r="O233" s="5">
        <f t="shared" si="11"/>
        <v>77.180000000000433</v>
      </c>
      <c r="P233" s="6">
        <f t="shared" si="12"/>
        <v>-98.078754997121436</v>
      </c>
      <c r="Q233" s="10">
        <f t="shared" si="13"/>
        <v>396.69619645996085</v>
      </c>
    </row>
    <row r="234" spans="15:17" x14ac:dyDescent="0.25">
      <c r="O234" s="5">
        <f t="shared" si="11"/>
        <v>77.520000000000437</v>
      </c>
      <c r="P234" s="6">
        <f t="shared" si="12"/>
        <v>-98.080151492004902</v>
      </c>
      <c r="Q234" s="10">
        <f t="shared" si="13"/>
        <v>363.34918235680937</v>
      </c>
    </row>
    <row r="235" spans="15:17" x14ac:dyDescent="0.25">
      <c r="O235" s="5">
        <f t="shared" si="11"/>
        <v>77.86000000000044</v>
      </c>
      <c r="P235" s="6">
        <f t="shared" si="12"/>
        <v>-98.081456199957188</v>
      </c>
      <c r="Q235" s="10">
        <f t="shared" si="13"/>
        <v>330.00170904917582</v>
      </c>
    </row>
    <row r="236" spans="15:17" x14ac:dyDescent="0.25">
      <c r="O236" s="5">
        <f t="shared" si="11"/>
        <v>78.200000000000443</v>
      </c>
      <c r="P236" s="6">
        <f t="shared" si="12"/>
        <v>-98.082675152722587</v>
      </c>
      <c r="Q236" s="10">
        <f t="shared" si="13"/>
        <v>296.65380671922026</v>
      </c>
    </row>
    <row r="237" spans="15:17" x14ac:dyDescent="0.25">
      <c r="O237" s="5">
        <f t="shared" si="11"/>
        <v>78.540000000000447</v>
      </c>
      <c r="P237" s="6">
        <f t="shared" si="12"/>
        <v>-98.08381398581183</v>
      </c>
      <c r="Q237" s="10">
        <f t="shared" si="13"/>
        <v>263.30550356566943</v>
      </c>
    </row>
    <row r="238" spans="15:17" x14ac:dyDescent="0.25">
      <c r="O238" s="5">
        <f t="shared" ref="O238:O279" si="14">O237+h</f>
        <v>78.88000000000045</v>
      </c>
      <c r="P238" s="6">
        <f t="shared" si="12"/>
        <v>-98.084877964513353</v>
      </c>
      <c r="Q238" s="10">
        <f t="shared" si="13"/>
        <v>229.95682593411414</v>
      </c>
    </row>
    <row r="239" spans="15:17" x14ac:dyDescent="0.25">
      <c r="O239" s="5">
        <f t="shared" si="14"/>
        <v>79.220000000000454</v>
      </c>
      <c r="P239" s="6">
        <f t="shared" si="12"/>
        <v>-98.085872008199331</v>
      </c>
      <c r="Q239" s="10">
        <f t="shared" si="13"/>
        <v>196.60779843875298</v>
      </c>
    </row>
    <row r="240" spans="15:17" x14ac:dyDescent="0.25">
      <c r="O240" s="5">
        <f t="shared" si="14"/>
        <v>79.560000000000457</v>
      </c>
      <c r="P240" s="6">
        <f t="shared" si="12"/>
        <v>-98.086800713037917</v>
      </c>
      <c r="Q240" s="10">
        <f t="shared" si="13"/>
        <v>163.25844407614264</v>
      </c>
    </row>
    <row r="241" spans="15:17" x14ac:dyDescent="0.25">
      <c r="O241" s="5">
        <f t="shared" si="14"/>
        <v>79.90000000000046</v>
      </c>
      <c r="P241" s="6">
        <f t="shared" si="12"/>
        <v>-98.087668373215962</v>
      </c>
      <c r="Q241" s="10">
        <f t="shared" si="13"/>
        <v>129.90878433147947</v>
      </c>
    </row>
    <row r="242" spans="15:17" x14ac:dyDescent="0.25">
      <c r="O242" s="5">
        <f t="shared" si="14"/>
        <v>80.240000000000464</v>
      </c>
      <c r="P242" s="6">
        <f t="shared" si="12"/>
        <v>-98.088479000769681</v>
      </c>
      <c r="Q242" s="10">
        <f t="shared" si="13"/>
        <v>96.55883927790191</v>
      </c>
    </row>
    <row r="243" spans="15:17" x14ac:dyDescent="0.25">
      <c r="O243" s="5">
        <f t="shared" si="14"/>
        <v>80.580000000000467</v>
      </c>
      <c r="P243" s="6">
        <f t="shared" si="12"/>
        <v>-98.089236344114397</v>
      </c>
      <c r="Q243" s="10">
        <f t="shared" si="13"/>
        <v>63.208627669271614</v>
      </c>
    </row>
    <row r="244" spans="15:17" x14ac:dyDescent="0.25">
      <c r="O244" s="5">
        <f t="shared" si="14"/>
        <v>80.920000000000471</v>
      </c>
      <c r="P244" s="6">
        <f t="shared" si="12"/>
        <v>-98.089943905358567</v>
      </c>
      <c r="Q244" s="10">
        <f t="shared" si="13"/>
        <v>29.858167026861206</v>
      </c>
    </row>
    <row r="245" spans="15:17" x14ac:dyDescent="0.25">
      <c r="O245" s="5">
        <f t="shared" si="14"/>
        <v>81.260000000000474</v>
      </c>
      <c r="P245" s="6">
        <f t="shared" si="12"/>
        <v>-98.090604956481542</v>
      </c>
      <c r="Q245" s="10">
        <f t="shared" si="13"/>
        <v>-3.4925262796516146</v>
      </c>
    </row>
    <row r="246" spans="15:17" x14ac:dyDescent="0.25">
      <c r="O246" s="5">
        <f t="shared" si="14"/>
        <v>81.600000000000477</v>
      </c>
      <c r="P246" s="6">
        <f t="shared" si="12"/>
        <v>-98.091222554449772</v>
      </c>
      <c r="Q246" s="10">
        <f t="shared" si="13"/>
        <v>-36.84343695650994</v>
      </c>
    </row>
    <row r="247" spans="15:17" x14ac:dyDescent="0.25">
      <c r="O247" s="5">
        <f t="shared" si="14"/>
        <v>81.940000000000481</v>
      </c>
      <c r="P247" s="6">
        <f t="shared" si="12"/>
        <v>-98.091799555340771</v>
      </c>
      <c r="Q247" s="10">
        <f t="shared" si="13"/>
        <v>-70.19455071517433</v>
      </c>
    </row>
    <row r="248" spans="15:17" x14ac:dyDescent="0.25">
      <c r="O248" s="5">
        <f t="shared" si="14"/>
        <v>82.280000000000484</v>
      </c>
      <c r="P248" s="6">
        <f t="shared" si="12"/>
        <v>-98.092338627539959</v>
      </c>
      <c r="Q248" s="10">
        <f t="shared" si="13"/>
        <v>-103.54585420626405</v>
      </c>
    </row>
    <row r="249" spans="15:17" x14ac:dyDescent="0.25">
      <c r="O249" s="5">
        <f t="shared" si="14"/>
        <v>82.620000000000488</v>
      </c>
      <c r="P249" s="6">
        <f t="shared" si="12"/>
        <v>-98.092842264071209</v>
      </c>
      <c r="Q249" s="10">
        <f t="shared" si="13"/>
        <v>-136.89733495783796</v>
      </c>
    </row>
    <row r="250" spans="15:17" x14ac:dyDescent="0.25">
      <c r="O250" s="5">
        <f t="shared" si="14"/>
        <v>82.960000000000491</v>
      </c>
      <c r="P250" s="6">
        <f t="shared" si="12"/>
        <v>-98.093312794117779</v>
      </c>
      <c r="Q250" s="10">
        <f t="shared" si="13"/>
        <v>-170.24898131773008</v>
      </c>
    </row>
    <row r="251" spans="15:17" x14ac:dyDescent="0.25">
      <c r="O251" s="5">
        <f t="shared" si="14"/>
        <v>83.300000000000495</v>
      </c>
      <c r="P251" s="6">
        <f t="shared" si="12"/>
        <v>-98.093752393786829</v>
      </c>
      <c r="Q251" s="10">
        <f t="shared" si="13"/>
        <v>-203.60078239967388</v>
      </c>
    </row>
    <row r="252" spans="15:17" x14ac:dyDescent="0.25">
      <c r="O252" s="5">
        <f t="shared" si="14"/>
        <v>83.640000000000498</v>
      </c>
      <c r="P252" s="6">
        <f t="shared" si="12"/>
        <v>-98.094163096167065</v>
      </c>
      <c r="Q252" s="10">
        <f t="shared" si="13"/>
        <v>-236.95272803296604</v>
      </c>
    </row>
    <row r="253" spans="15:17" x14ac:dyDescent="0.25">
      <c r="O253" s="5">
        <f t="shared" si="14"/>
        <v>83.980000000000501</v>
      </c>
      <c r="P253" s="6">
        <f t="shared" si="12"/>
        <v>-98.094546800725894</v>
      </c>
      <c r="Q253" s="10">
        <f t="shared" si="13"/>
        <v>-270.30480871543784</v>
      </c>
    </row>
    <row r="254" spans="15:17" x14ac:dyDescent="0.25">
      <c r="O254" s="5">
        <f t="shared" si="14"/>
        <v>84.320000000000505</v>
      </c>
      <c r="P254" s="6">
        <f t="shared" si="12"/>
        <v>-98.094905282089428</v>
      </c>
      <c r="Q254" s="10">
        <f t="shared" si="13"/>
        <v>-303.65701556951643</v>
      </c>
    </row>
    <row r="255" spans="15:17" x14ac:dyDescent="0.25">
      <c r="O255" s="5">
        <f t="shared" si="14"/>
        <v>84.660000000000508</v>
      </c>
      <c r="P255" s="6">
        <f t="shared" si="12"/>
        <v>-98.095240198245861</v>
      </c>
      <c r="Q255" s="10">
        <f t="shared" si="13"/>
        <v>-337.00934030117344</v>
      </c>
    </row>
    <row r="256" spans="15:17" x14ac:dyDescent="0.25">
      <c r="O256" s="5">
        <f t="shared" si="14"/>
        <v>85.000000000000512</v>
      </c>
      <c r="P256" s="6">
        <f t="shared" si="12"/>
        <v>-98.095553098209948</v>
      </c>
      <c r="Q256" s="10">
        <f t="shared" si="13"/>
        <v>-370.3617751615709</v>
      </c>
    </row>
    <row r="257" spans="15:17" x14ac:dyDescent="0.25">
      <c r="O257" s="5">
        <f t="shared" si="14"/>
        <v>85.340000000000515</v>
      </c>
      <c r="P257" s="6">
        <f t="shared" si="12"/>
        <v>-98.095845429184109</v>
      </c>
      <c r="Q257" s="10">
        <f t="shared" si="13"/>
        <v>-403.71431291122792</v>
      </c>
    </row>
    <row r="258" spans="15:17" x14ac:dyDescent="0.25">
      <c r="O258" s="5">
        <f t="shared" si="14"/>
        <v>85.680000000000518</v>
      </c>
      <c r="P258" s="6">
        <f t="shared" si="12"/>
        <v>-98.096118543249105</v>
      </c>
      <c r="Q258" s="10">
        <f t="shared" si="13"/>
        <v>-437.06694678654156</v>
      </c>
    </row>
    <row r="259" spans="15:17" x14ac:dyDescent="0.25">
      <c r="O259" s="5">
        <f t="shared" si="14"/>
        <v>86.020000000000522</v>
      </c>
      <c r="P259" s="6">
        <f t="shared" si="12"/>
        <v>-98.096373703615114</v>
      </c>
      <c r="Q259" s="10">
        <f t="shared" si="13"/>
        <v>-470.41967046850846</v>
      </c>
    </row>
    <row r="260" spans="15:17" x14ac:dyDescent="0.25">
      <c r="O260" s="5">
        <f t="shared" si="14"/>
        <v>86.360000000000525</v>
      </c>
      <c r="P260" s="6">
        <f t="shared" si="12"/>
        <v>-98.096612090462244</v>
      </c>
      <c r="Q260" s="10">
        <f t="shared" si="13"/>
        <v>-503.77247805350163</v>
      </c>
    </row>
    <row r="261" spans="15:17" x14ac:dyDescent="0.25">
      <c r="O261" s="5">
        <f t="shared" si="14"/>
        <v>86.700000000000529</v>
      </c>
      <c r="P261" s="6">
        <f t="shared" si="12"/>
        <v>-98.096834806397212</v>
      </c>
      <c r="Q261" s="10">
        <f t="shared" si="13"/>
        <v>-537.12536402596777</v>
      </c>
    </row>
    <row r="262" spans="15:17" x14ac:dyDescent="0.25">
      <c r="O262" s="5">
        <f t="shared" si="14"/>
        <v>87.040000000000532</v>
      </c>
      <c r="P262" s="6">
        <f t="shared" si="12"/>
        <v>-98.09704288155163</v>
      </c>
      <c r="Q262" s="10">
        <f t="shared" si="13"/>
        <v>-570.47832323291902</v>
      </c>
    </row>
    <row r="263" spans="15:17" x14ac:dyDescent="0.25">
      <c r="O263" s="5">
        <f t="shared" si="14"/>
        <v>87.380000000000535</v>
      </c>
      <c r="P263" s="6">
        <f t="shared" ref="P263:P279" si="15">VSig($C$3,$C$4,P262,O262,h)</f>
        <v>-98.097237278345204</v>
      </c>
      <c r="Q263" s="10">
        <f t="shared" ref="Q263:Q279" si="16">YSig($C$3,$C$4,Q262,P262,O262,h)</f>
        <v>-603.83135086010145</v>
      </c>
    </row>
    <row r="264" spans="15:17" x14ac:dyDescent="0.25">
      <c r="O264" s="5">
        <f t="shared" si="14"/>
        <v>87.720000000000539</v>
      </c>
      <c r="P264" s="6">
        <f t="shared" si="15"/>
        <v>-98.09741889593603</v>
      </c>
      <c r="Q264" s="10">
        <f t="shared" si="16"/>
        <v>-637.18444240972929</v>
      </c>
    </row>
    <row r="265" spans="15:17" x14ac:dyDescent="0.25">
      <c r="O265" s="5">
        <f t="shared" si="14"/>
        <v>88.060000000000542</v>
      </c>
      <c r="P265" s="6">
        <f t="shared" si="15"/>
        <v>-98.097588574378435</v>
      </c>
      <c r="Q265" s="10">
        <f t="shared" si="16"/>
        <v>-670.5375936796828</v>
      </c>
    </row>
    <row r="266" spans="15:17" x14ac:dyDescent="0.25">
      <c r="O266" s="5">
        <f t="shared" si="14"/>
        <v>88.400000000000546</v>
      </c>
      <c r="P266" s="6">
        <f t="shared" si="15"/>
        <v>-98.097747098507611</v>
      </c>
      <c r="Q266" s="10">
        <f t="shared" si="16"/>
        <v>-703.89080074407343</v>
      </c>
    </row>
    <row r="267" spans="15:17" x14ac:dyDescent="0.25">
      <c r="O267" s="5">
        <f t="shared" si="14"/>
        <v>88.740000000000549</v>
      </c>
      <c r="P267" s="6">
        <f t="shared" si="15"/>
        <v>-98.097895201568974</v>
      </c>
      <c r="Q267" s="10">
        <f t="shared" si="16"/>
        <v>-737.2440599350864</v>
      </c>
    </row>
    <row r="268" spans="15:17" x14ac:dyDescent="0.25">
      <c r="O268" s="5">
        <f t="shared" si="14"/>
        <v>89.080000000000553</v>
      </c>
      <c r="P268" s="6">
        <f t="shared" si="15"/>
        <v>-98.098033568609026</v>
      </c>
      <c r="Q268" s="10">
        <f t="shared" si="16"/>
        <v>-770.59736782601669</v>
      </c>
    </row>
    <row r="269" spans="15:17" x14ac:dyDescent="0.25">
      <c r="O269" s="5">
        <f t="shared" si="14"/>
        <v>89.420000000000556</v>
      </c>
      <c r="P269" s="6">
        <f t="shared" si="15"/>
        <v>-98.098162839643393</v>
      </c>
      <c r="Q269" s="10">
        <f t="shared" si="16"/>
        <v>-803.95072121541966</v>
      </c>
    </row>
    <row r="270" spans="15:17" x14ac:dyDescent="0.25">
      <c r="O270" s="5">
        <f t="shared" si="14"/>
        <v>89.760000000000559</v>
      </c>
      <c r="P270" s="6">
        <f t="shared" si="15"/>
        <v>-98.09828361261664</v>
      </c>
      <c r="Q270" s="10">
        <f t="shared" si="16"/>
        <v>-837.30411711230386</v>
      </c>
    </row>
    <row r="271" spans="15:17" x14ac:dyDescent="0.25">
      <c r="O271" s="5">
        <f t="shared" si="14"/>
        <v>90.100000000000563</v>
      </c>
      <c r="P271" s="6">
        <f t="shared" si="15"/>
        <v>-98.098396446167612</v>
      </c>
      <c r="Q271" s="10">
        <f t="shared" si="16"/>
        <v>-870.65755272229717</v>
      </c>
    </row>
    <row r="272" spans="15:17" x14ac:dyDescent="0.25">
      <c r="O272" s="5">
        <f t="shared" si="14"/>
        <v>90.440000000000566</v>
      </c>
      <c r="P272" s="6">
        <f t="shared" si="15"/>
        <v>-98.098501862212999</v>
      </c>
      <c r="Q272" s="10">
        <f t="shared" si="16"/>
        <v>-904.01102543472189</v>
      </c>
    </row>
    <row r="273" spans="15:17" x14ac:dyDescent="0.25">
      <c r="O273" s="5">
        <f t="shared" si="14"/>
        <v>90.78000000000057</v>
      </c>
      <c r="P273" s="6">
        <f t="shared" si="15"/>
        <v>-98.098600348361103</v>
      </c>
      <c r="Q273" s="10">
        <f t="shared" si="16"/>
        <v>-937.36453281051945</v>
      </c>
    </row>
    <row r="274" spans="15:17" x14ac:dyDescent="0.25">
      <c r="O274" s="5">
        <f t="shared" si="14"/>
        <v>91.120000000000573</v>
      </c>
      <c r="P274" s="6">
        <f t="shared" si="15"/>
        <v>-98.098692360166993</v>
      </c>
      <c r="Q274" s="10">
        <f t="shared" si="16"/>
        <v>-970.71807257096918</v>
      </c>
    </row>
    <row r="275" spans="15:17" x14ac:dyDescent="0.25">
      <c r="O275" s="5">
        <f t="shared" si="14"/>
        <v>91.460000000000576</v>
      </c>
      <c r="P275" s="6">
        <f t="shared" si="15"/>
        <v>-98.098778323239415</v>
      </c>
      <c r="Q275" s="10">
        <f t="shared" si="16"/>
        <v>-1004.0716425871483</v>
      </c>
    </row>
    <row r="276" spans="15:17" x14ac:dyDescent="0.25">
      <c r="O276" s="5">
        <f t="shared" si="14"/>
        <v>91.80000000000058</v>
      </c>
      <c r="P276" s="6">
        <f t="shared" si="15"/>
        <v>-98.098858635209254</v>
      </c>
      <c r="Q276" s="10">
        <f t="shared" si="16"/>
        <v>-1037.4252408700845</v>
      </c>
    </row>
    <row r="277" spans="15:17" x14ac:dyDescent="0.25">
      <c r="O277" s="5">
        <f t="shared" si="14"/>
        <v>92.140000000000583</v>
      </c>
      <c r="P277" s="6">
        <f t="shared" si="15"/>
        <v>-98.098933667568602</v>
      </c>
      <c r="Q277" s="10">
        <f t="shared" si="16"/>
        <v>-1070.7788655615568</v>
      </c>
    </row>
    <row r="278" spans="15:17" x14ac:dyDescent="0.25">
      <c r="O278" s="5">
        <f t="shared" si="14"/>
        <v>92.480000000000587</v>
      </c>
      <c r="P278" s="6">
        <f t="shared" si="15"/>
        <v>-98.099003767388936</v>
      </c>
      <c r="Q278" s="10">
        <f t="shared" si="16"/>
        <v>-1104.1325149254997</v>
      </c>
    </row>
    <row r="279" spans="15:17" x14ac:dyDescent="0.25">
      <c r="O279" s="5">
        <f t="shared" si="14"/>
        <v>92.82000000000059</v>
      </c>
      <c r="P279" s="6">
        <f t="shared" si="15"/>
        <v>-98.099069258926377</v>
      </c>
      <c r="Q279" s="10">
        <f t="shared" si="16"/>
        <v>-1137.4861873399732</v>
      </c>
    </row>
    <row r="280" spans="15:17" x14ac:dyDescent="0.25">
      <c r="O280" s="5"/>
    </row>
    <row r="281" spans="15:17" x14ac:dyDescent="0.25">
      <c r="O281" s="5"/>
    </row>
    <row r="282" spans="15:17" x14ac:dyDescent="0.25">
      <c r="O282" s="5"/>
    </row>
    <row r="283" spans="15:17" x14ac:dyDescent="0.25">
      <c r="O283" s="5"/>
    </row>
    <row r="284" spans="15:17" x14ac:dyDescent="0.25">
      <c r="O284" s="5"/>
    </row>
    <row r="285" spans="15:17" x14ac:dyDescent="0.25">
      <c r="O285" s="5"/>
    </row>
    <row r="286" spans="15:17" x14ac:dyDescent="0.25">
      <c r="O286" s="5"/>
    </row>
    <row r="287" spans="15:17" x14ac:dyDescent="0.25">
      <c r="O287" s="5"/>
    </row>
    <row r="288" spans="15:17" x14ac:dyDescent="0.25">
      <c r="O288" s="5"/>
    </row>
    <row r="289" spans="15:15" x14ac:dyDescent="0.25">
      <c r="O289" s="5"/>
    </row>
    <row r="290" spans="15:15" x14ac:dyDescent="0.25">
      <c r="O290" s="5"/>
    </row>
    <row r="291" spans="15:15" x14ac:dyDescent="0.25">
      <c r="O291" s="5"/>
    </row>
    <row r="292" spans="15:15" x14ac:dyDescent="0.25">
      <c r="O292" s="5"/>
    </row>
    <row r="293" spans="15:15" x14ac:dyDescent="0.25">
      <c r="O293" s="5"/>
    </row>
    <row r="294" spans="15:15" x14ac:dyDescent="0.25">
      <c r="O294" s="5"/>
    </row>
    <row r="295" spans="15:15" x14ac:dyDescent="0.25">
      <c r="O295" s="5"/>
    </row>
    <row r="296" spans="15:15" x14ac:dyDescent="0.25">
      <c r="O296" s="5"/>
    </row>
    <row r="297" spans="15:15" x14ac:dyDescent="0.25">
      <c r="O297" s="5"/>
    </row>
    <row r="298" spans="15:15" x14ac:dyDescent="0.25">
      <c r="O298" s="5"/>
    </row>
    <row r="299" spans="15:15" x14ac:dyDescent="0.25">
      <c r="O299" s="5"/>
    </row>
    <row r="300" spans="15:15" x14ac:dyDescent="0.25">
      <c r="O300" s="5"/>
    </row>
    <row r="301" spans="15:15" x14ac:dyDescent="0.25">
      <c r="O301" s="5"/>
    </row>
    <row r="302" spans="15:15" x14ac:dyDescent="0.25">
      <c r="O302" s="5"/>
    </row>
    <row r="303" spans="15:15" x14ac:dyDescent="0.25">
      <c r="O303" s="5"/>
    </row>
    <row r="304" spans="15:15" x14ac:dyDescent="0.25">
      <c r="O304" s="5"/>
    </row>
    <row r="305" spans="15:15" x14ac:dyDescent="0.25">
      <c r="O305" s="5"/>
    </row>
    <row r="306" spans="15:15" x14ac:dyDescent="0.25">
      <c r="O306" s="5"/>
    </row>
    <row r="307" spans="15:15" x14ac:dyDescent="0.25">
      <c r="O307" s="5"/>
    </row>
    <row r="308" spans="15:15" x14ac:dyDescent="0.25">
      <c r="O308" s="5"/>
    </row>
    <row r="309" spans="15:15" x14ac:dyDescent="0.25">
      <c r="O309" s="5"/>
    </row>
    <row r="310" spans="15:15" x14ac:dyDescent="0.25">
      <c r="O310" s="5"/>
    </row>
    <row r="311" spans="15:15" x14ac:dyDescent="0.25">
      <c r="O311" s="5"/>
    </row>
    <row r="312" spans="15:15" x14ac:dyDescent="0.25">
      <c r="O312" s="5"/>
    </row>
    <row r="313" spans="15:15" x14ac:dyDescent="0.25">
      <c r="O313" s="5"/>
    </row>
    <row r="314" spans="15:15" x14ac:dyDescent="0.25">
      <c r="O314" s="5"/>
    </row>
    <row r="315" spans="15:15" x14ac:dyDescent="0.25">
      <c r="O315" s="5"/>
    </row>
    <row r="316" spans="15:15" x14ac:dyDescent="0.25">
      <c r="O316" s="5"/>
    </row>
    <row r="317" spans="15:15" x14ac:dyDescent="0.25">
      <c r="O317" s="5"/>
    </row>
    <row r="318" spans="15:15" x14ac:dyDescent="0.25">
      <c r="O318" s="5"/>
    </row>
    <row r="319" spans="15:15" x14ac:dyDescent="0.25">
      <c r="O319" s="5"/>
    </row>
    <row r="320" spans="15:15" x14ac:dyDescent="0.25">
      <c r="O320" s="5"/>
    </row>
    <row r="321" spans="15:15" x14ac:dyDescent="0.25">
      <c r="O321" s="5"/>
    </row>
    <row r="322" spans="15:15" x14ac:dyDescent="0.25">
      <c r="O322" s="5"/>
    </row>
    <row r="323" spans="15:15" x14ac:dyDescent="0.25">
      <c r="O323" s="5"/>
    </row>
    <row r="324" spans="15:15" x14ac:dyDescent="0.25">
      <c r="O324" s="5"/>
    </row>
    <row r="325" spans="15:15" x14ac:dyDescent="0.25">
      <c r="O325" s="5"/>
    </row>
    <row r="326" spans="15:15" x14ac:dyDescent="0.25">
      <c r="O326" s="5"/>
    </row>
    <row r="327" spans="15:15" x14ac:dyDescent="0.25">
      <c r="O327" s="5"/>
    </row>
    <row r="328" spans="15:15" x14ac:dyDescent="0.25">
      <c r="O328" s="5"/>
    </row>
    <row r="329" spans="15:15" x14ac:dyDescent="0.25">
      <c r="O329" s="5"/>
    </row>
    <row r="330" spans="15:15" x14ac:dyDescent="0.25">
      <c r="O330" s="5"/>
    </row>
    <row r="331" spans="15:15" x14ac:dyDescent="0.25">
      <c r="O331" s="5"/>
    </row>
    <row r="332" spans="15:15" x14ac:dyDescent="0.25">
      <c r="O332" s="5"/>
    </row>
    <row r="333" spans="15:15" x14ac:dyDescent="0.25">
      <c r="O333" s="5"/>
    </row>
    <row r="334" spans="15:15" x14ac:dyDescent="0.25">
      <c r="O334" s="5"/>
    </row>
    <row r="335" spans="15:15" x14ac:dyDescent="0.25">
      <c r="O335" s="5"/>
    </row>
    <row r="336" spans="15:15" x14ac:dyDescent="0.25">
      <c r="O336" s="5"/>
    </row>
    <row r="337" spans="15:15" x14ac:dyDescent="0.25">
      <c r="O337" s="5"/>
    </row>
    <row r="338" spans="15:15" x14ac:dyDescent="0.25">
      <c r="O338" s="5"/>
    </row>
    <row r="339" spans="15:15" x14ac:dyDescent="0.25">
      <c r="O339" s="5"/>
    </row>
    <row r="340" spans="15:15" x14ac:dyDescent="0.25">
      <c r="O340" s="5"/>
    </row>
    <row r="341" spans="15:15" x14ac:dyDescent="0.25">
      <c r="O341" s="5"/>
    </row>
    <row r="342" spans="15:15" x14ac:dyDescent="0.25">
      <c r="O342" s="5"/>
    </row>
    <row r="343" spans="15:15" x14ac:dyDescent="0.25">
      <c r="O343" s="5"/>
    </row>
    <row r="344" spans="15:15" x14ac:dyDescent="0.25">
      <c r="O344" s="5"/>
    </row>
    <row r="345" spans="15:15" x14ac:dyDescent="0.25">
      <c r="O345" s="5"/>
    </row>
    <row r="346" spans="15:15" x14ac:dyDescent="0.25">
      <c r="O346" s="5"/>
    </row>
    <row r="347" spans="15:15" x14ac:dyDescent="0.25">
      <c r="O347" s="5"/>
    </row>
    <row r="348" spans="15:15" x14ac:dyDescent="0.25">
      <c r="O348" s="5"/>
    </row>
    <row r="349" spans="15:15" x14ac:dyDescent="0.25">
      <c r="O349" s="5"/>
    </row>
    <row r="350" spans="15:15" x14ac:dyDescent="0.25">
      <c r="O350" s="5"/>
    </row>
    <row r="351" spans="15:15" x14ac:dyDescent="0.25">
      <c r="O351" s="5"/>
    </row>
    <row r="352" spans="15:15" x14ac:dyDescent="0.25">
      <c r="O352" s="5"/>
    </row>
    <row r="353" spans="15:15" x14ac:dyDescent="0.25">
      <c r="O353" s="5"/>
    </row>
    <row r="354" spans="15:15" x14ac:dyDescent="0.25">
      <c r="O354" s="5"/>
    </row>
  </sheetData>
  <conditionalFormatting sqref="Q6:Q178">
    <cfRule type="cellIs" dxfId="3" priority="4" operator="lessThan">
      <formula>0</formula>
    </cfRule>
  </conditionalFormatting>
  <conditionalFormatting sqref="Q179:Q237">
    <cfRule type="cellIs" dxfId="2" priority="3" operator="lessThan">
      <formula>0</formula>
    </cfRule>
  </conditionalFormatting>
  <conditionalFormatting sqref="Q238:Q354">
    <cfRule type="cellIs" dxfId="1" priority="2" operator="lessThan">
      <formula>0</formula>
    </cfRule>
  </conditionalFormatting>
  <conditionalFormatting sqref="G7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2021-04-15T14:17:50Z</dcterms:created>
  <dcterms:modified xsi:type="dcterms:W3CDTF">2026-09-11T15:21:53Z</dcterms:modified>
</cp:coreProperties>
</file>