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uario\Documents\ECI\"/>
    </mc:Choice>
  </mc:AlternateContent>
  <bookViews>
    <workbookView xWindow="0" yWindow="0" windowWidth="25200" windowHeight="11880" activeTab="1"/>
  </bookViews>
  <sheets>
    <sheet name="Hoja1" sheetId="1" r:id="rId1"/>
    <sheet name="Hoja2" sheetId="2" r:id="rId2"/>
  </sheets>
  <functionGroups builtInGroupCount="18"/>
  <definedNames>
    <definedName name="h">Hoja2!$N$1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50" i="2" l="1"/>
  <c r="F12" i="1"/>
  <c r="F11" i="1"/>
  <c r="F10" i="1"/>
  <c r="F9" i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301" i="2" s="1"/>
  <c r="B302" i="2" s="1"/>
  <c r="B303" i="2" s="1"/>
  <c r="B304" i="2" s="1"/>
  <c r="B305" i="2" s="1"/>
  <c r="B306" i="2" s="1"/>
  <c r="B307" i="2" s="1"/>
  <c r="B308" i="2" s="1"/>
  <c r="B309" i="2" s="1"/>
  <c r="B310" i="2" s="1"/>
  <c r="B311" i="2" s="1"/>
  <c r="B312" i="2" s="1"/>
  <c r="B313" i="2" s="1"/>
  <c r="B314" i="2" s="1"/>
  <c r="B315" i="2" s="1"/>
  <c r="B316" i="2" s="1"/>
  <c r="B317" i="2" s="1"/>
  <c r="B318" i="2" s="1"/>
  <c r="B319" i="2" s="1"/>
  <c r="B320" i="2" s="1"/>
  <c r="B321" i="2" s="1"/>
  <c r="B322" i="2" s="1"/>
  <c r="B323" i="2" s="1"/>
  <c r="B324" i="2" s="1"/>
  <c r="B325" i="2" s="1"/>
  <c r="B326" i="2" s="1"/>
  <c r="B327" i="2" s="1"/>
  <c r="B328" i="2" s="1"/>
  <c r="B329" i="2" s="1"/>
  <c r="B330" i="2" s="1"/>
  <c r="B331" i="2" s="1"/>
  <c r="B332" i="2" s="1"/>
  <c r="B333" i="2" s="1"/>
  <c r="B334" i="2" s="1"/>
  <c r="B335" i="2" s="1"/>
  <c r="B336" i="2" s="1"/>
  <c r="B337" i="2" s="1"/>
  <c r="B338" i="2" s="1"/>
  <c r="B339" i="2" s="1"/>
  <c r="B340" i="2" s="1"/>
  <c r="B341" i="2" s="1"/>
  <c r="B342" i="2" s="1"/>
  <c r="B343" i="2" s="1"/>
  <c r="B344" i="2" s="1"/>
  <c r="B345" i="2" s="1"/>
  <c r="B346" i="2" s="1"/>
  <c r="B347" i="2" s="1"/>
  <c r="B348" i="2" s="1"/>
  <c r="B349" i="2" s="1"/>
  <c r="B350" i="2" s="1"/>
  <c r="B351" i="2" s="1"/>
  <c r="B352" i="2" s="1"/>
  <c r="B353" i="2" s="1"/>
  <c r="B354" i="2" s="1"/>
  <c r="B355" i="2" s="1"/>
  <c r="B356" i="2" s="1"/>
  <c r="B357" i="2" s="1"/>
  <c r="B358" i="2" s="1"/>
  <c r="B359" i="2" s="1"/>
  <c r="B360" i="2" s="1"/>
  <c r="B361" i="2" s="1"/>
  <c r="B362" i="2" s="1"/>
  <c r="B363" i="2" s="1"/>
  <c r="B364" i="2" s="1"/>
  <c r="B365" i="2" s="1"/>
  <c r="B366" i="2" s="1"/>
  <c r="B367" i="2" s="1"/>
  <c r="B368" i="2" s="1"/>
  <c r="B369" i="2" s="1"/>
  <c r="B370" i="2" s="1"/>
  <c r="B371" i="2" s="1"/>
  <c r="B372" i="2" s="1"/>
  <c r="B373" i="2" s="1"/>
  <c r="B374" i="2" s="1"/>
  <c r="B375" i="2" s="1"/>
  <c r="B376" i="2" s="1"/>
  <c r="B377" i="2" s="1"/>
  <c r="B378" i="2" s="1"/>
  <c r="B379" i="2" s="1"/>
  <c r="B380" i="2" s="1"/>
  <c r="B381" i="2" s="1"/>
  <c r="B382" i="2" s="1"/>
  <c r="B383" i="2" s="1"/>
  <c r="B384" i="2" s="1"/>
  <c r="B385" i="2" s="1"/>
  <c r="B386" i="2" s="1"/>
  <c r="B387" i="2" s="1"/>
  <c r="B388" i="2" s="1"/>
  <c r="B389" i="2" s="1"/>
  <c r="B390" i="2" s="1"/>
  <c r="B391" i="2" s="1"/>
  <c r="B392" i="2" s="1"/>
  <c r="B393" i="2" s="1"/>
  <c r="B394" i="2" s="1"/>
  <c r="B395" i="2" s="1"/>
  <c r="B396" i="2" s="1"/>
  <c r="B397" i="2" s="1"/>
  <c r="B398" i="2" s="1"/>
  <c r="B399" i="2" s="1"/>
  <c r="B400" i="2" s="1"/>
  <c r="B401" i="2" s="1"/>
  <c r="B402" i="2" s="1"/>
  <c r="B403" i="2" s="1"/>
  <c r="B404" i="2" s="1"/>
  <c r="B405" i="2" s="1"/>
  <c r="B406" i="2" s="1"/>
  <c r="B407" i="2" s="1"/>
  <c r="B408" i="2" s="1"/>
  <c r="B409" i="2" s="1"/>
  <c r="B410" i="2" s="1"/>
  <c r="B411" i="2" s="1"/>
  <c r="B412" i="2" s="1"/>
  <c r="B413" i="2" s="1"/>
  <c r="B414" i="2" s="1"/>
  <c r="B415" i="2" s="1"/>
  <c r="B416" i="2" s="1"/>
  <c r="B417" i="2" s="1"/>
  <c r="B418" i="2" s="1"/>
  <c r="B419" i="2" s="1"/>
  <c r="B420" i="2" s="1"/>
  <c r="B421" i="2" s="1"/>
  <c r="B422" i="2" s="1"/>
  <c r="B423" i="2" s="1"/>
  <c r="B424" i="2" s="1"/>
  <c r="B425" i="2" s="1"/>
  <c r="B426" i="2" s="1"/>
  <c r="B427" i="2" s="1"/>
  <c r="B428" i="2" s="1"/>
  <c r="B429" i="2" s="1"/>
  <c r="B430" i="2" s="1"/>
  <c r="B431" i="2" s="1"/>
  <c r="B432" i="2" s="1"/>
  <c r="B433" i="2" s="1"/>
  <c r="B434" i="2" s="1"/>
  <c r="B435" i="2" s="1"/>
  <c r="B436" i="2" s="1"/>
  <c r="B437" i="2" s="1"/>
  <c r="B438" i="2" s="1"/>
  <c r="B439" i="2" s="1"/>
  <c r="B440" i="2" s="1"/>
  <c r="B441" i="2" s="1"/>
  <c r="B442" i="2" s="1"/>
  <c r="B443" i="2" s="1"/>
  <c r="B444" i="2" s="1"/>
  <c r="B445" i="2" s="1"/>
  <c r="B446" i="2" s="1"/>
  <c r="B447" i="2" s="1"/>
  <c r="B448" i="2" s="1"/>
  <c r="B449" i="2" s="1"/>
  <c r="B450" i="2" s="1"/>
  <c r="B451" i="2" s="1"/>
  <c r="B452" i="2" s="1"/>
  <c r="B453" i="2" s="1"/>
  <c r="B454" i="2" s="1"/>
  <c r="B455" i="2" s="1"/>
  <c r="B456" i="2" s="1"/>
  <c r="B457" i="2" s="1"/>
  <c r="B458" i="2" s="1"/>
  <c r="B459" i="2" s="1"/>
  <c r="B460" i="2" s="1"/>
  <c r="B461" i="2" s="1"/>
  <c r="B462" i="2" s="1"/>
  <c r="B463" i="2" s="1"/>
  <c r="B464" i="2" s="1"/>
  <c r="B465" i="2" s="1"/>
  <c r="B466" i="2" s="1"/>
  <c r="B467" i="2" s="1"/>
  <c r="B468" i="2" s="1"/>
  <c r="B469" i="2" s="1"/>
  <c r="B470" i="2" s="1"/>
  <c r="B471" i="2" s="1"/>
  <c r="B472" i="2" s="1"/>
  <c r="B473" i="2" s="1"/>
  <c r="B474" i="2" s="1"/>
  <c r="B475" i="2" s="1"/>
  <c r="B476" i="2" s="1"/>
  <c r="B477" i="2" s="1"/>
  <c r="B478" i="2" s="1"/>
  <c r="B479" i="2" s="1"/>
  <c r="B480" i="2" s="1"/>
  <c r="B481" i="2" s="1"/>
  <c r="B482" i="2" s="1"/>
  <c r="B483" i="2" s="1"/>
  <c r="B484" i="2" s="1"/>
  <c r="B485" i="2" s="1"/>
  <c r="B486" i="2" s="1"/>
  <c r="B487" i="2" s="1"/>
  <c r="B488" i="2" s="1"/>
  <c r="B489" i="2" s="1"/>
  <c r="B490" i="2" s="1"/>
  <c r="B491" i="2" s="1"/>
  <c r="B492" i="2" s="1"/>
  <c r="B493" i="2" s="1"/>
  <c r="B494" i="2" s="1"/>
  <c r="B495" i="2" s="1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B558" i="2" s="1"/>
  <c r="B559" i="2" s="1"/>
  <c r="B560" i="2" s="1"/>
  <c r="B561" i="2" s="1"/>
  <c r="B562" i="2" s="1"/>
  <c r="B563" i="2" s="1"/>
  <c r="B564" i="2" s="1"/>
  <c r="B565" i="2" s="1"/>
  <c r="B566" i="2" s="1"/>
  <c r="B567" i="2" s="1"/>
  <c r="B568" i="2" s="1"/>
  <c r="B569" i="2" s="1"/>
  <c r="B570" i="2" s="1"/>
  <c r="B571" i="2" s="1"/>
  <c r="B572" i="2" s="1"/>
  <c r="B573" i="2" s="1"/>
  <c r="B574" i="2" s="1"/>
  <c r="B575" i="2" s="1"/>
  <c r="B576" i="2" s="1"/>
  <c r="B577" i="2" s="1"/>
  <c r="B578" i="2" s="1"/>
  <c r="B579" i="2" s="1"/>
  <c r="B580" i="2" s="1"/>
  <c r="B581" i="2" s="1"/>
  <c r="B582" i="2" s="1"/>
  <c r="B583" i="2" s="1"/>
  <c r="B584" i="2" s="1"/>
  <c r="B585" i="2" s="1"/>
  <c r="B586" i="2" s="1"/>
  <c r="B587" i="2" s="1"/>
  <c r="B588" i="2" s="1"/>
  <c r="B589" i="2" s="1"/>
  <c r="B590" i="2" s="1"/>
  <c r="B591" i="2" s="1"/>
  <c r="B592" i="2" s="1"/>
  <c r="B593" i="2" s="1"/>
  <c r="B594" i="2" s="1"/>
  <c r="B595" i="2" s="1"/>
  <c r="B596" i="2" s="1"/>
  <c r="B597" i="2" s="1"/>
  <c r="B598" i="2" s="1"/>
  <c r="B599" i="2" s="1"/>
  <c r="B600" i="2" s="1"/>
  <c r="B601" i="2" s="1"/>
  <c r="B602" i="2" s="1"/>
  <c r="B603" i="2" s="1"/>
  <c r="B604" i="2" s="1"/>
  <c r="B605" i="2" s="1"/>
  <c r="B606" i="2" s="1"/>
  <c r="B607" i="2" s="1"/>
  <c r="B608" i="2" s="1"/>
  <c r="B609" i="2" s="1"/>
  <c r="B610" i="2" s="1"/>
  <c r="B611" i="2" s="1"/>
  <c r="B612" i="2" s="1"/>
  <c r="B613" i="2" s="1"/>
  <c r="B614" i="2" s="1"/>
  <c r="B615" i="2" s="1"/>
  <c r="B616" i="2" s="1"/>
  <c r="B617" i="2" s="1"/>
  <c r="B618" i="2" s="1"/>
  <c r="B619" i="2" s="1"/>
  <c r="B620" i="2" s="1"/>
  <c r="B621" i="2" s="1"/>
  <c r="B622" i="2" s="1"/>
  <c r="B623" i="2" s="1"/>
  <c r="B624" i="2" s="1"/>
  <c r="B625" i="2" s="1"/>
  <c r="B626" i="2" s="1"/>
  <c r="B627" i="2" s="1"/>
  <c r="B628" i="2" s="1"/>
  <c r="B629" i="2" s="1"/>
  <c r="B630" i="2" s="1"/>
  <c r="B631" i="2" s="1"/>
  <c r="B632" i="2" s="1"/>
  <c r="B633" i="2" s="1"/>
  <c r="B634" i="2" s="1"/>
  <c r="B635" i="2" s="1"/>
  <c r="B636" i="2" s="1"/>
  <c r="B637" i="2" s="1"/>
  <c r="B638" i="2" s="1"/>
  <c r="B639" i="2" s="1"/>
  <c r="B640" i="2" s="1"/>
  <c r="B641" i="2" s="1"/>
  <c r="B642" i="2" s="1"/>
  <c r="B643" i="2" s="1"/>
  <c r="B644" i="2" s="1"/>
  <c r="B645" i="2" s="1"/>
  <c r="B646" i="2" s="1"/>
  <c r="B647" i="2" s="1"/>
  <c r="B648" i="2" s="1"/>
  <c r="B649" i="2" s="1"/>
  <c r="B650" i="2" s="1"/>
  <c r="B651" i="2" s="1"/>
  <c r="B652" i="2" s="1"/>
  <c r="B653" i="2" s="1"/>
  <c r="B654" i="2" s="1"/>
  <c r="B655" i="2" s="1"/>
  <c r="B656" i="2" s="1"/>
  <c r="B657" i="2" s="1"/>
  <c r="B658" i="2" s="1"/>
  <c r="B659" i="2" s="1"/>
  <c r="B660" i="2" s="1"/>
  <c r="B661" i="2" s="1"/>
  <c r="B662" i="2" s="1"/>
  <c r="B663" i="2" s="1"/>
  <c r="B664" i="2" s="1"/>
  <c r="B665" i="2" s="1"/>
  <c r="B666" i="2" s="1"/>
  <c r="B667" i="2" s="1"/>
  <c r="B668" i="2" s="1"/>
  <c r="B669" i="2" s="1"/>
  <c r="B670" i="2" s="1"/>
  <c r="B671" i="2" s="1"/>
  <c r="B672" i="2" s="1"/>
  <c r="B673" i="2" s="1"/>
  <c r="B674" i="2" s="1"/>
  <c r="B675" i="2" s="1"/>
  <c r="B676" i="2" s="1"/>
  <c r="B677" i="2" s="1"/>
  <c r="B678" i="2" s="1"/>
  <c r="B679" i="2" s="1"/>
  <c r="B680" i="2" s="1"/>
  <c r="B681" i="2" s="1"/>
  <c r="B682" i="2" s="1"/>
  <c r="B683" i="2" s="1"/>
  <c r="B684" i="2" s="1"/>
  <c r="B685" i="2" s="1"/>
  <c r="B686" i="2" s="1"/>
  <c r="B687" i="2" s="1"/>
  <c r="B688" i="2" s="1"/>
  <c r="B689" i="2" s="1"/>
  <c r="B690" i="2" s="1"/>
  <c r="B691" i="2" s="1"/>
  <c r="B692" i="2" s="1"/>
  <c r="B693" i="2" s="1"/>
  <c r="B694" i="2" s="1"/>
  <c r="B695" i="2" s="1"/>
  <c r="B696" i="2" s="1"/>
  <c r="B697" i="2" s="1"/>
  <c r="B698" i="2" s="1"/>
  <c r="B699" i="2" s="1"/>
  <c r="B700" i="2" s="1"/>
  <c r="B701" i="2" s="1"/>
  <c r="B702" i="2" s="1"/>
  <c r="B703" i="2" s="1"/>
  <c r="B704" i="2" s="1"/>
  <c r="B705" i="2" s="1"/>
  <c r="B706" i="2" s="1"/>
  <c r="B707" i="2" s="1"/>
  <c r="B708" i="2" s="1"/>
  <c r="B709" i="2" s="1"/>
  <c r="B710" i="2" s="1"/>
  <c r="B711" i="2" s="1"/>
  <c r="B712" i="2" s="1"/>
  <c r="B713" i="2" s="1"/>
  <c r="B714" i="2" s="1"/>
  <c r="B715" i="2" s="1"/>
  <c r="B716" i="2" s="1"/>
  <c r="B717" i="2" s="1"/>
  <c r="B718" i="2" s="1"/>
  <c r="B719" i="2" s="1"/>
  <c r="B720" i="2" s="1"/>
  <c r="B721" i="2" s="1"/>
  <c r="B722" i="2" s="1"/>
  <c r="B723" i="2" s="1"/>
  <c r="B724" i="2" s="1"/>
  <c r="B725" i="2" s="1"/>
  <c r="B726" i="2" s="1"/>
  <c r="B727" i="2" s="1"/>
  <c r="B728" i="2" s="1"/>
  <c r="B729" i="2" s="1"/>
  <c r="B730" i="2" s="1"/>
  <c r="B731" i="2" s="1"/>
  <c r="B732" i="2" s="1"/>
  <c r="B733" i="2" s="1"/>
  <c r="B734" i="2" s="1"/>
  <c r="B735" i="2" s="1"/>
  <c r="B736" i="2" s="1"/>
  <c r="B737" i="2" s="1"/>
  <c r="B738" i="2" s="1"/>
  <c r="B739" i="2" s="1"/>
  <c r="B740" i="2" s="1"/>
  <c r="B741" i="2" s="1"/>
  <c r="B742" i="2" s="1"/>
  <c r="B743" i="2" s="1"/>
  <c r="B744" i="2" s="1"/>
  <c r="B745" i="2" s="1"/>
  <c r="B746" i="2" s="1"/>
  <c r="B747" i="2" s="1"/>
  <c r="B748" i="2" s="1"/>
  <c r="B749" i="2" s="1"/>
  <c r="B750" i="2" s="1"/>
  <c r="B751" i="2" s="1"/>
  <c r="B752" i="2" s="1"/>
  <c r="B753" i="2" s="1"/>
  <c r="B754" i="2" s="1"/>
  <c r="B755" i="2" s="1"/>
  <c r="B756" i="2" s="1"/>
  <c r="B757" i="2" s="1"/>
  <c r="B758" i="2" s="1"/>
  <c r="B759" i="2" s="1"/>
  <c r="B760" i="2" s="1"/>
  <c r="B761" i="2" s="1"/>
  <c r="B762" i="2" s="1"/>
  <c r="B763" i="2" s="1"/>
  <c r="B764" i="2" s="1"/>
  <c r="B765" i="2" s="1"/>
  <c r="B766" i="2" s="1"/>
  <c r="B767" i="2" s="1"/>
  <c r="B768" i="2" s="1"/>
  <c r="B769" i="2" s="1"/>
  <c r="B770" i="2" s="1"/>
  <c r="B771" i="2" s="1"/>
  <c r="B772" i="2" s="1"/>
  <c r="B773" i="2" s="1"/>
  <c r="B774" i="2" s="1"/>
  <c r="B775" i="2" s="1"/>
  <c r="B776" i="2" s="1"/>
  <c r="B777" i="2" s="1"/>
  <c r="B778" i="2" s="1"/>
  <c r="B779" i="2" s="1"/>
  <c r="B780" i="2" s="1"/>
  <c r="B781" i="2" s="1"/>
  <c r="B782" i="2" s="1"/>
  <c r="B783" i="2" s="1"/>
  <c r="B784" i="2" s="1"/>
  <c r="B785" i="2" s="1"/>
  <c r="B786" i="2" s="1"/>
  <c r="B787" i="2" s="1"/>
  <c r="B788" i="2" s="1"/>
  <c r="B789" i="2" s="1"/>
  <c r="B790" i="2" s="1"/>
  <c r="B791" i="2" s="1"/>
  <c r="B792" i="2" s="1"/>
  <c r="B793" i="2" s="1"/>
  <c r="B794" i="2" s="1"/>
  <c r="B795" i="2" s="1"/>
  <c r="B796" i="2" s="1"/>
  <c r="B797" i="2" s="1"/>
  <c r="B798" i="2" s="1"/>
  <c r="B799" i="2" s="1"/>
  <c r="B800" i="2" s="1"/>
  <c r="B801" i="2" s="1"/>
  <c r="B802" i="2" s="1"/>
  <c r="B803" i="2" s="1"/>
  <c r="B804" i="2" s="1"/>
  <c r="B805" i="2" s="1"/>
  <c r="B806" i="2" s="1"/>
  <c r="B807" i="2" s="1"/>
  <c r="B808" i="2" s="1"/>
  <c r="B809" i="2" s="1"/>
  <c r="B810" i="2" s="1"/>
  <c r="B811" i="2" s="1"/>
  <c r="B812" i="2" s="1"/>
  <c r="B813" i="2" s="1"/>
  <c r="B814" i="2" s="1"/>
  <c r="B815" i="2" s="1"/>
  <c r="B816" i="2" s="1"/>
  <c r="B817" i="2" s="1"/>
  <c r="B818" i="2" s="1"/>
  <c r="B819" i="2" s="1"/>
  <c r="B820" i="2" s="1"/>
  <c r="B821" i="2" s="1"/>
  <c r="B822" i="2" s="1"/>
  <c r="B823" i="2" s="1"/>
  <c r="B824" i="2" s="1"/>
  <c r="B825" i="2" s="1"/>
  <c r="B826" i="2" s="1"/>
  <c r="B827" i="2" s="1"/>
  <c r="B828" i="2" s="1"/>
  <c r="B829" i="2" s="1"/>
  <c r="B830" i="2" s="1"/>
  <c r="B831" i="2" s="1"/>
  <c r="B832" i="2" s="1"/>
  <c r="B833" i="2" s="1"/>
  <c r="B834" i="2" s="1"/>
  <c r="B835" i="2" s="1"/>
  <c r="B836" i="2" s="1"/>
  <c r="B837" i="2" s="1"/>
  <c r="B838" i="2" s="1"/>
  <c r="B839" i="2" s="1"/>
  <c r="B840" i="2" s="1"/>
  <c r="B841" i="2" s="1"/>
  <c r="B842" i="2" s="1"/>
  <c r="B843" i="2" s="1"/>
  <c r="B844" i="2" s="1"/>
  <c r="B845" i="2" s="1"/>
  <c r="B846" i="2" s="1"/>
  <c r="B847" i="2" s="1"/>
  <c r="B848" i="2" s="1"/>
  <c r="B849" i="2" s="1"/>
  <c r="B850" i="2" s="1"/>
  <c r="B851" i="2" s="1"/>
  <c r="B852" i="2" s="1"/>
  <c r="B853" i="2" s="1"/>
  <c r="B854" i="2" s="1"/>
  <c r="B855" i="2" s="1"/>
  <c r="B856" i="2" s="1"/>
  <c r="B857" i="2" s="1"/>
  <c r="B858" i="2" s="1"/>
  <c r="B859" i="2" s="1"/>
  <c r="B860" i="2" s="1"/>
  <c r="B861" i="2" s="1"/>
  <c r="B862" i="2" s="1"/>
  <c r="B863" i="2" s="1"/>
  <c r="B864" i="2" s="1"/>
  <c r="B865" i="2" s="1"/>
  <c r="B866" i="2" s="1"/>
  <c r="B867" i="2" s="1"/>
  <c r="B868" i="2" s="1"/>
  <c r="B869" i="2" s="1"/>
  <c r="B870" i="2" s="1"/>
  <c r="B871" i="2" s="1"/>
  <c r="B872" i="2" s="1"/>
  <c r="B873" i="2" s="1"/>
  <c r="B874" i="2" s="1"/>
  <c r="B875" i="2" s="1"/>
  <c r="B876" i="2" s="1"/>
  <c r="B877" i="2" s="1"/>
  <c r="B878" i="2" s="1"/>
  <c r="B879" i="2" s="1"/>
  <c r="B880" i="2" s="1"/>
  <c r="B881" i="2" s="1"/>
  <c r="B882" i="2" s="1"/>
  <c r="B883" i="2" s="1"/>
  <c r="B884" i="2" s="1"/>
  <c r="B885" i="2" s="1"/>
  <c r="B886" i="2" s="1"/>
  <c r="B887" i="2" s="1"/>
  <c r="B888" i="2" s="1"/>
  <c r="B889" i="2" s="1"/>
  <c r="B890" i="2" s="1"/>
  <c r="B891" i="2" s="1"/>
  <c r="B892" i="2" s="1"/>
  <c r="B893" i="2" s="1"/>
  <c r="B894" i="2" s="1"/>
  <c r="B895" i="2" s="1"/>
  <c r="B896" i="2" s="1"/>
  <c r="B897" i="2" s="1"/>
  <c r="B898" i="2" s="1"/>
  <c r="B899" i="2" s="1"/>
  <c r="B900" i="2" s="1"/>
  <c r="B901" i="2" s="1"/>
  <c r="B902" i="2" s="1"/>
  <c r="B903" i="2" s="1"/>
  <c r="B904" i="2" s="1"/>
  <c r="B905" i="2" s="1"/>
  <c r="B906" i="2" s="1"/>
  <c r="B907" i="2" s="1"/>
  <c r="B908" i="2" s="1"/>
  <c r="B909" i="2" s="1"/>
  <c r="B910" i="2" s="1"/>
  <c r="B911" i="2" s="1"/>
  <c r="B912" i="2" s="1"/>
  <c r="B913" i="2" s="1"/>
  <c r="B914" i="2" s="1"/>
  <c r="B915" i="2" s="1"/>
  <c r="B916" i="2" s="1"/>
  <c r="B917" i="2" s="1"/>
  <c r="B918" i="2" s="1"/>
  <c r="B919" i="2" s="1"/>
  <c r="B920" i="2" s="1"/>
  <c r="B921" i="2" s="1"/>
  <c r="B922" i="2" s="1"/>
  <c r="B923" i="2" s="1"/>
  <c r="B924" i="2" s="1"/>
  <c r="B925" i="2" s="1"/>
  <c r="B926" i="2" s="1"/>
  <c r="B927" i="2" s="1"/>
  <c r="B928" i="2" s="1"/>
  <c r="B929" i="2" s="1"/>
  <c r="B930" i="2" s="1"/>
  <c r="B931" i="2" s="1"/>
  <c r="B932" i="2" s="1"/>
  <c r="B933" i="2" s="1"/>
  <c r="B934" i="2" s="1"/>
  <c r="B935" i="2" s="1"/>
  <c r="B936" i="2" s="1"/>
  <c r="B937" i="2" s="1"/>
  <c r="B938" i="2" s="1"/>
  <c r="B939" i="2" s="1"/>
  <c r="B940" i="2" s="1"/>
  <c r="B941" i="2" s="1"/>
  <c r="B942" i="2" s="1"/>
  <c r="B943" i="2" s="1"/>
  <c r="B944" i="2" s="1"/>
  <c r="B945" i="2" s="1"/>
  <c r="B946" i="2" s="1"/>
  <c r="B947" i="2" s="1"/>
  <c r="B948" i="2" s="1"/>
  <c r="B949" i="2" s="1"/>
  <c r="B950" i="2" s="1"/>
  <c r="B951" i="2" s="1"/>
  <c r="B952" i="2" s="1"/>
  <c r="B953" i="2" s="1"/>
  <c r="B954" i="2" s="1"/>
  <c r="B955" i="2" s="1"/>
  <c r="B956" i="2" s="1"/>
  <c r="B957" i="2" s="1"/>
  <c r="B958" i="2" s="1"/>
  <c r="B959" i="2" s="1"/>
  <c r="B960" i="2" s="1"/>
  <c r="B961" i="2" s="1"/>
  <c r="B962" i="2" s="1"/>
  <c r="B963" i="2" s="1"/>
  <c r="B964" i="2" s="1"/>
  <c r="B965" i="2" s="1"/>
  <c r="B966" i="2" s="1"/>
  <c r="B967" i="2" s="1"/>
  <c r="B968" i="2" s="1"/>
  <c r="B969" i="2" s="1"/>
  <c r="B970" i="2" s="1"/>
  <c r="B971" i="2" s="1"/>
  <c r="B972" i="2" s="1"/>
  <c r="B973" i="2" s="1"/>
  <c r="B974" i="2" s="1"/>
  <c r="B975" i="2" s="1"/>
  <c r="B976" i="2" s="1"/>
  <c r="B977" i="2" s="1"/>
  <c r="B978" i="2" s="1"/>
  <c r="B979" i="2" s="1"/>
  <c r="B980" i="2" s="1"/>
  <c r="B981" i="2" s="1"/>
  <c r="B982" i="2" s="1"/>
  <c r="B983" i="2" s="1"/>
  <c r="B984" i="2" s="1"/>
  <c r="B985" i="2" s="1"/>
  <c r="B986" i="2" s="1"/>
  <c r="B987" i="2" s="1"/>
  <c r="B988" i="2" s="1"/>
  <c r="B989" i="2" s="1"/>
  <c r="B990" i="2" s="1"/>
  <c r="B991" i="2" s="1"/>
  <c r="B992" i="2" s="1"/>
  <c r="B993" i="2" s="1"/>
  <c r="B994" i="2" s="1"/>
  <c r="B995" i="2" s="1"/>
  <c r="B996" i="2" s="1"/>
  <c r="B997" i="2" s="1"/>
  <c r="B998" i="2" s="1"/>
  <c r="B999" i="2" s="1"/>
  <c r="B1000" i="2" s="1"/>
  <c r="B1001" i="2" s="1"/>
  <c r="B1002" i="2" s="1"/>
  <c r="B1003" i="2" s="1"/>
  <c r="B1004" i="2" s="1"/>
  <c r="B1005" i="2" s="1"/>
  <c r="B1006" i="2" s="1"/>
  <c r="B1007" i="2" s="1"/>
  <c r="B1008" i="2" s="1"/>
  <c r="B1009" i="2" s="1"/>
  <c r="B1010" i="2" s="1"/>
  <c r="B1011" i="2" s="1"/>
  <c r="B1012" i="2" s="1"/>
  <c r="B1013" i="2" s="1"/>
  <c r="B1014" i="2" s="1"/>
  <c r="B1015" i="2" s="1"/>
  <c r="B1016" i="2" s="1"/>
  <c r="B1017" i="2" s="1"/>
  <c r="B1018" i="2" s="1"/>
  <c r="B1019" i="2" s="1"/>
  <c r="B1020" i="2" s="1"/>
  <c r="B1021" i="2" s="1"/>
  <c r="B1022" i="2" s="1"/>
  <c r="B1023" i="2" s="1"/>
  <c r="B1024" i="2" s="1"/>
  <c r="B1025" i="2" s="1"/>
  <c r="B1026" i="2" s="1"/>
  <c r="B1027" i="2" s="1"/>
  <c r="B1028" i="2" s="1"/>
  <c r="B1029" i="2" s="1"/>
  <c r="B1030" i="2" s="1"/>
  <c r="B1031" i="2" s="1"/>
  <c r="B1032" i="2" s="1"/>
  <c r="B1033" i="2" s="1"/>
  <c r="B1034" i="2" s="1"/>
  <c r="B1035" i="2" s="1"/>
  <c r="B1036" i="2" s="1"/>
  <c r="B1037" i="2" s="1"/>
  <c r="B1038" i="2" s="1"/>
  <c r="B1039" i="2" s="1"/>
  <c r="B1040" i="2" s="1"/>
  <c r="B1041" i="2" s="1"/>
  <c r="B1042" i="2" s="1"/>
  <c r="B1043" i="2" s="1"/>
  <c r="B1044" i="2" s="1"/>
  <c r="B1045" i="2" s="1"/>
  <c r="B1046" i="2" s="1"/>
  <c r="B1047" i="2" s="1"/>
  <c r="B1048" i="2" s="1"/>
  <c r="B1049" i="2" s="1"/>
  <c r="B1050" i="2" s="1"/>
  <c r="N4" i="2"/>
  <c r="J4" i="2" l="1"/>
  <c r="E6" i="1"/>
  <c r="E5" i="1"/>
  <c r="E4" i="1"/>
  <c r="E3" i="1"/>
  <c r="D6" i="1"/>
  <c r="D5" i="1"/>
  <c r="D4" i="1"/>
  <c r="D3" i="1"/>
  <c r="D4" i="2"/>
  <c r="E9" i="1" l="1" a="1"/>
  <c r="E10" i="1" s="1"/>
  <c r="E4" i="2"/>
  <c r="E11" i="1" l="1"/>
  <c r="E12" i="1"/>
  <c r="E9" i="1"/>
  <c r="F4" i="2"/>
  <c r="H9" i="1" l="1"/>
  <c r="G4" i="2"/>
  <c r="H4" i="2" l="1"/>
  <c r="K4" i="2" l="1"/>
  <c r="L4" i="2" s="1"/>
  <c r="C5" i="2"/>
  <c r="I5" i="2" l="1"/>
  <c r="J5" i="2"/>
  <c r="D5" i="2"/>
  <c r="N5" i="2"/>
  <c r="E5" i="2" l="1"/>
  <c r="F5" i="2" l="1"/>
  <c r="G5" i="2" l="1"/>
  <c r="H5" i="2" l="1"/>
  <c r="C6" i="2" l="1"/>
  <c r="K5" i="2"/>
  <c r="L5" i="2" s="1"/>
  <c r="I6" i="2" s="1"/>
  <c r="N6" i="2"/>
  <c r="D6" i="2"/>
  <c r="J6" i="2" l="1"/>
  <c r="E6" i="2"/>
  <c r="F6" i="2"/>
  <c r="G6" i="2"/>
  <c r="H6" i="2" l="1"/>
  <c r="C7" i="2" l="1"/>
  <c r="K6" i="2"/>
  <c r="L6" i="2" s="1"/>
  <c r="I7" i="2" s="1"/>
  <c r="N7" i="2"/>
  <c r="D7" i="2"/>
  <c r="J7" i="2" l="1"/>
  <c r="E7" i="2"/>
  <c r="F7" i="2"/>
  <c r="G7" i="2"/>
  <c r="H7" i="2" l="1"/>
  <c r="K7" i="2" l="1"/>
  <c r="L7" i="2" s="1"/>
  <c r="I8" i="2" s="1"/>
  <c r="C8" i="2"/>
  <c r="N8" i="2"/>
  <c r="D8" i="2"/>
  <c r="J8" i="2" l="1"/>
  <c r="E8" i="2"/>
  <c r="F8" i="2"/>
  <c r="G8" i="2"/>
  <c r="H8" i="2" l="1"/>
  <c r="C9" i="2" l="1"/>
  <c r="K8" i="2"/>
  <c r="L8" i="2" s="1"/>
  <c r="I9" i="2" s="1"/>
  <c r="D9" i="2"/>
  <c r="N9" i="2"/>
  <c r="J9" i="2" l="1"/>
  <c r="E9" i="2"/>
  <c r="F9" i="2"/>
  <c r="G9" i="2"/>
  <c r="H9" i="2" l="1"/>
  <c r="C10" i="2" l="1"/>
  <c r="K9" i="2"/>
  <c r="L9" i="2" s="1"/>
  <c r="I10" i="2" s="1"/>
  <c r="N10" i="2"/>
  <c r="D10" i="2"/>
  <c r="J10" i="2" l="1"/>
  <c r="E10" i="2"/>
  <c r="F10" i="2"/>
  <c r="G10" i="2"/>
  <c r="H10" i="2" l="1"/>
  <c r="C11" i="2" l="1"/>
  <c r="K10" i="2"/>
  <c r="L10" i="2" s="1"/>
  <c r="I11" i="2" s="1"/>
  <c r="N11" i="2"/>
  <c r="D11" i="2"/>
  <c r="J11" i="2" l="1"/>
  <c r="E11" i="2"/>
  <c r="F11" i="2"/>
  <c r="G11" i="2"/>
  <c r="H11" i="2" l="1"/>
  <c r="K11" i="2" l="1"/>
  <c r="L11" i="2" s="1"/>
  <c r="I12" i="2" s="1"/>
  <c r="C12" i="2"/>
  <c r="N12" i="2"/>
  <c r="D12" i="2"/>
  <c r="J12" i="2" l="1"/>
  <c r="E12" i="2"/>
  <c r="F12" i="2"/>
  <c r="G12" i="2"/>
  <c r="H12" i="2" l="1"/>
  <c r="C13" i="2" l="1"/>
  <c r="K12" i="2"/>
  <c r="L12" i="2" s="1"/>
  <c r="I13" i="2" s="1"/>
  <c r="N13" i="2"/>
  <c r="D13" i="2"/>
  <c r="J13" i="2" l="1"/>
  <c r="E13" i="2"/>
  <c r="F13" i="2"/>
  <c r="G13" i="2"/>
  <c r="H13" i="2" l="1"/>
  <c r="K13" i="2" l="1"/>
  <c r="L13" i="2" s="1"/>
  <c r="I14" i="2" s="1"/>
  <c r="C14" i="2"/>
  <c r="D14" i="2"/>
  <c r="N14" i="2"/>
  <c r="J14" i="2" l="1"/>
  <c r="E14" i="2"/>
  <c r="F14" i="2"/>
  <c r="G14" i="2"/>
  <c r="H14" i="2" l="1"/>
  <c r="C15" i="2" l="1"/>
  <c r="K14" i="2"/>
  <c r="L14" i="2" s="1"/>
  <c r="I15" i="2" s="1"/>
  <c r="N15" i="2"/>
  <c r="D15" i="2"/>
  <c r="J15" i="2" l="1"/>
  <c r="E15" i="2"/>
  <c r="F15" i="2"/>
  <c r="G15" i="2"/>
  <c r="H15" i="2" l="1"/>
  <c r="K15" i="2" l="1"/>
  <c r="L15" i="2" s="1"/>
  <c r="I16" i="2" s="1"/>
  <c r="C16" i="2"/>
  <c r="N16" i="2"/>
  <c r="D16" i="2"/>
  <c r="J16" i="2" l="1"/>
  <c r="E16" i="2"/>
  <c r="F16" i="2"/>
  <c r="G16" i="2"/>
  <c r="H16" i="2" l="1"/>
  <c r="C17" i="2" l="1"/>
  <c r="K16" i="2"/>
  <c r="L16" i="2" s="1"/>
  <c r="I17" i="2" s="1"/>
  <c r="N17" i="2"/>
  <c r="D17" i="2"/>
  <c r="J17" i="2" l="1"/>
  <c r="E17" i="2"/>
  <c r="F17" i="2"/>
  <c r="G17" i="2"/>
  <c r="H17" i="2" l="1"/>
  <c r="C18" i="2" l="1"/>
  <c r="K17" i="2"/>
  <c r="L17" i="2" s="1"/>
  <c r="I18" i="2" s="1"/>
  <c r="N18" i="2"/>
  <c r="D18" i="2"/>
  <c r="J18" i="2" l="1"/>
  <c r="E18" i="2"/>
  <c r="F18" i="2"/>
  <c r="G18" i="2"/>
  <c r="H18" i="2" l="1"/>
  <c r="K18" i="2" l="1"/>
  <c r="L18" i="2" s="1"/>
  <c r="I19" i="2" s="1"/>
  <c r="C19" i="2"/>
  <c r="D19" i="2"/>
  <c r="N19" i="2"/>
  <c r="J19" i="2" l="1"/>
  <c r="E19" i="2"/>
  <c r="F19" i="2"/>
  <c r="G19" i="2"/>
  <c r="H19" i="2" l="1"/>
  <c r="C20" i="2" l="1"/>
  <c r="K19" i="2"/>
  <c r="L19" i="2" s="1"/>
  <c r="I20" i="2" s="1"/>
  <c r="D20" i="2"/>
  <c r="N20" i="2"/>
  <c r="J20" i="2" l="1"/>
  <c r="E20" i="2"/>
  <c r="F20" i="2"/>
  <c r="G20" i="2"/>
  <c r="H20" i="2" l="1"/>
  <c r="C21" i="2" l="1"/>
  <c r="K20" i="2"/>
  <c r="L20" i="2" s="1"/>
  <c r="I21" i="2" s="1"/>
  <c r="N21" i="2"/>
  <c r="D21" i="2"/>
  <c r="J21" i="2" l="1"/>
  <c r="E21" i="2"/>
  <c r="F21" i="2"/>
  <c r="G21" i="2"/>
  <c r="H21" i="2" l="1"/>
  <c r="K21" i="2" l="1"/>
  <c r="L21" i="2" s="1"/>
  <c r="I22" i="2" s="1"/>
  <c r="C22" i="2"/>
  <c r="D22" i="2"/>
  <c r="N22" i="2"/>
  <c r="J22" i="2" l="1"/>
  <c r="E22" i="2"/>
  <c r="F22" i="2"/>
  <c r="G22" i="2"/>
  <c r="H22" i="2" l="1"/>
  <c r="C23" i="2" l="1"/>
  <c r="K22" i="2"/>
  <c r="L22" i="2" s="1"/>
  <c r="I23" i="2" s="1"/>
  <c r="N23" i="2"/>
  <c r="D23" i="2"/>
  <c r="J23" i="2" l="1"/>
  <c r="E23" i="2"/>
  <c r="F23" i="2"/>
  <c r="G23" i="2"/>
  <c r="H23" i="2" l="1"/>
  <c r="K23" i="2" l="1"/>
  <c r="L23" i="2" s="1"/>
  <c r="I24" i="2" s="1"/>
  <c r="C24" i="2"/>
  <c r="N24" i="2"/>
  <c r="D24" i="2"/>
  <c r="J24" i="2" l="1"/>
  <c r="E24" i="2"/>
  <c r="F24" i="2"/>
  <c r="G24" i="2"/>
  <c r="H24" i="2" l="1"/>
  <c r="C25" i="2" l="1"/>
  <c r="K24" i="2"/>
  <c r="L24" i="2" s="1"/>
  <c r="I25" i="2" s="1"/>
  <c r="D25" i="2"/>
  <c r="N25" i="2"/>
  <c r="J25" i="2" l="1"/>
  <c r="E25" i="2"/>
  <c r="F25" i="2"/>
  <c r="G25" i="2"/>
  <c r="H25" i="2" l="1"/>
  <c r="C26" i="2" l="1"/>
  <c r="K25" i="2"/>
  <c r="L25" i="2" s="1"/>
  <c r="I26" i="2" s="1"/>
  <c r="N26" i="2"/>
  <c r="D26" i="2"/>
  <c r="J26" i="2" l="1"/>
  <c r="E26" i="2"/>
  <c r="F26" i="2"/>
  <c r="G26" i="2"/>
  <c r="H26" i="2" l="1"/>
  <c r="K26" i="2" l="1"/>
  <c r="L26" i="2" s="1"/>
  <c r="I27" i="2" s="1"/>
  <c r="C27" i="2"/>
  <c r="N27" i="2"/>
  <c r="D27" i="2"/>
  <c r="J27" i="2" l="1"/>
  <c r="E27" i="2"/>
  <c r="F27" i="2"/>
  <c r="G27" i="2"/>
  <c r="H27" i="2" l="1"/>
  <c r="C28" i="2" l="1"/>
  <c r="K27" i="2"/>
  <c r="L27" i="2" s="1"/>
  <c r="I28" i="2" s="1"/>
  <c r="N28" i="2"/>
  <c r="D28" i="2"/>
  <c r="J28" i="2" l="1"/>
  <c r="E28" i="2"/>
  <c r="F28" i="2"/>
  <c r="G28" i="2"/>
  <c r="H28" i="2" l="1"/>
  <c r="C29" i="2" l="1"/>
  <c r="K28" i="2"/>
  <c r="L28" i="2" s="1"/>
  <c r="I29" i="2" s="1"/>
  <c r="N29" i="2"/>
  <c r="D29" i="2"/>
  <c r="J29" i="2" l="1"/>
  <c r="E29" i="2"/>
  <c r="F29" i="2"/>
  <c r="G29" i="2"/>
  <c r="H29" i="2" l="1"/>
  <c r="K29" i="2" l="1"/>
  <c r="L29" i="2" s="1"/>
  <c r="I30" i="2" s="1"/>
  <c r="C30" i="2"/>
  <c r="D30" i="2"/>
  <c r="N30" i="2"/>
  <c r="J30" i="2" l="1"/>
  <c r="E30" i="2"/>
  <c r="F30" i="2"/>
  <c r="G30" i="2"/>
  <c r="H30" i="2" l="1"/>
  <c r="C31" i="2" l="1"/>
  <c r="K30" i="2"/>
  <c r="L30" i="2" s="1"/>
  <c r="I31" i="2" s="1"/>
  <c r="N31" i="2"/>
  <c r="D31" i="2"/>
  <c r="J31" i="2" l="1"/>
  <c r="E31" i="2"/>
  <c r="F31" i="2"/>
  <c r="G31" i="2"/>
  <c r="H31" i="2" l="1"/>
  <c r="C32" i="2" l="1"/>
  <c r="K31" i="2"/>
  <c r="L31" i="2" s="1"/>
  <c r="I32" i="2" s="1"/>
  <c r="D32" i="2"/>
  <c r="N32" i="2"/>
  <c r="J32" i="2" l="1"/>
  <c r="E32" i="2"/>
  <c r="F32" i="2"/>
  <c r="G32" i="2"/>
  <c r="H32" i="2" l="1"/>
  <c r="C33" i="2" l="1"/>
  <c r="K32" i="2"/>
  <c r="L32" i="2" s="1"/>
  <c r="I33" i="2" s="1"/>
  <c r="N33" i="2"/>
  <c r="D33" i="2"/>
  <c r="J33" i="2" l="1"/>
  <c r="E33" i="2"/>
  <c r="F33" i="2"/>
  <c r="G33" i="2"/>
  <c r="H33" i="2" l="1"/>
  <c r="C34" i="2" l="1"/>
  <c r="K33" i="2"/>
  <c r="L33" i="2" s="1"/>
  <c r="I34" i="2" s="1"/>
  <c r="N34" i="2"/>
  <c r="D34" i="2"/>
  <c r="J34" i="2" l="1"/>
  <c r="E34" i="2"/>
  <c r="F34" i="2"/>
  <c r="G34" i="2"/>
  <c r="H34" i="2" l="1"/>
  <c r="K34" i="2" l="1"/>
  <c r="L34" i="2" s="1"/>
  <c r="I35" i="2" s="1"/>
  <c r="C35" i="2"/>
  <c r="N35" i="2"/>
  <c r="D35" i="2"/>
  <c r="J35" i="2" l="1"/>
  <c r="E35" i="2"/>
  <c r="F35" i="2"/>
  <c r="G35" i="2"/>
  <c r="H35" i="2" l="1"/>
  <c r="C36" i="2" l="1"/>
  <c r="K35" i="2"/>
  <c r="L35" i="2" s="1"/>
  <c r="I36" i="2" s="1"/>
  <c r="N36" i="2"/>
  <c r="D36" i="2"/>
  <c r="J36" i="2" l="1"/>
  <c r="E36" i="2"/>
  <c r="F36" i="2"/>
  <c r="G36" i="2"/>
  <c r="H36" i="2" l="1"/>
  <c r="C37" i="2" l="1"/>
  <c r="K36" i="2"/>
  <c r="L36" i="2" s="1"/>
  <c r="I37" i="2" s="1"/>
  <c r="N37" i="2"/>
  <c r="D37" i="2"/>
  <c r="J37" i="2" l="1"/>
  <c r="E37" i="2"/>
  <c r="F37" i="2"/>
  <c r="G37" i="2"/>
  <c r="H37" i="2" l="1"/>
  <c r="K37" i="2" l="1"/>
  <c r="L37" i="2" s="1"/>
  <c r="I38" i="2" s="1"/>
  <c r="C38" i="2"/>
  <c r="D38" i="2"/>
  <c r="N38" i="2"/>
  <c r="J38" i="2" l="1"/>
  <c r="E38" i="2"/>
  <c r="F38" i="2"/>
  <c r="G38" i="2"/>
  <c r="H38" i="2" l="1"/>
  <c r="C39" i="2" l="1"/>
  <c r="K38" i="2"/>
  <c r="L38" i="2" s="1"/>
  <c r="I39" i="2" s="1"/>
  <c r="N39" i="2"/>
  <c r="D39" i="2"/>
  <c r="J39" i="2" l="1"/>
  <c r="E39" i="2"/>
  <c r="F39" i="2"/>
  <c r="G39" i="2"/>
  <c r="H39" i="2" l="1"/>
  <c r="K39" i="2" l="1"/>
  <c r="L39" i="2" s="1"/>
  <c r="I40" i="2" s="1"/>
  <c r="C40" i="2"/>
  <c r="N40" i="2"/>
  <c r="D40" i="2"/>
  <c r="J40" i="2" l="1"/>
  <c r="E40" i="2"/>
  <c r="F40" i="2"/>
  <c r="G40" i="2"/>
  <c r="H40" i="2" l="1"/>
  <c r="C41" i="2" l="1"/>
  <c r="K40" i="2"/>
  <c r="L40" i="2" s="1"/>
  <c r="I41" i="2" s="1"/>
  <c r="D41" i="2"/>
  <c r="N41" i="2"/>
  <c r="J41" i="2" l="1"/>
  <c r="E41" i="2"/>
  <c r="F41" i="2"/>
  <c r="G41" i="2"/>
  <c r="H41" i="2" l="1"/>
  <c r="K41" i="2" l="1"/>
  <c r="L41" i="2" s="1"/>
  <c r="I42" i="2" s="1"/>
  <c r="C42" i="2"/>
  <c r="D42" i="2"/>
  <c r="N42" i="2"/>
  <c r="J42" i="2" l="1"/>
  <c r="E42" i="2"/>
  <c r="F42" i="2"/>
  <c r="G42" i="2"/>
  <c r="H42" i="2" l="1"/>
  <c r="C43" i="2" l="1"/>
  <c r="K42" i="2"/>
  <c r="L42" i="2" s="1"/>
  <c r="I43" i="2" s="1"/>
  <c r="N43" i="2"/>
  <c r="D43" i="2"/>
  <c r="J43" i="2" l="1"/>
  <c r="E43" i="2"/>
  <c r="F43" i="2"/>
  <c r="G43" i="2"/>
  <c r="H43" i="2" l="1"/>
  <c r="K43" i="2" l="1"/>
  <c r="L43" i="2" s="1"/>
  <c r="I44" i="2" s="1"/>
  <c r="C44" i="2"/>
  <c r="D44" i="2"/>
  <c r="N44" i="2"/>
  <c r="J44" i="2" l="1"/>
  <c r="E44" i="2"/>
  <c r="F44" i="2"/>
  <c r="G44" i="2"/>
  <c r="H44" i="2" l="1"/>
  <c r="C45" i="2" l="1"/>
  <c r="K44" i="2"/>
  <c r="L44" i="2" s="1"/>
  <c r="I45" i="2" s="1"/>
  <c r="N45" i="2"/>
  <c r="D45" i="2"/>
  <c r="J45" i="2" l="1"/>
  <c r="E45" i="2"/>
  <c r="F45" i="2"/>
  <c r="G45" i="2"/>
  <c r="H45" i="2" l="1"/>
  <c r="K45" i="2" l="1"/>
  <c r="L45" i="2" s="1"/>
  <c r="I46" i="2" s="1"/>
  <c r="C46" i="2"/>
  <c r="N46" i="2"/>
  <c r="D46" i="2"/>
  <c r="J46" i="2" l="1"/>
  <c r="E46" i="2"/>
  <c r="F46" i="2"/>
  <c r="G46" i="2"/>
  <c r="H46" i="2" l="1"/>
  <c r="C47" i="2" l="1"/>
  <c r="K46" i="2"/>
  <c r="L46" i="2" s="1"/>
  <c r="I47" i="2" s="1"/>
  <c r="N47" i="2"/>
  <c r="D47" i="2"/>
  <c r="J47" i="2" l="1"/>
  <c r="E47" i="2"/>
  <c r="F47" i="2"/>
  <c r="G47" i="2"/>
  <c r="H47" i="2" l="1"/>
  <c r="C48" i="2" l="1"/>
  <c r="K47" i="2"/>
  <c r="L47" i="2" s="1"/>
  <c r="I48" i="2" s="1"/>
  <c r="N48" i="2"/>
  <c r="D48" i="2"/>
  <c r="J48" i="2" l="1"/>
  <c r="E48" i="2"/>
  <c r="F48" i="2"/>
  <c r="G48" i="2"/>
  <c r="H48" i="2" l="1"/>
  <c r="C49" i="2" l="1"/>
  <c r="K48" i="2"/>
  <c r="L48" i="2" s="1"/>
  <c r="I49" i="2" s="1"/>
  <c r="N49" i="2"/>
  <c r="D49" i="2"/>
  <c r="J49" i="2" l="1"/>
  <c r="E49" i="2"/>
  <c r="F49" i="2"/>
  <c r="G49" i="2"/>
  <c r="H49" i="2" l="1"/>
  <c r="C50" i="2" l="1"/>
  <c r="K49" i="2"/>
  <c r="L49" i="2" s="1"/>
  <c r="I50" i="2" s="1"/>
  <c r="D50" i="2"/>
  <c r="N50" i="2"/>
  <c r="J50" i="2" l="1"/>
  <c r="E50" i="2"/>
  <c r="F50" i="2"/>
  <c r="G50" i="2"/>
  <c r="H50" i="2" l="1"/>
  <c r="K50" i="2" l="1"/>
  <c r="L50" i="2" s="1"/>
  <c r="I51" i="2" s="1"/>
  <c r="C51" i="2"/>
  <c r="N51" i="2"/>
  <c r="D51" i="2"/>
  <c r="J51" i="2" l="1"/>
  <c r="E51" i="2"/>
  <c r="F51" i="2"/>
  <c r="G51" i="2"/>
  <c r="H51" i="2" l="1"/>
  <c r="K51" i="2" l="1"/>
  <c r="L51" i="2" s="1"/>
  <c r="I52" i="2" s="1"/>
  <c r="C52" i="2"/>
  <c r="N52" i="2"/>
  <c r="D52" i="2"/>
  <c r="J52" i="2" l="1"/>
  <c r="E52" i="2"/>
  <c r="F52" i="2"/>
  <c r="G52" i="2"/>
  <c r="H52" i="2" l="1"/>
  <c r="K52" i="2" l="1"/>
  <c r="L52" i="2" s="1"/>
  <c r="I53" i="2" s="1"/>
  <c r="C53" i="2"/>
  <c r="D53" i="2"/>
  <c r="N53" i="2"/>
  <c r="J53" i="2" l="1"/>
  <c r="E53" i="2"/>
  <c r="F53" i="2"/>
  <c r="G53" i="2"/>
  <c r="H53" i="2" l="1"/>
  <c r="K53" i="2" l="1"/>
  <c r="L53" i="2" s="1"/>
  <c r="I54" i="2" s="1"/>
  <c r="C54" i="2"/>
  <c r="N54" i="2"/>
  <c r="D54" i="2"/>
  <c r="J54" i="2" l="1"/>
  <c r="E54" i="2"/>
  <c r="F54" i="2"/>
  <c r="G54" i="2"/>
  <c r="H54" i="2" l="1"/>
  <c r="K54" i="2" l="1"/>
  <c r="L54" i="2" s="1"/>
  <c r="I55" i="2" s="1"/>
  <c r="C55" i="2"/>
  <c r="N55" i="2"/>
  <c r="D55" i="2"/>
  <c r="J55" i="2" l="1"/>
  <c r="E55" i="2"/>
  <c r="F55" i="2"/>
  <c r="G55" i="2"/>
  <c r="H55" i="2" l="1"/>
  <c r="C56" i="2" l="1"/>
  <c r="K55" i="2"/>
  <c r="L55" i="2" s="1"/>
  <c r="I56" i="2" s="1"/>
  <c r="D56" i="2"/>
  <c r="N56" i="2"/>
  <c r="J56" i="2" l="1"/>
  <c r="E56" i="2"/>
  <c r="F56" i="2"/>
  <c r="G56" i="2"/>
  <c r="H56" i="2" l="1"/>
  <c r="K56" i="2" l="1"/>
  <c r="L56" i="2" s="1"/>
  <c r="I57" i="2" s="1"/>
  <c r="C57" i="2"/>
  <c r="D57" i="2"/>
  <c r="N57" i="2"/>
  <c r="J57" i="2" l="1"/>
  <c r="E57" i="2"/>
  <c r="F57" i="2"/>
  <c r="G57" i="2"/>
  <c r="H57" i="2" l="1"/>
  <c r="K57" i="2" l="1"/>
  <c r="L57" i="2" s="1"/>
  <c r="I58" i="2" s="1"/>
  <c r="C58" i="2"/>
  <c r="N58" i="2"/>
  <c r="D58" i="2"/>
  <c r="J58" i="2" l="1"/>
  <c r="E58" i="2"/>
  <c r="F58" i="2"/>
  <c r="G58" i="2"/>
  <c r="H58" i="2" l="1"/>
  <c r="C59" i="2" l="1"/>
  <c r="K58" i="2"/>
  <c r="L58" i="2" s="1"/>
  <c r="I59" i="2" s="1"/>
  <c r="N59" i="2"/>
  <c r="D59" i="2"/>
  <c r="J59" i="2" l="1"/>
  <c r="E59" i="2"/>
  <c r="F59" i="2"/>
  <c r="G59" i="2"/>
  <c r="H59" i="2" l="1"/>
  <c r="C60" i="2" l="1"/>
  <c r="K59" i="2"/>
  <c r="L59" i="2" s="1"/>
  <c r="I60" i="2" s="1"/>
  <c r="N60" i="2"/>
  <c r="D60" i="2"/>
  <c r="J60" i="2" l="1"/>
  <c r="E60" i="2"/>
  <c r="F60" i="2"/>
  <c r="G60" i="2"/>
  <c r="H60" i="2" l="1"/>
  <c r="C61" i="2" l="1"/>
  <c r="K60" i="2"/>
  <c r="L60" i="2" s="1"/>
  <c r="I61" i="2" s="1"/>
  <c r="N61" i="2"/>
  <c r="D61" i="2"/>
  <c r="J61" i="2" l="1"/>
  <c r="E61" i="2"/>
  <c r="F61" i="2"/>
  <c r="G61" i="2"/>
  <c r="H61" i="2" l="1"/>
  <c r="C62" i="2" l="1"/>
  <c r="K61" i="2"/>
  <c r="L61" i="2" s="1"/>
  <c r="I62" i="2" s="1"/>
  <c r="D62" i="2"/>
  <c r="N62" i="2"/>
  <c r="J62" i="2" l="1"/>
  <c r="E62" i="2"/>
  <c r="F62" i="2"/>
  <c r="G62" i="2"/>
  <c r="H62" i="2" l="1"/>
  <c r="K62" i="2" l="1"/>
  <c r="L62" i="2" s="1"/>
  <c r="I63" i="2" s="1"/>
  <c r="C63" i="2"/>
  <c r="N63" i="2"/>
  <c r="D63" i="2"/>
  <c r="J63" i="2" l="1"/>
  <c r="E63" i="2"/>
  <c r="F63" i="2"/>
  <c r="G63" i="2"/>
  <c r="H63" i="2" l="1"/>
  <c r="C64" i="2" l="1"/>
  <c r="K63" i="2"/>
  <c r="L63" i="2" s="1"/>
  <c r="I64" i="2" s="1"/>
  <c r="N64" i="2"/>
  <c r="D64" i="2"/>
  <c r="J64" i="2" l="1"/>
  <c r="E64" i="2"/>
  <c r="F64" i="2"/>
  <c r="G64" i="2"/>
  <c r="H64" i="2" l="1"/>
  <c r="C65" i="2" l="1"/>
  <c r="K64" i="2"/>
  <c r="L64" i="2" s="1"/>
  <c r="I65" i="2" s="1"/>
  <c r="N65" i="2"/>
  <c r="D65" i="2"/>
  <c r="J65" i="2" l="1"/>
  <c r="E65" i="2"/>
  <c r="F65" i="2"/>
  <c r="G65" i="2"/>
  <c r="H65" i="2" l="1"/>
  <c r="C66" i="2" l="1"/>
  <c r="K65" i="2"/>
  <c r="L65" i="2" s="1"/>
  <c r="I66" i="2" s="1"/>
  <c r="N66" i="2"/>
  <c r="D66" i="2"/>
  <c r="J66" i="2" l="1"/>
  <c r="E66" i="2"/>
  <c r="F66" i="2"/>
  <c r="G66" i="2"/>
  <c r="H66" i="2" l="1"/>
  <c r="K66" i="2" l="1"/>
  <c r="L66" i="2" s="1"/>
  <c r="I67" i="2" s="1"/>
  <c r="C67" i="2"/>
  <c r="D67" i="2"/>
  <c r="N67" i="2"/>
  <c r="J67" i="2" l="1"/>
  <c r="E67" i="2"/>
  <c r="F67" i="2"/>
  <c r="G67" i="2"/>
  <c r="H67" i="2" l="1"/>
  <c r="C68" i="2" l="1"/>
  <c r="K67" i="2"/>
  <c r="L67" i="2" s="1"/>
  <c r="I68" i="2" s="1"/>
  <c r="N68" i="2"/>
  <c r="D68" i="2"/>
  <c r="J68" i="2" l="1"/>
  <c r="E68" i="2"/>
  <c r="F68" i="2"/>
  <c r="G68" i="2"/>
  <c r="H68" i="2" l="1"/>
  <c r="K68" i="2" l="1"/>
  <c r="L68" i="2" s="1"/>
  <c r="I69" i="2" s="1"/>
  <c r="C69" i="2"/>
  <c r="D69" i="2"/>
  <c r="N69" i="2"/>
  <c r="J69" i="2" l="1"/>
  <c r="E69" i="2"/>
  <c r="F69" i="2"/>
  <c r="G69" i="2"/>
  <c r="H69" i="2" l="1"/>
  <c r="K69" i="2" l="1"/>
  <c r="L69" i="2" s="1"/>
  <c r="I70" i="2" s="1"/>
  <c r="C70" i="2"/>
  <c r="N70" i="2"/>
  <c r="D70" i="2"/>
  <c r="J70" i="2" l="1"/>
  <c r="E70" i="2"/>
  <c r="F70" i="2"/>
  <c r="G70" i="2"/>
  <c r="H70" i="2" l="1"/>
  <c r="K70" i="2" l="1"/>
  <c r="L70" i="2" s="1"/>
  <c r="I71" i="2" s="1"/>
  <c r="C71" i="2"/>
  <c r="N71" i="2"/>
  <c r="D71" i="2"/>
  <c r="J71" i="2" l="1"/>
  <c r="E71" i="2"/>
  <c r="F71" i="2"/>
  <c r="G71" i="2"/>
  <c r="H71" i="2" l="1"/>
  <c r="C72" i="2" l="1"/>
  <c r="K71" i="2"/>
  <c r="L71" i="2" s="1"/>
  <c r="I72" i="2" s="1"/>
  <c r="N72" i="2"/>
  <c r="D72" i="2"/>
  <c r="J72" i="2" l="1"/>
  <c r="E72" i="2"/>
  <c r="F72" i="2"/>
  <c r="G72" i="2"/>
  <c r="H72" i="2" l="1"/>
  <c r="K72" i="2" l="1"/>
  <c r="L72" i="2" s="1"/>
  <c r="I73" i="2" s="1"/>
  <c r="C73" i="2"/>
  <c r="N73" i="2"/>
  <c r="D73" i="2"/>
  <c r="J73" i="2" l="1"/>
  <c r="E73" i="2"/>
  <c r="F73" i="2"/>
  <c r="G73" i="2"/>
  <c r="H73" i="2" l="1"/>
  <c r="K73" i="2" l="1"/>
  <c r="L73" i="2" s="1"/>
  <c r="I74" i="2" s="1"/>
  <c r="C74" i="2"/>
  <c r="N74" i="2"/>
  <c r="D74" i="2"/>
  <c r="J74" i="2" l="1"/>
  <c r="E74" i="2"/>
  <c r="F74" i="2"/>
  <c r="G74" i="2"/>
  <c r="H74" i="2" l="1"/>
  <c r="C75" i="2" l="1"/>
  <c r="K74" i="2"/>
  <c r="L74" i="2" s="1"/>
  <c r="I75" i="2" s="1"/>
  <c r="D75" i="2"/>
  <c r="N75" i="2"/>
  <c r="J75" i="2" l="1"/>
  <c r="E75" i="2"/>
  <c r="F75" i="2"/>
  <c r="G75" i="2"/>
  <c r="H75" i="2" l="1"/>
  <c r="K75" i="2" l="1"/>
  <c r="L75" i="2" s="1"/>
  <c r="I76" i="2" s="1"/>
  <c r="C76" i="2"/>
  <c r="N76" i="2"/>
  <c r="D76" i="2"/>
  <c r="J76" i="2" l="1"/>
  <c r="E76" i="2"/>
  <c r="F76" i="2"/>
  <c r="G76" i="2"/>
  <c r="H76" i="2" l="1"/>
  <c r="K76" i="2" l="1"/>
  <c r="L76" i="2" s="1"/>
  <c r="I77" i="2" s="1"/>
  <c r="C77" i="2"/>
  <c r="N77" i="2"/>
  <c r="D77" i="2"/>
  <c r="J77" i="2" l="1"/>
  <c r="E77" i="2"/>
  <c r="F77" i="2"/>
  <c r="G77" i="2"/>
  <c r="H77" i="2" l="1"/>
  <c r="C78" i="2" l="1"/>
  <c r="K77" i="2"/>
  <c r="L77" i="2" s="1"/>
  <c r="I78" i="2" s="1"/>
  <c r="N78" i="2"/>
  <c r="D78" i="2"/>
  <c r="J78" i="2" l="1"/>
  <c r="E78" i="2"/>
  <c r="F78" i="2"/>
  <c r="G78" i="2"/>
  <c r="H78" i="2" l="1"/>
  <c r="K78" i="2" l="1"/>
  <c r="L78" i="2" s="1"/>
  <c r="I79" i="2" s="1"/>
  <c r="C79" i="2"/>
  <c r="D79" i="2"/>
  <c r="N79" i="2"/>
  <c r="J79" i="2" l="1"/>
  <c r="E79" i="2"/>
  <c r="F79" i="2"/>
  <c r="G79" i="2"/>
  <c r="H79" i="2" l="1"/>
  <c r="C80" i="2" l="1"/>
  <c r="K79" i="2"/>
  <c r="L79" i="2" s="1"/>
  <c r="I80" i="2" s="1"/>
  <c r="D80" i="2"/>
  <c r="N80" i="2"/>
  <c r="J80" i="2" l="1"/>
  <c r="E80" i="2"/>
  <c r="F80" i="2"/>
  <c r="G80" i="2"/>
  <c r="H80" i="2" l="1"/>
  <c r="K80" i="2" l="1"/>
  <c r="L80" i="2" s="1"/>
  <c r="I81" i="2" s="1"/>
  <c r="C81" i="2"/>
  <c r="D81" i="2"/>
  <c r="N81" i="2"/>
  <c r="J81" i="2" l="1"/>
  <c r="E81" i="2"/>
  <c r="F81" i="2"/>
  <c r="G81" i="2"/>
  <c r="H81" i="2" l="1"/>
  <c r="C82" i="2" l="1"/>
  <c r="K81" i="2"/>
  <c r="L81" i="2" s="1"/>
  <c r="I82" i="2" s="1"/>
  <c r="D82" i="2"/>
  <c r="N82" i="2"/>
  <c r="J82" i="2" l="1"/>
  <c r="E82" i="2"/>
  <c r="F82" i="2"/>
  <c r="G82" i="2"/>
  <c r="H82" i="2" l="1"/>
  <c r="C83" i="2" l="1"/>
  <c r="K82" i="2"/>
  <c r="L82" i="2" s="1"/>
  <c r="I83" i="2" s="1"/>
  <c r="N83" i="2"/>
  <c r="D83" i="2"/>
  <c r="J83" i="2" l="1"/>
  <c r="E83" i="2"/>
  <c r="F83" i="2"/>
  <c r="G83" i="2"/>
  <c r="H83" i="2" l="1"/>
  <c r="K83" i="2" l="1"/>
  <c r="L83" i="2" s="1"/>
  <c r="I84" i="2" s="1"/>
  <c r="C84" i="2"/>
  <c r="N84" i="2"/>
  <c r="D84" i="2"/>
  <c r="J84" i="2" l="1"/>
  <c r="E84" i="2"/>
  <c r="F84" i="2"/>
  <c r="G84" i="2"/>
  <c r="H84" i="2" l="1"/>
  <c r="K84" i="2" l="1"/>
  <c r="L84" i="2" s="1"/>
  <c r="I85" i="2" s="1"/>
  <c r="C85" i="2"/>
  <c r="D85" i="2"/>
  <c r="N85" i="2"/>
  <c r="J85" i="2" l="1"/>
  <c r="E85" i="2"/>
  <c r="F85" i="2"/>
  <c r="G85" i="2"/>
  <c r="H85" i="2" l="1"/>
  <c r="C86" i="2" l="1"/>
  <c r="K85" i="2"/>
  <c r="L85" i="2" s="1"/>
  <c r="I86" i="2" s="1"/>
  <c r="D86" i="2"/>
  <c r="N86" i="2"/>
  <c r="J86" i="2" l="1"/>
  <c r="E86" i="2"/>
  <c r="F86" i="2"/>
  <c r="G86" i="2"/>
  <c r="H86" i="2" l="1"/>
  <c r="C87" i="2" l="1"/>
  <c r="K86" i="2"/>
  <c r="L86" i="2" s="1"/>
  <c r="I87" i="2" s="1"/>
  <c r="D87" i="2"/>
  <c r="N87" i="2"/>
  <c r="J87" i="2" l="1"/>
  <c r="E87" i="2"/>
  <c r="F87" i="2"/>
  <c r="G87" i="2"/>
  <c r="H87" i="2" l="1"/>
  <c r="C88" i="2" l="1"/>
  <c r="K87" i="2"/>
  <c r="L87" i="2" s="1"/>
  <c r="I88" i="2" s="1"/>
  <c r="D88" i="2"/>
  <c r="N88" i="2"/>
  <c r="J88" i="2" l="1"/>
  <c r="E88" i="2"/>
  <c r="F88" i="2"/>
  <c r="G88" i="2"/>
  <c r="H88" i="2" l="1"/>
  <c r="K88" i="2" l="1"/>
  <c r="L88" i="2" s="1"/>
  <c r="I89" i="2" s="1"/>
  <c r="C89" i="2"/>
  <c r="D89" i="2"/>
  <c r="N89" i="2"/>
  <c r="J89" i="2" l="1"/>
  <c r="E89" i="2"/>
  <c r="F89" i="2"/>
  <c r="G89" i="2"/>
  <c r="H89" i="2" l="1"/>
  <c r="K89" i="2" l="1"/>
  <c r="L89" i="2" s="1"/>
  <c r="I90" i="2" s="1"/>
  <c r="C90" i="2"/>
  <c r="N90" i="2"/>
  <c r="D90" i="2"/>
  <c r="J90" i="2" l="1"/>
  <c r="E90" i="2"/>
  <c r="F90" i="2"/>
  <c r="G90" i="2"/>
  <c r="H90" i="2" l="1"/>
  <c r="C91" i="2" l="1"/>
  <c r="K90" i="2"/>
  <c r="L90" i="2" s="1"/>
  <c r="I91" i="2" s="1"/>
  <c r="D91" i="2"/>
  <c r="N91" i="2"/>
  <c r="J91" i="2" l="1"/>
  <c r="E91" i="2"/>
  <c r="F91" i="2"/>
  <c r="G91" i="2"/>
  <c r="H91" i="2" l="1"/>
  <c r="K91" i="2" l="1"/>
  <c r="L91" i="2" s="1"/>
  <c r="I92" i="2" s="1"/>
  <c r="C92" i="2"/>
  <c r="N92" i="2"/>
  <c r="D92" i="2"/>
  <c r="J92" i="2" l="1"/>
  <c r="E92" i="2"/>
  <c r="F92" i="2"/>
  <c r="G92" i="2"/>
  <c r="H92" i="2" l="1"/>
  <c r="C93" i="2" l="1"/>
  <c r="K92" i="2"/>
  <c r="L92" i="2" s="1"/>
  <c r="I93" i="2" s="1"/>
  <c r="D93" i="2"/>
  <c r="N93" i="2"/>
  <c r="J93" i="2" l="1"/>
  <c r="E93" i="2"/>
  <c r="F93" i="2"/>
  <c r="G93" i="2"/>
  <c r="H93" i="2" l="1"/>
  <c r="C94" i="2" l="1"/>
  <c r="K93" i="2"/>
  <c r="L93" i="2" s="1"/>
  <c r="I94" i="2" s="1"/>
  <c r="N94" i="2"/>
  <c r="D94" i="2"/>
  <c r="J94" i="2" l="1"/>
  <c r="E94" i="2"/>
  <c r="F94" i="2"/>
  <c r="G94" i="2"/>
  <c r="H94" i="2" l="1"/>
  <c r="K94" i="2" l="1"/>
  <c r="L94" i="2" s="1"/>
  <c r="I95" i="2" s="1"/>
  <c r="C95" i="2"/>
  <c r="N95" i="2"/>
  <c r="D95" i="2"/>
  <c r="J95" i="2" l="1"/>
  <c r="E95" i="2"/>
  <c r="F95" i="2"/>
  <c r="G95" i="2"/>
  <c r="H95" i="2" l="1"/>
  <c r="C96" i="2" l="1"/>
  <c r="K95" i="2"/>
  <c r="L95" i="2" s="1"/>
  <c r="I96" i="2" s="1"/>
  <c r="D96" i="2"/>
  <c r="N96" i="2"/>
  <c r="J96" i="2" l="1"/>
  <c r="E96" i="2"/>
  <c r="F96" i="2"/>
  <c r="G96" i="2"/>
  <c r="H96" i="2" l="1"/>
  <c r="C97" i="2" l="1"/>
  <c r="K96" i="2"/>
  <c r="L96" i="2" s="1"/>
  <c r="I97" i="2" s="1"/>
  <c r="D97" i="2"/>
  <c r="N97" i="2"/>
  <c r="J97" i="2" l="1"/>
  <c r="E97" i="2"/>
  <c r="F97" i="2"/>
  <c r="G97" i="2"/>
  <c r="H97" i="2" l="1"/>
  <c r="C98" i="2" l="1"/>
  <c r="K97" i="2"/>
  <c r="L97" i="2" s="1"/>
  <c r="I98" i="2" s="1"/>
  <c r="D98" i="2"/>
  <c r="N98" i="2"/>
  <c r="J98" i="2" l="1"/>
  <c r="E98" i="2"/>
  <c r="F98" i="2"/>
  <c r="G98" i="2"/>
  <c r="H98" i="2" l="1"/>
  <c r="K98" i="2" l="1"/>
  <c r="L98" i="2" s="1"/>
  <c r="I99" i="2" s="1"/>
  <c r="C99" i="2"/>
  <c r="D99" i="2"/>
  <c r="N99" i="2"/>
  <c r="J99" i="2" l="1"/>
  <c r="E99" i="2"/>
  <c r="F99" i="2"/>
  <c r="G99" i="2"/>
  <c r="H99" i="2" l="1"/>
  <c r="K99" i="2" l="1"/>
  <c r="L99" i="2" s="1"/>
  <c r="I100" i="2" s="1"/>
  <c r="C100" i="2"/>
  <c r="D100" i="2"/>
  <c r="N100" i="2"/>
  <c r="J100" i="2" l="1"/>
  <c r="E100" i="2"/>
  <c r="F100" i="2"/>
  <c r="G100" i="2"/>
  <c r="H100" i="2" l="1"/>
  <c r="C101" i="2" l="1"/>
  <c r="K100" i="2"/>
  <c r="L100" i="2" s="1"/>
  <c r="I101" i="2" s="1"/>
  <c r="N101" i="2"/>
  <c r="D101" i="2"/>
  <c r="J101" i="2" l="1"/>
  <c r="E101" i="2"/>
  <c r="F101" i="2"/>
  <c r="G101" i="2"/>
  <c r="H101" i="2" l="1"/>
  <c r="K101" i="2" l="1"/>
  <c r="L101" i="2" s="1"/>
  <c r="I102" i="2" s="1"/>
  <c r="C102" i="2"/>
  <c r="D102" i="2"/>
  <c r="N102" i="2"/>
  <c r="J102" i="2" l="1"/>
  <c r="E102" i="2"/>
  <c r="F102" i="2"/>
  <c r="G102" i="2"/>
  <c r="H102" i="2" l="1"/>
  <c r="K102" i="2" l="1"/>
  <c r="L102" i="2" s="1"/>
  <c r="I103" i="2" s="1"/>
  <c r="C103" i="2"/>
  <c r="N103" i="2"/>
  <c r="D103" i="2"/>
  <c r="J103" i="2" l="1"/>
  <c r="E103" i="2"/>
  <c r="F103" i="2"/>
  <c r="G103" i="2"/>
  <c r="H103" i="2" l="1"/>
  <c r="K103" i="2" l="1"/>
  <c r="L103" i="2" s="1"/>
  <c r="I104" i="2" s="1"/>
  <c r="C104" i="2"/>
  <c r="D104" i="2"/>
  <c r="N104" i="2"/>
  <c r="J104" i="2" l="1"/>
  <c r="E104" i="2"/>
  <c r="F104" i="2"/>
  <c r="G104" i="2"/>
  <c r="H104" i="2" l="1"/>
  <c r="K104" i="2" l="1"/>
  <c r="L104" i="2" s="1"/>
  <c r="I105" i="2" s="1"/>
  <c r="C105" i="2"/>
  <c r="D105" i="2"/>
  <c r="N105" i="2"/>
  <c r="J105" i="2" l="1"/>
  <c r="E105" i="2"/>
  <c r="F105" i="2"/>
  <c r="G105" i="2"/>
  <c r="H105" i="2" l="1"/>
  <c r="C106" i="2" l="1"/>
  <c r="K105" i="2"/>
  <c r="L105" i="2" s="1"/>
  <c r="I106" i="2" s="1"/>
  <c r="D106" i="2"/>
  <c r="N106" i="2"/>
  <c r="J106" i="2" l="1"/>
  <c r="E106" i="2"/>
  <c r="F106" i="2"/>
  <c r="G106" i="2"/>
  <c r="H106" i="2" l="1"/>
  <c r="K106" i="2" l="1"/>
  <c r="L106" i="2" s="1"/>
  <c r="I107" i="2" s="1"/>
  <c r="C107" i="2"/>
  <c r="D107" i="2"/>
  <c r="N107" i="2"/>
  <c r="J107" i="2" l="1"/>
  <c r="E107" i="2"/>
  <c r="F107" i="2"/>
  <c r="G107" i="2"/>
  <c r="H107" i="2" l="1"/>
  <c r="K107" i="2" l="1"/>
  <c r="L107" i="2" s="1"/>
  <c r="I108" i="2" s="1"/>
  <c r="C108" i="2"/>
  <c r="D108" i="2"/>
  <c r="N108" i="2"/>
  <c r="J108" i="2" l="1"/>
  <c r="E108" i="2"/>
  <c r="F108" i="2"/>
  <c r="G108" i="2"/>
  <c r="H108" i="2" l="1"/>
  <c r="C109" i="2" l="1"/>
  <c r="K108" i="2"/>
  <c r="L108" i="2" s="1"/>
  <c r="I109" i="2" s="1"/>
  <c r="D109" i="2"/>
  <c r="N109" i="2"/>
  <c r="J109" i="2" l="1"/>
  <c r="E109" i="2"/>
  <c r="F109" i="2"/>
  <c r="G109" i="2"/>
  <c r="H109" i="2" l="1"/>
  <c r="K109" i="2" l="1"/>
  <c r="L109" i="2" s="1"/>
  <c r="I110" i="2" s="1"/>
  <c r="C110" i="2"/>
  <c r="N110" i="2"/>
  <c r="D110" i="2"/>
  <c r="J110" i="2" l="1"/>
  <c r="E110" i="2"/>
  <c r="F110" i="2"/>
  <c r="G110" i="2"/>
  <c r="H110" i="2" l="1"/>
  <c r="K110" i="2" l="1"/>
  <c r="L110" i="2" s="1"/>
  <c r="I111" i="2" s="1"/>
  <c r="C111" i="2"/>
  <c r="N111" i="2"/>
  <c r="D111" i="2"/>
  <c r="J111" i="2" l="1"/>
  <c r="E111" i="2"/>
  <c r="F111" i="2"/>
  <c r="G111" i="2"/>
  <c r="H111" i="2" l="1"/>
  <c r="C112" i="2" l="1"/>
  <c r="K111" i="2"/>
  <c r="L111" i="2" s="1"/>
  <c r="I112" i="2" s="1"/>
  <c r="N112" i="2"/>
  <c r="D112" i="2"/>
  <c r="J112" i="2" l="1"/>
  <c r="E112" i="2"/>
  <c r="F112" i="2"/>
  <c r="G112" i="2"/>
  <c r="H112" i="2" l="1"/>
  <c r="K112" i="2" l="1"/>
  <c r="L112" i="2" s="1"/>
  <c r="I113" i="2" s="1"/>
  <c r="C113" i="2"/>
  <c r="N113" i="2"/>
  <c r="D113" i="2"/>
  <c r="J113" i="2" l="1"/>
  <c r="E113" i="2"/>
  <c r="F113" i="2"/>
  <c r="G113" i="2"/>
  <c r="H113" i="2" l="1"/>
  <c r="C114" i="2" l="1"/>
  <c r="K113" i="2"/>
  <c r="L113" i="2" s="1"/>
  <c r="I114" i="2" s="1"/>
  <c r="D114" i="2"/>
  <c r="N114" i="2"/>
  <c r="J114" i="2" l="1"/>
  <c r="E114" i="2"/>
  <c r="F114" i="2"/>
  <c r="G114" i="2"/>
  <c r="H114" i="2" l="1"/>
  <c r="C115" i="2" l="1"/>
  <c r="K114" i="2"/>
  <c r="L114" i="2" s="1"/>
  <c r="I115" i="2" s="1"/>
  <c r="D115" i="2"/>
  <c r="N115" i="2"/>
  <c r="J115" i="2" l="1"/>
  <c r="E115" i="2"/>
  <c r="F115" i="2"/>
  <c r="G115" i="2"/>
  <c r="H115" i="2" l="1"/>
  <c r="K115" i="2" l="1"/>
  <c r="L115" i="2" s="1"/>
  <c r="I116" i="2" s="1"/>
  <c r="C116" i="2"/>
  <c r="N116" i="2"/>
  <c r="D116" i="2"/>
  <c r="J116" i="2" l="1"/>
  <c r="E116" i="2"/>
  <c r="F116" i="2"/>
  <c r="G116" i="2"/>
  <c r="H116" i="2" l="1"/>
  <c r="C117" i="2" l="1"/>
  <c r="K116" i="2"/>
  <c r="L116" i="2" s="1"/>
  <c r="I117" i="2" s="1"/>
  <c r="D117" i="2"/>
  <c r="N117" i="2"/>
  <c r="J117" i="2" l="1"/>
  <c r="E117" i="2"/>
  <c r="F117" i="2"/>
  <c r="G117" i="2"/>
  <c r="H117" i="2" l="1"/>
  <c r="C118" i="2" l="1"/>
  <c r="K117" i="2"/>
  <c r="L117" i="2" s="1"/>
  <c r="I118" i="2" s="1"/>
  <c r="N118" i="2"/>
  <c r="D118" i="2"/>
  <c r="J118" i="2" l="1"/>
  <c r="E118" i="2"/>
  <c r="F118" i="2"/>
  <c r="G118" i="2"/>
  <c r="H118" i="2" l="1"/>
  <c r="C119" i="2" l="1"/>
  <c r="K118" i="2"/>
  <c r="L118" i="2" s="1"/>
  <c r="I119" i="2" s="1"/>
  <c r="D119" i="2"/>
  <c r="N119" i="2"/>
  <c r="J119" i="2" l="1"/>
  <c r="E119" i="2"/>
  <c r="F119" i="2"/>
  <c r="G119" i="2"/>
  <c r="H119" i="2" l="1"/>
  <c r="K119" i="2" l="1"/>
  <c r="L119" i="2" s="1"/>
  <c r="I120" i="2" s="1"/>
  <c r="C120" i="2"/>
  <c r="N120" i="2"/>
  <c r="D120" i="2"/>
  <c r="J120" i="2" l="1"/>
  <c r="E120" i="2"/>
  <c r="F120" i="2"/>
  <c r="G120" i="2"/>
  <c r="H120" i="2" l="1"/>
  <c r="C121" i="2" l="1"/>
  <c r="K120" i="2"/>
  <c r="L120" i="2" s="1"/>
  <c r="I121" i="2" s="1"/>
  <c r="D121" i="2"/>
  <c r="N121" i="2"/>
  <c r="J121" i="2" l="1"/>
  <c r="E121" i="2"/>
  <c r="F121" i="2"/>
  <c r="G121" i="2"/>
  <c r="H121" i="2" l="1"/>
  <c r="K121" i="2" l="1"/>
  <c r="L121" i="2" s="1"/>
  <c r="I122" i="2" s="1"/>
  <c r="C122" i="2"/>
  <c r="D122" i="2"/>
  <c r="N122" i="2"/>
  <c r="J122" i="2" l="1"/>
  <c r="E122" i="2"/>
  <c r="F122" i="2"/>
  <c r="G122" i="2"/>
  <c r="H122" i="2" l="1"/>
  <c r="C123" i="2" l="1"/>
  <c r="K122" i="2"/>
  <c r="L122" i="2" s="1"/>
  <c r="I123" i="2" s="1"/>
  <c r="D123" i="2"/>
  <c r="N123" i="2"/>
  <c r="J123" i="2" l="1"/>
  <c r="E123" i="2"/>
  <c r="F123" i="2"/>
  <c r="G123" i="2"/>
  <c r="H123" i="2" l="1"/>
  <c r="K123" i="2" l="1"/>
  <c r="L123" i="2" s="1"/>
  <c r="I124" i="2" s="1"/>
  <c r="C124" i="2"/>
  <c r="D124" i="2"/>
  <c r="N124" i="2"/>
  <c r="J124" i="2" l="1"/>
  <c r="E124" i="2"/>
  <c r="F124" i="2"/>
  <c r="G124" i="2"/>
  <c r="H124" i="2" l="1"/>
  <c r="C125" i="2" l="1"/>
  <c r="K124" i="2"/>
  <c r="L124" i="2" s="1"/>
  <c r="I125" i="2" s="1"/>
  <c r="D125" i="2"/>
  <c r="N125" i="2"/>
  <c r="J125" i="2" l="1"/>
  <c r="E125" i="2"/>
  <c r="F125" i="2"/>
  <c r="G125" i="2"/>
  <c r="H125" i="2" l="1"/>
  <c r="C126" i="2" l="1"/>
  <c r="K125" i="2"/>
  <c r="L125" i="2" s="1"/>
  <c r="I126" i="2" s="1"/>
  <c r="D126" i="2"/>
  <c r="N126" i="2"/>
  <c r="J126" i="2" l="1"/>
  <c r="E126" i="2"/>
  <c r="F126" i="2"/>
  <c r="G126" i="2"/>
  <c r="H126" i="2" l="1"/>
  <c r="C127" i="2" l="1"/>
  <c r="K126" i="2"/>
  <c r="L126" i="2" s="1"/>
  <c r="I127" i="2" s="1"/>
  <c r="D127" i="2"/>
  <c r="N127" i="2"/>
  <c r="J127" i="2" l="1"/>
  <c r="E127" i="2"/>
  <c r="F127" i="2"/>
  <c r="G127" i="2"/>
  <c r="H127" i="2" l="1"/>
  <c r="C128" i="2" l="1"/>
  <c r="K127" i="2"/>
  <c r="L127" i="2" s="1"/>
  <c r="I128" i="2" s="1"/>
  <c r="D128" i="2"/>
  <c r="N128" i="2"/>
  <c r="J128" i="2" l="1"/>
  <c r="E128" i="2"/>
  <c r="F128" i="2"/>
  <c r="G128" i="2"/>
  <c r="H128" i="2" l="1"/>
  <c r="C129" i="2" l="1"/>
  <c r="K128" i="2"/>
  <c r="L128" i="2" s="1"/>
  <c r="I129" i="2" s="1"/>
  <c r="D129" i="2"/>
  <c r="N129" i="2"/>
  <c r="J129" i="2" l="1"/>
  <c r="E129" i="2"/>
  <c r="F129" i="2"/>
  <c r="G129" i="2"/>
  <c r="H129" i="2" l="1"/>
  <c r="K129" i="2" l="1"/>
  <c r="L129" i="2" s="1"/>
  <c r="I130" i="2" s="1"/>
  <c r="C130" i="2"/>
  <c r="N130" i="2"/>
  <c r="D130" i="2"/>
  <c r="J130" i="2" l="1"/>
  <c r="E130" i="2"/>
  <c r="F130" i="2"/>
  <c r="G130" i="2"/>
  <c r="H130" i="2" l="1"/>
  <c r="C131" i="2" l="1"/>
  <c r="K130" i="2"/>
  <c r="L130" i="2" s="1"/>
  <c r="I131" i="2" s="1"/>
  <c r="D131" i="2"/>
  <c r="N131" i="2"/>
  <c r="J131" i="2" l="1"/>
  <c r="E131" i="2"/>
  <c r="F131" i="2"/>
  <c r="G131" i="2"/>
  <c r="H131" i="2" l="1"/>
  <c r="K131" i="2" l="1"/>
  <c r="L131" i="2" s="1"/>
  <c r="I132" i="2" s="1"/>
  <c r="C132" i="2"/>
  <c r="D132" i="2"/>
  <c r="N132" i="2"/>
  <c r="J132" i="2" l="1"/>
  <c r="E132" i="2"/>
  <c r="F132" i="2"/>
  <c r="G132" i="2"/>
  <c r="H132" i="2" l="1"/>
  <c r="C133" i="2" l="1"/>
  <c r="K132" i="2"/>
  <c r="L132" i="2" s="1"/>
  <c r="I133" i="2" s="1"/>
  <c r="D133" i="2"/>
  <c r="N133" i="2"/>
  <c r="J133" i="2" l="1"/>
  <c r="E133" i="2"/>
  <c r="F133" i="2"/>
  <c r="G133" i="2"/>
  <c r="H133" i="2" l="1"/>
  <c r="C134" i="2" l="1"/>
  <c r="K133" i="2"/>
  <c r="L133" i="2" s="1"/>
  <c r="I134" i="2" s="1"/>
  <c r="D134" i="2"/>
  <c r="N134" i="2"/>
  <c r="J134" i="2" l="1"/>
  <c r="E134" i="2"/>
  <c r="F134" i="2"/>
  <c r="G134" i="2"/>
  <c r="H134" i="2" l="1"/>
  <c r="C135" i="2" l="1"/>
  <c r="K134" i="2"/>
  <c r="L134" i="2" s="1"/>
  <c r="I135" i="2" s="1"/>
  <c r="D135" i="2"/>
  <c r="N135" i="2"/>
  <c r="J135" i="2" l="1"/>
  <c r="E135" i="2"/>
  <c r="F135" i="2"/>
  <c r="G135" i="2"/>
  <c r="H135" i="2" l="1"/>
  <c r="C136" i="2" l="1"/>
  <c r="K135" i="2"/>
  <c r="L135" i="2" s="1"/>
  <c r="I136" i="2" s="1"/>
  <c r="D136" i="2"/>
  <c r="N136" i="2"/>
  <c r="J136" i="2" l="1"/>
  <c r="E136" i="2"/>
  <c r="F136" i="2"/>
  <c r="G136" i="2"/>
  <c r="H136" i="2" l="1"/>
  <c r="C137" i="2" l="1"/>
  <c r="K136" i="2"/>
  <c r="L136" i="2" s="1"/>
  <c r="I137" i="2" s="1"/>
  <c r="D137" i="2"/>
  <c r="N137" i="2"/>
  <c r="J137" i="2" l="1"/>
  <c r="E137" i="2"/>
  <c r="F137" i="2"/>
  <c r="G137" i="2"/>
  <c r="H137" i="2" l="1"/>
  <c r="K137" i="2" l="1"/>
  <c r="L137" i="2" s="1"/>
  <c r="I138" i="2" s="1"/>
  <c r="C138" i="2"/>
  <c r="D138" i="2"/>
  <c r="N138" i="2"/>
  <c r="J138" i="2" l="1"/>
  <c r="E138" i="2"/>
  <c r="F138" i="2"/>
  <c r="G138" i="2"/>
  <c r="H138" i="2" l="1"/>
  <c r="K138" i="2" l="1"/>
  <c r="L138" i="2" s="1"/>
  <c r="I139" i="2" s="1"/>
  <c r="C139" i="2"/>
  <c r="D139" i="2"/>
  <c r="N139" i="2"/>
  <c r="J139" i="2" l="1"/>
  <c r="E139" i="2"/>
  <c r="F139" i="2"/>
  <c r="G139" i="2"/>
  <c r="H139" i="2" l="1"/>
  <c r="K139" i="2" l="1"/>
  <c r="L139" i="2" s="1"/>
  <c r="I140" i="2" s="1"/>
  <c r="C140" i="2"/>
  <c r="D140" i="2"/>
  <c r="N140" i="2"/>
  <c r="J140" i="2" l="1"/>
  <c r="E140" i="2"/>
  <c r="F140" i="2"/>
  <c r="G140" i="2"/>
  <c r="H140" i="2" l="1"/>
  <c r="C141" i="2" l="1"/>
  <c r="K140" i="2"/>
  <c r="L140" i="2" s="1"/>
  <c r="I141" i="2" s="1"/>
  <c r="D141" i="2"/>
  <c r="N141" i="2"/>
  <c r="J141" i="2" l="1"/>
  <c r="E141" i="2"/>
  <c r="F141" i="2"/>
  <c r="G141" i="2"/>
  <c r="H141" i="2" l="1"/>
  <c r="C142" i="2" l="1"/>
  <c r="K141" i="2"/>
  <c r="L141" i="2" s="1"/>
  <c r="I142" i="2" s="1"/>
  <c r="D142" i="2"/>
  <c r="N142" i="2"/>
  <c r="J142" i="2" l="1"/>
  <c r="E142" i="2"/>
  <c r="F142" i="2"/>
  <c r="G142" i="2"/>
  <c r="H142" i="2" l="1"/>
  <c r="K142" i="2" l="1"/>
  <c r="L142" i="2" s="1"/>
  <c r="I143" i="2" s="1"/>
  <c r="C143" i="2"/>
  <c r="N143" i="2"/>
  <c r="D143" i="2"/>
  <c r="J143" i="2" l="1"/>
  <c r="E143" i="2"/>
  <c r="F143" i="2"/>
  <c r="G143" i="2"/>
  <c r="H143" i="2" l="1"/>
  <c r="C144" i="2" l="1"/>
  <c r="K143" i="2"/>
  <c r="L143" i="2" s="1"/>
  <c r="I144" i="2" s="1"/>
  <c r="D144" i="2"/>
  <c r="N144" i="2"/>
  <c r="J144" i="2" l="1"/>
  <c r="E144" i="2"/>
  <c r="F144" i="2"/>
  <c r="G144" i="2"/>
  <c r="H144" i="2" l="1"/>
  <c r="C145" i="2" l="1"/>
  <c r="K144" i="2"/>
  <c r="L144" i="2" s="1"/>
  <c r="I145" i="2" s="1"/>
  <c r="D145" i="2"/>
  <c r="N145" i="2"/>
  <c r="J145" i="2" l="1"/>
  <c r="E145" i="2"/>
  <c r="F145" i="2"/>
  <c r="G145" i="2"/>
  <c r="H145" i="2" l="1"/>
  <c r="K145" i="2" l="1"/>
  <c r="L145" i="2" s="1"/>
  <c r="I146" i="2" s="1"/>
  <c r="C146" i="2"/>
  <c r="D146" i="2"/>
  <c r="N146" i="2"/>
  <c r="J146" i="2" l="1"/>
  <c r="E146" i="2"/>
  <c r="F146" i="2"/>
  <c r="G146" i="2"/>
  <c r="H146" i="2" l="1"/>
  <c r="C147" i="2" l="1"/>
  <c r="K146" i="2"/>
  <c r="L146" i="2" s="1"/>
  <c r="I147" i="2" s="1"/>
  <c r="D147" i="2"/>
  <c r="N147" i="2"/>
  <c r="J147" i="2" l="1"/>
  <c r="E147" i="2"/>
  <c r="F147" i="2"/>
  <c r="G147" i="2"/>
  <c r="H147" i="2" l="1"/>
  <c r="K147" i="2" l="1"/>
  <c r="L147" i="2" s="1"/>
  <c r="I148" i="2" s="1"/>
  <c r="C148" i="2"/>
  <c r="N148" i="2"/>
  <c r="D148" i="2"/>
  <c r="J148" i="2" l="1"/>
  <c r="E148" i="2"/>
  <c r="F148" i="2"/>
  <c r="G148" i="2"/>
  <c r="H148" i="2" l="1"/>
  <c r="C149" i="2" l="1"/>
  <c r="K148" i="2"/>
  <c r="L148" i="2" s="1"/>
  <c r="I149" i="2" s="1"/>
  <c r="D149" i="2"/>
  <c r="N149" i="2"/>
  <c r="J149" i="2" l="1"/>
  <c r="E149" i="2"/>
  <c r="F149" i="2"/>
  <c r="G149" i="2"/>
  <c r="H149" i="2" l="1"/>
  <c r="K149" i="2" l="1"/>
  <c r="L149" i="2" s="1"/>
  <c r="I150" i="2" s="1"/>
  <c r="C150" i="2"/>
  <c r="D150" i="2"/>
  <c r="N150" i="2"/>
  <c r="J150" i="2" l="1"/>
  <c r="E150" i="2"/>
  <c r="F150" i="2"/>
  <c r="G150" i="2"/>
  <c r="H150" i="2" l="1"/>
  <c r="C151" i="2" l="1"/>
  <c r="K150" i="2"/>
  <c r="L150" i="2" s="1"/>
  <c r="I151" i="2" s="1"/>
  <c r="N151" i="2"/>
  <c r="D151" i="2"/>
  <c r="J151" i="2" l="1"/>
  <c r="E151" i="2"/>
  <c r="F151" i="2"/>
  <c r="G151" i="2"/>
  <c r="H151" i="2" l="1"/>
  <c r="C152" i="2" l="1"/>
  <c r="K151" i="2"/>
  <c r="L151" i="2" s="1"/>
  <c r="I152" i="2" s="1"/>
  <c r="N152" i="2"/>
  <c r="D152" i="2"/>
  <c r="J152" i="2" l="1"/>
  <c r="E152" i="2"/>
  <c r="F152" i="2"/>
  <c r="G152" i="2"/>
  <c r="H152" i="2" l="1"/>
  <c r="C153" i="2" l="1"/>
  <c r="K152" i="2"/>
  <c r="L152" i="2" s="1"/>
  <c r="I153" i="2" s="1"/>
  <c r="D153" i="2"/>
  <c r="N153" i="2"/>
  <c r="J153" i="2" l="1"/>
  <c r="E153" i="2"/>
  <c r="F153" i="2"/>
  <c r="G153" i="2"/>
  <c r="H153" i="2" l="1"/>
  <c r="C154" i="2" l="1"/>
  <c r="K153" i="2"/>
  <c r="L153" i="2" s="1"/>
  <c r="I154" i="2" s="1"/>
  <c r="D154" i="2"/>
  <c r="N154" i="2"/>
  <c r="J154" i="2" l="1"/>
  <c r="E154" i="2"/>
  <c r="F154" i="2"/>
  <c r="G154" i="2"/>
  <c r="H154" i="2" l="1"/>
  <c r="K154" i="2" l="1"/>
  <c r="L154" i="2" s="1"/>
  <c r="I155" i="2" s="1"/>
  <c r="C155" i="2"/>
  <c r="D155" i="2"/>
  <c r="N155" i="2"/>
  <c r="J155" i="2" l="1"/>
  <c r="E155" i="2"/>
  <c r="F155" i="2"/>
  <c r="G155" i="2"/>
  <c r="H155" i="2" l="1"/>
  <c r="C156" i="2" l="1"/>
  <c r="K155" i="2"/>
  <c r="L155" i="2" s="1"/>
  <c r="I156" i="2" s="1"/>
  <c r="N156" i="2"/>
  <c r="D156" i="2"/>
  <c r="J156" i="2" l="1"/>
  <c r="E156" i="2"/>
  <c r="F156" i="2"/>
  <c r="G156" i="2"/>
  <c r="H156" i="2" l="1"/>
  <c r="K156" i="2" l="1"/>
  <c r="L156" i="2" s="1"/>
  <c r="I157" i="2" s="1"/>
  <c r="C157" i="2"/>
  <c r="N157" i="2"/>
  <c r="D157" i="2"/>
  <c r="J157" i="2" l="1"/>
  <c r="E157" i="2"/>
  <c r="F157" i="2"/>
  <c r="G157" i="2"/>
  <c r="H157" i="2" l="1"/>
  <c r="C158" i="2" l="1"/>
  <c r="K157" i="2"/>
  <c r="L157" i="2" s="1"/>
  <c r="I158" i="2" s="1"/>
  <c r="D158" i="2"/>
  <c r="N158" i="2"/>
  <c r="J158" i="2" l="1"/>
  <c r="E158" i="2"/>
  <c r="F158" i="2"/>
  <c r="G158" i="2"/>
  <c r="H158" i="2" l="1"/>
  <c r="C159" i="2" l="1"/>
  <c r="K158" i="2"/>
  <c r="L158" i="2" s="1"/>
  <c r="I159" i="2" s="1"/>
  <c r="D159" i="2"/>
  <c r="N159" i="2"/>
  <c r="J159" i="2" l="1"/>
  <c r="E159" i="2"/>
  <c r="F159" i="2"/>
  <c r="G159" i="2"/>
  <c r="H159" i="2" l="1"/>
  <c r="K159" i="2" l="1"/>
  <c r="L159" i="2" s="1"/>
  <c r="I160" i="2" s="1"/>
  <c r="C160" i="2"/>
  <c r="D160" i="2"/>
  <c r="N160" i="2"/>
  <c r="J160" i="2" l="1"/>
  <c r="E160" i="2"/>
  <c r="F160" i="2"/>
  <c r="G160" i="2"/>
  <c r="H160" i="2" l="1"/>
  <c r="C161" i="2" l="1"/>
  <c r="K160" i="2"/>
  <c r="L160" i="2" s="1"/>
  <c r="I161" i="2" s="1"/>
  <c r="D161" i="2"/>
  <c r="N161" i="2"/>
  <c r="J161" i="2" l="1"/>
  <c r="E161" i="2"/>
  <c r="F161" i="2"/>
  <c r="G161" i="2"/>
  <c r="H161" i="2" l="1"/>
  <c r="K161" i="2" l="1"/>
  <c r="L161" i="2" s="1"/>
  <c r="I162" i="2" s="1"/>
  <c r="C162" i="2"/>
  <c r="D162" i="2"/>
  <c r="N162" i="2"/>
  <c r="J162" i="2" l="1"/>
  <c r="E162" i="2"/>
  <c r="F162" i="2"/>
  <c r="G162" i="2"/>
  <c r="H162" i="2" l="1"/>
  <c r="K162" i="2" l="1"/>
  <c r="L162" i="2" s="1"/>
  <c r="I163" i="2" s="1"/>
  <c r="C163" i="2"/>
  <c r="N163" i="2"/>
  <c r="D163" i="2"/>
  <c r="J163" i="2" l="1"/>
  <c r="E163" i="2"/>
  <c r="F163" i="2"/>
  <c r="G163" i="2"/>
  <c r="H163" i="2" l="1"/>
  <c r="C164" i="2" l="1"/>
  <c r="K163" i="2"/>
  <c r="L163" i="2" s="1"/>
  <c r="I164" i="2" s="1"/>
  <c r="D164" i="2"/>
  <c r="N164" i="2"/>
  <c r="J164" i="2" l="1"/>
  <c r="E164" i="2"/>
  <c r="F164" i="2"/>
  <c r="G164" i="2"/>
  <c r="H164" i="2" l="1"/>
  <c r="C165" i="2" l="1"/>
  <c r="K164" i="2"/>
  <c r="L164" i="2" s="1"/>
  <c r="I165" i="2" s="1"/>
  <c r="D165" i="2"/>
  <c r="N165" i="2"/>
  <c r="J165" i="2" l="1"/>
  <c r="E165" i="2"/>
  <c r="F165" i="2"/>
  <c r="G165" i="2"/>
  <c r="H165" i="2" l="1"/>
  <c r="C166" i="2" l="1"/>
  <c r="K165" i="2"/>
  <c r="L165" i="2" s="1"/>
  <c r="I166" i="2" s="1"/>
  <c r="N166" i="2"/>
  <c r="D166" i="2"/>
  <c r="J166" i="2" l="1"/>
  <c r="E166" i="2"/>
  <c r="F166" i="2"/>
  <c r="G166" i="2"/>
  <c r="H166" i="2" l="1"/>
  <c r="C167" i="2" l="1"/>
  <c r="K166" i="2"/>
  <c r="L166" i="2" s="1"/>
  <c r="I167" i="2" s="1"/>
  <c r="D167" i="2"/>
  <c r="N167" i="2"/>
  <c r="J167" i="2" l="1"/>
  <c r="E167" i="2"/>
  <c r="F167" i="2"/>
  <c r="G167" i="2"/>
  <c r="H167" i="2" l="1"/>
  <c r="C168" i="2" l="1"/>
  <c r="K167" i="2"/>
  <c r="L167" i="2" s="1"/>
  <c r="I168" i="2" s="1"/>
  <c r="D168" i="2"/>
  <c r="N168" i="2"/>
  <c r="J168" i="2" l="1"/>
  <c r="E168" i="2"/>
  <c r="F168" i="2"/>
  <c r="G168" i="2"/>
  <c r="H168" i="2" l="1"/>
  <c r="K168" i="2" l="1"/>
  <c r="L168" i="2" s="1"/>
  <c r="I169" i="2" s="1"/>
  <c r="C169" i="2"/>
  <c r="D169" i="2"/>
  <c r="N169" i="2"/>
  <c r="J169" i="2" l="1"/>
  <c r="E169" i="2"/>
  <c r="F169" i="2"/>
  <c r="G169" i="2"/>
  <c r="H169" i="2" l="1"/>
  <c r="C170" i="2" l="1"/>
  <c r="K169" i="2"/>
  <c r="L169" i="2" s="1"/>
  <c r="I170" i="2" s="1"/>
  <c r="D170" i="2"/>
  <c r="N170" i="2"/>
  <c r="J170" i="2" l="1"/>
  <c r="E170" i="2"/>
  <c r="F170" i="2"/>
  <c r="G170" i="2"/>
  <c r="H170" i="2" l="1"/>
  <c r="C171" i="2" l="1"/>
  <c r="K170" i="2"/>
  <c r="L170" i="2" s="1"/>
  <c r="I171" i="2" s="1"/>
  <c r="D171" i="2"/>
  <c r="N171" i="2"/>
  <c r="J171" i="2" l="1"/>
  <c r="E171" i="2"/>
  <c r="F171" i="2"/>
  <c r="G171" i="2"/>
  <c r="H171" i="2" l="1"/>
  <c r="C172" i="2" l="1"/>
  <c r="K171" i="2"/>
  <c r="L171" i="2" s="1"/>
  <c r="I172" i="2" s="1"/>
  <c r="D172" i="2"/>
  <c r="N172" i="2"/>
  <c r="J172" i="2" l="1"/>
  <c r="E172" i="2"/>
  <c r="F172" i="2"/>
  <c r="G172" i="2"/>
  <c r="H172" i="2" l="1"/>
  <c r="C173" i="2" l="1"/>
  <c r="K172" i="2"/>
  <c r="L172" i="2" s="1"/>
  <c r="I173" i="2" s="1"/>
  <c r="N173" i="2"/>
  <c r="D173" i="2"/>
  <c r="J173" i="2" l="1"/>
  <c r="E173" i="2"/>
  <c r="F173" i="2"/>
  <c r="G173" i="2"/>
  <c r="H173" i="2" l="1"/>
  <c r="C174" i="2" l="1"/>
  <c r="K173" i="2"/>
  <c r="L173" i="2" s="1"/>
  <c r="I174" i="2" s="1"/>
  <c r="D174" i="2"/>
  <c r="N174" i="2"/>
  <c r="J174" i="2" l="1"/>
  <c r="E174" i="2"/>
  <c r="F174" i="2"/>
  <c r="G174" i="2"/>
  <c r="H174" i="2" l="1"/>
  <c r="C175" i="2" l="1"/>
  <c r="K174" i="2"/>
  <c r="L174" i="2" s="1"/>
  <c r="I175" i="2" s="1"/>
  <c r="D175" i="2"/>
  <c r="N175" i="2"/>
  <c r="J175" i="2" l="1"/>
  <c r="E175" i="2"/>
  <c r="F175" i="2"/>
  <c r="G175" i="2"/>
  <c r="H175" i="2" l="1"/>
  <c r="K175" i="2" l="1"/>
  <c r="L175" i="2" s="1"/>
  <c r="I176" i="2" s="1"/>
  <c r="C176" i="2"/>
  <c r="D176" i="2"/>
  <c r="N176" i="2"/>
  <c r="J176" i="2" l="1"/>
  <c r="E176" i="2"/>
  <c r="F176" i="2"/>
  <c r="G176" i="2"/>
  <c r="H176" i="2" l="1"/>
  <c r="C177" i="2" l="1"/>
  <c r="K176" i="2"/>
  <c r="L176" i="2" s="1"/>
  <c r="I177" i="2" s="1"/>
  <c r="D177" i="2"/>
  <c r="N177" i="2"/>
  <c r="J177" i="2" l="1"/>
  <c r="E177" i="2"/>
  <c r="F177" i="2"/>
  <c r="G177" i="2"/>
  <c r="H177" i="2" l="1"/>
  <c r="C178" i="2" l="1"/>
  <c r="K177" i="2"/>
  <c r="L177" i="2" s="1"/>
  <c r="I178" i="2" s="1"/>
  <c r="D178" i="2"/>
  <c r="N178" i="2"/>
  <c r="J178" i="2" l="1"/>
  <c r="E178" i="2"/>
  <c r="F178" i="2"/>
  <c r="G178" i="2"/>
  <c r="H178" i="2" l="1"/>
  <c r="K178" i="2" l="1"/>
  <c r="L178" i="2" s="1"/>
  <c r="I179" i="2" s="1"/>
  <c r="C179" i="2"/>
  <c r="N179" i="2"/>
  <c r="D179" i="2"/>
  <c r="J179" i="2" l="1"/>
  <c r="E179" i="2"/>
  <c r="F179" i="2"/>
  <c r="G179" i="2"/>
  <c r="H179" i="2" l="1"/>
  <c r="C180" i="2" l="1"/>
  <c r="K179" i="2"/>
  <c r="L179" i="2" s="1"/>
  <c r="I180" i="2" s="1"/>
  <c r="D180" i="2"/>
  <c r="N180" i="2"/>
  <c r="J180" i="2" l="1"/>
  <c r="E180" i="2"/>
  <c r="F180" i="2"/>
  <c r="G180" i="2"/>
  <c r="H180" i="2" l="1"/>
  <c r="C181" i="2" l="1"/>
  <c r="K180" i="2"/>
  <c r="L180" i="2" s="1"/>
  <c r="I181" i="2" s="1"/>
  <c r="D181" i="2"/>
  <c r="N181" i="2"/>
  <c r="J181" i="2" l="1"/>
  <c r="E181" i="2"/>
  <c r="F181" i="2"/>
  <c r="G181" i="2"/>
  <c r="H181" i="2" l="1"/>
  <c r="C182" i="2" l="1"/>
  <c r="K181" i="2"/>
  <c r="L181" i="2" s="1"/>
  <c r="I182" i="2" s="1"/>
  <c r="D182" i="2"/>
  <c r="N182" i="2"/>
  <c r="J182" i="2" l="1"/>
  <c r="E182" i="2"/>
  <c r="F182" i="2"/>
  <c r="G182" i="2"/>
  <c r="H182" i="2" l="1"/>
  <c r="C183" i="2" l="1"/>
  <c r="K182" i="2"/>
  <c r="L182" i="2" s="1"/>
  <c r="I183" i="2" s="1"/>
  <c r="D183" i="2"/>
  <c r="N183" i="2"/>
  <c r="J183" i="2" l="1"/>
  <c r="E183" i="2"/>
  <c r="F183" i="2"/>
  <c r="G183" i="2"/>
  <c r="H183" i="2" l="1"/>
  <c r="C184" i="2" l="1"/>
  <c r="K183" i="2"/>
  <c r="L183" i="2" s="1"/>
  <c r="I184" i="2" s="1"/>
  <c r="D184" i="2"/>
  <c r="N184" i="2"/>
  <c r="J184" i="2" l="1"/>
  <c r="E184" i="2"/>
  <c r="F184" i="2"/>
  <c r="G184" i="2"/>
  <c r="H184" i="2" l="1"/>
  <c r="C185" i="2" l="1"/>
  <c r="K184" i="2"/>
  <c r="L184" i="2" s="1"/>
  <c r="I185" i="2" s="1"/>
  <c r="D185" i="2"/>
  <c r="N185" i="2"/>
  <c r="J185" i="2" l="1"/>
  <c r="E185" i="2"/>
  <c r="F185" i="2"/>
  <c r="G185" i="2"/>
  <c r="H185" i="2" l="1"/>
  <c r="K185" i="2" l="1"/>
  <c r="L185" i="2" s="1"/>
  <c r="I186" i="2" s="1"/>
  <c r="C186" i="2"/>
  <c r="D186" i="2"/>
  <c r="N186" i="2"/>
  <c r="J186" i="2" l="1"/>
  <c r="E186" i="2"/>
  <c r="F186" i="2"/>
  <c r="G186" i="2"/>
  <c r="H186" i="2" l="1"/>
  <c r="C187" i="2" l="1"/>
  <c r="K186" i="2"/>
  <c r="L186" i="2" s="1"/>
  <c r="I187" i="2" s="1"/>
  <c r="N187" i="2"/>
  <c r="D187" i="2"/>
  <c r="J187" i="2" l="1"/>
  <c r="E187" i="2"/>
  <c r="F187" i="2"/>
  <c r="G187" i="2"/>
  <c r="H187" i="2" l="1"/>
  <c r="C188" i="2" l="1"/>
  <c r="K187" i="2"/>
  <c r="L187" i="2" s="1"/>
  <c r="I188" i="2" s="1"/>
  <c r="D188" i="2"/>
  <c r="N188" i="2"/>
  <c r="J188" i="2" l="1"/>
  <c r="E188" i="2"/>
  <c r="F188" i="2"/>
  <c r="G188" i="2"/>
  <c r="H188" i="2" l="1"/>
  <c r="K188" i="2" l="1"/>
  <c r="L188" i="2" s="1"/>
  <c r="I189" i="2" s="1"/>
  <c r="C189" i="2"/>
  <c r="N189" i="2"/>
  <c r="D189" i="2"/>
  <c r="J189" i="2" l="1"/>
  <c r="E189" i="2"/>
  <c r="F189" i="2"/>
  <c r="G189" i="2"/>
  <c r="H189" i="2" l="1"/>
  <c r="C190" i="2" l="1"/>
  <c r="K189" i="2"/>
  <c r="L189" i="2" s="1"/>
  <c r="I190" i="2" s="1"/>
  <c r="D190" i="2"/>
  <c r="N190" i="2"/>
  <c r="J190" i="2" l="1"/>
  <c r="E190" i="2"/>
  <c r="F190" i="2"/>
  <c r="G190" i="2"/>
  <c r="H190" i="2" l="1"/>
  <c r="K190" i="2" l="1"/>
  <c r="L190" i="2" s="1"/>
  <c r="I191" i="2" s="1"/>
  <c r="C191" i="2"/>
  <c r="D191" i="2"/>
  <c r="N191" i="2"/>
  <c r="J191" i="2" l="1"/>
  <c r="E191" i="2"/>
  <c r="F191" i="2"/>
  <c r="G191" i="2"/>
  <c r="H191" i="2" l="1"/>
  <c r="K191" i="2" l="1"/>
  <c r="L191" i="2" s="1"/>
  <c r="I192" i="2" s="1"/>
  <c r="C192" i="2"/>
  <c r="N192" i="2"/>
  <c r="D192" i="2"/>
  <c r="J192" i="2" l="1"/>
  <c r="E192" i="2"/>
  <c r="F192" i="2"/>
  <c r="G192" i="2"/>
  <c r="H192" i="2" l="1"/>
  <c r="C193" i="2" l="1"/>
  <c r="K192" i="2"/>
  <c r="L192" i="2" s="1"/>
  <c r="I193" i="2" s="1"/>
  <c r="D193" i="2"/>
  <c r="N193" i="2"/>
  <c r="J193" i="2" l="1"/>
  <c r="E193" i="2"/>
  <c r="F193" i="2"/>
  <c r="G193" i="2"/>
  <c r="H193" i="2" l="1"/>
  <c r="C194" i="2" l="1"/>
  <c r="K193" i="2"/>
  <c r="L193" i="2" s="1"/>
  <c r="I194" i="2" s="1"/>
  <c r="D194" i="2"/>
  <c r="N194" i="2"/>
  <c r="J194" i="2" l="1"/>
  <c r="E194" i="2"/>
  <c r="F194" i="2"/>
  <c r="G194" i="2"/>
  <c r="H194" i="2" l="1"/>
  <c r="K194" i="2" l="1"/>
  <c r="L194" i="2" s="1"/>
  <c r="I195" i="2" s="1"/>
  <c r="C195" i="2"/>
  <c r="D195" i="2"/>
  <c r="N195" i="2"/>
  <c r="J195" i="2" l="1"/>
  <c r="E195" i="2"/>
  <c r="F195" i="2"/>
  <c r="G195" i="2"/>
  <c r="H195" i="2" l="1"/>
  <c r="C196" i="2" l="1"/>
  <c r="K195" i="2"/>
  <c r="L195" i="2" s="1"/>
  <c r="I196" i="2" s="1"/>
  <c r="D196" i="2"/>
  <c r="N196" i="2"/>
  <c r="J196" i="2" l="1"/>
  <c r="E196" i="2"/>
  <c r="F196" i="2"/>
  <c r="G196" i="2"/>
  <c r="H196" i="2" l="1"/>
  <c r="K196" i="2" l="1"/>
  <c r="L196" i="2" s="1"/>
  <c r="I197" i="2" s="1"/>
  <c r="C197" i="2"/>
  <c r="N197" i="2"/>
  <c r="D197" i="2"/>
  <c r="J197" i="2" l="1"/>
  <c r="E197" i="2"/>
  <c r="F197" i="2"/>
  <c r="G197" i="2"/>
  <c r="H197" i="2" l="1"/>
  <c r="C198" i="2" l="1"/>
  <c r="K197" i="2"/>
  <c r="L197" i="2" s="1"/>
  <c r="I198" i="2" s="1"/>
  <c r="D198" i="2"/>
  <c r="N198" i="2"/>
  <c r="J198" i="2" l="1"/>
  <c r="E198" i="2"/>
  <c r="F198" i="2"/>
  <c r="G198" i="2"/>
  <c r="H198" i="2" l="1"/>
  <c r="C199" i="2" l="1"/>
  <c r="K198" i="2"/>
  <c r="L198" i="2" s="1"/>
  <c r="I199" i="2" s="1"/>
  <c r="D199" i="2"/>
  <c r="N199" i="2"/>
  <c r="J199" i="2" l="1"/>
  <c r="E199" i="2"/>
  <c r="F199" i="2"/>
  <c r="G199" i="2"/>
  <c r="H199" i="2" l="1"/>
  <c r="K199" i="2" l="1"/>
  <c r="L199" i="2" s="1"/>
  <c r="I200" i="2" s="1"/>
  <c r="C200" i="2"/>
  <c r="D200" i="2"/>
  <c r="N200" i="2"/>
  <c r="J200" i="2" l="1"/>
  <c r="E200" i="2"/>
  <c r="F200" i="2"/>
  <c r="G200" i="2"/>
  <c r="H200" i="2" l="1"/>
  <c r="C201" i="2" l="1"/>
  <c r="K200" i="2"/>
  <c r="L200" i="2" s="1"/>
  <c r="I201" i="2" s="1"/>
  <c r="N201" i="2"/>
  <c r="D201" i="2"/>
  <c r="J201" i="2" l="1"/>
  <c r="E201" i="2"/>
  <c r="F201" i="2"/>
  <c r="G201" i="2"/>
  <c r="H201" i="2" l="1"/>
  <c r="C202" i="2" l="1"/>
  <c r="K201" i="2"/>
  <c r="L201" i="2" s="1"/>
  <c r="I202" i="2" s="1"/>
  <c r="N202" i="2"/>
  <c r="D202" i="2"/>
  <c r="J202" i="2" l="1"/>
  <c r="E202" i="2"/>
  <c r="F202" i="2"/>
  <c r="G202" i="2"/>
  <c r="H202" i="2" l="1"/>
  <c r="K202" i="2" l="1"/>
  <c r="L202" i="2" s="1"/>
  <c r="I203" i="2" s="1"/>
  <c r="C203" i="2"/>
  <c r="N203" i="2"/>
  <c r="D203" i="2"/>
  <c r="J203" i="2" l="1"/>
  <c r="E203" i="2"/>
  <c r="F203" i="2"/>
  <c r="G203" i="2"/>
  <c r="H203" i="2" l="1"/>
  <c r="C204" i="2" l="1"/>
  <c r="K203" i="2"/>
  <c r="L203" i="2" s="1"/>
  <c r="I204" i="2" s="1"/>
  <c r="N204" i="2"/>
  <c r="D204" i="2"/>
  <c r="J204" i="2" l="1"/>
  <c r="E204" i="2"/>
  <c r="F204" i="2"/>
  <c r="G204" i="2"/>
  <c r="H204" i="2" l="1"/>
  <c r="C205" i="2" l="1"/>
  <c r="K204" i="2"/>
  <c r="L204" i="2" s="1"/>
  <c r="I205" i="2" s="1"/>
  <c r="D205" i="2"/>
  <c r="N205" i="2"/>
  <c r="J205" i="2" l="1"/>
  <c r="E205" i="2"/>
  <c r="F205" i="2"/>
  <c r="G205" i="2"/>
  <c r="H205" i="2" l="1"/>
  <c r="C206" i="2" l="1"/>
  <c r="K205" i="2"/>
  <c r="L205" i="2" s="1"/>
  <c r="I206" i="2" s="1"/>
  <c r="D206" i="2"/>
  <c r="N206" i="2"/>
  <c r="J206" i="2" l="1"/>
  <c r="E206" i="2"/>
  <c r="F206" i="2"/>
  <c r="G206" i="2"/>
  <c r="H206" i="2" l="1"/>
  <c r="C207" i="2" l="1"/>
  <c r="K206" i="2"/>
  <c r="L206" i="2" s="1"/>
  <c r="I207" i="2" s="1"/>
  <c r="D207" i="2"/>
  <c r="N207" i="2"/>
  <c r="J207" i="2" l="1"/>
  <c r="E207" i="2"/>
  <c r="F207" i="2"/>
  <c r="G207" i="2"/>
  <c r="H207" i="2" l="1"/>
  <c r="K207" i="2" l="1"/>
  <c r="L207" i="2" s="1"/>
  <c r="I208" i="2" s="1"/>
  <c r="C208" i="2"/>
  <c r="D208" i="2"/>
  <c r="N208" i="2"/>
  <c r="J208" i="2" l="1"/>
  <c r="E208" i="2"/>
  <c r="F208" i="2"/>
  <c r="G208" i="2"/>
  <c r="H208" i="2" l="1"/>
  <c r="C209" i="2" l="1"/>
  <c r="K208" i="2"/>
  <c r="L208" i="2" s="1"/>
  <c r="I209" i="2" s="1"/>
  <c r="N209" i="2"/>
  <c r="D209" i="2"/>
  <c r="J209" i="2" l="1"/>
  <c r="E209" i="2"/>
  <c r="F209" i="2"/>
  <c r="G209" i="2"/>
  <c r="H209" i="2" l="1"/>
  <c r="C210" i="2" l="1"/>
  <c r="K209" i="2"/>
  <c r="L209" i="2" s="1"/>
  <c r="I210" i="2" s="1"/>
  <c r="D210" i="2"/>
  <c r="N210" i="2"/>
  <c r="J210" i="2" l="1"/>
  <c r="E210" i="2"/>
  <c r="F210" i="2"/>
  <c r="G210" i="2"/>
  <c r="H210" i="2" l="1"/>
  <c r="C211" i="2" l="1"/>
  <c r="K210" i="2"/>
  <c r="L210" i="2" s="1"/>
  <c r="I211" i="2" s="1"/>
  <c r="D211" i="2"/>
  <c r="N211" i="2"/>
  <c r="J211" i="2" l="1"/>
  <c r="E211" i="2"/>
  <c r="F211" i="2"/>
  <c r="G211" i="2"/>
  <c r="H211" i="2" l="1"/>
  <c r="C212" i="2" l="1"/>
  <c r="K211" i="2"/>
  <c r="L211" i="2" s="1"/>
  <c r="I212" i="2" s="1"/>
  <c r="D212" i="2"/>
  <c r="N212" i="2"/>
  <c r="J212" i="2" l="1"/>
  <c r="E212" i="2"/>
  <c r="F212" i="2"/>
  <c r="G212" i="2"/>
  <c r="H212" i="2" l="1"/>
  <c r="C213" i="2" l="1"/>
  <c r="K212" i="2"/>
  <c r="L212" i="2" s="1"/>
  <c r="I213" i="2" s="1"/>
  <c r="N213" i="2"/>
  <c r="D213" i="2"/>
  <c r="J213" i="2" l="1"/>
  <c r="E213" i="2"/>
  <c r="F213" i="2"/>
  <c r="G213" i="2"/>
  <c r="H213" i="2" l="1"/>
  <c r="K213" i="2" l="1"/>
  <c r="L213" i="2" s="1"/>
  <c r="I214" i="2" s="1"/>
  <c r="C214" i="2"/>
  <c r="D214" i="2"/>
  <c r="N214" i="2"/>
  <c r="J214" i="2" l="1"/>
  <c r="E214" i="2"/>
  <c r="F214" i="2"/>
  <c r="G214" i="2"/>
  <c r="H214" i="2" l="1"/>
  <c r="K214" i="2" l="1"/>
  <c r="L214" i="2" s="1"/>
  <c r="I215" i="2" s="1"/>
  <c r="C215" i="2"/>
  <c r="D215" i="2"/>
  <c r="N215" i="2"/>
  <c r="J215" i="2" l="1"/>
  <c r="E215" i="2"/>
  <c r="F215" i="2"/>
  <c r="G215" i="2"/>
  <c r="H215" i="2" l="1"/>
  <c r="K215" i="2" l="1"/>
  <c r="L215" i="2" s="1"/>
  <c r="I216" i="2" s="1"/>
  <c r="C216" i="2"/>
  <c r="N216" i="2"/>
  <c r="D216" i="2"/>
  <c r="J216" i="2" l="1"/>
  <c r="E216" i="2"/>
  <c r="F216" i="2"/>
  <c r="G216" i="2"/>
  <c r="H216" i="2" l="1"/>
  <c r="K216" i="2" l="1"/>
  <c r="L216" i="2" s="1"/>
  <c r="I217" i="2" s="1"/>
  <c r="C217" i="2"/>
  <c r="D217" i="2"/>
  <c r="N217" i="2"/>
  <c r="J217" i="2" l="1"/>
  <c r="E217" i="2"/>
  <c r="F217" i="2"/>
  <c r="G217" i="2"/>
  <c r="H217" i="2" l="1"/>
  <c r="K217" i="2" l="1"/>
  <c r="L217" i="2" s="1"/>
  <c r="I218" i="2" s="1"/>
  <c r="C218" i="2"/>
  <c r="N218" i="2"/>
  <c r="D218" i="2"/>
  <c r="J218" i="2" l="1"/>
  <c r="E218" i="2"/>
  <c r="F218" i="2"/>
  <c r="G218" i="2"/>
  <c r="H218" i="2" l="1"/>
  <c r="C219" i="2" l="1"/>
  <c r="K218" i="2"/>
  <c r="L218" i="2" s="1"/>
  <c r="I219" i="2" s="1"/>
  <c r="D219" i="2"/>
  <c r="N219" i="2"/>
  <c r="J219" i="2" l="1"/>
  <c r="E219" i="2"/>
  <c r="F219" i="2"/>
  <c r="G219" i="2"/>
  <c r="H219" i="2" l="1"/>
  <c r="C220" i="2" l="1"/>
  <c r="K219" i="2"/>
  <c r="L219" i="2" s="1"/>
  <c r="I220" i="2" s="1"/>
  <c r="N220" i="2"/>
  <c r="D220" i="2"/>
  <c r="J220" i="2" l="1"/>
  <c r="E220" i="2"/>
  <c r="F220" i="2"/>
  <c r="G220" i="2"/>
  <c r="H220" i="2" l="1"/>
  <c r="C221" i="2" l="1"/>
  <c r="K220" i="2"/>
  <c r="L220" i="2" s="1"/>
  <c r="I221" i="2" s="1"/>
  <c r="D221" i="2"/>
  <c r="N221" i="2"/>
  <c r="J221" i="2" l="1"/>
  <c r="E221" i="2"/>
  <c r="F221" i="2"/>
  <c r="G221" i="2"/>
  <c r="H221" i="2" l="1"/>
  <c r="K221" i="2" l="1"/>
  <c r="L221" i="2" s="1"/>
  <c r="I222" i="2" s="1"/>
  <c r="C222" i="2"/>
  <c r="D222" i="2"/>
  <c r="N222" i="2"/>
  <c r="J222" i="2" l="1"/>
  <c r="E222" i="2"/>
  <c r="F222" i="2"/>
  <c r="G222" i="2"/>
  <c r="H222" i="2" l="1"/>
  <c r="K222" i="2" l="1"/>
  <c r="L222" i="2" s="1"/>
  <c r="I223" i="2" s="1"/>
  <c r="C223" i="2"/>
  <c r="N223" i="2"/>
  <c r="D223" i="2"/>
  <c r="J223" i="2" l="1"/>
  <c r="E223" i="2"/>
  <c r="F223" i="2"/>
  <c r="G223" i="2"/>
  <c r="H223" i="2" l="1"/>
  <c r="K223" i="2" l="1"/>
  <c r="L223" i="2" s="1"/>
  <c r="I224" i="2" s="1"/>
  <c r="C224" i="2"/>
  <c r="N224" i="2"/>
  <c r="D224" i="2"/>
  <c r="J224" i="2" l="1"/>
  <c r="E224" i="2"/>
  <c r="F224" i="2"/>
  <c r="G224" i="2"/>
  <c r="H224" i="2" l="1"/>
  <c r="K224" i="2" l="1"/>
  <c r="L224" i="2" s="1"/>
  <c r="I225" i="2" s="1"/>
  <c r="C225" i="2"/>
  <c r="N225" i="2"/>
  <c r="D225" i="2"/>
  <c r="J225" i="2" l="1"/>
  <c r="E225" i="2"/>
  <c r="F225" i="2"/>
  <c r="G225" i="2"/>
  <c r="H225" i="2" l="1"/>
  <c r="C226" i="2" l="1"/>
  <c r="K225" i="2"/>
  <c r="L225" i="2" s="1"/>
  <c r="I226" i="2" s="1"/>
  <c r="N226" i="2"/>
  <c r="D226" i="2"/>
  <c r="J226" i="2" l="1"/>
  <c r="E226" i="2"/>
  <c r="F226" i="2"/>
  <c r="G226" i="2"/>
  <c r="H226" i="2" l="1"/>
  <c r="K226" i="2" l="1"/>
  <c r="L226" i="2" s="1"/>
  <c r="I227" i="2" s="1"/>
  <c r="C227" i="2"/>
  <c r="D227" i="2"/>
  <c r="N227" i="2"/>
  <c r="J227" i="2" l="1"/>
  <c r="E227" i="2"/>
  <c r="F227" i="2"/>
  <c r="G227" i="2"/>
  <c r="H227" i="2" l="1"/>
  <c r="C228" i="2" l="1"/>
  <c r="K227" i="2"/>
  <c r="L227" i="2" s="1"/>
  <c r="I228" i="2" s="1"/>
  <c r="D228" i="2"/>
  <c r="N228" i="2"/>
  <c r="J228" i="2" l="1"/>
  <c r="E228" i="2"/>
  <c r="F228" i="2"/>
  <c r="G228" i="2"/>
  <c r="H228" i="2" l="1"/>
  <c r="C229" i="2" l="1"/>
  <c r="K228" i="2"/>
  <c r="L228" i="2" s="1"/>
  <c r="I229" i="2" s="1"/>
  <c r="N229" i="2"/>
  <c r="D229" i="2"/>
  <c r="J229" i="2" l="1"/>
  <c r="E229" i="2"/>
  <c r="F229" i="2"/>
  <c r="G229" i="2"/>
  <c r="H229" i="2" l="1"/>
  <c r="K229" i="2" l="1"/>
  <c r="L229" i="2" s="1"/>
  <c r="I230" i="2" s="1"/>
  <c r="C230" i="2"/>
  <c r="D230" i="2"/>
  <c r="N230" i="2"/>
  <c r="J230" i="2" l="1"/>
  <c r="E230" i="2"/>
  <c r="F230" i="2"/>
  <c r="G230" i="2"/>
  <c r="H230" i="2" l="1"/>
  <c r="K230" i="2" l="1"/>
  <c r="L230" i="2" s="1"/>
  <c r="I231" i="2" s="1"/>
  <c r="C231" i="2"/>
  <c r="N231" i="2"/>
  <c r="D231" i="2"/>
  <c r="J231" i="2" l="1"/>
  <c r="E231" i="2"/>
  <c r="F231" i="2"/>
  <c r="G231" i="2"/>
  <c r="H231" i="2" l="1"/>
  <c r="K231" i="2" l="1"/>
  <c r="L231" i="2" s="1"/>
  <c r="I232" i="2" s="1"/>
  <c r="C232" i="2"/>
  <c r="N232" i="2"/>
  <c r="D232" i="2"/>
  <c r="J232" i="2" l="1"/>
  <c r="E232" i="2"/>
  <c r="F232" i="2"/>
  <c r="G232" i="2"/>
  <c r="H232" i="2" l="1"/>
  <c r="K232" i="2" l="1"/>
  <c r="L232" i="2" s="1"/>
  <c r="I233" i="2" s="1"/>
  <c r="C233" i="2"/>
  <c r="N233" i="2"/>
  <c r="D233" i="2"/>
  <c r="J233" i="2" l="1"/>
  <c r="E233" i="2"/>
  <c r="F233" i="2"/>
  <c r="G233" i="2"/>
  <c r="H233" i="2" l="1"/>
  <c r="C234" i="2" l="1"/>
  <c r="K233" i="2"/>
  <c r="L233" i="2" s="1"/>
  <c r="I234" i="2" s="1"/>
  <c r="D234" i="2"/>
  <c r="N234" i="2"/>
  <c r="J234" i="2" l="1"/>
  <c r="E234" i="2"/>
  <c r="F234" i="2"/>
  <c r="G234" i="2"/>
  <c r="H234" i="2" l="1"/>
  <c r="K234" i="2" l="1"/>
  <c r="L234" i="2" s="1"/>
  <c r="I235" i="2" s="1"/>
  <c r="C235" i="2"/>
  <c r="N235" i="2"/>
  <c r="D235" i="2"/>
  <c r="J235" i="2" l="1"/>
  <c r="E235" i="2"/>
  <c r="F235" i="2"/>
  <c r="G235" i="2"/>
  <c r="H235" i="2" l="1"/>
  <c r="C236" i="2" l="1"/>
  <c r="K235" i="2"/>
  <c r="L235" i="2" s="1"/>
  <c r="I236" i="2" s="1"/>
  <c r="D236" i="2"/>
  <c r="N236" i="2"/>
  <c r="J236" i="2" l="1"/>
  <c r="E236" i="2"/>
  <c r="F236" i="2"/>
  <c r="G236" i="2"/>
  <c r="H236" i="2" l="1"/>
  <c r="C237" i="2" l="1"/>
  <c r="K236" i="2"/>
  <c r="L236" i="2" s="1"/>
  <c r="I237" i="2" s="1"/>
  <c r="N237" i="2"/>
  <c r="D237" i="2"/>
  <c r="J237" i="2" l="1"/>
  <c r="E237" i="2"/>
  <c r="F237" i="2"/>
  <c r="G237" i="2"/>
  <c r="H237" i="2" l="1"/>
  <c r="C238" i="2" l="1"/>
  <c r="K237" i="2"/>
  <c r="L237" i="2" s="1"/>
  <c r="I238" i="2" s="1"/>
  <c r="D238" i="2"/>
  <c r="N238" i="2"/>
  <c r="J238" i="2" l="1"/>
  <c r="E238" i="2"/>
  <c r="F238" i="2"/>
  <c r="G238" i="2"/>
  <c r="H238" i="2" l="1"/>
  <c r="K238" i="2" l="1"/>
  <c r="L238" i="2" s="1"/>
  <c r="I239" i="2" s="1"/>
  <c r="C239" i="2"/>
  <c r="N239" i="2"/>
  <c r="D239" i="2"/>
  <c r="J239" i="2" l="1"/>
  <c r="E239" i="2"/>
  <c r="F239" i="2"/>
  <c r="G239" i="2"/>
  <c r="H239" i="2" l="1"/>
  <c r="C240" i="2" l="1"/>
  <c r="K239" i="2"/>
  <c r="L239" i="2" s="1"/>
  <c r="I240" i="2" s="1"/>
  <c r="D240" i="2"/>
  <c r="N240" i="2"/>
  <c r="J240" i="2" l="1"/>
  <c r="E240" i="2"/>
  <c r="F240" i="2"/>
  <c r="G240" i="2"/>
  <c r="H240" i="2" l="1"/>
  <c r="K240" i="2" l="1"/>
  <c r="L240" i="2" s="1"/>
  <c r="I241" i="2" s="1"/>
  <c r="C241" i="2"/>
  <c r="N241" i="2"/>
  <c r="D241" i="2"/>
  <c r="J241" i="2" l="1"/>
  <c r="E241" i="2"/>
  <c r="F241" i="2"/>
  <c r="G241" i="2"/>
  <c r="H241" i="2" l="1"/>
  <c r="C242" i="2" l="1"/>
  <c r="K241" i="2"/>
  <c r="L241" i="2" s="1"/>
  <c r="I242" i="2" s="1"/>
  <c r="D242" i="2"/>
  <c r="N242" i="2"/>
  <c r="J242" i="2" l="1"/>
  <c r="E242" i="2"/>
  <c r="F242" i="2"/>
  <c r="G242" i="2"/>
  <c r="H242" i="2" l="1"/>
  <c r="K242" i="2" l="1"/>
  <c r="L242" i="2" s="1"/>
  <c r="I243" i="2" s="1"/>
  <c r="C243" i="2"/>
  <c r="N243" i="2"/>
  <c r="D243" i="2"/>
  <c r="J243" i="2" l="1"/>
  <c r="E243" i="2"/>
  <c r="F243" i="2"/>
  <c r="G243" i="2"/>
  <c r="H243" i="2" l="1"/>
  <c r="K243" i="2" l="1"/>
  <c r="L243" i="2" s="1"/>
  <c r="I244" i="2" s="1"/>
  <c r="C244" i="2"/>
  <c r="D244" i="2"/>
  <c r="N244" i="2"/>
  <c r="J244" i="2" l="1"/>
  <c r="E244" i="2"/>
  <c r="F244" i="2"/>
  <c r="G244" i="2"/>
  <c r="H244" i="2" l="1"/>
  <c r="C245" i="2" l="1"/>
  <c r="K244" i="2"/>
  <c r="L244" i="2" s="1"/>
  <c r="I245" i="2" s="1"/>
  <c r="N245" i="2"/>
  <c r="D245" i="2"/>
  <c r="J245" i="2" l="1"/>
  <c r="E245" i="2"/>
  <c r="F245" i="2"/>
  <c r="G245" i="2"/>
  <c r="H245" i="2" l="1"/>
  <c r="C246" i="2" l="1"/>
  <c r="K245" i="2"/>
  <c r="L245" i="2" s="1"/>
  <c r="I246" i="2" s="1"/>
  <c r="N246" i="2"/>
  <c r="D246" i="2"/>
  <c r="J246" i="2" l="1"/>
  <c r="E246" i="2"/>
  <c r="F246" i="2"/>
  <c r="G246" i="2"/>
  <c r="H246" i="2" l="1"/>
  <c r="K246" i="2" l="1"/>
  <c r="L246" i="2" s="1"/>
  <c r="I247" i="2" s="1"/>
  <c r="C247" i="2"/>
  <c r="N247" i="2"/>
  <c r="D247" i="2"/>
  <c r="J247" i="2" l="1"/>
  <c r="E247" i="2"/>
  <c r="F247" i="2"/>
  <c r="G247" i="2"/>
  <c r="H247" i="2" l="1"/>
  <c r="C248" i="2" l="1"/>
  <c r="K247" i="2"/>
  <c r="L247" i="2" s="1"/>
  <c r="I248" i="2" s="1"/>
  <c r="N248" i="2"/>
  <c r="D248" i="2"/>
  <c r="J248" i="2" l="1"/>
  <c r="E248" i="2"/>
  <c r="F248" i="2"/>
  <c r="G248" i="2"/>
  <c r="H248" i="2" l="1"/>
  <c r="K248" i="2" l="1"/>
  <c r="L248" i="2" s="1"/>
  <c r="I249" i="2" s="1"/>
  <c r="C249" i="2"/>
  <c r="D249" i="2"/>
  <c r="N249" i="2"/>
  <c r="J249" i="2" l="1"/>
  <c r="E249" i="2"/>
  <c r="F249" i="2"/>
  <c r="G249" i="2"/>
  <c r="H249" i="2" l="1"/>
  <c r="C250" i="2" l="1"/>
  <c r="K249" i="2"/>
  <c r="L249" i="2" s="1"/>
  <c r="I250" i="2" s="1"/>
  <c r="D250" i="2"/>
  <c r="N250" i="2"/>
  <c r="J250" i="2" l="1"/>
  <c r="E250" i="2"/>
  <c r="F250" i="2"/>
  <c r="G250" i="2"/>
  <c r="H250" i="2" l="1"/>
  <c r="K250" i="2" l="1"/>
  <c r="L250" i="2" s="1"/>
  <c r="I251" i="2" s="1"/>
  <c r="C251" i="2"/>
  <c r="D251" i="2"/>
  <c r="N251" i="2"/>
  <c r="J251" i="2" l="1"/>
  <c r="E251" i="2"/>
  <c r="F251" i="2"/>
  <c r="G251" i="2"/>
  <c r="H251" i="2" l="1"/>
  <c r="K251" i="2" l="1"/>
  <c r="L251" i="2" s="1"/>
  <c r="I252" i="2" s="1"/>
  <c r="C252" i="2"/>
  <c r="D252" i="2"/>
  <c r="N252" i="2"/>
  <c r="J252" i="2" l="1"/>
  <c r="E252" i="2"/>
  <c r="F252" i="2"/>
  <c r="G252" i="2"/>
  <c r="H252" i="2" l="1"/>
  <c r="K252" i="2" l="1"/>
  <c r="L252" i="2" s="1"/>
  <c r="I253" i="2" s="1"/>
  <c r="C253" i="2"/>
  <c r="N253" i="2"/>
  <c r="D253" i="2"/>
  <c r="J253" i="2" l="1"/>
  <c r="E253" i="2"/>
  <c r="F253" i="2"/>
  <c r="G253" i="2"/>
  <c r="H253" i="2" l="1"/>
  <c r="C254" i="2" l="1"/>
  <c r="K253" i="2"/>
  <c r="L253" i="2" s="1"/>
  <c r="I254" i="2" s="1"/>
  <c r="D254" i="2"/>
  <c r="N254" i="2"/>
  <c r="J254" i="2" l="1"/>
  <c r="E254" i="2"/>
  <c r="F254" i="2"/>
  <c r="G254" i="2"/>
  <c r="H254" i="2" l="1"/>
  <c r="C255" i="2" l="1"/>
  <c r="K254" i="2"/>
  <c r="L254" i="2" s="1"/>
  <c r="I255" i="2" s="1"/>
  <c r="N255" i="2"/>
  <c r="D255" i="2"/>
  <c r="J255" i="2" l="1"/>
  <c r="E255" i="2"/>
  <c r="F255" i="2"/>
  <c r="G255" i="2"/>
  <c r="H255" i="2" l="1"/>
  <c r="C256" i="2" l="1"/>
  <c r="K255" i="2"/>
  <c r="L255" i="2" s="1"/>
  <c r="I256" i="2" s="1"/>
  <c r="D256" i="2"/>
  <c r="N256" i="2"/>
  <c r="J256" i="2" l="1"/>
  <c r="E256" i="2"/>
  <c r="F256" i="2"/>
  <c r="G256" i="2"/>
  <c r="H256" i="2" l="1"/>
  <c r="K256" i="2" l="1"/>
  <c r="L256" i="2" s="1"/>
  <c r="I257" i="2" s="1"/>
  <c r="C257" i="2"/>
  <c r="N257" i="2"/>
  <c r="D257" i="2"/>
  <c r="J257" i="2" l="1"/>
  <c r="E257" i="2"/>
  <c r="F257" i="2"/>
  <c r="G257" i="2"/>
  <c r="H257" i="2" l="1"/>
  <c r="C258" i="2" l="1"/>
  <c r="K257" i="2"/>
  <c r="L257" i="2" s="1"/>
  <c r="I258" i="2" s="1"/>
  <c r="D258" i="2"/>
  <c r="N258" i="2"/>
  <c r="J258" i="2" l="1"/>
  <c r="E258" i="2"/>
  <c r="F258" i="2"/>
  <c r="G258" i="2"/>
  <c r="H258" i="2" l="1"/>
  <c r="K258" i="2" l="1"/>
  <c r="L258" i="2" s="1"/>
  <c r="I259" i="2" s="1"/>
  <c r="C259" i="2"/>
  <c r="N259" i="2"/>
  <c r="D259" i="2"/>
  <c r="J259" i="2" l="1"/>
  <c r="E259" i="2"/>
  <c r="F259" i="2"/>
  <c r="G259" i="2"/>
  <c r="H259" i="2" l="1"/>
  <c r="K259" i="2" l="1"/>
  <c r="L259" i="2" s="1"/>
  <c r="I260" i="2" s="1"/>
  <c r="C260" i="2"/>
  <c r="N260" i="2"/>
  <c r="D260" i="2"/>
  <c r="J260" i="2" l="1"/>
  <c r="E260" i="2"/>
  <c r="F260" i="2"/>
  <c r="G260" i="2"/>
  <c r="H260" i="2" l="1"/>
  <c r="K260" i="2" l="1"/>
  <c r="L260" i="2" s="1"/>
  <c r="I261" i="2" s="1"/>
  <c r="C261" i="2"/>
  <c r="N261" i="2"/>
  <c r="D261" i="2"/>
  <c r="J261" i="2" l="1"/>
  <c r="E261" i="2"/>
  <c r="F261" i="2"/>
  <c r="G261" i="2"/>
  <c r="H261" i="2" l="1"/>
  <c r="C262" i="2" l="1"/>
  <c r="K261" i="2"/>
  <c r="L261" i="2" s="1"/>
  <c r="I262" i="2" s="1"/>
  <c r="D262" i="2"/>
  <c r="N262" i="2"/>
  <c r="J262" i="2" l="1"/>
  <c r="E262" i="2"/>
  <c r="F262" i="2"/>
  <c r="G262" i="2"/>
  <c r="H262" i="2" l="1"/>
  <c r="K262" i="2" l="1"/>
  <c r="L262" i="2" s="1"/>
  <c r="I263" i="2" s="1"/>
  <c r="C263" i="2"/>
  <c r="N263" i="2"/>
  <c r="D263" i="2"/>
  <c r="J263" i="2" l="1"/>
  <c r="E263" i="2"/>
  <c r="F263" i="2"/>
  <c r="G263" i="2"/>
  <c r="H263" i="2" l="1"/>
  <c r="C264" i="2" l="1"/>
  <c r="K263" i="2"/>
  <c r="L263" i="2" s="1"/>
  <c r="I264" i="2" s="1"/>
  <c r="D264" i="2"/>
  <c r="N264" i="2"/>
  <c r="J264" i="2" l="1"/>
  <c r="E264" i="2"/>
  <c r="F264" i="2"/>
  <c r="G264" i="2"/>
  <c r="H264" i="2" l="1"/>
  <c r="K264" i="2" l="1"/>
  <c r="L264" i="2" s="1"/>
  <c r="I265" i="2" s="1"/>
  <c r="C265" i="2"/>
  <c r="N265" i="2"/>
  <c r="D265" i="2"/>
  <c r="J265" i="2" l="1"/>
  <c r="E265" i="2"/>
  <c r="F265" i="2"/>
  <c r="G265" i="2"/>
  <c r="H265" i="2" l="1"/>
  <c r="C266" i="2" l="1"/>
  <c r="K265" i="2"/>
  <c r="L265" i="2" s="1"/>
  <c r="I266" i="2" s="1"/>
  <c r="N266" i="2"/>
  <c r="D266" i="2"/>
  <c r="J266" i="2" l="1"/>
  <c r="E266" i="2"/>
  <c r="F266" i="2"/>
  <c r="G266" i="2"/>
  <c r="H266" i="2" l="1"/>
  <c r="K266" i="2" l="1"/>
  <c r="L266" i="2" s="1"/>
  <c r="I267" i="2" s="1"/>
  <c r="C267" i="2"/>
  <c r="N267" i="2"/>
  <c r="D267" i="2"/>
  <c r="J267" i="2" l="1"/>
  <c r="E267" i="2"/>
  <c r="F267" i="2"/>
  <c r="G267" i="2"/>
  <c r="H267" i="2" l="1"/>
  <c r="K267" i="2" l="1"/>
  <c r="L267" i="2" s="1"/>
  <c r="I268" i="2" s="1"/>
  <c r="C268" i="2"/>
  <c r="N268" i="2"/>
  <c r="D268" i="2"/>
  <c r="J268" i="2" l="1"/>
  <c r="E268" i="2"/>
  <c r="F268" i="2"/>
  <c r="G268" i="2"/>
  <c r="H268" i="2" l="1"/>
  <c r="C269" i="2" l="1"/>
  <c r="K268" i="2"/>
  <c r="L268" i="2" s="1"/>
  <c r="I269" i="2" s="1"/>
  <c r="N269" i="2"/>
  <c r="D269" i="2"/>
  <c r="J269" i="2" l="1"/>
  <c r="E269" i="2"/>
  <c r="F269" i="2"/>
  <c r="G269" i="2"/>
  <c r="H269" i="2" l="1"/>
  <c r="K269" i="2" l="1"/>
  <c r="L269" i="2" s="1"/>
  <c r="I270" i="2" s="1"/>
  <c r="C270" i="2"/>
  <c r="D270" i="2"/>
  <c r="N270" i="2"/>
  <c r="J270" i="2" l="1"/>
  <c r="E270" i="2"/>
  <c r="F270" i="2"/>
  <c r="G270" i="2"/>
  <c r="H270" i="2" l="1"/>
  <c r="C271" i="2" l="1"/>
  <c r="K270" i="2"/>
  <c r="L270" i="2" s="1"/>
  <c r="I271" i="2" s="1"/>
  <c r="N271" i="2"/>
  <c r="D271" i="2"/>
  <c r="J271" i="2" l="1"/>
  <c r="E271" i="2"/>
  <c r="F271" i="2"/>
  <c r="G271" i="2"/>
  <c r="H271" i="2" l="1"/>
  <c r="C272" i="2" l="1"/>
  <c r="K271" i="2"/>
  <c r="L271" i="2" s="1"/>
  <c r="I272" i="2" s="1"/>
  <c r="N272" i="2"/>
  <c r="D272" i="2"/>
  <c r="J272" i="2" l="1"/>
  <c r="E272" i="2"/>
  <c r="F272" i="2"/>
  <c r="G272" i="2"/>
  <c r="H272" i="2" l="1"/>
  <c r="K272" i="2" l="1"/>
  <c r="L272" i="2" s="1"/>
  <c r="I273" i="2" s="1"/>
  <c r="C273" i="2"/>
  <c r="N273" i="2"/>
  <c r="D273" i="2"/>
  <c r="J273" i="2" l="1"/>
  <c r="E273" i="2"/>
  <c r="F273" i="2"/>
  <c r="G273" i="2"/>
  <c r="H273" i="2" l="1"/>
  <c r="C274" i="2" l="1"/>
  <c r="K273" i="2"/>
  <c r="L273" i="2" s="1"/>
  <c r="I274" i="2" s="1"/>
  <c r="N274" i="2"/>
  <c r="D274" i="2"/>
  <c r="J274" i="2" l="1"/>
  <c r="E274" i="2"/>
  <c r="F274" i="2"/>
  <c r="G274" i="2"/>
  <c r="H274" i="2" l="1"/>
  <c r="K274" i="2" l="1"/>
  <c r="L274" i="2" s="1"/>
  <c r="I275" i="2" s="1"/>
  <c r="C275" i="2"/>
  <c r="N275" i="2"/>
  <c r="D275" i="2"/>
  <c r="J275" i="2" l="1"/>
  <c r="E275" i="2"/>
  <c r="F275" i="2"/>
  <c r="G275" i="2"/>
  <c r="H275" i="2" l="1"/>
  <c r="C276" i="2" l="1"/>
  <c r="K275" i="2"/>
  <c r="L275" i="2" s="1"/>
  <c r="I276" i="2" s="1"/>
  <c r="D276" i="2"/>
  <c r="N276" i="2"/>
  <c r="J276" i="2" l="1"/>
  <c r="E276" i="2"/>
  <c r="F276" i="2"/>
  <c r="G276" i="2"/>
  <c r="H276" i="2" l="1"/>
  <c r="K276" i="2" l="1"/>
  <c r="L276" i="2" s="1"/>
  <c r="I277" i="2" s="1"/>
  <c r="C277" i="2"/>
  <c r="D277" i="2"/>
  <c r="N277" i="2"/>
  <c r="J277" i="2" l="1"/>
  <c r="E277" i="2"/>
  <c r="F277" i="2"/>
  <c r="G277" i="2"/>
  <c r="H277" i="2" l="1"/>
  <c r="K277" i="2" l="1"/>
  <c r="L277" i="2" s="1"/>
  <c r="I278" i="2" s="1"/>
  <c r="C278" i="2"/>
  <c r="N278" i="2"/>
  <c r="D278" i="2"/>
  <c r="J278" i="2" l="1"/>
  <c r="E278" i="2"/>
  <c r="F278" i="2"/>
  <c r="G278" i="2"/>
  <c r="H278" i="2" l="1"/>
  <c r="C279" i="2" l="1"/>
  <c r="K278" i="2"/>
  <c r="L278" i="2" s="1"/>
  <c r="I279" i="2" s="1"/>
  <c r="N279" i="2"/>
  <c r="D279" i="2"/>
  <c r="J279" i="2" l="1"/>
  <c r="E279" i="2"/>
  <c r="F279" i="2"/>
  <c r="G279" i="2"/>
  <c r="H279" i="2" l="1"/>
  <c r="C280" i="2" l="1"/>
  <c r="K279" i="2"/>
  <c r="L279" i="2" s="1"/>
  <c r="I280" i="2" s="1"/>
  <c r="D280" i="2"/>
  <c r="N280" i="2"/>
  <c r="J280" i="2" l="1"/>
  <c r="E280" i="2"/>
  <c r="F280" i="2"/>
  <c r="G280" i="2"/>
  <c r="H280" i="2" l="1"/>
  <c r="C281" i="2" l="1"/>
  <c r="K280" i="2"/>
  <c r="L280" i="2" s="1"/>
  <c r="I281" i="2" s="1"/>
  <c r="N281" i="2"/>
  <c r="D281" i="2"/>
  <c r="J281" i="2" l="1"/>
  <c r="E281" i="2"/>
  <c r="F281" i="2"/>
  <c r="G281" i="2"/>
  <c r="H281" i="2" l="1"/>
  <c r="C282" i="2" l="1"/>
  <c r="K281" i="2"/>
  <c r="L281" i="2" s="1"/>
  <c r="I282" i="2" s="1"/>
  <c r="N282" i="2"/>
  <c r="D282" i="2"/>
  <c r="J282" i="2" l="1"/>
  <c r="E282" i="2"/>
  <c r="F282" i="2"/>
  <c r="G282" i="2"/>
  <c r="H282" i="2" l="1"/>
  <c r="C283" i="2" l="1"/>
  <c r="K282" i="2"/>
  <c r="L282" i="2" s="1"/>
  <c r="I283" i="2" s="1"/>
  <c r="D283" i="2"/>
  <c r="N283" i="2"/>
  <c r="J283" i="2" l="1"/>
  <c r="E283" i="2"/>
  <c r="F283" i="2"/>
  <c r="G283" i="2"/>
  <c r="H283" i="2" l="1"/>
  <c r="C284" i="2" l="1"/>
  <c r="K283" i="2"/>
  <c r="L283" i="2" s="1"/>
  <c r="I284" i="2" s="1"/>
  <c r="N284" i="2"/>
  <c r="D284" i="2"/>
  <c r="J284" i="2" l="1"/>
  <c r="E284" i="2"/>
  <c r="F284" i="2"/>
  <c r="G284" i="2"/>
  <c r="H284" i="2" l="1"/>
  <c r="K284" i="2" l="1"/>
  <c r="L284" i="2" s="1"/>
  <c r="I285" i="2" s="1"/>
  <c r="C285" i="2"/>
  <c r="D285" i="2"/>
  <c r="N285" i="2"/>
  <c r="J285" i="2" l="1"/>
  <c r="E285" i="2"/>
  <c r="F285" i="2"/>
  <c r="G285" i="2"/>
  <c r="H285" i="2" l="1"/>
  <c r="C286" i="2" l="1"/>
  <c r="K285" i="2"/>
  <c r="L285" i="2" s="1"/>
  <c r="I286" i="2" s="1"/>
  <c r="D286" i="2"/>
  <c r="N286" i="2"/>
  <c r="J286" i="2" l="1"/>
  <c r="E286" i="2"/>
  <c r="F286" i="2"/>
  <c r="G286" i="2"/>
  <c r="H286" i="2" l="1"/>
  <c r="K286" i="2" l="1"/>
  <c r="L286" i="2" s="1"/>
  <c r="I287" i="2" s="1"/>
  <c r="C287" i="2"/>
  <c r="D287" i="2"/>
  <c r="N287" i="2"/>
  <c r="J287" i="2" l="1"/>
  <c r="E287" i="2"/>
  <c r="F287" i="2"/>
  <c r="G287" i="2"/>
  <c r="H287" i="2" l="1"/>
  <c r="C288" i="2" l="1"/>
  <c r="K287" i="2"/>
  <c r="L287" i="2" s="1"/>
  <c r="I288" i="2" s="1"/>
  <c r="D288" i="2"/>
  <c r="N288" i="2"/>
  <c r="J288" i="2" l="1"/>
  <c r="E288" i="2"/>
  <c r="F288" i="2"/>
  <c r="G288" i="2"/>
  <c r="H288" i="2" l="1"/>
  <c r="C289" i="2" l="1"/>
  <c r="K288" i="2"/>
  <c r="L288" i="2" s="1"/>
  <c r="I289" i="2" s="1"/>
  <c r="N289" i="2"/>
  <c r="D289" i="2"/>
  <c r="J289" i="2" l="1"/>
  <c r="E289" i="2"/>
  <c r="F289" i="2"/>
  <c r="G289" i="2"/>
  <c r="H289" i="2" l="1"/>
  <c r="K289" i="2" l="1"/>
  <c r="L289" i="2" s="1"/>
  <c r="I290" i="2" s="1"/>
  <c r="C290" i="2"/>
  <c r="N290" i="2"/>
  <c r="D290" i="2"/>
  <c r="J290" i="2" l="1"/>
  <c r="E290" i="2"/>
  <c r="F290" i="2"/>
  <c r="G290" i="2"/>
  <c r="H290" i="2" l="1"/>
  <c r="C291" i="2" l="1"/>
  <c r="K290" i="2"/>
  <c r="L290" i="2" s="1"/>
  <c r="I291" i="2" s="1"/>
  <c r="D291" i="2"/>
  <c r="N291" i="2"/>
  <c r="J291" i="2" l="1"/>
  <c r="E291" i="2"/>
  <c r="F291" i="2"/>
  <c r="G291" i="2"/>
  <c r="H291" i="2" l="1"/>
  <c r="C292" i="2" l="1"/>
  <c r="K291" i="2"/>
  <c r="L291" i="2" s="1"/>
  <c r="I292" i="2" s="1"/>
  <c r="N292" i="2"/>
  <c r="D292" i="2"/>
  <c r="J292" i="2" l="1"/>
  <c r="E292" i="2"/>
  <c r="F292" i="2"/>
  <c r="G292" i="2"/>
  <c r="H292" i="2" l="1"/>
  <c r="C293" i="2" l="1"/>
  <c r="K292" i="2"/>
  <c r="L292" i="2" s="1"/>
  <c r="I293" i="2" s="1"/>
  <c r="D293" i="2"/>
  <c r="N293" i="2"/>
  <c r="J293" i="2" l="1"/>
  <c r="E293" i="2"/>
  <c r="F293" i="2"/>
  <c r="G293" i="2"/>
  <c r="H293" i="2" l="1"/>
  <c r="K293" i="2" l="1"/>
  <c r="L293" i="2" s="1"/>
  <c r="I294" i="2" s="1"/>
  <c r="C294" i="2"/>
  <c r="D294" i="2"/>
  <c r="N294" i="2"/>
  <c r="J294" i="2" l="1"/>
  <c r="E294" i="2"/>
  <c r="F294" i="2"/>
  <c r="G294" i="2"/>
  <c r="H294" i="2" l="1"/>
  <c r="K294" i="2" l="1"/>
  <c r="L294" i="2" s="1"/>
  <c r="I295" i="2" s="1"/>
  <c r="C295" i="2"/>
  <c r="D295" i="2"/>
  <c r="N295" i="2"/>
  <c r="J295" i="2" l="1"/>
  <c r="E295" i="2"/>
  <c r="F295" i="2"/>
  <c r="G295" i="2"/>
  <c r="H295" i="2" l="1"/>
  <c r="K295" i="2" l="1"/>
  <c r="L295" i="2" s="1"/>
  <c r="I296" i="2" s="1"/>
  <c r="C296" i="2"/>
  <c r="N296" i="2"/>
  <c r="D296" i="2"/>
  <c r="J296" i="2" l="1"/>
  <c r="E296" i="2"/>
  <c r="F296" i="2"/>
  <c r="G296" i="2"/>
  <c r="H296" i="2" l="1"/>
  <c r="K296" i="2" l="1"/>
  <c r="L296" i="2" s="1"/>
  <c r="I297" i="2" s="1"/>
  <c r="C297" i="2"/>
  <c r="D297" i="2"/>
  <c r="N297" i="2"/>
  <c r="J297" i="2" l="1"/>
  <c r="E297" i="2"/>
  <c r="F297" i="2"/>
  <c r="G297" i="2"/>
  <c r="H297" i="2" l="1"/>
  <c r="K297" i="2" l="1"/>
  <c r="L297" i="2" s="1"/>
  <c r="I298" i="2" s="1"/>
  <c r="C298" i="2"/>
  <c r="N298" i="2"/>
  <c r="D298" i="2"/>
  <c r="J298" i="2" l="1"/>
  <c r="E298" i="2"/>
  <c r="F298" i="2"/>
  <c r="G298" i="2"/>
  <c r="H298" i="2" l="1"/>
  <c r="C299" i="2" l="1"/>
  <c r="K298" i="2"/>
  <c r="L298" i="2" s="1"/>
  <c r="I299" i="2" s="1"/>
  <c r="D299" i="2"/>
  <c r="N299" i="2"/>
  <c r="J299" i="2" l="1"/>
  <c r="E299" i="2"/>
  <c r="F299" i="2"/>
  <c r="G299" i="2"/>
  <c r="H299" i="2" l="1"/>
  <c r="K299" i="2" l="1"/>
  <c r="L299" i="2" s="1"/>
  <c r="I300" i="2" s="1"/>
  <c r="C300" i="2"/>
  <c r="N300" i="2"/>
  <c r="D300" i="2"/>
  <c r="J300" i="2" l="1"/>
  <c r="E300" i="2"/>
  <c r="F300" i="2"/>
  <c r="G300" i="2"/>
  <c r="H300" i="2" l="1"/>
  <c r="K300" i="2" l="1"/>
  <c r="L300" i="2" s="1"/>
  <c r="I301" i="2" s="1"/>
  <c r="C301" i="2"/>
  <c r="D301" i="2"/>
  <c r="N301" i="2"/>
  <c r="J301" i="2" l="1"/>
  <c r="E301" i="2"/>
  <c r="F301" i="2"/>
  <c r="G301" i="2"/>
  <c r="H301" i="2" l="1"/>
  <c r="C302" i="2" l="1"/>
  <c r="K301" i="2"/>
  <c r="L301" i="2" s="1"/>
  <c r="I302" i="2" s="1"/>
  <c r="N302" i="2"/>
  <c r="D302" i="2"/>
  <c r="J302" i="2" l="1"/>
  <c r="E302" i="2"/>
  <c r="F302" i="2"/>
  <c r="G302" i="2"/>
  <c r="H302" i="2" l="1"/>
  <c r="K302" i="2" l="1"/>
  <c r="L302" i="2" s="1"/>
  <c r="I303" i="2" s="1"/>
  <c r="C303" i="2"/>
  <c r="D303" i="2"/>
  <c r="N303" i="2"/>
  <c r="J303" i="2" l="1"/>
  <c r="E303" i="2"/>
  <c r="F303" i="2"/>
  <c r="G303" i="2"/>
  <c r="H303" i="2" l="1"/>
  <c r="C304" i="2" l="1"/>
  <c r="K303" i="2"/>
  <c r="L303" i="2" s="1"/>
  <c r="I304" i="2" s="1"/>
  <c r="N304" i="2"/>
  <c r="D304" i="2"/>
  <c r="J304" i="2" l="1"/>
  <c r="E304" i="2"/>
  <c r="F304" i="2"/>
  <c r="G304" i="2"/>
  <c r="H304" i="2" l="1"/>
  <c r="K304" i="2" l="1"/>
  <c r="L304" i="2" s="1"/>
  <c r="I305" i="2" s="1"/>
  <c r="C305" i="2"/>
  <c r="D305" i="2"/>
  <c r="N305" i="2"/>
  <c r="J305" i="2" l="1"/>
  <c r="E305" i="2"/>
  <c r="F305" i="2"/>
  <c r="G305" i="2"/>
  <c r="H305" i="2" l="1"/>
  <c r="C306" i="2" l="1"/>
  <c r="K305" i="2"/>
  <c r="L305" i="2" s="1"/>
  <c r="I306" i="2" s="1"/>
  <c r="N306" i="2"/>
  <c r="D306" i="2"/>
  <c r="J306" i="2" l="1"/>
  <c r="E306" i="2"/>
  <c r="F306" i="2"/>
  <c r="G306" i="2"/>
  <c r="H306" i="2" l="1"/>
  <c r="K306" i="2" l="1"/>
  <c r="L306" i="2" s="1"/>
  <c r="I307" i="2" s="1"/>
  <c r="C307" i="2"/>
  <c r="D307" i="2"/>
  <c r="N307" i="2"/>
  <c r="J307" i="2" l="1"/>
  <c r="E307" i="2"/>
  <c r="F307" i="2"/>
  <c r="G307" i="2"/>
  <c r="H307" i="2" l="1"/>
  <c r="C308" i="2" l="1"/>
  <c r="K307" i="2"/>
  <c r="L307" i="2" s="1"/>
  <c r="I308" i="2" s="1"/>
  <c r="N308" i="2"/>
  <c r="D308" i="2"/>
  <c r="J308" i="2" l="1"/>
  <c r="E308" i="2"/>
  <c r="F308" i="2"/>
  <c r="G308" i="2"/>
  <c r="H308" i="2" l="1"/>
  <c r="K308" i="2" l="1"/>
  <c r="L308" i="2" s="1"/>
  <c r="I309" i="2" s="1"/>
  <c r="C309" i="2"/>
  <c r="N309" i="2"/>
  <c r="D309" i="2"/>
  <c r="J309" i="2" l="1"/>
  <c r="E309" i="2"/>
  <c r="F309" i="2"/>
  <c r="G309" i="2"/>
  <c r="H309" i="2" l="1"/>
  <c r="C310" i="2" l="1"/>
  <c r="K309" i="2"/>
  <c r="L309" i="2" s="1"/>
  <c r="I310" i="2" s="1"/>
  <c r="N310" i="2"/>
  <c r="D310" i="2"/>
  <c r="J310" i="2" l="1"/>
  <c r="E310" i="2"/>
  <c r="F310" i="2"/>
  <c r="G310" i="2"/>
  <c r="H310" i="2" l="1"/>
  <c r="K310" i="2" l="1"/>
  <c r="L310" i="2" s="1"/>
  <c r="I311" i="2" s="1"/>
  <c r="C311" i="2"/>
  <c r="D311" i="2"/>
  <c r="N311" i="2"/>
  <c r="J311" i="2" l="1"/>
  <c r="E311" i="2"/>
  <c r="F311" i="2"/>
  <c r="G311" i="2"/>
  <c r="H311" i="2" l="1"/>
  <c r="C312" i="2" l="1"/>
  <c r="K311" i="2"/>
  <c r="L311" i="2" s="1"/>
  <c r="I312" i="2" s="1"/>
  <c r="N312" i="2"/>
  <c r="D312" i="2"/>
  <c r="J312" i="2" l="1"/>
  <c r="E312" i="2"/>
  <c r="F312" i="2"/>
  <c r="G312" i="2"/>
  <c r="H312" i="2" l="1"/>
  <c r="K312" i="2" l="1"/>
  <c r="L312" i="2" s="1"/>
  <c r="I313" i="2" s="1"/>
  <c r="C313" i="2"/>
  <c r="N313" i="2"/>
  <c r="D313" i="2"/>
  <c r="J313" i="2" l="1"/>
  <c r="E313" i="2"/>
  <c r="F313" i="2"/>
  <c r="G313" i="2"/>
  <c r="H313" i="2" l="1"/>
  <c r="C314" i="2" l="1"/>
  <c r="K313" i="2"/>
  <c r="L313" i="2" s="1"/>
  <c r="I314" i="2" s="1"/>
  <c r="N314" i="2"/>
  <c r="D314" i="2"/>
  <c r="J314" i="2" l="1"/>
  <c r="E314" i="2"/>
  <c r="F314" i="2"/>
  <c r="G314" i="2"/>
  <c r="H314" i="2" l="1"/>
  <c r="K314" i="2" l="1"/>
  <c r="L314" i="2" s="1"/>
  <c r="I315" i="2" s="1"/>
  <c r="C315" i="2"/>
  <c r="N315" i="2"/>
  <c r="D315" i="2"/>
  <c r="J315" i="2" l="1"/>
  <c r="E315" i="2"/>
  <c r="F315" i="2"/>
  <c r="G315" i="2"/>
  <c r="H315" i="2" l="1"/>
  <c r="K315" i="2" l="1"/>
  <c r="L315" i="2" s="1"/>
  <c r="I316" i="2" s="1"/>
  <c r="C316" i="2"/>
  <c r="N316" i="2"/>
  <c r="D316" i="2"/>
  <c r="J316" i="2" l="1"/>
  <c r="E316" i="2"/>
  <c r="F316" i="2"/>
  <c r="G316" i="2"/>
  <c r="H316" i="2" l="1"/>
  <c r="K316" i="2" l="1"/>
  <c r="L316" i="2" s="1"/>
  <c r="I317" i="2" s="1"/>
  <c r="C317" i="2"/>
  <c r="N317" i="2"/>
  <c r="D317" i="2"/>
  <c r="J317" i="2" l="1"/>
  <c r="E317" i="2"/>
  <c r="F317" i="2"/>
  <c r="G317" i="2"/>
  <c r="H317" i="2" l="1"/>
  <c r="C318" i="2" l="1"/>
  <c r="K317" i="2"/>
  <c r="L317" i="2" s="1"/>
  <c r="I318" i="2" s="1"/>
  <c r="N318" i="2"/>
  <c r="D318" i="2"/>
  <c r="J318" i="2" l="1"/>
  <c r="E318" i="2"/>
  <c r="F318" i="2"/>
  <c r="G318" i="2"/>
  <c r="H318" i="2" l="1"/>
  <c r="K318" i="2" l="1"/>
  <c r="L318" i="2" s="1"/>
  <c r="I319" i="2" s="1"/>
  <c r="C319" i="2"/>
  <c r="N319" i="2"/>
  <c r="D319" i="2"/>
  <c r="J319" i="2" l="1"/>
  <c r="E319" i="2"/>
  <c r="F319" i="2"/>
  <c r="G319" i="2"/>
  <c r="H319" i="2" l="1"/>
  <c r="C320" i="2" l="1"/>
  <c r="K319" i="2"/>
  <c r="L319" i="2" s="1"/>
  <c r="I320" i="2" s="1"/>
  <c r="D320" i="2"/>
  <c r="N320" i="2"/>
  <c r="J320" i="2" l="1"/>
  <c r="E320" i="2"/>
  <c r="F320" i="2"/>
  <c r="G320" i="2"/>
  <c r="H320" i="2" l="1"/>
  <c r="C321" i="2" l="1"/>
  <c r="K320" i="2"/>
  <c r="L320" i="2" s="1"/>
  <c r="I321" i="2" s="1"/>
  <c r="D321" i="2"/>
  <c r="N321" i="2"/>
  <c r="J321" i="2" l="1"/>
  <c r="E321" i="2"/>
  <c r="F321" i="2"/>
  <c r="G321" i="2"/>
  <c r="H321" i="2" l="1"/>
  <c r="K321" i="2" l="1"/>
  <c r="L321" i="2" s="1"/>
  <c r="I322" i="2" s="1"/>
  <c r="C322" i="2"/>
  <c r="N322" i="2"/>
  <c r="D322" i="2"/>
  <c r="J322" i="2" l="1"/>
  <c r="E322" i="2"/>
  <c r="F322" i="2"/>
  <c r="G322" i="2"/>
  <c r="H322" i="2" l="1"/>
  <c r="C323" i="2" l="1"/>
  <c r="K322" i="2"/>
  <c r="L322" i="2" s="1"/>
  <c r="I323" i="2" s="1"/>
  <c r="D323" i="2"/>
  <c r="N323" i="2"/>
  <c r="J323" i="2" l="1"/>
  <c r="E323" i="2"/>
  <c r="F323" i="2"/>
  <c r="G323" i="2"/>
  <c r="H323" i="2" l="1"/>
  <c r="C324" i="2" l="1"/>
  <c r="K323" i="2"/>
  <c r="L323" i="2" s="1"/>
  <c r="I324" i="2" s="1"/>
  <c r="N324" i="2"/>
  <c r="D324" i="2"/>
  <c r="J324" i="2" l="1"/>
  <c r="E324" i="2"/>
  <c r="F324" i="2"/>
  <c r="G324" i="2"/>
  <c r="H324" i="2" l="1"/>
  <c r="C325" i="2" l="1"/>
  <c r="K324" i="2"/>
  <c r="L324" i="2" s="1"/>
  <c r="I325" i="2" s="1"/>
  <c r="N325" i="2"/>
  <c r="D325" i="2"/>
  <c r="J325" i="2" l="1"/>
  <c r="E325" i="2"/>
  <c r="F325" i="2"/>
  <c r="G325" i="2"/>
  <c r="H325" i="2" l="1"/>
  <c r="K325" i="2" l="1"/>
  <c r="L325" i="2" s="1"/>
  <c r="I326" i="2" s="1"/>
  <c r="C326" i="2"/>
  <c r="N326" i="2"/>
  <c r="D326" i="2"/>
  <c r="J326" i="2" l="1"/>
  <c r="E326" i="2"/>
  <c r="F326" i="2"/>
  <c r="G326" i="2"/>
  <c r="H326" i="2" l="1"/>
  <c r="C327" i="2" l="1"/>
  <c r="K326" i="2"/>
  <c r="L326" i="2" s="1"/>
  <c r="I327" i="2" s="1"/>
  <c r="D327" i="2"/>
  <c r="N327" i="2"/>
  <c r="J327" i="2" l="1"/>
  <c r="E327" i="2"/>
  <c r="F327" i="2"/>
  <c r="G327" i="2"/>
  <c r="H327" i="2" l="1"/>
  <c r="C328" i="2" l="1"/>
  <c r="K327" i="2"/>
  <c r="L327" i="2" s="1"/>
  <c r="I328" i="2" s="1"/>
  <c r="N328" i="2"/>
  <c r="D328" i="2"/>
  <c r="J328" i="2" l="1"/>
  <c r="E328" i="2"/>
  <c r="F328" i="2"/>
  <c r="G328" i="2"/>
  <c r="H328" i="2" l="1"/>
  <c r="C329" i="2" l="1"/>
  <c r="K328" i="2"/>
  <c r="L328" i="2" s="1"/>
  <c r="I329" i="2" s="1"/>
  <c r="N329" i="2"/>
  <c r="D329" i="2"/>
  <c r="J329" i="2" l="1"/>
  <c r="E329" i="2"/>
  <c r="F329" i="2"/>
  <c r="G329" i="2"/>
  <c r="H329" i="2" l="1"/>
  <c r="K329" i="2" l="1"/>
  <c r="L329" i="2" s="1"/>
  <c r="I330" i="2" s="1"/>
  <c r="C330" i="2"/>
  <c r="D330" i="2"/>
  <c r="N330" i="2"/>
  <c r="J330" i="2" l="1"/>
  <c r="E330" i="2"/>
  <c r="F330" i="2"/>
  <c r="G330" i="2"/>
  <c r="H330" i="2" l="1"/>
  <c r="C331" i="2" l="1"/>
  <c r="K330" i="2"/>
  <c r="L330" i="2" s="1"/>
  <c r="I331" i="2" s="1"/>
  <c r="N331" i="2"/>
  <c r="D331" i="2"/>
  <c r="J331" i="2" l="1"/>
  <c r="E331" i="2"/>
  <c r="F331" i="2"/>
  <c r="G331" i="2"/>
  <c r="H331" i="2" l="1"/>
  <c r="C332" i="2" l="1"/>
  <c r="K331" i="2"/>
  <c r="L331" i="2" s="1"/>
  <c r="I332" i="2" s="1"/>
  <c r="N332" i="2"/>
  <c r="D332" i="2"/>
  <c r="J332" i="2" l="1"/>
  <c r="E332" i="2"/>
  <c r="F332" i="2"/>
  <c r="G332" i="2"/>
  <c r="H332" i="2" l="1"/>
  <c r="K332" i="2" l="1"/>
  <c r="L332" i="2" s="1"/>
  <c r="I333" i="2" s="1"/>
  <c r="C333" i="2"/>
  <c r="N333" i="2"/>
  <c r="D333" i="2"/>
  <c r="J333" i="2" l="1"/>
  <c r="E333" i="2"/>
  <c r="F333" i="2"/>
  <c r="G333" i="2"/>
  <c r="H333" i="2" l="1"/>
  <c r="K333" i="2" l="1"/>
  <c r="L333" i="2" s="1"/>
  <c r="I334" i="2" s="1"/>
  <c r="C334" i="2"/>
  <c r="D334" i="2"/>
  <c r="N334" i="2"/>
  <c r="J334" i="2" l="1"/>
  <c r="E334" i="2"/>
  <c r="F334" i="2"/>
  <c r="G334" i="2"/>
  <c r="H334" i="2" l="1"/>
  <c r="C335" i="2" l="1"/>
  <c r="K334" i="2"/>
  <c r="L334" i="2" s="1"/>
  <c r="I335" i="2" s="1"/>
  <c r="N335" i="2"/>
  <c r="D335" i="2"/>
  <c r="J335" i="2" l="1"/>
  <c r="E335" i="2"/>
  <c r="F335" i="2"/>
  <c r="G335" i="2"/>
  <c r="H335" i="2" l="1"/>
  <c r="C336" i="2" l="1"/>
  <c r="K335" i="2"/>
  <c r="L335" i="2" s="1"/>
  <c r="I336" i="2" s="1"/>
  <c r="D336" i="2"/>
  <c r="N336" i="2"/>
  <c r="J336" i="2" l="1"/>
  <c r="E336" i="2"/>
  <c r="F336" i="2"/>
  <c r="G336" i="2"/>
  <c r="H336" i="2" l="1"/>
  <c r="K336" i="2" l="1"/>
  <c r="L336" i="2" s="1"/>
  <c r="I337" i="2" s="1"/>
  <c r="C337" i="2"/>
  <c r="N337" i="2"/>
  <c r="D337" i="2"/>
  <c r="J337" i="2" l="1"/>
  <c r="E337" i="2"/>
  <c r="F337" i="2"/>
  <c r="G337" i="2"/>
  <c r="H337" i="2" l="1"/>
  <c r="K337" i="2" l="1"/>
  <c r="L337" i="2" s="1"/>
  <c r="I338" i="2" s="1"/>
  <c r="C338" i="2"/>
  <c r="D338" i="2"/>
  <c r="N338" i="2"/>
  <c r="J338" i="2" l="1"/>
  <c r="E338" i="2"/>
  <c r="F338" i="2"/>
  <c r="G338" i="2"/>
  <c r="H338" i="2" l="1"/>
  <c r="C339" i="2" l="1"/>
  <c r="K338" i="2"/>
  <c r="L338" i="2" s="1"/>
  <c r="I339" i="2" s="1"/>
  <c r="D339" i="2"/>
  <c r="N339" i="2"/>
  <c r="J339" i="2" l="1"/>
  <c r="E339" i="2"/>
  <c r="F339" i="2"/>
  <c r="G339" i="2"/>
  <c r="H339" i="2" l="1"/>
  <c r="C340" i="2" l="1"/>
  <c r="K339" i="2"/>
  <c r="L339" i="2" s="1"/>
  <c r="I340" i="2" s="1"/>
  <c r="D340" i="2"/>
  <c r="N340" i="2"/>
  <c r="J340" i="2" l="1"/>
  <c r="E340" i="2"/>
  <c r="F340" i="2"/>
  <c r="G340" i="2"/>
  <c r="H340" i="2" l="1"/>
  <c r="C341" i="2" l="1"/>
  <c r="K340" i="2"/>
  <c r="L340" i="2" s="1"/>
  <c r="I341" i="2" s="1"/>
  <c r="D341" i="2"/>
  <c r="N341" i="2"/>
  <c r="J341" i="2" l="1"/>
  <c r="E341" i="2"/>
  <c r="F341" i="2"/>
  <c r="G341" i="2"/>
  <c r="H341" i="2" l="1"/>
  <c r="K341" i="2" l="1"/>
  <c r="L341" i="2" s="1"/>
  <c r="I342" i="2" s="1"/>
  <c r="C342" i="2"/>
  <c r="D342" i="2"/>
  <c r="N342" i="2"/>
  <c r="J342" i="2" l="1"/>
  <c r="E342" i="2"/>
  <c r="F342" i="2"/>
  <c r="G342" i="2"/>
  <c r="H342" i="2" l="1"/>
  <c r="C343" i="2" l="1"/>
  <c r="K342" i="2"/>
  <c r="L342" i="2" s="1"/>
  <c r="I343" i="2" s="1"/>
  <c r="D343" i="2"/>
  <c r="N343" i="2"/>
  <c r="J343" i="2" l="1"/>
  <c r="E343" i="2"/>
  <c r="F343" i="2"/>
  <c r="G343" i="2"/>
  <c r="H343" i="2" l="1"/>
  <c r="K343" i="2" l="1"/>
  <c r="L343" i="2" s="1"/>
  <c r="I344" i="2" s="1"/>
  <c r="C344" i="2"/>
  <c r="N344" i="2"/>
  <c r="D344" i="2"/>
  <c r="J344" i="2" l="1"/>
  <c r="E344" i="2"/>
  <c r="F344" i="2"/>
  <c r="G344" i="2"/>
  <c r="H344" i="2" l="1"/>
  <c r="C345" i="2" l="1"/>
  <c r="K344" i="2"/>
  <c r="L344" i="2" s="1"/>
  <c r="I345" i="2" s="1"/>
  <c r="N345" i="2"/>
  <c r="D345" i="2"/>
  <c r="J345" i="2" l="1"/>
  <c r="E345" i="2"/>
  <c r="F345" i="2"/>
  <c r="G345" i="2"/>
  <c r="H345" i="2" l="1"/>
  <c r="K345" i="2" l="1"/>
  <c r="L345" i="2" s="1"/>
  <c r="I346" i="2" s="1"/>
  <c r="C346" i="2"/>
  <c r="N346" i="2"/>
  <c r="D346" i="2"/>
  <c r="J346" i="2" l="1"/>
  <c r="E346" i="2"/>
  <c r="F346" i="2"/>
  <c r="G346" i="2"/>
  <c r="H346" i="2" l="1"/>
  <c r="K346" i="2" l="1"/>
  <c r="L346" i="2" s="1"/>
  <c r="I347" i="2" s="1"/>
  <c r="C347" i="2"/>
  <c r="D347" i="2"/>
  <c r="N347" i="2"/>
  <c r="J347" i="2" l="1"/>
  <c r="E347" i="2"/>
  <c r="F347" i="2"/>
  <c r="G347" i="2"/>
  <c r="H347" i="2" l="1"/>
  <c r="C348" i="2" l="1"/>
  <c r="K347" i="2"/>
  <c r="L347" i="2" s="1"/>
  <c r="I348" i="2" s="1"/>
  <c r="D348" i="2"/>
  <c r="N348" i="2"/>
  <c r="J348" i="2" l="1"/>
  <c r="E348" i="2"/>
  <c r="F348" i="2"/>
  <c r="G348" i="2"/>
  <c r="H348" i="2" l="1"/>
  <c r="K348" i="2" l="1"/>
  <c r="L348" i="2" s="1"/>
  <c r="I349" i="2" s="1"/>
  <c r="C349" i="2"/>
  <c r="D349" i="2"/>
  <c r="N349" i="2"/>
  <c r="J349" i="2" l="1"/>
  <c r="E349" i="2"/>
  <c r="F349" i="2"/>
  <c r="G349" i="2"/>
  <c r="H349" i="2" l="1"/>
  <c r="K349" i="2" l="1"/>
  <c r="L349" i="2" s="1"/>
  <c r="I350" i="2" s="1"/>
  <c r="C350" i="2"/>
  <c r="N350" i="2"/>
  <c r="D350" i="2"/>
  <c r="J350" i="2" l="1"/>
  <c r="E350" i="2"/>
  <c r="F350" i="2"/>
  <c r="G350" i="2"/>
  <c r="H350" i="2" l="1"/>
  <c r="C351" i="2" l="1"/>
  <c r="K350" i="2"/>
  <c r="L350" i="2" s="1"/>
  <c r="I351" i="2" s="1"/>
  <c r="N351" i="2"/>
  <c r="D351" i="2"/>
  <c r="J351" i="2" l="1"/>
  <c r="E351" i="2"/>
  <c r="F351" i="2"/>
  <c r="G351" i="2"/>
  <c r="H351" i="2" l="1"/>
  <c r="K351" i="2" l="1"/>
  <c r="L351" i="2" s="1"/>
  <c r="I352" i="2" s="1"/>
  <c r="C352" i="2"/>
  <c r="D352" i="2"/>
  <c r="N352" i="2"/>
  <c r="J352" i="2" l="1"/>
  <c r="E352" i="2"/>
  <c r="F352" i="2"/>
  <c r="G352" i="2"/>
  <c r="H352" i="2" l="1"/>
  <c r="K352" i="2" l="1"/>
  <c r="L352" i="2" s="1"/>
  <c r="I353" i="2" s="1"/>
  <c r="C353" i="2"/>
  <c r="D353" i="2"/>
  <c r="N353" i="2"/>
  <c r="J353" i="2" l="1"/>
  <c r="E353" i="2"/>
  <c r="F353" i="2"/>
  <c r="G353" i="2"/>
  <c r="H353" i="2" l="1"/>
  <c r="C354" i="2" l="1"/>
  <c r="K353" i="2"/>
  <c r="L353" i="2" s="1"/>
  <c r="I354" i="2" s="1"/>
  <c r="D354" i="2"/>
  <c r="N354" i="2"/>
  <c r="J354" i="2" l="1"/>
  <c r="E354" i="2"/>
  <c r="F354" i="2"/>
  <c r="G354" i="2"/>
  <c r="H354" i="2" l="1"/>
  <c r="K354" i="2" l="1"/>
  <c r="L354" i="2" s="1"/>
  <c r="I355" i="2" s="1"/>
  <c r="C355" i="2"/>
  <c r="D355" i="2"/>
  <c r="N355" i="2"/>
  <c r="J355" i="2" l="1"/>
  <c r="E355" i="2"/>
  <c r="F355" i="2"/>
  <c r="G355" i="2"/>
  <c r="H355" i="2" l="1"/>
  <c r="K355" i="2" l="1"/>
  <c r="L355" i="2" s="1"/>
  <c r="I356" i="2" s="1"/>
  <c r="C356" i="2"/>
  <c r="D356" i="2"/>
  <c r="N356" i="2"/>
  <c r="J356" i="2" l="1"/>
  <c r="E356" i="2"/>
  <c r="F356" i="2"/>
  <c r="G356" i="2"/>
  <c r="H356" i="2" l="1"/>
  <c r="C357" i="2" l="1"/>
  <c r="K356" i="2"/>
  <c r="L356" i="2" s="1"/>
  <c r="I357" i="2" s="1"/>
  <c r="N357" i="2"/>
  <c r="D357" i="2"/>
  <c r="J357" i="2" l="1"/>
  <c r="E357" i="2"/>
  <c r="F357" i="2"/>
  <c r="G357" i="2"/>
  <c r="H357" i="2" l="1"/>
  <c r="C358" i="2" l="1"/>
  <c r="K357" i="2"/>
  <c r="L357" i="2" s="1"/>
  <c r="I358" i="2" s="1"/>
  <c r="D358" i="2"/>
  <c r="N358" i="2"/>
  <c r="J358" i="2" l="1"/>
  <c r="E358" i="2"/>
  <c r="F358" i="2"/>
  <c r="G358" i="2"/>
  <c r="H358" i="2" l="1"/>
  <c r="K358" i="2" l="1"/>
  <c r="L358" i="2" s="1"/>
  <c r="I359" i="2" s="1"/>
  <c r="C359" i="2"/>
  <c r="N359" i="2"/>
  <c r="D359" i="2"/>
  <c r="J359" i="2" l="1"/>
  <c r="E359" i="2"/>
  <c r="F359" i="2"/>
  <c r="G359" i="2"/>
  <c r="H359" i="2" l="1"/>
  <c r="K359" i="2" l="1"/>
  <c r="L359" i="2" s="1"/>
  <c r="I360" i="2" s="1"/>
  <c r="C360" i="2"/>
  <c r="D360" i="2"/>
  <c r="N360" i="2"/>
  <c r="J360" i="2" l="1"/>
  <c r="E360" i="2"/>
  <c r="F360" i="2"/>
  <c r="G360" i="2"/>
  <c r="H360" i="2" l="1"/>
  <c r="C361" i="2" l="1"/>
  <c r="K360" i="2"/>
  <c r="L360" i="2" s="1"/>
  <c r="I361" i="2" s="1"/>
  <c r="N361" i="2"/>
  <c r="D361" i="2"/>
  <c r="J361" i="2" l="1"/>
  <c r="E361" i="2"/>
  <c r="F361" i="2"/>
  <c r="G361" i="2"/>
  <c r="H361" i="2" l="1"/>
  <c r="C362" i="2" l="1"/>
  <c r="K361" i="2"/>
  <c r="L361" i="2" s="1"/>
  <c r="I362" i="2" s="1"/>
  <c r="D362" i="2"/>
  <c r="N362" i="2"/>
  <c r="J362" i="2" l="1"/>
  <c r="E362" i="2"/>
  <c r="F362" i="2"/>
  <c r="G362" i="2"/>
  <c r="H362" i="2" l="1"/>
  <c r="K362" i="2" l="1"/>
  <c r="L362" i="2" s="1"/>
  <c r="I363" i="2" s="1"/>
  <c r="C363" i="2"/>
  <c r="D363" i="2"/>
  <c r="N363" i="2"/>
  <c r="J363" i="2" l="1"/>
  <c r="E363" i="2"/>
  <c r="F363" i="2"/>
  <c r="G363" i="2"/>
  <c r="H363" i="2" l="1"/>
  <c r="K363" i="2" l="1"/>
  <c r="L363" i="2" s="1"/>
  <c r="I364" i="2" s="1"/>
  <c r="C364" i="2"/>
  <c r="D364" i="2"/>
  <c r="N364" i="2"/>
  <c r="J364" i="2" l="1"/>
  <c r="E364" i="2"/>
  <c r="F364" i="2"/>
  <c r="G364" i="2"/>
  <c r="H364" i="2" l="1"/>
  <c r="K364" i="2" l="1"/>
  <c r="L364" i="2" s="1"/>
  <c r="I365" i="2" s="1"/>
  <c r="C365" i="2"/>
  <c r="N365" i="2"/>
  <c r="D365" i="2"/>
  <c r="J365" i="2" l="1"/>
  <c r="E365" i="2"/>
  <c r="F365" i="2"/>
  <c r="G365" i="2"/>
  <c r="H365" i="2" l="1"/>
  <c r="K365" i="2" l="1"/>
  <c r="L365" i="2" s="1"/>
  <c r="I366" i="2" s="1"/>
  <c r="C366" i="2"/>
  <c r="D366" i="2"/>
  <c r="N366" i="2"/>
  <c r="J366" i="2" l="1"/>
  <c r="E366" i="2"/>
  <c r="F366" i="2"/>
  <c r="G366" i="2"/>
  <c r="H366" i="2" l="1"/>
  <c r="C367" i="2" l="1"/>
  <c r="K366" i="2"/>
  <c r="L366" i="2" s="1"/>
  <c r="I367" i="2" s="1"/>
  <c r="D367" i="2"/>
  <c r="N367" i="2"/>
  <c r="J367" i="2" l="1"/>
  <c r="E367" i="2"/>
  <c r="F367" i="2"/>
  <c r="G367" i="2"/>
  <c r="H367" i="2" l="1"/>
  <c r="K367" i="2" l="1"/>
  <c r="L367" i="2" s="1"/>
  <c r="I368" i="2" s="1"/>
  <c r="C368" i="2"/>
  <c r="D368" i="2"/>
  <c r="N368" i="2"/>
  <c r="J368" i="2" l="1"/>
  <c r="E368" i="2"/>
  <c r="F368" i="2"/>
  <c r="G368" i="2"/>
  <c r="H368" i="2" l="1"/>
  <c r="K368" i="2" l="1"/>
  <c r="L368" i="2" s="1"/>
  <c r="I369" i="2" s="1"/>
  <c r="C369" i="2"/>
  <c r="N369" i="2"/>
  <c r="D369" i="2"/>
  <c r="J369" i="2" l="1"/>
  <c r="E369" i="2"/>
  <c r="F369" i="2"/>
  <c r="G369" i="2"/>
  <c r="H369" i="2" l="1"/>
  <c r="K369" i="2" l="1"/>
  <c r="L369" i="2" s="1"/>
  <c r="I370" i="2" s="1"/>
  <c r="C370" i="2"/>
  <c r="N370" i="2"/>
  <c r="D370" i="2"/>
  <c r="J370" i="2" l="1"/>
  <c r="E370" i="2"/>
  <c r="F370" i="2"/>
  <c r="G370" i="2"/>
  <c r="H370" i="2" l="1"/>
  <c r="K370" i="2" l="1"/>
  <c r="L370" i="2" s="1"/>
  <c r="I371" i="2" s="1"/>
  <c r="C371" i="2"/>
  <c r="N371" i="2"/>
  <c r="D371" i="2"/>
  <c r="J371" i="2" l="1"/>
  <c r="E371" i="2"/>
  <c r="F371" i="2"/>
  <c r="G371" i="2"/>
  <c r="H371" i="2" l="1"/>
  <c r="K371" i="2" l="1"/>
  <c r="L371" i="2" s="1"/>
  <c r="I372" i="2" s="1"/>
  <c r="C372" i="2"/>
  <c r="D372" i="2"/>
  <c r="N372" i="2"/>
  <c r="J372" i="2" l="1"/>
  <c r="E372" i="2"/>
  <c r="F372" i="2"/>
  <c r="G372" i="2"/>
  <c r="H372" i="2" l="1"/>
  <c r="C373" i="2" l="1"/>
  <c r="K372" i="2"/>
  <c r="L372" i="2" s="1"/>
  <c r="I373" i="2" s="1"/>
  <c r="D373" i="2"/>
  <c r="N373" i="2"/>
  <c r="J373" i="2" l="1"/>
  <c r="E373" i="2"/>
  <c r="F373" i="2"/>
  <c r="G373" i="2"/>
  <c r="H373" i="2" l="1"/>
  <c r="K373" i="2" l="1"/>
  <c r="L373" i="2" s="1"/>
  <c r="I374" i="2" s="1"/>
  <c r="C374" i="2"/>
  <c r="N374" i="2"/>
  <c r="D374" i="2"/>
  <c r="J374" i="2" l="1"/>
  <c r="E374" i="2"/>
  <c r="F374" i="2"/>
  <c r="G374" i="2"/>
  <c r="H374" i="2" l="1"/>
  <c r="K374" i="2" l="1"/>
  <c r="L374" i="2" s="1"/>
  <c r="I375" i="2" s="1"/>
  <c r="C375" i="2"/>
  <c r="N375" i="2"/>
  <c r="D375" i="2"/>
  <c r="J375" i="2" l="1"/>
  <c r="E375" i="2"/>
  <c r="F375" i="2"/>
  <c r="G375" i="2"/>
  <c r="H375" i="2" l="1"/>
  <c r="C376" i="2" l="1"/>
  <c r="K375" i="2"/>
  <c r="L375" i="2" s="1"/>
  <c r="I376" i="2" s="1"/>
  <c r="D376" i="2"/>
  <c r="N376" i="2"/>
  <c r="J376" i="2" l="1"/>
  <c r="E376" i="2"/>
  <c r="F376" i="2"/>
  <c r="G376" i="2"/>
  <c r="H376" i="2" l="1"/>
  <c r="K376" i="2" l="1"/>
  <c r="L376" i="2" s="1"/>
  <c r="I377" i="2" s="1"/>
  <c r="C377" i="2"/>
  <c r="D377" i="2"/>
  <c r="N377" i="2"/>
  <c r="J377" i="2" l="1"/>
  <c r="E377" i="2"/>
  <c r="F377" i="2"/>
  <c r="G377" i="2"/>
  <c r="H377" i="2" l="1"/>
  <c r="C378" i="2" l="1"/>
  <c r="K377" i="2"/>
  <c r="L377" i="2" s="1"/>
  <c r="I378" i="2" s="1"/>
  <c r="D378" i="2"/>
  <c r="N378" i="2"/>
  <c r="J378" i="2" l="1"/>
  <c r="E378" i="2"/>
  <c r="F378" i="2"/>
  <c r="G378" i="2"/>
  <c r="H378" i="2" l="1"/>
  <c r="C379" i="2" l="1"/>
  <c r="K378" i="2"/>
  <c r="L378" i="2" s="1"/>
  <c r="I379" i="2" s="1"/>
  <c r="N379" i="2"/>
  <c r="D379" i="2"/>
  <c r="J379" i="2" l="1"/>
  <c r="E379" i="2"/>
  <c r="F379" i="2"/>
  <c r="G379" i="2"/>
  <c r="H379" i="2" l="1"/>
  <c r="C380" i="2" l="1"/>
  <c r="K379" i="2"/>
  <c r="L379" i="2" s="1"/>
  <c r="I380" i="2" s="1"/>
  <c r="D380" i="2"/>
  <c r="N380" i="2"/>
  <c r="J380" i="2" l="1"/>
  <c r="E380" i="2"/>
  <c r="F380" i="2"/>
  <c r="G380" i="2"/>
  <c r="H380" i="2" l="1"/>
  <c r="C381" i="2" l="1"/>
  <c r="K380" i="2"/>
  <c r="L380" i="2" s="1"/>
  <c r="I381" i="2" s="1"/>
  <c r="N381" i="2"/>
  <c r="D381" i="2"/>
  <c r="J381" i="2" l="1"/>
  <c r="E381" i="2"/>
  <c r="F381" i="2"/>
  <c r="G381" i="2"/>
  <c r="H381" i="2" l="1"/>
  <c r="C382" i="2" l="1"/>
  <c r="K381" i="2"/>
  <c r="L381" i="2" s="1"/>
  <c r="I382" i="2" s="1"/>
  <c r="D382" i="2"/>
  <c r="N382" i="2"/>
  <c r="J382" i="2" l="1"/>
  <c r="E382" i="2"/>
  <c r="F382" i="2"/>
  <c r="G382" i="2"/>
  <c r="H382" i="2" l="1"/>
  <c r="K382" i="2" l="1"/>
  <c r="L382" i="2" s="1"/>
  <c r="I383" i="2" s="1"/>
  <c r="C383" i="2"/>
  <c r="D383" i="2"/>
  <c r="N383" i="2"/>
  <c r="J383" i="2" l="1"/>
  <c r="E383" i="2"/>
  <c r="F383" i="2"/>
  <c r="G383" i="2"/>
  <c r="H383" i="2" l="1"/>
  <c r="C384" i="2" l="1"/>
  <c r="K383" i="2"/>
  <c r="L383" i="2" s="1"/>
  <c r="I384" i="2" s="1"/>
  <c r="D384" i="2"/>
  <c r="N384" i="2"/>
  <c r="J384" i="2" l="1"/>
  <c r="E384" i="2"/>
  <c r="F384" i="2"/>
  <c r="G384" i="2"/>
  <c r="H384" i="2" l="1"/>
  <c r="K384" i="2" l="1"/>
  <c r="L384" i="2" s="1"/>
  <c r="I385" i="2" s="1"/>
  <c r="C385" i="2"/>
  <c r="D385" i="2"/>
  <c r="N385" i="2"/>
  <c r="J385" i="2" l="1"/>
  <c r="E385" i="2"/>
  <c r="F385" i="2"/>
  <c r="G385" i="2"/>
  <c r="H385" i="2" l="1"/>
  <c r="C386" i="2" l="1"/>
  <c r="K385" i="2"/>
  <c r="L385" i="2" s="1"/>
  <c r="I386" i="2" s="1"/>
  <c r="D386" i="2"/>
  <c r="N386" i="2"/>
  <c r="J386" i="2" l="1"/>
  <c r="E386" i="2"/>
  <c r="F386" i="2"/>
  <c r="G386" i="2"/>
  <c r="H386" i="2" l="1"/>
  <c r="K386" i="2" l="1"/>
  <c r="L386" i="2" s="1"/>
  <c r="I387" i="2" s="1"/>
  <c r="C387" i="2"/>
  <c r="N387" i="2"/>
  <c r="D387" i="2"/>
  <c r="J387" i="2" l="1"/>
  <c r="E387" i="2"/>
  <c r="F387" i="2"/>
  <c r="G387" i="2"/>
  <c r="H387" i="2" l="1"/>
  <c r="K387" i="2" l="1"/>
  <c r="L387" i="2" s="1"/>
  <c r="I388" i="2" s="1"/>
  <c r="C388" i="2"/>
  <c r="D388" i="2"/>
  <c r="N388" i="2"/>
  <c r="J388" i="2" l="1"/>
  <c r="E388" i="2"/>
  <c r="F388" i="2"/>
  <c r="G388" i="2"/>
  <c r="H388" i="2" l="1"/>
  <c r="C389" i="2" l="1"/>
  <c r="K388" i="2"/>
  <c r="L388" i="2" s="1"/>
  <c r="I389" i="2" s="1"/>
  <c r="N389" i="2"/>
  <c r="D389" i="2"/>
  <c r="J389" i="2" l="1"/>
  <c r="E389" i="2"/>
  <c r="F389" i="2"/>
  <c r="G389" i="2"/>
  <c r="H389" i="2" l="1"/>
  <c r="C390" i="2" l="1"/>
  <c r="K389" i="2"/>
  <c r="L389" i="2" s="1"/>
  <c r="I390" i="2" s="1"/>
  <c r="N390" i="2"/>
  <c r="D390" i="2"/>
  <c r="J390" i="2" l="1"/>
  <c r="E390" i="2"/>
  <c r="F390" i="2"/>
  <c r="G390" i="2"/>
  <c r="H390" i="2" l="1"/>
  <c r="C391" i="2" l="1"/>
  <c r="K390" i="2"/>
  <c r="L390" i="2" s="1"/>
  <c r="I391" i="2" s="1"/>
  <c r="D391" i="2"/>
  <c r="N391" i="2"/>
  <c r="J391" i="2" l="1"/>
  <c r="E391" i="2"/>
  <c r="F391" i="2"/>
  <c r="G391" i="2"/>
  <c r="H391" i="2" l="1"/>
  <c r="K391" i="2" l="1"/>
  <c r="L391" i="2" s="1"/>
  <c r="I392" i="2" s="1"/>
  <c r="C392" i="2"/>
  <c r="N392" i="2"/>
  <c r="D392" i="2"/>
  <c r="J392" i="2" l="1"/>
  <c r="E392" i="2"/>
  <c r="F392" i="2"/>
  <c r="G392" i="2"/>
  <c r="H392" i="2" l="1"/>
  <c r="K392" i="2" l="1"/>
  <c r="L392" i="2" s="1"/>
  <c r="I393" i="2" s="1"/>
  <c r="C393" i="2"/>
  <c r="D393" i="2"/>
  <c r="N393" i="2"/>
  <c r="J393" i="2" l="1"/>
  <c r="E393" i="2"/>
  <c r="F393" i="2"/>
  <c r="G393" i="2"/>
  <c r="H393" i="2" l="1"/>
  <c r="C394" i="2" l="1"/>
  <c r="K393" i="2"/>
  <c r="L393" i="2" s="1"/>
  <c r="I394" i="2" s="1"/>
  <c r="N394" i="2"/>
  <c r="D394" i="2"/>
  <c r="J394" i="2" l="1"/>
  <c r="E394" i="2"/>
  <c r="F394" i="2"/>
  <c r="G394" i="2"/>
  <c r="H394" i="2" l="1"/>
  <c r="C395" i="2" l="1"/>
  <c r="K394" i="2"/>
  <c r="L394" i="2" s="1"/>
  <c r="I395" i="2" s="1"/>
  <c r="D395" i="2"/>
  <c r="N395" i="2"/>
  <c r="J395" i="2" l="1"/>
  <c r="E395" i="2"/>
  <c r="F395" i="2"/>
  <c r="G395" i="2"/>
  <c r="H395" i="2" l="1"/>
  <c r="C396" i="2" l="1"/>
  <c r="K395" i="2"/>
  <c r="L395" i="2" s="1"/>
  <c r="I396" i="2" s="1"/>
  <c r="D396" i="2"/>
  <c r="N396" i="2"/>
  <c r="J396" i="2" l="1"/>
  <c r="E396" i="2"/>
  <c r="F396" i="2"/>
  <c r="G396" i="2"/>
  <c r="H396" i="2" l="1"/>
  <c r="C397" i="2" l="1"/>
  <c r="K396" i="2"/>
  <c r="L396" i="2" s="1"/>
  <c r="I397" i="2" s="1"/>
  <c r="N397" i="2"/>
  <c r="D397" i="2"/>
  <c r="J397" i="2" l="1"/>
  <c r="E397" i="2"/>
  <c r="F397" i="2"/>
  <c r="G397" i="2"/>
  <c r="H397" i="2" l="1"/>
  <c r="K397" i="2" l="1"/>
  <c r="L397" i="2" s="1"/>
  <c r="I398" i="2" s="1"/>
  <c r="C398" i="2"/>
  <c r="D398" i="2"/>
  <c r="N398" i="2"/>
  <c r="J398" i="2" l="1"/>
  <c r="E398" i="2"/>
  <c r="F398" i="2"/>
  <c r="G398" i="2"/>
  <c r="H398" i="2" l="1"/>
  <c r="K398" i="2" l="1"/>
  <c r="L398" i="2" s="1"/>
  <c r="I399" i="2" s="1"/>
  <c r="C399" i="2"/>
  <c r="D399" i="2"/>
  <c r="N399" i="2"/>
  <c r="J399" i="2" l="1"/>
  <c r="E399" i="2"/>
  <c r="F399" i="2"/>
  <c r="G399" i="2"/>
  <c r="H399" i="2" l="1"/>
  <c r="C400" i="2" l="1"/>
  <c r="K399" i="2"/>
  <c r="L399" i="2" s="1"/>
  <c r="I400" i="2" s="1"/>
  <c r="D400" i="2"/>
  <c r="N400" i="2"/>
  <c r="J400" i="2" l="1"/>
  <c r="E400" i="2"/>
  <c r="F400" i="2"/>
  <c r="G400" i="2"/>
  <c r="H400" i="2" l="1"/>
  <c r="K400" i="2" l="1"/>
  <c r="L400" i="2" s="1"/>
  <c r="I401" i="2" s="1"/>
  <c r="C401" i="2"/>
  <c r="D401" i="2"/>
  <c r="N401" i="2"/>
  <c r="J401" i="2" l="1"/>
  <c r="E401" i="2"/>
  <c r="F401" i="2"/>
  <c r="G401" i="2"/>
  <c r="H401" i="2" l="1"/>
  <c r="C402" i="2" l="1"/>
  <c r="K401" i="2"/>
  <c r="L401" i="2" s="1"/>
  <c r="I402" i="2" s="1"/>
  <c r="D402" i="2"/>
  <c r="N402" i="2"/>
  <c r="J402" i="2" l="1"/>
  <c r="E402" i="2"/>
  <c r="F402" i="2"/>
  <c r="G402" i="2"/>
  <c r="H402" i="2" l="1"/>
  <c r="K402" i="2" l="1"/>
  <c r="L402" i="2" s="1"/>
  <c r="I403" i="2" s="1"/>
  <c r="C403" i="2"/>
  <c r="D403" i="2"/>
  <c r="N403" i="2"/>
  <c r="J403" i="2" l="1"/>
  <c r="E403" i="2"/>
  <c r="F403" i="2"/>
  <c r="G403" i="2"/>
  <c r="H403" i="2" l="1"/>
  <c r="K403" i="2" l="1"/>
  <c r="L403" i="2" s="1"/>
  <c r="I404" i="2" s="1"/>
  <c r="C404" i="2"/>
  <c r="D404" i="2"/>
  <c r="N404" i="2"/>
  <c r="J404" i="2" l="1"/>
  <c r="E404" i="2"/>
  <c r="F404" i="2"/>
  <c r="G404" i="2"/>
  <c r="H404" i="2" l="1"/>
  <c r="K404" i="2" l="1"/>
  <c r="L404" i="2" s="1"/>
  <c r="I405" i="2" s="1"/>
  <c r="C405" i="2"/>
  <c r="N405" i="2"/>
  <c r="D405" i="2"/>
  <c r="J405" i="2" l="1"/>
  <c r="E405" i="2"/>
  <c r="F405" i="2"/>
  <c r="G405" i="2"/>
  <c r="H405" i="2" l="1"/>
  <c r="C406" i="2" l="1"/>
  <c r="K405" i="2"/>
  <c r="L405" i="2" s="1"/>
  <c r="I406" i="2" s="1"/>
  <c r="D406" i="2"/>
  <c r="N406" i="2"/>
  <c r="J406" i="2" l="1"/>
  <c r="E406" i="2"/>
  <c r="F406" i="2"/>
  <c r="G406" i="2"/>
  <c r="H406" i="2" l="1"/>
  <c r="K406" i="2" l="1"/>
  <c r="L406" i="2" s="1"/>
  <c r="I407" i="2" s="1"/>
  <c r="C407" i="2"/>
  <c r="D407" i="2"/>
  <c r="N407" i="2"/>
  <c r="J407" i="2" l="1"/>
  <c r="E407" i="2"/>
  <c r="F407" i="2"/>
  <c r="G407" i="2"/>
  <c r="H407" i="2" l="1"/>
  <c r="K407" i="2" l="1"/>
  <c r="L407" i="2" s="1"/>
  <c r="I408" i="2" s="1"/>
  <c r="C408" i="2"/>
  <c r="D408" i="2"/>
  <c r="N408" i="2"/>
  <c r="J408" i="2" l="1"/>
  <c r="E408" i="2"/>
  <c r="F408" i="2"/>
  <c r="G408" i="2"/>
  <c r="H408" i="2" l="1"/>
  <c r="C409" i="2" l="1"/>
  <c r="K408" i="2"/>
  <c r="L408" i="2" s="1"/>
  <c r="I409" i="2" s="1"/>
  <c r="N409" i="2"/>
  <c r="D409" i="2"/>
  <c r="J409" i="2" l="1"/>
  <c r="E409" i="2"/>
  <c r="F409" i="2"/>
  <c r="G409" i="2"/>
  <c r="H409" i="2" l="1"/>
  <c r="C410" i="2" l="1"/>
  <c r="K409" i="2"/>
  <c r="L409" i="2" s="1"/>
  <c r="I410" i="2" s="1"/>
  <c r="D410" i="2"/>
  <c r="N410" i="2"/>
  <c r="J410" i="2" l="1"/>
  <c r="E410" i="2"/>
  <c r="F410" i="2"/>
  <c r="G410" i="2"/>
  <c r="H410" i="2" l="1"/>
  <c r="C411" i="2" l="1"/>
  <c r="K410" i="2"/>
  <c r="L410" i="2" s="1"/>
  <c r="I411" i="2" s="1"/>
  <c r="D411" i="2"/>
  <c r="N411" i="2"/>
  <c r="J411" i="2" l="1"/>
  <c r="E411" i="2"/>
  <c r="F411" i="2"/>
  <c r="G411" i="2"/>
  <c r="H411" i="2" l="1"/>
  <c r="K411" i="2" l="1"/>
  <c r="L411" i="2" s="1"/>
  <c r="I412" i="2" s="1"/>
  <c r="C412" i="2"/>
  <c r="D412" i="2"/>
  <c r="N412" i="2"/>
  <c r="J412" i="2" l="1"/>
  <c r="E412" i="2"/>
  <c r="F412" i="2"/>
  <c r="G412" i="2"/>
  <c r="H412" i="2" l="1"/>
  <c r="K412" i="2" l="1"/>
  <c r="L412" i="2" s="1"/>
  <c r="I413" i="2" s="1"/>
  <c r="C413" i="2"/>
  <c r="D413" i="2"/>
  <c r="N413" i="2"/>
  <c r="J413" i="2" l="1"/>
  <c r="E413" i="2"/>
  <c r="F413" i="2"/>
  <c r="G413" i="2"/>
  <c r="H413" i="2" l="1"/>
  <c r="K413" i="2" l="1"/>
  <c r="L413" i="2" s="1"/>
  <c r="I414" i="2" s="1"/>
  <c r="C414" i="2"/>
  <c r="D414" i="2"/>
  <c r="N414" i="2"/>
  <c r="J414" i="2" l="1"/>
  <c r="E414" i="2"/>
  <c r="F414" i="2"/>
  <c r="G414" i="2"/>
  <c r="H414" i="2" l="1"/>
  <c r="K414" i="2" l="1"/>
  <c r="L414" i="2" s="1"/>
  <c r="I415" i="2" s="1"/>
  <c r="C415" i="2"/>
  <c r="D415" i="2"/>
  <c r="N415" i="2"/>
  <c r="J415" i="2" l="1"/>
  <c r="E415" i="2"/>
  <c r="F415" i="2"/>
  <c r="G415" i="2"/>
  <c r="H415" i="2" l="1"/>
  <c r="K415" i="2" l="1"/>
  <c r="L415" i="2" s="1"/>
  <c r="I416" i="2" s="1"/>
  <c r="C416" i="2"/>
  <c r="D416" i="2"/>
  <c r="N416" i="2"/>
  <c r="J416" i="2" l="1"/>
  <c r="E416" i="2"/>
  <c r="F416" i="2"/>
  <c r="G416" i="2"/>
  <c r="H416" i="2" l="1"/>
  <c r="K416" i="2" l="1"/>
  <c r="L416" i="2" s="1"/>
  <c r="I417" i="2" s="1"/>
  <c r="C417" i="2"/>
  <c r="D417" i="2"/>
  <c r="N417" i="2"/>
  <c r="J417" i="2" l="1"/>
  <c r="E417" i="2"/>
  <c r="F417" i="2"/>
  <c r="G417" i="2"/>
  <c r="H417" i="2" l="1"/>
  <c r="C418" i="2" l="1"/>
  <c r="K417" i="2"/>
  <c r="L417" i="2" s="1"/>
  <c r="I418" i="2" s="1"/>
  <c r="D418" i="2"/>
  <c r="N418" i="2"/>
  <c r="J418" i="2" l="1"/>
  <c r="E418" i="2"/>
  <c r="F418" i="2"/>
  <c r="G418" i="2"/>
  <c r="H418" i="2" l="1"/>
  <c r="K418" i="2" l="1"/>
  <c r="L418" i="2" s="1"/>
  <c r="I419" i="2" s="1"/>
  <c r="C419" i="2"/>
  <c r="D419" i="2"/>
  <c r="N419" i="2"/>
  <c r="J419" i="2" l="1"/>
  <c r="E419" i="2"/>
  <c r="F419" i="2"/>
  <c r="G419" i="2"/>
  <c r="H419" i="2" l="1"/>
  <c r="C420" i="2" l="1"/>
  <c r="K419" i="2"/>
  <c r="L419" i="2" s="1"/>
  <c r="I420" i="2" s="1"/>
  <c r="D420" i="2"/>
  <c r="N420" i="2"/>
  <c r="J420" i="2" l="1"/>
  <c r="E420" i="2"/>
  <c r="F420" i="2"/>
  <c r="G420" i="2"/>
  <c r="H420" i="2" l="1"/>
  <c r="K420" i="2" l="1"/>
  <c r="L420" i="2" s="1"/>
  <c r="I421" i="2" s="1"/>
  <c r="C421" i="2"/>
  <c r="N421" i="2"/>
  <c r="D421" i="2"/>
  <c r="J421" i="2" l="1"/>
  <c r="E421" i="2"/>
  <c r="F421" i="2"/>
  <c r="G421" i="2"/>
  <c r="H421" i="2" l="1"/>
  <c r="K421" i="2" l="1"/>
  <c r="L421" i="2" s="1"/>
  <c r="I422" i="2" s="1"/>
  <c r="C422" i="2"/>
  <c r="D422" i="2"/>
  <c r="N422" i="2"/>
  <c r="J422" i="2" l="1"/>
  <c r="E422" i="2"/>
  <c r="F422" i="2"/>
  <c r="G422" i="2"/>
  <c r="H422" i="2" l="1"/>
  <c r="C423" i="2" l="1"/>
  <c r="K422" i="2"/>
  <c r="L422" i="2" s="1"/>
  <c r="I423" i="2" s="1"/>
  <c r="D423" i="2"/>
  <c r="N423" i="2"/>
  <c r="J423" i="2" l="1"/>
  <c r="E423" i="2"/>
  <c r="F423" i="2"/>
  <c r="G423" i="2"/>
  <c r="H423" i="2" l="1"/>
  <c r="K423" i="2" l="1"/>
  <c r="L423" i="2" s="1"/>
  <c r="I424" i="2" s="1"/>
  <c r="C424" i="2"/>
  <c r="D424" i="2"/>
  <c r="N424" i="2"/>
  <c r="J424" i="2" l="1"/>
  <c r="E424" i="2"/>
  <c r="F424" i="2"/>
  <c r="G424" i="2"/>
  <c r="H424" i="2" l="1"/>
  <c r="K424" i="2" l="1"/>
  <c r="L424" i="2" s="1"/>
  <c r="I425" i="2" s="1"/>
  <c r="C425" i="2"/>
  <c r="D425" i="2"/>
  <c r="N425" i="2"/>
  <c r="J425" i="2" l="1"/>
  <c r="E425" i="2"/>
  <c r="F425" i="2"/>
  <c r="G425" i="2"/>
  <c r="H425" i="2" l="1"/>
  <c r="C426" i="2" l="1"/>
  <c r="K425" i="2"/>
  <c r="L425" i="2" s="1"/>
  <c r="I426" i="2" s="1"/>
  <c r="N426" i="2"/>
  <c r="D426" i="2"/>
  <c r="J426" i="2" l="1"/>
  <c r="E426" i="2"/>
  <c r="F426" i="2"/>
  <c r="G426" i="2"/>
  <c r="H426" i="2" l="1"/>
  <c r="C427" i="2" l="1"/>
  <c r="K426" i="2"/>
  <c r="L426" i="2" s="1"/>
  <c r="I427" i="2" s="1"/>
  <c r="D427" i="2"/>
  <c r="N427" i="2"/>
  <c r="J427" i="2" l="1"/>
  <c r="E427" i="2"/>
  <c r="F427" i="2"/>
  <c r="G427" i="2"/>
  <c r="H427" i="2" l="1"/>
  <c r="K427" i="2" l="1"/>
  <c r="L427" i="2" s="1"/>
  <c r="I428" i="2" s="1"/>
  <c r="C428" i="2"/>
  <c r="N428" i="2"/>
  <c r="D428" i="2"/>
  <c r="J428" i="2" l="1"/>
  <c r="E428" i="2"/>
  <c r="F428" i="2"/>
  <c r="G428" i="2"/>
  <c r="H428" i="2" l="1"/>
  <c r="C429" i="2" l="1"/>
  <c r="K428" i="2"/>
  <c r="L428" i="2" s="1"/>
  <c r="I429" i="2" s="1"/>
  <c r="D429" i="2"/>
  <c r="N429" i="2"/>
  <c r="J429" i="2" l="1"/>
  <c r="E429" i="2"/>
  <c r="F429" i="2"/>
  <c r="G429" i="2"/>
  <c r="H429" i="2" l="1"/>
  <c r="C430" i="2" l="1"/>
  <c r="K429" i="2"/>
  <c r="L429" i="2" s="1"/>
  <c r="I430" i="2" s="1"/>
  <c r="N430" i="2"/>
  <c r="D430" i="2"/>
  <c r="J430" i="2" l="1"/>
  <c r="E430" i="2"/>
  <c r="F430" i="2"/>
  <c r="G430" i="2"/>
  <c r="H430" i="2" l="1"/>
  <c r="C431" i="2" l="1"/>
  <c r="K430" i="2"/>
  <c r="L430" i="2" s="1"/>
  <c r="I431" i="2" s="1"/>
  <c r="D431" i="2"/>
  <c r="N431" i="2"/>
  <c r="J431" i="2" l="1"/>
  <c r="E431" i="2"/>
  <c r="F431" i="2"/>
  <c r="G431" i="2"/>
  <c r="H431" i="2" l="1"/>
  <c r="K431" i="2" l="1"/>
  <c r="L431" i="2" s="1"/>
  <c r="I432" i="2" s="1"/>
  <c r="C432" i="2"/>
  <c r="N432" i="2"/>
  <c r="D432" i="2"/>
  <c r="J432" i="2" l="1"/>
  <c r="E432" i="2"/>
  <c r="F432" i="2"/>
  <c r="G432" i="2"/>
  <c r="H432" i="2" l="1"/>
  <c r="K432" i="2" l="1"/>
  <c r="L432" i="2" s="1"/>
  <c r="I433" i="2" s="1"/>
  <c r="C433" i="2"/>
  <c r="D433" i="2"/>
  <c r="N433" i="2"/>
  <c r="J433" i="2" l="1"/>
  <c r="E433" i="2"/>
  <c r="F433" i="2"/>
  <c r="G433" i="2"/>
  <c r="H433" i="2" l="1"/>
  <c r="K433" i="2" l="1"/>
  <c r="L433" i="2" s="1"/>
  <c r="I434" i="2" s="1"/>
  <c r="C434" i="2"/>
  <c r="N434" i="2"/>
  <c r="D434" i="2"/>
  <c r="J434" i="2" l="1"/>
  <c r="E434" i="2"/>
  <c r="F434" i="2"/>
  <c r="G434" i="2"/>
  <c r="H434" i="2" l="1"/>
  <c r="C435" i="2" l="1"/>
  <c r="K434" i="2"/>
  <c r="L434" i="2" s="1"/>
  <c r="I435" i="2" s="1"/>
  <c r="D435" i="2"/>
  <c r="N435" i="2"/>
  <c r="J435" i="2" l="1"/>
  <c r="E435" i="2"/>
  <c r="F435" i="2"/>
  <c r="G435" i="2"/>
  <c r="H435" i="2" l="1"/>
  <c r="K435" i="2" l="1"/>
  <c r="L435" i="2" s="1"/>
  <c r="I436" i="2" s="1"/>
  <c r="C436" i="2"/>
  <c r="N436" i="2"/>
  <c r="D436" i="2"/>
  <c r="J436" i="2" l="1"/>
  <c r="E436" i="2"/>
  <c r="F436" i="2"/>
  <c r="G436" i="2"/>
  <c r="H436" i="2" l="1"/>
  <c r="K436" i="2" l="1"/>
  <c r="L436" i="2" s="1"/>
  <c r="I437" i="2" s="1"/>
  <c r="C437" i="2"/>
  <c r="D437" i="2"/>
  <c r="N437" i="2"/>
  <c r="J437" i="2" l="1"/>
  <c r="E437" i="2"/>
  <c r="F437" i="2"/>
  <c r="G437" i="2"/>
  <c r="H437" i="2" l="1"/>
  <c r="C438" i="2" l="1"/>
  <c r="K437" i="2"/>
  <c r="L437" i="2" s="1"/>
  <c r="I438" i="2" s="1"/>
  <c r="N438" i="2"/>
  <c r="D438" i="2"/>
  <c r="J438" i="2" l="1"/>
  <c r="E438" i="2"/>
  <c r="F438" i="2"/>
  <c r="G438" i="2"/>
  <c r="H438" i="2" l="1"/>
  <c r="K438" i="2" l="1"/>
  <c r="L438" i="2" s="1"/>
  <c r="I439" i="2" s="1"/>
  <c r="C439" i="2"/>
  <c r="D439" i="2"/>
  <c r="N439" i="2"/>
  <c r="J439" i="2" l="1"/>
  <c r="E439" i="2"/>
  <c r="F439" i="2"/>
  <c r="G439" i="2"/>
  <c r="H439" i="2" l="1"/>
  <c r="C440" i="2" l="1"/>
  <c r="K439" i="2"/>
  <c r="L439" i="2" s="1"/>
  <c r="I440" i="2" s="1"/>
  <c r="N440" i="2"/>
  <c r="D440" i="2"/>
  <c r="J440" i="2" l="1"/>
  <c r="E440" i="2"/>
  <c r="F440" i="2"/>
  <c r="G440" i="2"/>
  <c r="H440" i="2" l="1"/>
  <c r="C441" i="2" l="1"/>
  <c r="K440" i="2"/>
  <c r="L440" i="2" s="1"/>
  <c r="I441" i="2" s="1"/>
  <c r="D441" i="2"/>
  <c r="N441" i="2"/>
  <c r="J441" i="2" l="1"/>
  <c r="E441" i="2"/>
  <c r="F441" i="2"/>
  <c r="G441" i="2"/>
  <c r="H441" i="2" l="1"/>
  <c r="K441" i="2" l="1"/>
  <c r="L441" i="2" s="1"/>
  <c r="I442" i="2" s="1"/>
  <c r="C442" i="2"/>
  <c r="D442" i="2"/>
  <c r="N442" i="2"/>
  <c r="J442" i="2" l="1"/>
  <c r="E442" i="2"/>
  <c r="F442" i="2"/>
  <c r="G442" i="2"/>
  <c r="H442" i="2" l="1"/>
  <c r="K442" i="2" l="1"/>
  <c r="L442" i="2" s="1"/>
  <c r="I443" i="2" s="1"/>
  <c r="C443" i="2"/>
  <c r="N443" i="2"/>
  <c r="D443" i="2"/>
  <c r="J443" i="2" l="1"/>
  <c r="E443" i="2"/>
  <c r="F443" i="2"/>
  <c r="G443" i="2"/>
  <c r="H443" i="2" l="1"/>
  <c r="C444" i="2" l="1"/>
  <c r="K443" i="2"/>
  <c r="L443" i="2" s="1"/>
  <c r="I444" i="2" s="1"/>
  <c r="N444" i="2"/>
  <c r="D444" i="2"/>
  <c r="J444" i="2" l="1"/>
  <c r="E444" i="2"/>
  <c r="F444" i="2"/>
  <c r="G444" i="2"/>
  <c r="H444" i="2" l="1"/>
  <c r="C445" i="2" l="1"/>
  <c r="K444" i="2"/>
  <c r="L444" i="2" s="1"/>
  <c r="I445" i="2" s="1"/>
  <c r="D445" i="2"/>
  <c r="N445" i="2"/>
  <c r="J445" i="2" l="1"/>
  <c r="E445" i="2"/>
  <c r="F445" i="2"/>
  <c r="G445" i="2"/>
  <c r="H445" i="2" l="1"/>
  <c r="C446" i="2" l="1"/>
  <c r="K445" i="2"/>
  <c r="L445" i="2" s="1"/>
  <c r="I446" i="2" s="1"/>
  <c r="N446" i="2"/>
  <c r="D446" i="2"/>
  <c r="J446" i="2" l="1"/>
  <c r="E446" i="2"/>
  <c r="F446" i="2"/>
  <c r="G446" i="2"/>
  <c r="H446" i="2" l="1"/>
  <c r="K446" i="2" l="1"/>
  <c r="L446" i="2" s="1"/>
  <c r="I447" i="2" s="1"/>
  <c r="C447" i="2"/>
  <c r="N447" i="2"/>
  <c r="D447" i="2"/>
  <c r="J447" i="2" l="1"/>
  <c r="E447" i="2"/>
  <c r="F447" i="2"/>
  <c r="G447" i="2"/>
  <c r="H447" i="2" l="1"/>
  <c r="C448" i="2" l="1"/>
  <c r="K447" i="2"/>
  <c r="L447" i="2" s="1"/>
  <c r="I448" i="2" s="1"/>
  <c r="N448" i="2"/>
  <c r="D448" i="2"/>
  <c r="J448" i="2" l="1"/>
  <c r="E448" i="2"/>
  <c r="F448" i="2"/>
  <c r="G448" i="2"/>
  <c r="H448" i="2" l="1"/>
  <c r="K448" i="2" l="1"/>
  <c r="L448" i="2" s="1"/>
  <c r="I449" i="2" s="1"/>
  <c r="C449" i="2"/>
  <c r="D449" i="2"/>
  <c r="N449" i="2"/>
  <c r="J449" i="2" l="1"/>
  <c r="E449" i="2"/>
  <c r="F449" i="2"/>
  <c r="G449" i="2"/>
  <c r="H449" i="2" l="1"/>
  <c r="K449" i="2" l="1"/>
  <c r="L449" i="2" s="1"/>
  <c r="I450" i="2" s="1"/>
  <c r="C450" i="2"/>
  <c r="N450" i="2"/>
  <c r="D450" i="2"/>
  <c r="J450" i="2" l="1"/>
  <c r="E450" i="2"/>
  <c r="F450" i="2"/>
  <c r="G450" i="2"/>
  <c r="H450" i="2" l="1"/>
  <c r="C451" i="2" l="1"/>
  <c r="K450" i="2"/>
  <c r="L450" i="2" s="1"/>
  <c r="I451" i="2" s="1"/>
  <c r="N451" i="2"/>
  <c r="D451" i="2"/>
  <c r="J451" i="2" l="1"/>
  <c r="E451" i="2"/>
  <c r="F451" i="2"/>
  <c r="G451" i="2"/>
  <c r="H451" i="2" l="1"/>
  <c r="C452" i="2" l="1"/>
  <c r="K451" i="2"/>
  <c r="L451" i="2" s="1"/>
  <c r="I452" i="2" s="1"/>
  <c r="N452" i="2"/>
  <c r="D452" i="2"/>
  <c r="J452" i="2" l="1"/>
  <c r="E452" i="2"/>
  <c r="F452" i="2"/>
  <c r="G452" i="2"/>
  <c r="H452" i="2" l="1"/>
  <c r="K452" i="2" l="1"/>
  <c r="L452" i="2" s="1"/>
  <c r="I453" i="2" s="1"/>
  <c r="C453" i="2"/>
  <c r="D453" i="2"/>
  <c r="N453" i="2"/>
  <c r="J453" i="2" l="1"/>
  <c r="E453" i="2"/>
  <c r="F453" i="2"/>
  <c r="G453" i="2"/>
  <c r="H453" i="2" l="1"/>
  <c r="K453" i="2" l="1"/>
  <c r="L453" i="2" s="1"/>
  <c r="I454" i="2" s="1"/>
  <c r="C454" i="2"/>
  <c r="D454" i="2"/>
  <c r="N454" i="2"/>
  <c r="J454" i="2" l="1"/>
  <c r="E454" i="2"/>
  <c r="F454" i="2"/>
  <c r="G454" i="2"/>
  <c r="H454" i="2" l="1"/>
  <c r="K454" i="2" l="1"/>
  <c r="L454" i="2" s="1"/>
  <c r="I455" i="2" s="1"/>
  <c r="C455" i="2"/>
  <c r="D455" i="2"/>
  <c r="N455" i="2"/>
  <c r="J455" i="2" l="1"/>
  <c r="E455" i="2"/>
  <c r="F455" i="2"/>
  <c r="G455" i="2"/>
  <c r="H455" i="2" l="1"/>
  <c r="C456" i="2" l="1"/>
  <c r="K455" i="2"/>
  <c r="L455" i="2" s="1"/>
  <c r="I456" i="2" s="1"/>
  <c r="D456" i="2"/>
  <c r="N456" i="2"/>
  <c r="J456" i="2" l="1"/>
  <c r="E456" i="2"/>
  <c r="F456" i="2"/>
  <c r="G456" i="2"/>
  <c r="H456" i="2" l="1"/>
  <c r="K456" i="2" l="1"/>
  <c r="L456" i="2" s="1"/>
  <c r="I457" i="2" s="1"/>
  <c r="C457" i="2"/>
  <c r="N457" i="2"/>
  <c r="D457" i="2"/>
  <c r="J457" i="2" l="1"/>
  <c r="E457" i="2"/>
  <c r="F457" i="2"/>
  <c r="G457" i="2"/>
  <c r="H457" i="2" l="1"/>
  <c r="K457" i="2" l="1"/>
  <c r="L457" i="2" s="1"/>
  <c r="I458" i="2" s="1"/>
  <c r="C458" i="2"/>
  <c r="N458" i="2"/>
  <c r="D458" i="2"/>
  <c r="J458" i="2" l="1"/>
  <c r="E458" i="2"/>
  <c r="F458" i="2"/>
  <c r="G458" i="2"/>
  <c r="H458" i="2" l="1"/>
  <c r="C459" i="2" l="1"/>
  <c r="K458" i="2"/>
  <c r="L458" i="2" s="1"/>
  <c r="I459" i="2" s="1"/>
  <c r="N459" i="2"/>
  <c r="D459" i="2"/>
  <c r="J459" i="2" l="1"/>
  <c r="E459" i="2"/>
  <c r="F459" i="2"/>
  <c r="G459" i="2"/>
  <c r="H459" i="2" l="1"/>
  <c r="K459" i="2" l="1"/>
  <c r="L459" i="2" s="1"/>
  <c r="I460" i="2" s="1"/>
  <c r="C460" i="2"/>
  <c r="N460" i="2"/>
  <c r="D460" i="2"/>
  <c r="J460" i="2" l="1"/>
  <c r="E460" i="2"/>
  <c r="F460" i="2"/>
  <c r="G460" i="2"/>
  <c r="H460" i="2" l="1"/>
  <c r="K460" i="2" l="1"/>
  <c r="L460" i="2" s="1"/>
  <c r="I461" i="2" s="1"/>
  <c r="C461" i="2"/>
  <c r="N461" i="2"/>
  <c r="D461" i="2"/>
  <c r="J461" i="2" l="1"/>
  <c r="E461" i="2"/>
  <c r="F461" i="2"/>
  <c r="G461" i="2"/>
  <c r="H461" i="2" l="1"/>
  <c r="K461" i="2" l="1"/>
  <c r="L461" i="2" s="1"/>
  <c r="I462" i="2" s="1"/>
  <c r="C462" i="2"/>
  <c r="N462" i="2"/>
  <c r="D462" i="2"/>
  <c r="J462" i="2" l="1"/>
  <c r="E462" i="2"/>
  <c r="F462" i="2"/>
  <c r="G462" i="2"/>
  <c r="H462" i="2" l="1"/>
  <c r="K462" i="2" l="1"/>
  <c r="L462" i="2" s="1"/>
  <c r="I463" i="2" s="1"/>
  <c r="C463" i="2"/>
  <c r="D463" i="2"/>
  <c r="N463" i="2"/>
  <c r="J463" i="2" l="1"/>
  <c r="E463" i="2"/>
  <c r="F463" i="2"/>
  <c r="G463" i="2"/>
  <c r="H463" i="2" l="1"/>
  <c r="C464" i="2" l="1"/>
  <c r="K463" i="2"/>
  <c r="L463" i="2" s="1"/>
  <c r="I464" i="2" s="1"/>
  <c r="N464" i="2"/>
  <c r="D464" i="2"/>
  <c r="J464" i="2" l="1"/>
  <c r="E464" i="2"/>
  <c r="F464" i="2"/>
  <c r="G464" i="2"/>
  <c r="H464" i="2" l="1"/>
  <c r="C465" i="2" l="1"/>
  <c r="K464" i="2"/>
  <c r="L464" i="2" s="1"/>
  <c r="I465" i="2" s="1"/>
  <c r="D465" i="2"/>
  <c r="N465" i="2"/>
  <c r="J465" i="2" l="1"/>
  <c r="E465" i="2"/>
  <c r="F465" i="2"/>
  <c r="G465" i="2"/>
  <c r="H465" i="2" l="1"/>
  <c r="K465" i="2" l="1"/>
  <c r="L465" i="2" s="1"/>
  <c r="I466" i="2" s="1"/>
  <c r="C466" i="2"/>
  <c r="N466" i="2"/>
  <c r="D466" i="2"/>
  <c r="J466" i="2" l="1"/>
  <c r="E466" i="2"/>
  <c r="F466" i="2"/>
  <c r="G466" i="2"/>
  <c r="H466" i="2" l="1"/>
  <c r="K466" i="2" l="1"/>
  <c r="L466" i="2" s="1"/>
  <c r="I467" i="2" s="1"/>
  <c r="C467" i="2"/>
  <c r="D467" i="2"/>
  <c r="N467" i="2"/>
  <c r="J467" i="2" l="1"/>
  <c r="E467" i="2"/>
  <c r="F467" i="2"/>
  <c r="G467" i="2"/>
  <c r="H467" i="2" l="1"/>
  <c r="K467" i="2" l="1"/>
  <c r="L467" i="2" s="1"/>
  <c r="I468" i="2" s="1"/>
  <c r="C468" i="2"/>
  <c r="N468" i="2"/>
  <c r="D468" i="2"/>
  <c r="J468" i="2" l="1"/>
  <c r="E468" i="2"/>
  <c r="F468" i="2"/>
  <c r="G468" i="2"/>
  <c r="H468" i="2" l="1"/>
  <c r="K468" i="2" l="1"/>
  <c r="L468" i="2" s="1"/>
  <c r="I469" i="2" s="1"/>
  <c r="C469" i="2"/>
  <c r="D469" i="2"/>
  <c r="N469" i="2"/>
  <c r="J469" i="2" l="1"/>
  <c r="E469" i="2"/>
  <c r="F469" i="2"/>
  <c r="G469" i="2"/>
  <c r="H469" i="2" l="1"/>
  <c r="C470" i="2" l="1"/>
  <c r="K469" i="2"/>
  <c r="L469" i="2" s="1"/>
  <c r="I470" i="2" s="1"/>
  <c r="N470" i="2"/>
  <c r="D470" i="2"/>
  <c r="J470" i="2" l="1"/>
  <c r="E470" i="2"/>
  <c r="F470" i="2"/>
  <c r="G470" i="2"/>
  <c r="H470" i="2" l="1"/>
  <c r="C471" i="2" l="1"/>
  <c r="K470" i="2"/>
  <c r="L470" i="2" s="1"/>
  <c r="I471" i="2" s="1"/>
  <c r="D471" i="2"/>
  <c r="N471" i="2"/>
  <c r="J471" i="2" l="1"/>
  <c r="E471" i="2"/>
  <c r="F471" i="2"/>
  <c r="G471" i="2"/>
  <c r="H471" i="2" l="1"/>
  <c r="C472" i="2" l="1"/>
  <c r="K471" i="2"/>
  <c r="L471" i="2" s="1"/>
  <c r="I472" i="2" s="1"/>
  <c r="N472" i="2"/>
  <c r="D472" i="2"/>
  <c r="J472" i="2" l="1"/>
  <c r="E472" i="2"/>
  <c r="F472" i="2"/>
  <c r="G472" i="2"/>
  <c r="H472" i="2" l="1"/>
  <c r="C473" i="2" l="1"/>
  <c r="K472" i="2"/>
  <c r="L472" i="2" s="1"/>
  <c r="I473" i="2" s="1"/>
  <c r="N473" i="2"/>
  <c r="D473" i="2"/>
  <c r="J473" i="2" l="1"/>
  <c r="E473" i="2"/>
  <c r="F473" i="2"/>
  <c r="G473" i="2"/>
  <c r="H473" i="2" l="1"/>
  <c r="K473" i="2" l="1"/>
  <c r="L473" i="2" s="1"/>
  <c r="I474" i="2" s="1"/>
  <c r="C474" i="2"/>
  <c r="D474" i="2"/>
  <c r="N474" i="2"/>
  <c r="J474" i="2" l="1"/>
  <c r="E474" i="2"/>
  <c r="F474" i="2"/>
  <c r="G474" i="2"/>
  <c r="H474" i="2" l="1"/>
  <c r="K474" i="2" l="1"/>
  <c r="L474" i="2" s="1"/>
  <c r="I475" i="2" s="1"/>
  <c r="C475" i="2"/>
  <c r="D475" i="2"/>
  <c r="N475" i="2"/>
  <c r="J475" i="2" l="1"/>
  <c r="E475" i="2"/>
  <c r="F475" i="2"/>
  <c r="G475" i="2"/>
  <c r="H475" i="2" l="1"/>
  <c r="K475" i="2" l="1"/>
  <c r="L475" i="2" s="1"/>
  <c r="I476" i="2" s="1"/>
  <c r="C476" i="2"/>
  <c r="N476" i="2"/>
  <c r="D476" i="2"/>
  <c r="J476" i="2" l="1"/>
  <c r="E476" i="2"/>
  <c r="F476" i="2"/>
  <c r="G476" i="2"/>
  <c r="H476" i="2" l="1"/>
  <c r="C477" i="2" l="1"/>
  <c r="K476" i="2"/>
  <c r="L476" i="2" s="1"/>
  <c r="I477" i="2" s="1"/>
  <c r="D477" i="2"/>
  <c r="N477" i="2"/>
  <c r="J477" i="2" l="1"/>
  <c r="E477" i="2"/>
  <c r="F477" i="2"/>
  <c r="G477" i="2"/>
  <c r="H477" i="2" l="1"/>
  <c r="C478" i="2" l="1"/>
  <c r="K477" i="2"/>
  <c r="L477" i="2" s="1"/>
  <c r="I478" i="2" s="1"/>
  <c r="N478" i="2"/>
  <c r="D478" i="2"/>
  <c r="J478" i="2" l="1"/>
  <c r="E478" i="2"/>
  <c r="F478" i="2"/>
  <c r="G478" i="2"/>
  <c r="H478" i="2" l="1"/>
  <c r="K478" i="2" l="1"/>
  <c r="L478" i="2" s="1"/>
  <c r="I479" i="2" s="1"/>
  <c r="C479" i="2"/>
  <c r="N479" i="2"/>
  <c r="D479" i="2"/>
  <c r="J479" i="2" l="1"/>
  <c r="E479" i="2"/>
  <c r="F479" i="2"/>
  <c r="G479" i="2"/>
  <c r="H479" i="2" l="1"/>
  <c r="K479" i="2" l="1"/>
  <c r="L479" i="2" s="1"/>
  <c r="I480" i="2" s="1"/>
  <c r="C480" i="2"/>
  <c r="D480" i="2"/>
  <c r="N480" i="2"/>
  <c r="J480" i="2" l="1"/>
  <c r="E480" i="2"/>
  <c r="F480" i="2"/>
  <c r="G480" i="2"/>
  <c r="H480" i="2" l="1"/>
  <c r="K480" i="2" l="1"/>
  <c r="L480" i="2" s="1"/>
  <c r="I481" i="2" s="1"/>
  <c r="C481" i="2"/>
  <c r="D481" i="2"/>
  <c r="N481" i="2"/>
  <c r="J481" i="2" l="1"/>
  <c r="E481" i="2"/>
  <c r="F481" i="2"/>
  <c r="G481" i="2"/>
  <c r="H481" i="2" l="1"/>
  <c r="C482" i="2" l="1"/>
  <c r="K481" i="2"/>
  <c r="L481" i="2" s="1"/>
  <c r="I482" i="2" s="1"/>
  <c r="D482" i="2"/>
  <c r="N482" i="2"/>
  <c r="J482" i="2" l="1"/>
  <c r="E482" i="2"/>
  <c r="F482" i="2"/>
  <c r="G482" i="2"/>
  <c r="H482" i="2" l="1"/>
  <c r="K482" i="2" l="1"/>
  <c r="L482" i="2" s="1"/>
  <c r="I483" i="2" s="1"/>
  <c r="C483" i="2"/>
  <c r="N483" i="2"/>
  <c r="D483" i="2"/>
  <c r="J483" i="2" l="1"/>
  <c r="E483" i="2"/>
  <c r="F483" i="2"/>
  <c r="G483" i="2"/>
  <c r="H483" i="2" l="1"/>
  <c r="K483" i="2" l="1"/>
  <c r="L483" i="2" s="1"/>
  <c r="I484" i="2" s="1"/>
  <c r="C484" i="2"/>
  <c r="D484" i="2"/>
  <c r="N484" i="2"/>
  <c r="J484" i="2" l="1"/>
  <c r="E484" i="2"/>
  <c r="F484" i="2"/>
  <c r="G484" i="2"/>
  <c r="H484" i="2" l="1"/>
  <c r="K484" i="2" l="1"/>
  <c r="L484" i="2" s="1"/>
  <c r="I485" i="2" s="1"/>
  <c r="C485" i="2"/>
  <c r="D485" i="2"/>
  <c r="N485" i="2"/>
  <c r="J485" i="2" l="1"/>
  <c r="E485" i="2"/>
  <c r="F485" i="2"/>
  <c r="G485" i="2"/>
  <c r="H485" i="2" l="1"/>
  <c r="C486" i="2" l="1"/>
  <c r="K485" i="2"/>
  <c r="L485" i="2" s="1"/>
  <c r="I486" i="2" s="1"/>
  <c r="D486" i="2"/>
  <c r="N486" i="2"/>
  <c r="J486" i="2" l="1"/>
  <c r="E486" i="2"/>
  <c r="F486" i="2"/>
  <c r="G486" i="2"/>
  <c r="H486" i="2" l="1"/>
  <c r="K486" i="2" l="1"/>
  <c r="L486" i="2" s="1"/>
  <c r="I487" i="2" s="1"/>
  <c r="C487" i="2"/>
  <c r="D487" i="2"/>
  <c r="N487" i="2"/>
  <c r="J487" i="2" l="1"/>
  <c r="E487" i="2"/>
  <c r="F487" i="2"/>
  <c r="G487" i="2"/>
  <c r="H487" i="2" l="1"/>
  <c r="C488" i="2" l="1"/>
  <c r="K487" i="2"/>
  <c r="L487" i="2" s="1"/>
  <c r="I488" i="2" s="1"/>
  <c r="N488" i="2"/>
  <c r="D488" i="2"/>
  <c r="J488" i="2" l="1"/>
  <c r="E488" i="2"/>
  <c r="F488" i="2"/>
  <c r="G488" i="2"/>
  <c r="H488" i="2" l="1"/>
  <c r="C489" i="2" l="1"/>
  <c r="K488" i="2"/>
  <c r="L488" i="2" s="1"/>
  <c r="I489" i="2" s="1"/>
  <c r="N489" i="2"/>
  <c r="D489" i="2"/>
  <c r="J489" i="2" l="1"/>
  <c r="E489" i="2"/>
  <c r="F489" i="2"/>
  <c r="G489" i="2"/>
  <c r="H489" i="2" l="1"/>
  <c r="C490" i="2" l="1"/>
  <c r="K489" i="2"/>
  <c r="L489" i="2" s="1"/>
  <c r="I490" i="2" s="1"/>
  <c r="D490" i="2"/>
  <c r="N490" i="2"/>
  <c r="J490" i="2" l="1"/>
  <c r="E490" i="2"/>
  <c r="F490" i="2"/>
  <c r="G490" i="2"/>
  <c r="H490" i="2" l="1"/>
  <c r="K490" i="2" l="1"/>
  <c r="L490" i="2" s="1"/>
  <c r="I491" i="2" s="1"/>
  <c r="C491" i="2"/>
  <c r="D491" i="2"/>
  <c r="N491" i="2"/>
  <c r="J491" i="2" l="1"/>
  <c r="E491" i="2"/>
  <c r="F491" i="2"/>
  <c r="G491" i="2"/>
  <c r="H491" i="2" l="1"/>
  <c r="K491" i="2" l="1"/>
  <c r="L491" i="2" s="1"/>
  <c r="I492" i="2" s="1"/>
  <c r="C492" i="2"/>
  <c r="N492" i="2"/>
  <c r="D492" i="2"/>
  <c r="J492" i="2" l="1"/>
  <c r="E492" i="2"/>
  <c r="F492" i="2"/>
  <c r="G492" i="2"/>
  <c r="H492" i="2" l="1"/>
  <c r="K492" i="2" l="1"/>
  <c r="L492" i="2" s="1"/>
  <c r="I493" i="2" s="1"/>
  <c r="C493" i="2"/>
  <c r="D493" i="2"/>
  <c r="N493" i="2"/>
  <c r="J493" i="2" l="1"/>
  <c r="E493" i="2"/>
  <c r="F493" i="2"/>
  <c r="G493" i="2"/>
  <c r="H493" i="2" l="1"/>
  <c r="K493" i="2" l="1"/>
  <c r="L493" i="2" s="1"/>
  <c r="I494" i="2" s="1"/>
  <c r="C494" i="2"/>
  <c r="N494" i="2"/>
  <c r="D494" i="2"/>
  <c r="J494" i="2" l="1"/>
  <c r="E494" i="2"/>
  <c r="F494" i="2"/>
  <c r="G494" i="2"/>
  <c r="H494" i="2" l="1"/>
  <c r="C495" i="2" l="1"/>
  <c r="K494" i="2"/>
  <c r="L494" i="2" s="1"/>
  <c r="I495" i="2" s="1"/>
  <c r="D495" i="2"/>
  <c r="N495" i="2"/>
  <c r="J495" i="2" l="1"/>
  <c r="E495" i="2"/>
  <c r="F495" i="2"/>
  <c r="G495" i="2"/>
  <c r="H495" i="2" l="1"/>
  <c r="K495" i="2" l="1"/>
  <c r="L495" i="2" s="1"/>
  <c r="I496" i="2" s="1"/>
  <c r="C496" i="2"/>
  <c r="D496" i="2"/>
  <c r="N496" i="2"/>
  <c r="J496" i="2" l="1"/>
  <c r="E496" i="2"/>
  <c r="F496" i="2"/>
  <c r="G496" i="2"/>
  <c r="H496" i="2" l="1"/>
  <c r="C497" i="2" l="1"/>
  <c r="K496" i="2"/>
  <c r="L496" i="2" s="1"/>
  <c r="I497" i="2" s="1"/>
  <c r="D497" i="2"/>
  <c r="N497" i="2"/>
  <c r="J497" i="2" l="1"/>
  <c r="E497" i="2"/>
  <c r="F497" i="2"/>
  <c r="G497" i="2"/>
  <c r="H497" i="2" l="1"/>
  <c r="K497" i="2" l="1"/>
  <c r="L497" i="2" s="1"/>
  <c r="I498" i="2" s="1"/>
  <c r="C498" i="2"/>
  <c r="D498" i="2"/>
  <c r="N498" i="2"/>
  <c r="J498" i="2" l="1"/>
  <c r="E498" i="2"/>
  <c r="F498" i="2"/>
  <c r="G498" i="2"/>
  <c r="H498" i="2" l="1"/>
  <c r="C499" i="2" l="1"/>
  <c r="K498" i="2"/>
  <c r="L498" i="2" s="1"/>
  <c r="I499" i="2" s="1"/>
  <c r="D499" i="2"/>
  <c r="N499" i="2"/>
  <c r="J499" i="2" l="1"/>
  <c r="E499" i="2"/>
  <c r="F499" i="2"/>
  <c r="G499" i="2"/>
  <c r="H499" i="2" l="1"/>
  <c r="K499" i="2" l="1"/>
  <c r="L499" i="2" s="1"/>
  <c r="I500" i="2" s="1"/>
  <c r="C500" i="2"/>
  <c r="N500" i="2"/>
  <c r="D500" i="2"/>
  <c r="J500" i="2" l="1"/>
  <c r="E500" i="2"/>
  <c r="F500" i="2"/>
  <c r="G500" i="2"/>
  <c r="H500" i="2" l="1"/>
  <c r="C501" i="2" l="1"/>
  <c r="K500" i="2"/>
  <c r="L500" i="2" s="1"/>
  <c r="I501" i="2" s="1"/>
  <c r="D501" i="2"/>
  <c r="N501" i="2"/>
  <c r="J501" i="2" l="1"/>
  <c r="E501" i="2"/>
  <c r="F501" i="2"/>
  <c r="G501" i="2"/>
  <c r="H501" i="2" l="1"/>
  <c r="K501" i="2" l="1"/>
  <c r="L501" i="2" s="1"/>
  <c r="I502" i="2" s="1"/>
  <c r="C502" i="2"/>
  <c r="N502" i="2"/>
  <c r="D502" i="2"/>
  <c r="J502" i="2" l="1"/>
  <c r="E502" i="2"/>
  <c r="F502" i="2"/>
  <c r="G502" i="2"/>
  <c r="H502" i="2" l="1"/>
  <c r="C503" i="2" l="1"/>
  <c r="K502" i="2"/>
  <c r="L502" i="2" s="1"/>
  <c r="I503" i="2" s="1"/>
  <c r="D503" i="2"/>
  <c r="N503" i="2"/>
  <c r="J503" i="2" l="1"/>
  <c r="E503" i="2"/>
  <c r="F503" i="2"/>
  <c r="G503" i="2"/>
  <c r="H503" i="2" l="1"/>
  <c r="K503" i="2" l="1"/>
  <c r="L503" i="2" s="1"/>
  <c r="I504" i="2" s="1"/>
  <c r="C504" i="2"/>
  <c r="N504" i="2"/>
  <c r="D504" i="2"/>
  <c r="J504" i="2" l="1"/>
  <c r="E504" i="2"/>
  <c r="F504" i="2"/>
  <c r="G504" i="2"/>
  <c r="H504" i="2" l="1"/>
  <c r="C505" i="2" l="1"/>
  <c r="K504" i="2"/>
  <c r="L504" i="2" s="1"/>
  <c r="I505" i="2" s="1"/>
  <c r="D505" i="2"/>
  <c r="N505" i="2"/>
  <c r="J505" i="2" l="1"/>
  <c r="E505" i="2"/>
  <c r="F505" i="2"/>
  <c r="G505" i="2"/>
  <c r="H505" i="2" l="1"/>
  <c r="K505" i="2" l="1"/>
  <c r="L505" i="2" s="1"/>
  <c r="I506" i="2" s="1"/>
  <c r="C506" i="2"/>
  <c r="N506" i="2"/>
  <c r="D506" i="2"/>
  <c r="J506" i="2" l="1"/>
  <c r="E506" i="2"/>
  <c r="F506" i="2"/>
  <c r="G506" i="2"/>
  <c r="H506" i="2" l="1"/>
  <c r="C507" i="2" l="1"/>
  <c r="K506" i="2"/>
  <c r="L506" i="2" s="1"/>
  <c r="I507" i="2" s="1"/>
  <c r="D507" i="2"/>
  <c r="N507" i="2"/>
  <c r="J507" i="2" l="1"/>
  <c r="E507" i="2"/>
  <c r="F507" i="2"/>
  <c r="G507" i="2"/>
  <c r="H507" i="2" l="1"/>
  <c r="C508" i="2" l="1"/>
  <c r="K507" i="2"/>
  <c r="L507" i="2" s="1"/>
  <c r="I508" i="2" s="1"/>
  <c r="N508" i="2"/>
  <c r="D508" i="2"/>
  <c r="J508" i="2" l="1"/>
  <c r="E508" i="2"/>
  <c r="F508" i="2"/>
  <c r="G508" i="2"/>
  <c r="H508" i="2" l="1"/>
  <c r="C509" i="2" l="1"/>
  <c r="K508" i="2"/>
  <c r="L508" i="2" s="1"/>
  <c r="I509" i="2" s="1"/>
  <c r="D509" i="2"/>
  <c r="N509" i="2"/>
  <c r="J509" i="2" l="1"/>
  <c r="E509" i="2"/>
  <c r="F509" i="2"/>
  <c r="G509" i="2"/>
  <c r="H509" i="2" l="1"/>
  <c r="C510" i="2" l="1"/>
  <c r="K509" i="2"/>
  <c r="L509" i="2" s="1"/>
  <c r="I510" i="2" s="1"/>
  <c r="D510" i="2"/>
  <c r="N510" i="2"/>
  <c r="J510" i="2" l="1"/>
  <c r="E510" i="2"/>
  <c r="F510" i="2"/>
  <c r="G510" i="2"/>
  <c r="H510" i="2" l="1"/>
  <c r="C511" i="2" l="1"/>
  <c r="K510" i="2"/>
  <c r="L510" i="2" s="1"/>
  <c r="I511" i="2" s="1"/>
  <c r="D511" i="2"/>
  <c r="N511" i="2"/>
  <c r="J511" i="2" l="1"/>
  <c r="E511" i="2"/>
  <c r="F511" i="2"/>
  <c r="G511" i="2"/>
  <c r="H511" i="2" l="1"/>
  <c r="C512" i="2" l="1"/>
  <c r="K511" i="2"/>
  <c r="L511" i="2" s="1"/>
  <c r="I512" i="2" s="1"/>
  <c r="D512" i="2"/>
  <c r="N512" i="2"/>
  <c r="J512" i="2" l="1"/>
  <c r="E512" i="2"/>
  <c r="F512" i="2"/>
  <c r="G512" i="2"/>
  <c r="H512" i="2" l="1"/>
  <c r="K512" i="2" l="1"/>
  <c r="L512" i="2" s="1"/>
  <c r="I513" i="2" s="1"/>
  <c r="C513" i="2"/>
  <c r="D513" i="2"/>
  <c r="N513" i="2"/>
  <c r="J513" i="2" l="1"/>
  <c r="E513" i="2"/>
  <c r="F513" i="2"/>
  <c r="G513" i="2"/>
  <c r="H513" i="2" l="1"/>
  <c r="C514" i="2" l="1"/>
  <c r="K513" i="2"/>
  <c r="L513" i="2" s="1"/>
  <c r="I514" i="2" s="1"/>
  <c r="D514" i="2"/>
  <c r="N514" i="2"/>
  <c r="J514" i="2" l="1"/>
  <c r="E514" i="2"/>
  <c r="F514" i="2"/>
  <c r="G514" i="2"/>
  <c r="H514" i="2" l="1"/>
  <c r="K514" i="2" l="1"/>
  <c r="L514" i="2" s="1"/>
  <c r="I515" i="2" s="1"/>
  <c r="C515" i="2"/>
  <c r="N515" i="2"/>
  <c r="D515" i="2"/>
  <c r="J515" i="2" l="1"/>
  <c r="E515" i="2"/>
  <c r="F515" i="2"/>
  <c r="G515" i="2"/>
  <c r="H515" i="2" l="1"/>
  <c r="K515" i="2" l="1"/>
  <c r="L515" i="2" s="1"/>
  <c r="I516" i="2" s="1"/>
  <c r="C516" i="2"/>
  <c r="N516" i="2"/>
  <c r="D516" i="2"/>
  <c r="J516" i="2" l="1"/>
  <c r="E516" i="2"/>
  <c r="F516" i="2"/>
  <c r="G516" i="2"/>
  <c r="H516" i="2" l="1"/>
  <c r="K516" i="2" l="1"/>
  <c r="L516" i="2" s="1"/>
  <c r="I517" i="2" s="1"/>
  <c r="C517" i="2"/>
  <c r="N517" i="2"/>
  <c r="D517" i="2"/>
  <c r="J517" i="2" l="1"/>
  <c r="E517" i="2"/>
  <c r="F517" i="2"/>
  <c r="G517" i="2"/>
  <c r="H517" i="2" l="1"/>
  <c r="K517" i="2" l="1"/>
  <c r="L517" i="2" s="1"/>
  <c r="I518" i="2" s="1"/>
  <c r="C518" i="2"/>
  <c r="N518" i="2"/>
  <c r="D518" i="2"/>
  <c r="J518" i="2" l="1"/>
  <c r="E518" i="2"/>
  <c r="F518" i="2"/>
  <c r="G518" i="2"/>
  <c r="H518" i="2" l="1"/>
  <c r="C519" i="2" l="1"/>
  <c r="K518" i="2"/>
  <c r="L518" i="2" s="1"/>
  <c r="I519" i="2" s="1"/>
  <c r="N519" i="2"/>
  <c r="D519" i="2"/>
  <c r="J519" i="2" l="1"/>
  <c r="E519" i="2"/>
  <c r="F519" i="2"/>
  <c r="G519" i="2"/>
  <c r="H519" i="2" l="1"/>
  <c r="C520" i="2" l="1"/>
  <c r="K519" i="2"/>
  <c r="L519" i="2" s="1"/>
  <c r="I520" i="2" s="1"/>
  <c r="D520" i="2"/>
  <c r="N520" i="2"/>
  <c r="J520" i="2" l="1"/>
  <c r="E520" i="2"/>
  <c r="F520" i="2"/>
  <c r="G520" i="2"/>
  <c r="H520" i="2" l="1"/>
  <c r="K520" i="2" l="1"/>
  <c r="L520" i="2" s="1"/>
  <c r="I521" i="2" s="1"/>
  <c r="C521" i="2"/>
  <c r="D521" i="2"/>
  <c r="N521" i="2"/>
  <c r="J521" i="2" l="1"/>
  <c r="E521" i="2"/>
  <c r="F521" i="2"/>
  <c r="G521" i="2"/>
  <c r="H521" i="2" l="1"/>
  <c r="C522" i="2" l="1"/>
  <c r="K521" i="2"/>
  <c r="L521" i="2" s="1"/>
  <c r="I522" i="2" s="1"/>
  <c r="D522" i="2"/>
  <c r="N522" i="2"/>
  <c r="J522" i="2" l="1"/>
  <c r="E522" i="2"/>
  <c r="F522" i="2"/>
  <c r="G522" i="2"/>
  <c r="H522" i="2" l="1"/>
  <c r="C523" i="2" l="1"/>
  <c r="K522" i="2"/>
  <c r="L522" i="2" s="1"/>
  <c r="I523" i="2" s="1"/>
  <c r="N523" i="2"/>
  <c r="D523" i="2"/>
  <c r="J523" i="2" l="1"/>
  <c r="E523" i="2"/>
  <c r="F523" i="2"/>
  <c r="G523" i="2"/>
  <c r="H523" i="2" l="1"/>
  <c r="K523" i="2" l="1"/>
  <c r="L523" i="2" s="1"/>
  <c r="I524" i="2" s="1"/>
  <c r="C524" i="2"/>
  <c r="D524" i="2"/>
  <c r="N524" i="2"/>
  <c r="J524" i="2" l="1"/>
  <c r="E524" i="2"/>
  <c r="F524" i="2"/>
  <c r="G524" i="2"/>
  <c r="H524" i="2" l="1"/>
  <c r="C525" i="2" l="1"/>
  <c r="K524" i="2"/>
  <c r="L524" i="2" s="1"/>
  <c r="I525" i="2" s="1"/>
  <c r="N525" i="2"/>
  <c r="D525" i="2"/>
  <c r="J525" i="2" l="1"/>
  <c r="E525" i="2"/>
  <c r="F525" i="2"/>
  <c r="G525" i="2"/>
  <c r="H525" i="2" l="1"/>
  <c r="C526" i="2" l="1"/>
  <c r="K525" i="2"/>
  <c r="L525" i="2" s="1"/>
  <c r="I526" i="2" s="1"/>
  <c r="N526" i="2"/>
  <c r="D526" i="2"/>
  <c r="J526" i="2" l="1"/>
  <c r="E526" i="2"/>
  <c r="F526" i="2"/>
  <c r="G526" i="2"/>
  <c r="H526" i="2" l="1"/>
  <c r="C527" i="2" l="1"/>
  <c r="K526" i="2"/>
  <c r="L526" i="2" s="1"/>
  <c r="I527" i="2" s="1"/>
  <c r="D527" i="2"/>
  <c r="N527" i="2"/>
  <c r="J527" i="2" l="1"/>
  <c r="E527" i="2"/>
  <c r="F527" i="2"/>
  <c r="G527" i="2"/>
  <c r="H527" i="2" l="1"/>
  <c r="K527" i="2" l="1"/>
  <c r="L527" i="2" s="1"/>
  <c r="I528" i="2" s="1"/>
  <c r="C528" i="2"/>
  <c r="N528" i="2"/>
  <c r="D528" i="2"/>
  <c r="J528" i="2" l="1"/>
  <c r="E528" i="2"/>
  <c r="F528" i="2"/>
  <c r="G528" i="2"/>
  <c r="H528" i="2" l="1"/>
  <c r="C529" i="2" l="1"/>
  <c r="K528" i="2"/>
  <c r="L528" i="2" s="1"/>
  <c r="I529" i="2" s="1"/>
  <c r="D529" i="2"/>
  <c r="N529" i="2"/>
  <c r="J529" i="2" l="1"/>
  <c r="E529" i="2"/>
  <c r="F529" i="2"/>
  <c r="G529" i="2"/>
  <c r="H529" i="2" l="1"/>
  <c r="K529" i="2" l="1"/>
  <c r="L529" i="2" s="1"/>
  <c r="I530" i="2" s="1"/>
  <c r="C530" i="2"/>
  <c r="N530" i="2"/>
  <c r="D530" i="2"/>
  <c r="J530" i="2" l="1"/>
  <c r="E530" i="2"/>
  <c r="F530" i="2"/>
  <c r="G530" i="2"/>
  <c r="H530" i="2" l="1"/>
  <c r="C531" i="2" l="1"/>
  <c r="K530" i="2"/>
  <c r="L530" i="2" s="1"/>
  <c r="I531" i="2" s="1"/>
  <c r="N531" i="2"/>
  <c r="D531" i="2"/>
  <c r="J531" i="2" l="1"/>
  <c r="E531" i="2"/>
  <c r="F531" i="2"/>
  <c r="G531" i="2"/>
  <c r="H531" i="2" l="1"/>
  <c r="K531" i="2" l="1"/>
  <c r="L531" i="2" s="1"/>
  <c r="I532" i="2" s="1"/>
  <c r="C532" i="2"/>
  <c r="D532" i="2"/>
  <c r="N532" i="2"/>
  <c r="J532" i="2" l="1"/>
  <c r="E532" i="2"/>
  <c r="F532" i="2"/>
  <c r="G532" i="2"/>
  <c r="H532" i="2" l="1"/>
  <c r="C533" i="2" l="1"/>
  <c r="K532" i="2"/>
  <c r="L532" i="2" s="1"/>
  <c r="I533" i="2" s="1"/>
  <c r="N533" i="2"/>
  <c r="D533" i="2"/>
  <c r="J533" i="2" l="1"/>
  <c r="E533" i="2"/>
  <c r="F533" i="2"/>
  <c r="G533" i="2"/>
  <c r="H533" i="2" l="1"/>
  <c r="K533" i="2" l="1"/>
  <c r="L533" i="2" s="1"/>
  <c r="I534" i="2" s="1"/>
  <c r="C534" i="2"/>
  <c r="D534" i="2"/>
  <c r="N534" i="2"/>
  <c r="J534" i="2" l="1"/>
  <c r="E534" i="2"/>
  <c r="F534" i="2"/>
  <c r="G534" i="2"/>
  <c r="H534" i="2" l="1"/>
  <c r="K534" i="2" l="1"/>
  <c r="L534" i="2" s="1"/>
  <c r="I535" i="2" s="1"/>
  <c r="C535" i="2"/>
  <c r="N535" i="2"/>
  <c r="D535" i="2"/>
  <c r="J535" i="2" l="1"/>
  <c r="E535" i="2"/>
  <c r="F535" i="2"/>
  <c r="G535" i="2"/>
  <c r="H535" i="2" l="1"/>
  <c r="K535" i="2" l="1"/>
  <c r="L535" i="2" s="1"/>
  <c r="I536" i="2" s="1"/>
  <c r="C536" i="2"/>
  <c r="D536" i="2"/>
  <c r="N536" i="2"/>
  <c r="J536" i="2" l="1"/>
  <c r="E536" i="2"/>
  <c r="F536" i="2"/>
  <c r="G536" i="2"/>
  <c r="H536" i="2" l="1"/>
  <c r="K536" i="2" l="1"/>
  <c r="L536" i="2" s="1"/>
  <c r="I537" i="2" s="1"/>
  <c r="C537" i="2"/>
  <c r="D537" i="2"/>
  <c r="N537" i="2"/>
  <c r="J537" i="2" l="1"/>
  <c r="E537" i="2"/>
  <c r="F537" i="2"/>
  <c r="G537" i="2"/>
  <c r="H537" i="2" l="1"/>
  <c r="K537" i="2" l="1"/>
  <c r="L537" i="2" s="1"/>
  <c r="I538" i="2" s="1"/>
  <c r="C538" i="2"/>
  <c r="D538" i="2"/>
  <c r="N538" i="2"/>
  <c r="J538" i="2" l="1"/>
  <c r="E538" i="2"/>
  <c r="F538" i="2"/>
  <c r="G538" i="2"/>
  <c r="H538" i="2" l="1"/>
  <c r="C539" i="2" l="1"/>
  <c r="K538" i="2"/>
  <c r="L538" i="2" s="1"/>
  <c r="I539" i="2" s="1"/>
  <c r="D539" i="2"/>
  <c r="N539" i="2"/>
  <c r="J539" i="2" l="1"/>
  <c r="E539" i="2"/>
  <c r="F539" i="2"/>
  <c r="G539" i="2"/>
  <c r="H539" i="2" l="1"/>
  <c r="K539" i="2" l="1"/>
  <c r="L539" i="2" s="1"/>
  <c r="I540" i="2" s="1"/>
  <c r="C540" i="2"/>
  <c r="N540" i="2"/>
  <c r="D540" i="2"/>
  <c r="J540" i="2" l="1"/>
  <c r="E540" i="2"/>
  <c r="F540" i="2"/>
  <c r="G540" i="2"/>
  <c r="H540" i="2" l="1"/>
  <c r="C541" i="2" l="1"/>
  <c r="K540" i="2"/>
  <c r="L540" i="2" s="1"/>
  <c r="I541" i="2" s="1"/>
  <c r="N541" i="2"/>
  <c r="D541" i="2"/>
  <c r="J541" i="2" l="1"/>
  <c r="E541" i="2"/>
  <c r="F541" i="2"/>
  <c r="G541" i="2"/>
  <c r="H541" i="2" l="1"/>
  <c r="K541" i="2" l="1"/>
  <c r="L541" i="2" s="1"/>
  <c r="I542" i="2" s="1"/>
  <c r="C542" i="2"/>
  <c r="N542" i="2"/>
  <c r="D542" i="2"/>
  <c r="J542" i="2" l="1"/>
  <c r="E542" i="2"/>
  <c r="F542" i="2"/>
  <c r="G542" i="2"/>
  <c r="H542" i="2" l="1"/>
  <c r="C543" i="2" l="1"/>
  <c r="K542" i="2"/>
  <c r="L542" i="2" s="1"/>
  <c r="I543" i="2" s="1"/>
  <c r="D543" i="2"/>
  <c r="N543" i="2"/>
  <c r="J543" i="2" l="1"/>
  <c r="E543" i="2"/>
  <c r="F543" i="2"/>
  <c r="G543" i="2"/>
  <c r="H543" i="2" l="1"/>
  <c r="C544" i="2" l="1"/>
  <c r="K543" i="2"/>
  <c r="L543" i="2" s="1"/>
  <c r="I544" i="2" s="1"/>
  <c r="D544" i="2"/>
  <c r="N544" i="2"/>
  <c r="J544" i="2" l="1"/>
  <c r="E544" i="2"/>
  <c r="F544" i="2"/>
  <c r="G544" i="2"/>
  <c r="H544" i="2" l="1"/>
  <c r="C545" i="2" l="1"/>
  <c r="K544" i="2"/>
  <c r="L544" i="2" s="1"/>
  <c r="I545" i="2" s="1"/>
  <c r="D545" i="2"/>
  <c r="N545" i="2"/>
  <c r="J545" i="2" l="1"/>
  <c r="E545" i="2"/>
  <c r="F545" i="2"/>
  <c r="G545" i="2"/>
  <c r="H545" i="2" l="1"/>
  <c r="K545" i="2" l="1"/>
  <c r="L545" i="2" s="1"/>
  <c r="I546" i="2" s="1"/>
  <c r="C546" i="2"/>
  <c r="D546" i="2"/>
  <c r="N546" i="2"/>
  <c r="J546" i="2" l="1"/>
  <c r="E546" i="2"/>
  <c r="F546" i="2"/>
  <c r="G546" i="2"/>
  <c r="H546" i="2" l="1"/>
  <c r="C547" i="2" l="1"/>
  <c r="K546" i="2"/>
  <c r="L546" i="2" s="1"/>
  <c r="I547" i="2" s="1"/>
  <c r="N547" i="2"/>
  <c r="D547" i="2"/>
  <c r="J547" i="2" l="1"/>
  <c r="E547" i="2"/>
  <c r="F547" i="2"/>
  <c r="G547" i="2"/>
  <c r="H547" i="2" l="1"/>
  <c r="K547" i="2" l="1"/>
  <c r="L547" i="2" s="1"/>
  <c r="I548" i="2" s="1"/>
  <c r="C548" i="2"/>
  <c r="D548" i="2"/>
  <c r="N548" i="2"/>
  <c r="J548" i="2" l="1"/>
  <c r="E548" i="2"/>
  <c r="F548" i="2"/>
  <c r="G548" i="2"/>
  <c r="H548" i="2" l="1"/>
  <c r="K548" i="2" l="1"/>
  <c r="L548" i="2" s="1"/>
  <c r="I549" i="2" s="1"/>
  <c r="C549" i="2"/>
  <c r="N549" i="2"/>
  <c r="D549" i="2"/>
  <c r="J549" i="2" l="1"/>
  <c r="E549" i="2"/>
  <c r="F549" i="2"/>
  <c r="G549" i="2"/>
  <c r="H549" i="2" l="1"/>
  <c r="C550" i="2" l="1"/>
  <c r="K549" i="2"/>
  <c r="L549" i="2" s="1"/>
  <c r="I550" i="2" s="1"/>
  <c r="N550" i="2"/>
  <c r="D550" i="2"/>
  <c r="J550" i="2" l="1"/>
  <c r="E550" i="2"/>
  <c r="F550" i="2"/>
  <c r="G550" i="2"/>
  <c r="H550" i="2" l="1"/>
  <c r="C551" i="2" l="1"/>
  <c r="K550" i="2"/>
  <c r="L550" i="2" s="1"/>
  <c r="I551" i="2" s="1"/>
  <c r="D551" i="2"/>
  <c r="N551" i="2"/>
  <c r="J551" i="2" l="1"/>
  <c r="E551" i="2"/>
  <c r="F551" i="2"/>
  <c r="G551" i="2"/>
  <c r="H551" i="2" l="1"/>
  <c r="C552" i="2" l="1"/>
  <c r="K551" i="2"/>
  <c r="L551" i="2" s="1"/>
  <c r="I552" i="2" s="1"/>
  <c r="N552" i="2"/>
  <c r="D552" i="2"/>
  <c r="J552" i="2" l="1"/>
  <c r="E552" i="2"/>
  <c r="F552" i="2"/>
  <c r="G552" i="2"/>
  <c r="H552" i="2" l="1"/>
  <c r="C553" i="2" l="1"/>
  <c r="K552" i="2"/>
  <c r="L552" i="2" s="1"/>
  <c r="I553" i="2" s="1"/>
  <c r="D553" i="2"/>
  <c r="N553" i="2"/>
  <c r="J553" i="2" l="1"/>
  <c r="E553" i="2"/>
  <c r="F553" i="2"/>
  <c r="G553" i="2"/>
  <c r="H553" i="2" l="1"/>
  <c r="K553" i="2" l="1"/>
  <c r="L553" i="2" s="1"/>
  <c r="I554" i="2" s="1"/>
  <c r="C554" i="2"/>
  <c r="N554" i="2"/>
  <c r="D554" i="2"/>
  <c r="J554" i="2" l="1"/>
  <c r="E554" i="2"/>
  <c r="F554" i="2"/>
  <c r="G554" i="2"/>
  <c r="H554" i="2" l="1"/>
  <c r="C555" i="2" l="1"/>
  <c r="K554" i="2"/>
  <c r="L554" i="2" s="1"/>
  <c r="I555" i="2" s="1"/>
  <c r="D555" i="2"/>
  <c r="N555" i="2"/>
  <c r="J555" i="2" l="1"/>
  <c r="E555" i="2"/>
  <c r="F555" i="2"/>
  <c r="G555" i="2"/>
  <c r="H555" i="2" l="1"/>
  <c r="K555" i="2" l="1"/>
  <c r="L555" i="2" s="1"/>
  <c r="I556" i="2" s="1"/>
  <c r="C556" i="2"/>
  <c r="N556" i="2"/>
  <c r="D556" i="2"/>
  <c r="J556" i="2" l="1"/>
  <c r="E556" i="2"/>
  <c r="F556" i="2"/>
  <c r="G556" i="2"/>
  <c r="H556" i="2" l="1"/>
  <c r="K556" i="2" l="1"/>
  <c r="L556" i="2" s="1"/>
  <c r="I557" i="2" s="1"/>
  <c r="C557" i="2"/>
  <c r="N557" i="2"/>
  <c r="D557" i="2"/>
  <c r="J557" i="2" l="1"/>
  <c r="E557" i="2"/>
  <c r="F557" i="2"/>
  <c r="G557" i="2"/>
  <c r="H557" i="2" l="1"/>
  <c r="K557" i="2" l="1"/>
  <c r="L557" i="2" s="1"/>
  <c r="I558" i="2" s="1"/>
  <c r="C558" i="2"/>
  <c r="D558" i="2"/>
  <c r="N558" i="2"/>
  <c r="J558" i="2" l="1"/>
  <c r="E558" i="2"/>
  <c r="F558" i="2"/>
  <c r="G558" i="2"/>
  <c r="H558" i="2" l="1"/>
  <c r="C559" i="2" l="1"/>
  <c r="K558" i="2"/>
  <c r="L558" i="2" s="1"/>
  <c r="I559" i="2" s="1"/>
  <c r="D559" i="2"/>
  <c r="N559" i="2"/>
  <c r="J559" i="2" l="1"/>
  <c r="E559" i="2"/>
  <c r="F559" i="2"/>
  <c r="G559" i="2"/>
  <c r="H559" i="2" l="1"/>
  <c r="C560" i="2" l="1"/>
  <c r="K559" i="2"/>
  <c r="L559" i="2" s="1"/>
  <c r="I560" i="2" s="1"/>
  <c r="N560" i="2"/>
  <c r="D560" i="2"/>
  <c r="J560" i="2" l="1"/>
  <c r="E560" i="2"/>
  <c r="F560" i="2"/>
  <c r="G560" i="2"/>
  <c r="H560" i="2" l="1"/>
  <c r="C561" i="2" l="1"/>
  <c r="K560" i="2"/>
  <c r="L560" i="2" s="1"/>
  <c r="I561" i="2" s="1"/>
  <c r="N561" i="2"/>
  <c r="D561" i="2"/>
  <c r="J561" i="2" l="1"/>
  <c r="E561" i="2"/>
  <c r="F561" i="2"/>
  <c r="G561" i="2"/>
  <c r="H561" i="2" l="1"/>
  <c r="C562" i="2" l="1"/>
  <c r="K561" i="2"/>
  <c r="L561" i="2" s="1"/>
  <c r="I562" i="2" s="1"/>
  <c r="D562" i="2"/>
  <c r="N562" i="2"/>
  <c r="J562" i="2" l="1"/>
  <c r="E562" i="2"/>
  <c r="F562" i="2"/>
  <c r="G562" i="2"/>
  <c r="H562" i="2" l="1"/>
  <c r="C563" i="2" l="1"/>
  <c r="K562" i="2"/>
  <c r="L562" i="2" s="1"/>
  <c r="I563" i="2" s="1"/>
  <c r="N563" i="2"/>
  <c r="D563" i="2"/>
  <c r="J563" i="2" l="1"/>
  <c r="E563" i="2"/>
  <c r="F563" i="2"/>
  <c r="G563" i="2"/>
  <c r="H563" i="2" l="1"/>
  <c r="K563" i="2" l="1"/>
  <c r="L563" i="2" s="1"/>
  <c r="I564" i="2" s="1"/>
  <c r="C564" i="2"/>
  <c r="D564" i="2"/>
  <c r="N564" i="2"/>
  <c r="J564" i="2" l="1"/>
  <c r="E564" i="2"/>
  <c r="F564" i="2"/>
  <c r="G564" i="2"/>
  <c r="H564" i="2" l="1"/>
  <c r="C565" i="2" l="1"/>
  <c r="K564" i="2"/>
  <c r="L564" i="2" s="1"/>
  <c r="I565" i="2" s="1"/>
  <c r="N565" i="2"/>
  <c r="D565" i="2"/>
  <c r="J565" i="2" l="1"/>
  <c r="E565" i="2"/>
  <c r="F565" i="2"/>
  <c r="G565" i="2"/>
  <c r="H565" i="2" l="1"/>
  <c r="C566" i="2" l="1"/>
  <c r="K565" i="2"/>
  <c r="L565" i="2" s="1"/>
  <c r="I566" i="2" s="1"/>
  <c r="N566" i="2"/>
  <c r="D566" i="2"/>
  <c r="J566" i="2" l="1"/>
  <c r="E566" i="2"/>
  <c r="F566" i="2"/>
  <c r="G566" i="2"/>
  <c r="H566" i="2" l="1"/>
  <c r="C567" i="2" l="1"/>
  <c r="K566" i="2"/>
  <c r="L566" i="2" s="1"/>
  <c r="I567" i="2" s="1"/>
  <c r="D567" i="2"/>
  <c r="N567" i="2"/>
  <c r="J567" i="2" l="1"/>
  <c r="E567" i="2"/>
  <c r="F567" i="2"/>
  <c r="G567" i="2"/>
  <c r="H567" i="2" l="1"/>
  <c r="K567" i="2" l="1"/>
  <c r="L567" i="2" s="1"/>
  <c r="I568" i="2" s="1"/>
  <c r="C568" i="2"/>
  <c r="N568" i="2"/>
  <c r="D568" i="2"/>
  <c r="J568" i="2" l="1"/>
  <c r="E568" i="2"/>
  <c r="F568" i="2"/>
  <c r="G568" i="2"/>
  <c r="H568" i="2" l="1"/>
  <c r="C569" i="2" l="1"/>
  <c r="K568" i="2"/>
  <c r="L568" i="2" s="1"/>
  <c r="I569" i="2" s="1"/>
  <c r="N569" i="2"/>
  <c r="D569" i="2"/>
  <c r="J569" i="2" l="1"/>
  <c r="E569" i="2"/>
  <c r="F569" i="2"/>
  <c r="G569" i="2"/>
  <c r="H569" i="2" l="1"/>
  <c r="K569" i="2" l="1"/>
  <c r="L569" i="2" s="1"/>
  <c r="I570" i="2" s="1"/>
  <c r="C570" i="2"/>
  <c r="D570" i="2"/>
  <c r="N570" i="2"/>
  <c r="J570" i="2" l="1"/>
  <c r="E570" i="2"/>
  <c r="F570" i="2"/>
  <c r="G570" i="2"/>
  <c r="H570" i="2" l="1"/>
  <c r="C571" i="2" l="1"/>
  <c r="K570" i="2"/>
  <c r="L570" i="2" s="1"/>
  <c r="I571" i="2" s="1"/>
  <c r="N571" i="2"/>
  <c r="D571" i="2"/>
  <c r="J571" i="2" l="1"/>
  <c r="E571" i="2"/>
  <c r="F571" i="2"/>
  <c r="G571" i="2"/>
  <c r="H571" i="2" l="1"/>
  <c r="K571" i="2" l="1"/>
  <c r="L571" i="2" s="1"/>
  <c r="I572" i="2" s="1"/>
  <c r="C572" i="2"/>
  <c r="N572" i="2"/>
  <c r="D572" i="2"/>
  <c r="J572" i="2" l="1"/>
  <c r="E572" i="2"/>
  <c r="F572" i="2"/>
  <c r="G572" i="2"/>
  <c r="H572" i="2" l="1"/>
  <c r="C573" i="2" l="1"/>
  <c r="K572" i="2"/>
  <c r="L572" i="2" s="1"/>
  <c r="I573" i="2" s="1"/>
  <c r="D573" i="2"/>
  <c r="N573" i="2"/>
  <c r="J573" i="2" l="1"/>
  <c r="E573" i="2"/>
  <c r="F573" i="2"/>
  <c r="G573" i="2"/>
  <c r="H573" i="2" l="1"/>
  <c r="K573" i="2" l="1"/>
  <c r="L573" i="2" s="1"/>
  <c r="I574" i="2" s="1"/>
  <c r="C574" i="2"/>
  <c r="D574" i="2"/>
  <c r="N574" i="2"/>
  <c r="J574" i="2" l="1"/>
  <c r="E574" i="2"/>
  <c r="F574" i="2"/>
  <c r="G574" i="2"/>
  <c r="H574" i="2" l="1"/>
  <c r="K574" i="2" l="1"/>
  <c r="L574" i="2" s="1"/>
  <c r="I575" i="2" s="1"/>
  <c r="C575" i="2"/>
  <c r="D575" i="2"/>
  <c r="N575" i="2"/>
  <c r="J575" i="2" l="1"/>
  <c r="E575" i="2"/>
  <c r="F575" i="2"/>
  <c r="G575" i="2"/>
  <c r="H575" i="2" l="1"/>
  <c r="K575" i="2" l="1"/>
  <c r="L575" i="2" s="1"/>
  <c r="I576" i="2" s="1"/>
  <c r="C576" i="2"/>
  <c r="D576" i="2"/>
  <c r="N576" i="2"/>
  <c r="J576" i="2" l="1"/>
  <c r="E576" i="2"/>
  <c r="F576" i="2"/>
  <c r="G576" i="2"/>
  <c r="H576" i="2" l="1"/>
  <c r="C577" i="2" l="1"/>
  <c r="K576" i="2"/>
  <c r="L576" i="2" s="1"/>
  <c r="I577" i="2" s="1"/>
  <c r="N577" i="2"/>
  <c r="D577" i="2"/>
  <c r="J577" i="2" l="1"/>
  <c r="E577" i="2"/>
  <c r="F577" i="2"/>
  <c r="G577" i="2"/>
  <c r="H577" i="2" l="1"/>
  <c r="K577" i="2" l="1"/>
  <c r="L577" i="2" s="1"/>
  <c r="I578" i="2" s="1"/>
  <c r="C578" i="2"/>
  <c r="N578" i="2"/>
  <c r="D578" i="2"/>
  <c r="J578" i="2" l="1"/>
  <c r="E578" i="2"/>
  <c r="F578" i="2"/>
  <c r="G578" i="2"/>
  <c r="H578" i="2" l="1"/>
  <c r="C579" i="2" l="1"/>
  <c r="K578" i="2"/>
  <c r="L578" i="2" s="1"/>
  <c r="I579" i="2" s="1"/>
  <c r="D579" i="2"/>
  <c r="N579" i="2"/>
  <c r="J579" i="2" l="1"/>
  <c r="E579" i="2"/>
  <c r="F579" i="2"/>
  <c r="G579" i="2"/>
  <c r="H579" i="2" l="1"/>
  <c r="K579" i="2" l="1"/>
  <c r="L579" i="2" s="1"/>
  <c r="I580" i="2" s="1"/>
  <c r="C580" i="2"/>
  <c r="D580" i="2"/>
  <c r="N580" i="2"/>
  <c r="J580" i="2" l="1"/>
  <c r="E580" i="2"/>
  <c r="F580" i="2"/>
  <c r="G580" i="2"/>
  <c r="H580" i="2" l="1"/>
  <c r="C581" i="2" l="1"/>
  <c r="K580" i="2"/>
  <c r="L580" i="2" s="1"/>
  <c r="I581" i="2" s="1"/>
  <c r="D581" i="2"/>
  <c r="N581" i="2"/>
  <c r="J581" i="2" l="1"/>
  <c r="E581" i="2"/>
  <c r="F581" i="2"/>
  <c r="G581" i="2"/>
  <c r="H581" i="2" l="1"/>
  <c r="K581" i="2" l="1"/>
  <c r="L581" i="2" s="1"/>
  <c r="I582" i="2" s="1"/>
  <c r="C582" i="2"/>
  <c r="D582" i="2"/>
  <c r="N582" i="2"/>
  <c r="J582" i="2" l="1"/>
  <c r="E582" i="2"/>
  <c r="F582" i="2"/>
  <c r="G582" i="2"/>
  <c r="H582" i="2" l="1"/>
  <c r="C583" i="2" l="1"/>
  <c r="K582" i="2"/>
  <c r="L582" i="2" s="1"/>
  <c r="I583" i="2" s="1"/>
  <c r="N583" i="2"/>
  <c r="D583" i="2"/>
  <c r="J583" i="2" l="1"/>
  <c r="E583" i="2"/>
  <c r="F583" i="2"/>
  <c r="G583" i="2"/>
  <c r="H583" i="2" l="1"/>
  <c r="K583" i="2" l="1"/>
  <c r="L583" i="2" s="1"/>
  <c r="I584" i="2" s="1"/>
  <c r="C584" i="2"/>
  <c r="N584" i="2"/>
  <c r="D584" i="2"/>
  <c r="J584" i="2" l="1"/>
  <c r="E584" i="2"/>
  <c r="F584" i="2"/>
  <c r="G584" i="2"/>
  <c r="H584" i="2" l="1"/>
  <c r="C585" i="2" l="1"/>
  <c r="K584" i="2"/>
  <c r="L584" i="2" s="1"/>
  <c r="I585" i="2" s="1"/>
  <c r="N585" i="2"/>
  <c r="D585" i="2"/>
  <c r="J585" i="2" l="1"/>
  <c r="E585" i="2"/>
  <c r="F585" i="2"/>
  <c r="G585" i="2"/>
  <c r="H585" i="2" l="1"/>
  <c r="K585" i="2" l="1"/>
  <c r="L585" i="2" s="1"/>
  <c r="I586" i="2" s="1"/>
  <c r="C586" i="2"/>
  <c r="N586" i="2"/>
  <c r="D586" i="2"/>
  <c r="J586" i="2" l="1"/>
  <c r="E586" i="2"/>
  <c r="F586" i="2"/>
  <c r="G586" i="2"/>
  <c r="H586" i="2" l="1"/>
  <c r="C587" i="2" l="1"/>
  <c r="K586" i="2"/>
  <c r="L586" i="2" s="1"/>
  <c r="I587" i="2" s="1"/>
  <c r="N587" i="2"/>
  <c r="D587" i="2"/>
  <c r="J587" i="2" l="1"/>
  <c r="E587" i="2"/>
  <c r="F587" i="2"/>
  <c r="G587" i="2"/>
  <c r="H587" i="2" l="1"/>
  <c r="K587" i="2" l="1"/>
  <c r="L587" i="2" s="1"/>
  <c r="I588" i="2" s="1"/>
  <c r="C588" i="2"/>
  <c r="D588" i="2"/>
  <c r="N588" i="2"/>
  <c r="J588" i="2" l="1"/>
  <c r="E588" i="2"/>
  <c r="F588" i="2"/>
  <c r="G588" i="2"/>
  <c r="H588" i="2" l="1"/>
  <c r="C589" i="2" l="1"/>
  <c r="K588" i="2"/>
  <c r="L588" i="2" s="1"/>
  <c r="I589" i="2" s="1"/>
  <c r="D589" i="2"/>
  <c r="N589" i="2"/>
  <c r="J589" i="2" l="1"/>
  <c r="E589" i="2"/>
  <c r="F589" i="2"/>
  <c r="G589" i="2"/>
  <c r="H589" i="2" l="1"/>
  <c r="K589" i="2" l="1"/>
  <c r="L589" i="2" s="1"/>
  <c r="I590" i="2" s="1"/>
  <c r="C590" i="2"/>
  <c r="N590" i="2"/>
  <c r="D590" i="2"/>
  <c r="J590" i="2" l="1"/>
  <c r="E590" i="2"/>
  <c r="F590" i="2"/>
  <c r="G590" i="2"/>
  <c r="H590" i="2" l="1"/>
  <c r="C591" i="2" l="1"/>
  <c r="K590" i="2"/>
  <c r="L590" i="2" s="1"/>
  <c r="I591" i="2" s="1"/>
  <c r="D591" i="2"/>
  <c r="N591" i="2"/>
  <c r="J591" i="2" l="1"/>
  <c r="E591" i="2"/>
  <c r="F591" i="2"/>
  <c r="G591" i="2"/>
  <c r="H591" i="2" l="1"/>
  <c r="K591" i="2" l="1"/>
  <c r="L591" i="2" s="1"/>
  <c r="I592" i="2" s="1"/>
  <c r="C592" i="2"/>
  <c r="N592" i="2"/>
  <c r="D592" i="2"/>
  <c r="J592" i="2" l="1"/>
  <c r="E592" i="2"/>
  <c r="F592" i="2"/>
  <c r="G592" i="2"/>
  <c r="H592" i="2" l="1"/>
  <c r="C593" i="2" l="1"/>
  <c r="K592" i="2"/>
  <c r="L592" i="2" s="1"/>
  <c r="I593" i="2" s="1"/>
  <c r="N593" i="2"/>
  <c r="D593" i="2"/>
  <c r="J593" i="2" l="1"/>
  <c r="E593" i="2"/>
  <c r="F593" i="2"/>
  <c r="G593" i="2"/>
  <c r="H593" i="2" l="1"/>
  <c r="K593" i="2" l="1"/>
  <c r="L593" i="2" s="1"/>
  <c r="I594" i="2" s="1"/>
  <c r="C594" i="2"/>
  <c r="D594" i="2"/>
  <c r="N594" i="2"/>
  <c r="J594" i="2" l="1"/>
  <c r="E594" i="2"/>
  <c r="F594" i="2"/>
  <c r="G594" i="2"/>
  <c r="H594" i="2" l="1"/>
  <c r="C595" i="2" l="1"/>
  <c r="K594" i="2"/>
  <c r="L594" i="2" s="1"/>
  <c r="I595" i="2" s="1"/>
  <c r="N595" i="2"/>
  <c r="D595" i="2"/>
  <c r="J595" i="2" l="1"/>
  <c r="E595" i="2"/>
  <c r="F595" i="2"/>
  <c r="G595" i="2"/>
  <c r="H595" i="2" l="1"/>
  <c r="K595" i="2" l="1"/>
  <c r="L595" i="2" s="1"/>
  <c r="I596" i="2" s="1"/>
  <c r="C596" i="2"/>
  <c r="N596" i="2"/>
  <c r="D596" i="2"/>
  <c r="J596" i="2" l="1"/>
  <c r="E596" i="2"/>
  <c r="F596" i="2"/>
  <c r="G596" i="2"/>
  <c r="H596" i="2" l="1"/>
  <c r="C597" i="2" l="1"/>
  <c r="K596" i="2"/>
  <c r="L596" i="2" s="1"/>
  <c r="I597" i="2" s="1"/>
  <c r="N597" i="2"/>
  <c r="D597" i="2"/>
  <c r="J597" i="2" l="1"/>
  <c r="E597" i="2"/>
  <c r="F597" i="2"/>
  <c r="G597" i="2"/>
  <c r="H597" i="2" l="1"/>
  <c r="K597" i="2" l="1"/>
  <c r="L597" i="2" s="1"/>
  <c r="I598" i="2" s="1"/>
  <c r="C598" i="2"/>
  <c r="N598" i="2"/>
  <c r="D598" i="2"/>
  <c r="J598" i="2" l="1"/>
  <c r="E598" i="2"/>
  <c r="F598" i="2"/>
  <c r="G598" i="2"/>
  <c r="H598" i="2" l="1"/>
  <c r="C599" i="2" l="1"/>
  <c r="K598" i="2"/>
  <c r="L598" i="2" s="1"/>
  <c r="I599" i="2" s="1"/>
  <c r="N599" i="2"/>
  <c r="D599" i="2"/>
  <c r="J599" i="2" l="1"/>
  <c r="E599" i="2"/>
  <c r="F599" i="2"/>
  <c r="G599" i="2"/>
  <c r="H599" i="2" l="1"/>
  <c r="K599" i="2" l="1"/>
  <c r="L599" i="2" s="1"/>
  <c r="I600" i="2" s="1"/>
  <c r="C600" i="2"/>
  <c r="N600" i="2"/>
  <c r="D600" i="2"/>
  <c r="J600" i="2" l="1"/>
  <c r="E600" i="2"/>
  <c r="F600" i="2"/>
  <c r="G600" i="2"/>
  <c r="H600" i="2" l="1"/>
  <c r="C601" i="2" l="1"/>
  <c r="K600" i="2"/>
  <c r="L600" i="2" s="1"/>
  <c r="I601" i="2" s="1"/>
  <c r="N601" i="2"/>
  <c r="D601" i="2"/>
  <c r="J601" i="2" l="1"/>
  <c r="E601" i="2"/>
  <c r="F601" i="2"/>
  <c r="G601" i="2"/>
  <c r="H601" i="2" l="1"/>
  <c r="C602" i="2" l="1"/>
  <c r="K601" i="2"/>
  <c r="L601" i="2" s="1"/>
  <c r="I602" i="2" s="1"/>
  <c r="N602" i="2"/>
  <c r="D602" i="2"/>
  <c r="J602" i="2" l="1"/>
  <c r="E602" i="2"/>
  <c r="F602" i="2"/>
  <c r="G602" i="2"/>
  <c r="H602" i="2" l="1"/>
  <c r="K602" i="2" l="1"/>
  <c r="L602" i="2" s="1"/>
  <c r="I603" i="2" s="1"/>
  <c r="C603" i="2"/>
  <c r="N603" i="2"/>
  <c r="D603" i="2"/>
  <c r="J603" i="2" l="1"/>
  <c r="E603" i="2"/>
  <c r="F603" i="2"/>
  <c r="G603" i="2"/>
  <c r="H603" i="2" l="1"/>
  <c r="C604" i="2" l="1"/>
  <c r="K603" i="2"/>
  <c r="L603" i="2" s="1"/>
  <c r="I604" i="2" s="1"/>
  <c r="D604" i="2"/>
  <c r="N604" i="2"/>
  <c r="J604" i="2" l="1"/>
  <c r="E604" i="2"/>
  <c r="F604" i="2"/>
  <c r="G604" i="2"/>
  <c r="H604" i="2" l="1"/>
  <c r="C605" i="2" l="1"/>
  <c r="K604" i="2"/>
  <c r="L604" i="2" s="1"/>
  <c r="I605" i="2" s="1"/>
  <c r="D605" i="2"/>
  <c r="N605" i="2"/>
  <c r="J605" i="2" l="1"/>
  <c r="E605" i="2"/>
  <c r="F605" i="2"/>
  <c r="G605" i="2"/>
  <c r="H605" i="2" l="1"/>
  <c r="K605" i="2" l="1"/>
  <c r="L605" i="2" s="1"/>
  <c r="I606" i="2" s="1"/>
  <c r="C606" i="2"/>
  <c r="D606" i="2"/>
  <c r="N606" i="2"/>
  <c r="J606" i="2" l="1"/>
  <c r="E606" i="2"/>
  <c r="F606" i="2"/>
  <c r="G606" i="2"/>
  <c r="H606" i="2" l="1"/>
  <c r="C607" i="2" l="1"/>
  <c r="K606" i="2"/>
  <c r="L606" i="2" s="1"/>
  <c r="I607" i="2" s="1"/>
  <c r="N607" i="2"/>
  <c r="D607" i="2"/>
  <c r="J607" i="2" l="1"/>
  <c r="E607" i="2"/>
  <c r="F607" i="2"/>
  <c r="G607" i="2"/>
  <c r="H607" i="2" l="1"/>
  <c r="K607" i="2" l="1"/>
  <c r="L607" i="2" s="1"/>
  <c r="I608" i="2" s="1"/>
  <c r="C608" i="2"/>
  <c r="D608" i="2"/>
  <c r="N608" i="2"/>
  <c r="J608" i="2" l="1"/>
  <c r="E608" i="2"/>
  <c r="F608" i="2"/>
  <c r="G608" i="2"/>
  <c r="H608" i="2" l="1"/>
  <c r="K608" i="2" l="1"/>
  <c r="L608" i="2" s="1"/>
  <c r="I609" i="2" s="1"/>
  <c r="C609" i="2"/>
  <c r="N609" i="2"/>
  <c r="D609" i="2"/>
  <c r="J609" i="2" l="1"/>
  <c r="E609" i="2"/>
  <c r="F609" i="2"/>
  <c r="G609" i="2"/>
  <c r="H609" i="2" l="1"/>
  <c r="C610" i="2" l="1"/>
  <c r="K609" i="2"/>
  <c r="L609" i="2" s="1"/>
  <c r="I610" i="2" s="1"/>
  <c r="N610" i="2"/>
  <c r="D610" i="2"/>
  <c r="J610" i="2" l="1"/>
  <c r="E610" i="2"/>
  <c r="F610" i="2"/>
  <c r="G610" i="2"/>
  <c r="H610" i="2" l="1"/>
  <c r="C611" i="2" l="1"/>
  <c r="K610" i="2"/>
  <c r="L610" i="2" s="1"/>
  <c r="I611" i="2" s="1"/>
  <c r="D611" i="2"/>
  <c r="N611" i="2"/>
  <c r="J611" i="2" l="1"/>
  <c r="E611" i="2"/>
  <c r="F611" i="2"/>
  <c r="G611" i="2"/>
  <c r="H611" i="2" l="1"/>
  <c r="C612" i="2" l="1"/>
  <c r="K611" i="2"/>
  <c r="L611" i="2" s="1"/>
  <c r="I612" i="2" s="1"/>
  <c r="N612" i="2"/>
  <c r="D612" i="2"/>
  <c r="J612" i="2" l="1"/>
  <c r="E612" i="2"/>
  <c r="F612" i="2"/>
  <c r="G612" i="2"/>
  <c r="H612" i="2" l="1"/>
  <c r="C613" i="2" l="1"/>
  <c r="K612" i="2"/>
  <c r="L612" i="2" s="1"/>
  <c r="I613" i="2" s="1"/>
  <c r="D613" i="2"/>
  <c r="N613" i="2"/>
  <c r="J613" i="2" l="1"/>
  <c r="E613" i="2"/>
  <c r="F613" i="2"/>
  <c r="G613" i="2"/>
  <c r="H613" i="2" l="1"/>
  <c r="C614" i="2" l="1"/>
  <c r="K613" i="2"/>
  <c r="L613" i="2" s="1"/>
  <c r="I614" i="2" s="1"/>
  <c r="D614" i="2"/>
  <c r="N614" i="2"/>
  <c r="J614" i="2" l="1"/>
  <c r="E614" i="2"/>
  <c r="F614" i="2"/>
  <c r="G614" i="2"/>
  <c r="H614" i="2" l="1"/>
  <c r="K614" i="2" l="1"/>
  <c r="L614" i="2" s="1"/>
  <c r="I615" i="2" s="1"/>
  <c r="C615" i="2"/>
  <c r="D615" i="2"/>
  <c r="N615" i="2"/>
  <c r="J615" i="2" l="1"/>
  <c r="E615" i="2"/>
  <c r="F615" i="2"/>
  <c r="G615" i="2"/>
  <c r="H615" i="2" l="1"/>
  <c r="C616" i="2" l="1"/>
  <c r="K615" i="2"/>
  <c r="L615" i="2" s="1"/>
  <c r="I616" i="2" s="1"/>
  <c r="D616" i="2"/>
  <c r="N616" i="2"/>
  <c r="J616" i="2" l="1"/>
  <c r="E616" i="2"/>
  <c r="F616" i="2"/>
  <c r="G616" i="2"/>
  <c r="H616" i="2" l="1"/>
  <c r="C617" i="2" l="1"/>
  <c r="K616" i="2"/>
  <c r="L616" i="2" s="1"/>
  <c r="I617" i="2" s="1"/>
  <c r="D617" i="2"/>
  <c r="N617" i="2"/>
  <c r="J617" i="2" l="1"/>
  <c r="E617" i="2"/>
  <c r="F617" i="2"/>
  <c r="G617" i="2"/>
  <c r="H617" i="2" l="1"/>
  <c r="C618" i="2" l="1"/>
  <c r="K617" i="2"/>
  <c r="L617" i="2" s="1"/>
  <c r="I618" i="2" s="1"/>
  <c r="D618" i="2"/>
  <c r="N618" i="2"/>
  <c r="J618" i="2" l="1"/>
  <c r="E618" i="2"/>
  <c r="F618" i="2"/>
  <c r="G618" i="2"/>
  <c r="H618" i="2" l="1"/>
  <c r="K618" i="2" l="1"/>
  <c r="L618" i="2" s="1"/>
  <c r="I619" i="2" s="1"/>
  <c r="C619" i="2"/>
  <c r="D619" i="2"/>
  <c r="N619" i="2"/>
  <c r="J619" i="2" l="1"/>
  <c r="E619" i="2"/>
  <c r="F619" i="2"/>
  <c r="G619" i="2"/>
  <c r="H619" i="2" l="1"/>
  <c r="C620" i="2" l="1"/>
  <c r="K619" i="2"/>
  <c r="L619" i="2" s="1"/>
  <c r="I620" i="2" s="1"/>
  <c r="N620" i="2"/>
  <c r="D620" i="2"/>
  <c r="J620" i="2" l="1"/>
  <c r="E620" i="2"/>
  <c r="F620" i="2"/>
  <c r="G620" i="2"/>
  <c r="H620" i="2" l="1"/>
  <c r="K620" i="2" l="1"/>
  <c r="L620" i="2" s="1"/>
  <c r="I621" i="2" s="1"/>
  <c r="C621" i="2"/>
  <c r="N621" i="2"/>
  <c r="D621" i="2"/>
  <c r="J621" i="2" l="1"/>
  <c r="E621" i="2"/>
  <c r="F621" i="2"/>
  <c r="G621" i="2"/>
  <c r="H621" i="2" l="1"/>
  <c r="K621" i="2" l="1"/>
  <c r="L621" i="2" s="1"/>
  <c r="I622" i="2" s="1"/>
  <c r="C622" i="2"/>
  <c r="N622" i="2"/>
  <c r="D622" i="2"/>
  <c r="J622" i="2" l="1"/>
  <c r="E622" i="2"/>
  <c r="F622" i="2"/>
  <c r="G622" i="2"/>
  <c r="H622" i="2" l="1"/>
  <c r="K622" i="2" l="1"/>
  <c r="L622" i="2" s="1"/>
  <c r="I623" i="2" s="1"/>
  <c r="C623" i="2"/>
  <c r="D623" i="2"/>
  <c r="N623" i="2"/>
  <c r="J623" i="2" l="1"/>
  <c r="E623" i="2"/>
  <c r="F623" i="2"/>
  <c r="G623" i="2"/>
  <c r="H623" i="2" l="1"/>
  <c r="K623" i="2" l="1"/>
  <c r="L623" i="2" s="1"/>
  <c r="I624" i="2" s="1"/>
  <c r="C624" i="2"/>
  <c r="D624" i="2"/>
  <c r="N624" i="2"/>
  <c r="J624" i="2" l="1"/>
  <c r="E624" i="2"/>
  <c r="F624" i="2"/>
  <c r="G624" i="2"/>
  <c r="H624" i="2" l="1"/>
  <c r="C625" i="2" l="1"/>
  <c r="K624" i="2"/>
  <c r="L624" i="2" s="1"/>
  <c r="I625" i="2" s="1"/>
  <c r="N625" i="2"/>
  <c r="D625" i="2"/>
  <c r="J625" i="2" l="1"/>
  <c r="E625" i="2"/>
  <c r="F625" i="2"/>
  <c r="G625" i="2"/>
  <c r="H625" i="2" l="1"/>
  <c r="C626" i="2" l="1"/>
  <c r="K625" i="2"/>
  <c r="L625" i="2" s="1"/>
  <c r="I626" i="2" s="1"/>
  <c r="N626" i="2"/>
  <c r="D626" i="2"/>
  <c r="J626" i="2" l="1"/>
  <c r="E626" i="2"/>
  <c r="F626" i="2"/>
  <c r="G626" i="2"/>
  <c r="H626" i="2" l="1"/>
  <c r="K626" i="2" l="1"/>
  <c r="L626" i="2" s="1"/>
  <c r="I627" i="2" s="1"/>
  <c r="C627" i="2"/>
  <c r="N627" i="2"/>
  <c r="D627" i="2"/>
  <c r="J627" i="2" l="1"/>
  <c r="E627" i="2"/>
  <c r="F627" i="2"/>
  <c r="G627" i="2"/>
  <c r="H627" i="2" l="1"/>
  <c r="C628" i="2" l="1"/>
  <c r="K627" i="2"/>
  <c r="L627" i="2" s="1"/>
  <c r="I628" i="2" s="1"/>
  <c r="N628" i="2"/>
  <c r="D628" i="2"/>
  <c r="J628" i="2" l="1"/>
  <c r="E628" i="2"/>
  <c r="F628" i="2"/>
  <c r="G628" i="2"/>
  <c r="H628" i="2" l="1"/>
  <c r="K628" i="2" l="1"/>
  <c r="L628" i="2" s="1"/>
  <c r="I629" i="2" s="1"/>
  <c r="C629" i="2"/>
  <c r="N629" i="2"/>
  <c r="D629" i="2"/>
  <c r="J629" i="2" l="1"/>
  <c r="E629" i="2"/>
  <c r="F629" i="2"/>
  <c r="G629" i="2"/>
  <c r="H629" i="2" l="1"/>
  <c r="C630" i="2" l="1"/>
  <c r="K629" i="2"/>
  <c r="L629" i="2" s="1"/>
  <c r="I630" i="2" s="1"/>
  <c r="N630" i="2"/>
  <c r="D630" i="2"/>
  <c r="J630" i="2" l="1"/>
  <c r="E630" i="2"/>
  <c r="F630" i="2"/>
  <c r="G630" i="2"/>
  <c r="H630" i="2" l="1"/>
  <c r="K630" i="2" l="1"/>
  <c r="L630" i="2" s="1"/>
  <c r="I631" i="2" s="1"/>
  <c r="C631" i="2"/>
  <c r="D631" i="2"/>
  <c r="N631" i="2"/>
  <c r="J631" i="2" l="1"/>
  <c r="E631" i="2"/>
  <c r="F631" i="2"/>
  <c r="G631" i="2"/>
  <c r="H631" i="2" l="1"/>
  <c r="C632" i="2" l="1"/>
  <c r="K631" i="2"/>
  <c r="L631" i="2" s="1"/>
  <c r="I632" i="2" s="1"/>
  <c r="N632" i="2"/>
  <c r="D632" i="2"/>
  <c r="J632" i="2" l="1"/>
  <c r="E632" i="2"/>
  <c r="F632" i="2"/>
  <c r="G632" i="2"/>
  <c r="H632" i="2" l="1"/>
  <c r="K632" i="2" l="1"/>
  <c r="L632" i="2" s="1"/>
  <c r="I633" i="2" s="1"/>
  <c r="C633" i="2"/>
  <c r="N633" i="2"/>
  <c r="D633" i="2"/>
  <c r="J633" i="2" l="1"/>
  <c r="E633" i="2"/>
  <c r="F633" i="2"/>
  <c r="G633" i="2"/>
  <c r="H633" i="2" l="1"/>
  <c r="C634" i="2" l="1"/>
  <c r="K633" i="2"/>
  <c r="L633" i="2" s="1"/>
  <c r="I634" i="2" s="1"/>
  <c r="N634" i="2"/>
  <c r="D634" i="2"/>
  <c r="J634" i="2" l="1"/>
  <c r="E634" i="2"/>
  <c r="F634" i="2"/>
  <c r="G634" i="2"/>
  <c r="H634" i="2" l="1"/>
  <c r="K634" i="2" l="1"/>
  <c r="L634" i="2" s="1"/>
  <c r="I635" i="2" s="1"/>
  <c r="C635" i="2"/>
  <c r="N635" i="2"/>
  <c r="D635" i="2"/>
  <c r="J635" i="2" l="1"/>
  <c r="E635" i="2"/>
  <c r="F635" i="2"/>
  <c r="G635" i="2"/>
  <c r="H635" i="2" l="1"/>
  <c r="C636" i="2" l="1"/>
  <c r="K635" i="2"/>
  <c r="L635" i="2" s="1"/>
  <c r="I636" i="2" s="1"/>
  <c r="N636" i="2"/>
  <c r="D636" i="2"/>
  <c r="J636" i="2" l="1"/>
  <c r="E636" i="2"/>
  <c r="F636" i="2"/>
  <c r="G636" i="2"/>
  <c r="H636" i="2" l="1"/>
  <c r="K636" i="2" l="1"/>
  <c r="L636" i="2" s="1"/>
  <c r="I637" i="2" s="1"/>
  <c r="C637" i="2"/>
  <c r="N637" i="2"/>
  <c r="D637" i="2"/>
  <c r="J637" i="2" l="1"/>
  <c r="E637" i="2"/>
  <c r="F637" i="2"/>
  <c r="G637" i="2"/>
  <c r="H637" i="2" l="1"/>
  <c r="C638" i="2" l="1"/>
  <c r="K637" i="2"/>
  <c r="L637" i="2" s="1"/>
  <c r="I638" i="2" s="1"/>
  <c r="N638" i="2"/>
  <c r="D638" i="2"/>
  <c r="J638" i="2" l="1"/>
  <c r="E638" i="2"/>
  <c r="F638" i="2"/>
  <c r="G638" i="2"/>
  <c r="H638" i="2" l="1"/>
  <c r="C639" i="2" l="1"/>
  <c r="K638" i="2"/>
  <c r="L638" i="2" s="1"/>
  <c r="I639" i="2" s="1"/>
  <c r="N639" i="2"/>
  <c r="D639" i="2"/>
  <c r="J639" i="2" l="1"/>
  <c r="E639" i="2"/>
  <c r="F639" i="2"/>
  <c r="G639" i="2"/>
  <c r="H639" i="2" l="1"/>
  <c r="K639" i="2" l="1"/>
  <c r="L639" i="2" s="1"/>
  <c r="I640" i="2" s="1"/>
  <c r="C640" i="2"/>
  <c r="D640" i="2"/>
  <c r="N640" i="2"/>
  <c r="J640" i="2" l="1"/>
  <c r="E640" i="2"/>
  <c r="F640" i="2"/>
  <c r="G640" i="2"/>
  <c r="H640" i="2" l="1"/>
  <c r="K640" i="2" l="1"/>
  <c r="L640" i="2" s="1"/>
  <c r="I641" i="2" s="1"/>
  <c r="C641" i="2"/>
  <c r="N641" i="2"/>
  <c r="D641" i="2"/>
  <c r="J641" i="2" l="1"/>
  <c r="E641" i="2"/>
  <c r="F641" i="2"/>
  <c r="G641" i="2"/>
  <c r="H641" i="2" l="1"/>
  <c r="C642" i="2" l="1"/>
  <c r="K641" i="2"/>
  <c r="L641" i="2" s="1"/>
  <c r="I642" i="2" s="1"/>
  <c r="D642" i="2"/>
  <c r="N642" i="2"/>
  <c r="J642" i="2" l="1"/>
  <c r="E642" i="2"/>
  <c r="F642" i="2"/>
  <c r="G642" i="2"/>
  <c r="H642" i="2" l="1"/>
  <c r="K642" i="2" l="1"/>
  <c r="L642" i="2" s="1"/>
  <c r="I643" i="2" s="1"/>
  <c r="C643" i="2"/>
  <c r="N643" i="2"/>
  <c r="D643" i="2"/>
  <c r="J643" i="2" l="1"/>
  <c r="E643" i="2"/>
  <c r="F643" i="2"/>
  <c r="G643" i="2"/>
  <c r="H643" i="2" l="1"/>
  <c r="C644" i="2" l="1"/>
  <c r="K643" i="2"/>
  <c r="L643" i="2" s="1"/>
  <c r="I644" i="2" s="1"/>
  <c r="N644" i="2"/>
  <c r="D644" i="2"/>
  <c r="J644" i="2" l="1"/>
  <c r="E644" i="2"/>
  <c r="F644" i="2"/>
  <c r="G644" i="2"/>
  <c r="H644" i="2" l="1"/>
  <c r="K644" i="2" l="1"/>
  <c r="L644" i="2" s="1"/>
  <c r="I645" i="2" s="1"/>
  <c r="C645" i="2"/>
  <c r="N645" i="2"/>
  <c r="D645" i="2"/>
  <c r="J645" i="2" l="1"/>
  <c r="E645" i="2"/>
  <c r="F645" i="2"/>
  <c r="G645" i="2"/>
  <c r="H645" i="2" l="1"/>
  <c r="C646" i="2" l="1"/>
  <c r="K645" i="2"/>
  <c r="L645" i="2" s="1"/>
  <c r="I646" i="2" s="1"/>
  <c r="N646" i="2"/>
  <c r="D646" i="2"/>
  <c r="J646" i="2" l="1"/>
  <c r="E646" i="2"/>
  <c r="F646" i="2"/>
  <c r="G646" i="2"/>
  <c r="H646" i="2" l="1"/>
  <c r="K646" i="2" l="1"/>
  <c r="L646" i="2" s="1"/>
  <c r="I647" i="2" s="1"/>
  <c r="C647" i="2"/>
  <c r="N647" i="2"/>
  <c r="D647" i="2"/>
  <c r="J647" i="2" l="1"/>
  <c r="E647" i="2"/>
  <c r="F647" i="2"/>
  <c r="G647" i="2"/>
  <c r="H647" i="2" l="1"/>
  <c r="C648" i="2" l="1"/>
  <c r="K647" i="2"/>
  <c r="L647" i="2" s="1"/>
  <c r="I648" i="2" s="1"/>
  <c r="N648" i="2"/>
  <c r="D648" i="2"/>
  <c r="J648" i="2" l="1"/>
  <c r="E648" i="2"/>
  <c r="F648" i="2"/>
  <c r="G648" i="2"/>
  <c r="H648" i="2" l="1"/>
  <c r="K648" i="2" l="1"/>
  <c r="L648" i="2" s="1"/>
  <c r="I649" i="2" s="1"/>
  <c r="C649" i="2"/>
  <c r="N649" i="2"/>
  <c r="D649" i="2"/>
  <c r="J649" i="2" l="1"/>
  <c r="E649" i="2"/>
  <c r="F649" i="2"/>
  <c r="G649" i="2"/>
  <c r="H649" i="2" l="1"/>
  <c r="C650" i="2" l="1"/>
  <c r="K649" i="2"/>
  <c r="L649" i="2" s="1"/>
  <c r="I650" i="2" s="1"/>
  <c r="N650" i="2"/>
  <c r="D650" i="2"/>
  <c r="J650" i="2" l="1"/>
  <c r="E650" i="2"/>
  <c r="F650" i="2"/>
  <c r="G650" i="2"/>
  <c r="H650" i="2" l="1"/>
  <c r="K650" i="2" l="1"/>
  <c r="L650" i="2" s="1"/>
  <c r="I651" i="2" s="1"/>
  <c r="C651" i="2"/>
  <c r="N651" i="2"/>
  <c r="D651" i="2"/>
  <c r="J651" i="2" l="1"/>
  <c r="E651" i="2"/>
  <c r="F651" i="2"/>
  <c r="G651" i="2"/>
  <c r="H651" i="2" l="1"/>
  <c r="C652" i="2" l="1"/>
  <c r="K651" i="2"/>
  <c r="L651" i="2" s="1"/>
  <c r="I652" i="2" s="1"/>
  <c r="N652" i="2"/>
  <c r="D652" i="2"/>
  <c r="J652" i="2" l="1"/>
  <c r="E652" i="2"/>
  <c r="F652" i="2"/>
  <c r="G652" i="2"/>
  <c r="H652" i="2" l="1"/>
  <c r="K652" i="2" l="1"/>
  <c r="L652" i="2" s="1"/>
  <c r="I653" i="2" s="1"/>
  <c r="C653" i="2"/>
  <c r="D653" i="2"/>
  <c r="N653" i="2"/>
  <c r="J653" i="2" l="1"/>
  <c r="E653" i="2"/>
  <c r="F653" i="2"/>
  <c r="G653" i="2"/>
  <c r="H653" i="2" l="1"/>
  <c r="C654" i="2" l="1"/>
  <c r="K653" i="2"/>
  <c r="L653" i="2" s="1"/>
  <c r="I654" i="2" s="1"/>
  <c r="N654" i="2"/>
  <c r="D654" i="2"/>
  <c r="J654" i="2" l="1"/>
  <c r="E654" i="2"/>
  <c r="F654" i="2"/>
  <c r="G654" i="2"/>
  <c r="H654" i="2" l="1"/>
  <c r="K654" i="2" l="1"/>
  <c r="L654" i="2" s="1"/>
  <c r="I655" i="2" s="1"/>
  <c r="C655" i="2"/>
  <c r="N655" i="2"/>
  <c r="D655" i="2"/>
  <c r="J655" i="2" l="1"/>
  <c r="E655" i="2"/>
  <c r="F655" i="2"/>
  <c r="G655" i="2"/>
  <c r="H655" i="2" l="1"/>
  <c r="C656" i="2" l="1"/>
  <c r="K655" i="2"/>
  <c r="L655" i="2" s="1"/>
  <c r="I656" i="2" s="1"/>
  <c r="N656" i="2"/>
  <c r="D656" i="2"/>
  <c r="J656" i="2" l="1"/>
  <c r="E656" i="2"/>
  <c r="F656" i="2"/>
  <c r="G656" i="2"/>
  <c r="H656" i="2" l="1"/>
  <c r="K656" i="2" l="1"/>
  <c r="L656" i="2" s="1"/>
  <c r="I657" i="2" s="1"/>
  <c r="C657" i="2"/>
  <c r="N657" i="2"/>
  <c r="D657" i="2"/>
  <c r="J657" i="2" l="1"/>
  <c r="E657" i="2"/>
  <c r="F657" i="2"/>
  <c r="G657" i="2"/>
  <c r="H657" i="2" l="1"/>
  <c r="C658" i="2" l="1"/>
  <c r="K657" i="2"/>
  <c r="L657" i="2" s="1"/>
  <c r="I658" i="2" s="1"/>
  <c r="D658" i="2"/>
  <c r="N658" i="2"/>
  <c r="J658" i="2" l="1"/>
  <c r="E658" i="2"/>
  <c r="F658" i="2"/>
  <c r="G658" i="2"/>
  <c r="H658" i="2" l="1"/>
  <c r="K658" i="2" l="1"/>
  <c r="L658" i="2" s="1"/>
  <c r="I659" i="2" s="1"/>
  <c r="C659" i="2"/>
  <c r="N659" i="2"/>
  <c r="D659" i="2"/>
  <c r="J659" i="2" l="1"/>
  <c r="E659" i="2"/>
  <c r="F659" i="2"/>
  <c r="G659" i="2"/>
  <c r="H659" i="2" l="1"/>
  <c r="C660" i="2" l="1"/>
  <c r="K659" i="2"/>
  <c r="L659" i="2" s="1"/>
  <c r="I660" i="2" s="1"/>
  <c r="D660" i="2"/>
  <c r="N660" i="2"/>
  <c r="J660" i="2" l="1"/>
  <c r="E660" i="2"/>
  <c r="F660" i="2"/>
  <c r="G660" i="2"/>
  <c r="H660" i="2" l="1"/>
  <c r="K660" i="2" l="1"/>
  <c r="L660" i="2" s="1"/>
  <c r="I661" i="2" s="1"/>
  <c r="C661" i="2"/>
  <c r="N661" i="2"/>
  <c r="D661" i="2"/>
  <c r="J661" i="2" l="1"/>
  <c r="E661" i="2"/>
  <c r="F661" i="2"/>
  <c r="G661" i="2"/>
  <c r="H661" i="2" l="1"/>
  <c r="C662" i="2" l="1"/>
  <c r="K661" i="2"/>
  <c r="L661" i="2" s="1"/>
  <c r="I662" i="2" s="1"/>
  <c r="N662" i="2"/>
  <c r="D662" i="2"/>
  <c r="J662" i="2" l="1"/>
  <c r="E662" i="2"/>
  <c r="F662" i="2"/>
  <c r="G662" i="2"/>
  <c r="H662" i="2" l="1"/>
  <c r="K662" i="2" l="1"/>
  <c r="L662" i="2" s="1"/>
  <c r="I663" i="2" s="1"/>
  <c r="C663" i="2"/>
  <c r="N663" i="2"/>
  <c r="D663" i="2"/>
  <c r="J663" i="2" l="1"/>
  <c r="E663" i="2"/>
  <c r="F663" i="2"/>
  <c r="G663" i="2"/>
  <c r="H663" i="2" l="1"/>
  <c r="C664" i="2" l="1"/>
  <c r="K663" i="2"/>
  <c r="L663" i="2" s="1"/>
  <c r="I664" i="2" s="1"/>
  <c r="N664" i="2"/>
  <c r="D664" i="2"/>
  <c r="J664" i="2" l="1"/>
  <c r="E664" i="2"/>
  <c r="F664" i="2"/>
  <c r="G664" i="2"/>
  <c r="H664" i="2" l="1"/>
  <c r="K664" i="2" l="1"/>
  <c r="L664" i="2" s="1"/>
  <c r="I665" i="2" s="1"/>
  <c r="C665" i="2"/>
  <c r="N665" i="2"/>
  <c r="D665" i="2"/>
  <c r="J665" i="2" l="1"/>
  <c r="E665" i="2"/>
  <c r="F665" i="2"/>
  <c r="G665" i="2"/>
  <c r="H665" i="2" l="1"/>
  <c r="C666" i="2" l="1"/>
  <c r="K665" i="2"/>
  <c r="L665" i="2" s="1"/>
  <c r="I666" i="2" s="1"/>
  <c r="N666" i="2"/>
  <c r="D666" i="2"/>
  <c r="J666" i="2" l="1"/>
  <c r="E666" i="2"/>
  <c r="F666" i="2"/>
  <c r="G666" i="2"/>
  <c r="H666" i="2" l="1"/>
  <c r="K666" i="2" l="1"/>
  <c r="L666" i="2" s="1"/>
  <c r="I667" i="2" s="1"/>
  <c r="C667" i="2"/>
  <c r="N667" i="2"/>
  <c r="D667" i="2"/>
  <c r="J667" i="2" l="1"/>
  <c r="E667" i="2"/>
  <c r="F667" i="2"/>
  <c r="G667" i="2"/>
  <c r="H667" i="2" l="1"/>
  <c r="C668" i="2" l="1"/>
  <c r="K667" i="2"/>
  <c r="L667" i="2" s="1"/>
  <c r="I668" i="2" s="1"/>
  <c r="N668" i="2"/>
  <c r="D668" i="2"/>
  <c r="J668" i="2" l="1"/>
  <c r="E668" i="2"/>
  <c r="F668" i="2"/>
  <c r="G668" i="2"/>
  <c r="H668" i="2" l="1"/>
  <c r="K668" i="2" l="1"/>
  <c r="L668" i="2" s="1"/>
  <c r="I669" i="2" s="1"/>
  <c r="C669" i="2"/>
  <c r="D669" i="2"/>
  <c r="N669" i="2"/>
  <c r="J669" i="2" l="1"/>
  <c r="E669" i="2"/>
  <c r="F669" i="2"/>
  <c r="G669" i="2"/>
  <c r="H669" i="2" l="1"/>
  <c r="C670" i="2" l="1"/>
  <c r="K669" i="2"/>
  <c r="L669" i="2" s="1"/>
  <c r="I670" i="2" s="1"/>
  <c r="D670" i="2"/>
  <c r="N670" i="2"/>
  <c r="J670" i="2" l="1"/>
  <c r="E670" i="2"/>
  <c r="F670" i="2"/>
  <c r="G670" i="2"/>
  <c r="H670" i="2" l="1"/>
  <c r="K670" i="2" l="1"/>
  <c r="L670" i="2" s="1"/>
  <c r="I671" i="2" s="1"/>
  <c r="C671" i="2"/>
  <c r="D671" i="2"/>
  <c r="N671" i="2"/>
  <c r="J671" i="2" l="1"/>
  <c r="E671" i="2"/>
  <c r="F671" i="2"/>
  <c r="G671" i="2"/>
  <c r="H671" i="2" l="1"/>
  <c r="C672" i="2" l="1"/>
  <c r="K671" i="2"/>
  <c r="L671" i="2" s="1"/>
  <c r="I672" i="2" s="1"/>
  <c r="N672" i="2"/>
  <c r="D672" i="2"/>
  <c r="J672" i="2" l="1"/>
  <c r="E672" i="2"/>
  <c r="F672" i="2"/>
  <c r="G672" i="2"/>
  <c r="H672" i="2" l="1"/>
  <c r="K672" i="2" l="1"/>
  <c r="L672" i="2" s="1"/>
  <c r="I673" i="2" s="1"/>
  <c r="C673" i="2"/>
  <c r="N673" i="2"/>
  <c r="D673" i="2"/>
  <c r="J673" i="2" l="1"/>
  <c r="E673" i="2"/>
  <c r="F673" i="2"/>
  <c r="G673" i="2"/>
  <c r="H673" i="2" l="1"/>
  <c r="C674" i="2" l="1"/>
  <c r="K673" i="2"/>
  <c r="L673" i="2" s="1"/>
  <c r="I674" i="2" s="1"/>
  <c r="D674" i="2"/>
  <c r="N674" i="2"/>
  <c r="J674" i="2" l="1"/>
  <c r="E674" i="2"/>
  <c r="F674" i="2"/>
  <c r="G674" i="2"/>
  <c r="H674" i="2" l="1"/>
  <c r="K674" i="2" l="1"/>
  <c r="L674" i="2" s="1"/>
  <c r="I675" i="2" s="1"/>
  <c r="C675" i="2"/>
  <c r="D675" i="2"/>
  <c r="N675" i="2"/>
  <c r="J675" i="2" l="1"/>
  <c r="E675" i="2"/>
  <c r="F675" i="2"/>
  <c r="G675" i="2"/>
  <c r="H675" i="2" l="1"/>
  <c r="C676" i="2" l="1"/>
  <c r="K675" i="2"/>
  <c r="L675" i="2" s="1"/>
  <c r="I676" i="2" s="1"/>
  <c r="N676" i="2"/>
  <c r="D676" i="2"/>
  <c r="J676" i="2" l="1"/>
  <c r="E676" i="2"/>
  <c r="F676" i="2"/>
  <c r="G676" i="2"/>
  <c r="H676" i="2" l="1"/>
  <c r="K676" i="2" l="1"/>
  <c r="L676" i="2" s="1"/>
  <c r="I677" i="2" s="1"/>
  <c r="C677" i="2"/>
  <c r="D677" i="2"/>
  <c r="N677" i="2"/>
  <c r="J677" i="2" l="1"/>
  <c r="E677" i="2"/>
  <c r="F677" i="2"/>
  <c r="G677" i="2"/>
  <c r="H677" i="2" l="1"/>
  <c r="C678" i="2" l="1"/>
  <c r="K677" i="2"/>
  <c r="L677" i="2" s="1"/>
  <c r="I678" i="2" s="1"/>
  <c r="N678" i="2"/>
  <c r="D678" i="2"/>
  <c r="J678" i="2" l="1"/>
  <c r="E678" i="2"/>
  <c r="F678" i="2"/>
  <c r="G678" i="2"/>
  <c r="H678" i="2" l="1"/>
  <c r="K678" i="2" l="1"/>
  <c r="L678" i="2" s="1"/>
  <c r="I679" i="2" s="1"/>
  <c r="C679" i="2"/>
  <c r="N679" i="2"/>
  <c r="D679" i="2"/>
  <c r="J679" i="2" l="1"/>
  <c r="E679" i="2"/>
  <c r="F679" i="2"/>
  <c r="G679" i="2"/>
  <c r="H679" i="2" l="1"/>
  <c r="C680" i="2" l="1"/>
  <c r="K679" i="2"/>
  <c r="L679" i="2" s="1"/>
  <c r="I680" i="2" s="1"/>
  <c r="D680" i="2"/>
  <c r="N680" i="2"/>
  <c r="J680" i="2" l="1"/>
  <c r="E680" i="2"/>
  <c r="F680" i="2"/>
  <c r="G680" i="2"/>
  <c r="H680" i="2" l="1"/>
  <c r="K680" i="2" l="1"/>
  <c r="L680" i="2" s="1"/>
  <c r="I681" i="2" s="1"/>
  <c r="C681" i="2"/>
  <c r="D681" i="2"/>
  <c r="N681" i="2"/>
  <c r="J681" i="2" l="1"/>
  <c r="E681" i="2"/>
  <c r="F681" i="2"/>
  <c r="G681" i="2"/>
  <c r="H681" i="2" l="1"/>
  <c r="C682" i="2" l="1"/>
  <c r="K681" i="2"/>
  <c r="L681" i="2" s="1"/>
  <c r="I682" i="2" s="1"/>
  <c r="D682" i="2"/>
  <c r="N682" i="2"/>
  <c r="J682" i="2" l="1"/>
  <c r="E682" i="2"/>
  <c r="F682" i="2"/>
  <c r="G682" i="2"/>
  <c r="H682" i="2" l="1"/>
  <c r="K682" i="2" l="1"/>
  <c r="L682" i="2" s="1"/>
  <c r="I683" i="2" s="1"/>
  <c r="C683" i="2"/>
  <c r="N683" i="2"/>
  <c r="D683" i="2"/>
  <c r="J683" i="2" l="1"/>
  <c r="E683" i="2"/>
  <c r="F683" i="2"/>
  <c r="G683" i="2"/>
  <c r="H683" i="2" l="1"/>
  <c r="C684" i="2" l="1"/>
  <c r="K683" i="2"/>
  <c r="L683" i="2" s="1"/>
  <c r="I684" i="2" s="1"/>
  <c r="N684" i="2"/>
  <c r="D684" i="2"/>
  <c r="J684" i="2" l="1"/>
  <c r="E684" i="2"/>
  <c r="F684" i="2"/>
  <c r="G684" i="2"/>
  <c r="H684" i="2" l="1"/>
  <c r="K684" i="2" l="1"/>
  <c r="L684" i="2" s="1"/>
  <c r="I685" i="2" s="1"/>
  <c r="C685" i="2"/>
  <c r="D685" i="2"/>
  <c r="N685" i="2"/>
  <c r="J685" i="2" l="1"/>
  <c r="E685" i="2"/>
  <c r="F685" i="2"/>
  <c r="G685" i="2"/>
  <c r="H685" i="2" l="1"/>
  <c r="C686" i="2" l="1"/>
  <c r="K685" i="2"/>
  <c r="L685" i="2" s="1"/>
  <c r="I686" i="2" s="1"/>
  <c r="N686" i="2"/>
  <c r="D686" i="2"/>
  <c r="J686" i="2" l="1"/>
  <c r="E686" i="2"/>
  <c r="F686" i="2"/>
  <c r="G686" i="2"/>
  <c r="H686" i="2" l="1"/>
  <c r="K686" i="2" l="1"/>
  <c r="L686" i="2" s="1"/>
  <c r="I687" i="2" s="1"/>
  <c r="C687" i="2"/>
  <c r="N687" i="2"/>
  <c r="D687" i="2"/>
  <c r="J687" i="2" l="1"/>
  <c r="E687" i="2"/>
  <c r="F687" i="2"/>
  <c r="G687" i="2"/>
  <c r="H687" i="2" l="1"/>
  <c r="C688" i="2" l="1"/>
  <c r="K687" i="2"/>
  <c r="L687" i="2" s="1"/>
  <c r="I688" i="2" s="1"/>
  <c r="N688" i="2"/>
  <c r="D688" i="2"/>
  <c r="J688" i="2" l="1"/>
  <c r="E688" i="2"/>
  <c r="F688" i="2"/>
  <c r="G688" i="2"/>
  <c r="H688" i="2" l="1"/>
  <c r="K688" i="2" l="1"/>
  <c r="L688" i="2" s="1"/>
  <c r="I689" i="2" s="1"/>
  <c r="C689" i="2"/>
  <c r="N689" i="2"/>
  <c r="D689" i="2"/>
  <c r="J689" i="2" l="1"/>
  <c r="E689" i="2"/>
  <c r="F689" i="2"/>
  <c r="G689" i="2"/>
  <c r="H689" i="2" l="1"/>
  <c r="C690" i="2" l="1"/>
  <c r="K689" i="2"/>
  <c r="L689" i="2" s="1"/>
  <c r="I690" i="2" s="1"/>
  <c r="N690" i="2"/>
  <c r="D690" i="2"/>
  <c r="J690" i="2" l="1"/>
  <c r="E690" i="2"/>
  <c r="F690" i="2"/>
  <c r="G690" i="2"/>
  <c r="H690" i="2" l="1"/>
  <c r="K690" i="2" l="1"/>
  <c r="L690" i="2" s="1"/>
  <c r="I691" i="2" s="1"/>
  <c r="C691" i="2"/>
  <c r="D691" i="2"/>
  <c r="N691" i="2"/>
  <c r="J691" i="2" l="1"/>
  <c r="E691" i="2"/>
  <c r="F691" i="2"/>
  <c r="G691" i="2"/>
  <c r="H691" i="2" l="1"/>
  <c r="C692" i="2" l="1"/>
  <c r="K691" i="2"/>
  <c r="L691" i="2" s="1"/>
  <c r="I692" i="2" s="1"/>
  <c r="N692" i="2"/>
  <c r="D692" i="2"/>
  <c r="J692" i="2" l="1"/>
  <c r="E692" i="2"/>
  <c r="F692" i="2"/>
  <c r="G692" i="2"/>
  <c r="H692" i="2" l="1"/>
  <c r="K692" i="2" l="1"/>
  <c r="L692" i="2" s="1"/>
  <c r="I693" i="2" s="1"/>
  <c r="C693" i="2"/>
  <c r="D693" i="2"/>
  <c r="N693" i="2"/>
  <c r="J693" i="2" l="1"/>
  <c r="E693" i="2"/>
  <c r="F693" i="2"/>
  <c r="G693" i="2"/>
  <c r="H693" i="2" l="1"/>
  <c r="C694" i="2" l="1"/>
  <c r="K693" i="2"/>
  <c r="L693" i="2" s="1"/>
  <c r="I694" i="2" s="1"/>
  <c r="N694" i="2"/>
  <c r="D694" i="2"/>
  <c r="J694" i="2" l="1"/>
  <c r="E694" i="2"/>
  <c r="F694" i="2"/>
  <c r="G694" i="2"/>
  <c r="H694" i="2" l="1"/>
  <c r="K694" i="2" l="1"/>
  <c r="L694" i="2" s="1"/>
  <c r="I695" i="2" s="1"/>
  <c r="C695" i="2"/>
  <c r="D695" i="2"/>
  <c r="N695" i="2"/>
  <c r="J695" i="2" l="1"/>
  <c r="E695" i="2"/>
  <c r="F695" i="2"/>
  <c r="G695" i="2"/>
  <c r="H695" i="2" l="1"/>
  <c r="K695" i="2" l="1"/>
  <c r="L695" i="2" s="1"/>
  <c r="I696" i="2" s="1"/>
  <c r="C696" i="2"/>
  <c r="D696" i="2"/>
  <c r="N696" i="2"/>
  <c r="J696" i="2" l="1"/>
  <c r="E696" i="2"/>
  <c r="F696" i="2"/>
  <c r="G696" i="2"/>
  <c r="H696" i="2" l="1"/>
  <c r="K696" i="2" l="1"/>
  <c r="L696" i="2" s="1"/>
  <c r="I697" i="2" s="1"/>
  <c r="C697" i="2"/>
  <c r="N697" i="2"/>
  <c r="D697" i="2"/>
  <c r="J697" i="2" l="1"/>
  <c r="E697" i="2"/>
  <c r="F697" i="2"/>
  <c r="G697" i="2"/>
  <c r="H697" i="2" l="1"/>
  <c r="C698" i="2" l="1"/>
  <c r="K697" i="2"/>
  <c r="L697" i="2" s="1"/>
  <c r="I698" i="2" s="1"/>
  <c r="N698" i="2"/>
  <c r="D698" i="2"/>
  <c r="J698" i="2" l="1"/>
  <c r="E698" i="2"/>
  <c r="F698" i="2"/>
  <c r="G698" i="2"/>
  <c r="H698" i="2" l="1"/>
  <c r="K698" i="2" l="1"/>
  <c r="L698" i="2" s="1"/>
  <c r="I699" i="2" s="1"/>
  <c r="C699" i="2"/>
  <c r="N699" i="2"/>
  <c r="D699" i="2"/>
  <c r="J699" i="2" l="1"/>
  <c r="E699" i="2"/>
  <c r="F699" i="2"/>
  <c r="G699" i="2"/>
  <c r="H699" i="2" l="1"/>
  <c r="C700" i="2" l="1"/>
  <c r="K699" i="2"/>
  <c r="L699" i="2" s="1"/>
  <c r="I700" i="2" s="1"/>
  <c r="D700" i="2"/>
  <c r="N700" i="2"/>
  <c r="J700" i="2" l="1"/>
  <c r="E700" i="2"/>
  <c r="F700" i="2"/>
  <c r="G700" i="2"/>
  <c r="H700" i="2" l="1"/>
  <c r="K700" i="2" l="1"/>
  <c r="L700" i="2" s="1"/>
  <c r="I701" i="2" s="1"/>
  <c r="C701" i="2"/>
  <c r="N701" i="2"/>
  <c r="D701" i="2"/>
  <c r="J701" i="2" l="1"/>
  <c r="E701" i="2"/>
  <c r="F701" i="2"/>
  <c r="G701" i="2"/>
  <c r="H701" i="2" l="1"/>
  <c r="C702" i="2" l="1"/>
  <c r="K701" i="2"/>
  <c r="L701" i="2" s="1"/>
  <c r="I702" i="2" s="1"/>
  <c r="D702" i="2"/>
  <c r="N702" i="2"/>
  <c r="J702" i="2" l="1"/>
  <c r="E702" i="2"/>
  <c r="F702" i="2"/>
  <c r="G702" i="2"/>
  <c r="H702" i="2" l="1"/>
  <c r="K702" i="2" l="1"/>
  <c r="L702" i="2" s="1"/>
  <c r="I703" i="2" s="1"/>
  <c r="C703" i="2"/>
  <c r="N703" i="2"/>
  <c r="D703" i="2"/>
  <c r="J703" i="2" l="1"/>
  <c r="E703" i="2"/>
  <c r="F703" i="2"/>
  <c r="G703" i="2"/>
  <c r="H703" i="2" l="1"/>
  <c r="C704" i="2" l="1"/>
  <c r="K703" i="2"/>
  <c r="L703" i="2" s="1"/>
  <c r="I704" i="2" s="1"/>
  <c r="N704" i="2"/>
  <c r="D704" i="2"/>
  <c r="J704" i="2" l="1"/>
  <c r="E704" i="2"/>
  <c r="F704" i="2"/>
  <c r="G704" i="2"/>
  <c r="H704" i="2" l="1"/>
  <c r="K704" i="2" l="1"/>
  <c r="L704" i="2" s="1"/>
  <c r="I705" i="2" s="1"/>
  <c r="C705" i="2"/>
  <c r="N705" i="2"/>
  <c r="D705" i="2"/>
  <c r="J705" i="2" l="1"/>
  <c r="E705" i="2"/>
  <c r="F705" i="2"/>
  <c r="G705" i="2"/>
  <c r="H705" i="2" l="1"/>
  <c r="C706" i="2" l="1"/>
  <c r="K705" i="2"/>
  <c r="L705" i="2" s="1"/>
  <c r="I706" i="2" s="1"/>
  <c r="D706" i="2"/>
  <c r="N706" i="2"/>
  <c r="J706" i="2" l="1"/>
  <c r="E706" i="2"/>
  <c r="F706" i="2"/>
  <c r="G706" i="2"/>
  <c r="H706" i="2" l="1"/>
  <c r="K706" i="2" l="1"/>
  <c r="L706" i="2" s="1"/>
  <c r="I707" i="2" s="1"/>
  <c r="C707" i="2"/>
  <c r="D707" i="2"/>
  <c r="N707" i="2"/>
  <c r="J707" i="2" l="1"/>
  <c r="E707" i="2"/>
  <c r="F707" i="2"/>
  <c r="G707" i="2"/>
  <c r="H707" i="2" l="1"/>
  <c r="C708" i="2" l="1"/>
  <c r="K707" i="2"/>
  <c r="L707" i="2" s="1"/>
  <c r="I708" i="2" s="1"/>
  <c r="N708" i="2"/>
  <c r="D708" i="2"/>
  <c r="J708" i="2" l="1"/>
  <c r="E708" i="2"/>
  <c r="F708" i="2"/>
  <c r="G708" i="2"/>
  <c r="H708" i="2" l="1"/>
  <c r="K708" i="2" l="1"/>
  <c r="L708" i="2" s="1"/>
  <c r="I709" i="2" s="1"/>
  <c r="C709" i="2"/>
  <c r="N709" i="2"/>
  <c r="D709" i="2"/>
  <c r="J709" i="2" l="1"/>
  <c r="E709" i="2"/>
  <c r="F709" i="2"/>
  <c r="G709" i="2"/>
  <c r="H709" i="2" l="1"/>
  <c r="C710" i="2" l="1"/>
  <c r="K709" i="2"/>
  <c r="L709" i="2" s="1"/>
  <c r="I710" i="2" s="1"/>
  <c r="N710" i="2"/>
  <c r="D710" i="2"/>
  <c r="J710" i="2" l="1"/>
  <c r="E710" i="2"/>
  <c r="F710" i="2"/>
  <c r="G710" i="2"/>
  <c r="H710" i="2" l="1"/>
  <c r="K710" i="2" l="1"/>
  <c r="L710" i="2" s="1"/>
  <c r="I711" i="2" s="1"/>
  <c r="C711" i="2"/>
  <c r="D711" i="2"/>
  <c r="N711" i="2"/>
  <c r="J711" i="2" l="1"/>
  <c r="E711" i="2"/>
  <c r="F711" i="2"/>
  <c r="G711" i="2"/>
  <c r="H711" i="2" l="1"/>
  <c r="K711" i="2" l="1"/>
  <c r="L711" i="2" s="1"/>
  <c r="I712" i="2" s="1"/>
  <c r="C712" i="2"/>
  <c r="D712" i="2"/>
  <c r="N712" i="2"/>
  <c r="J712" i="2" l="1"/>
  <c r="E712" i="2"/>
  <c r="F712" i="2"/>
  <c r="G712" i="2"/>
  <c r="H712" i="2" l="1"/>
  <c r="C713" i="2" l="1"/>
  <c r="K712" i="2"/>
  <c r="L712" i="2" s="1"/>
  <c r="I713" i="2" s="1"/>
  <c r="N713" i="2"/>
  <c r="D713" i="2"/>
  <c r="J713" i="2" l="1"/>
  <c r="E713" i="2"/>
  <c r="F713" i="2"/>
  <c r="G713" i="2"/>
  <c r="H713" i="2" l="1"/>
  <c r="K713" i="2" l="1"/>
  <c r="L713" i="2" s="1"/>
  <c r="I714" i="2" s="1"/>
  <c r="C714" i="2"/>
  <c r="N714" i="2"/>
  <c r="D714" i="2"/>
  <c r="J714" i="2" l="1"/>
  <c r="E714" i="2"/>
  <c r="F714" i="2"/>
  <c r="G714" i="2"/>
  <c r="H714" i="2" l="1"/>
  <c r="C715" i="2" l="1"/>
  <c r="K714" i="2"/>
  <c r="L714" i="2" s="1"/>
  <c r="I715" i="2" s="1"/>
  <c r="D715" i="2"/>
  <c r="N715" i="2"/>
  <c r="J715" i="2" l="1"/>
  <c r="E715" i="2"/>
  <c r="F715" i="2"/>
  <c r="G715" i="2"/>
  <c r="H715" i="2" l="1"/>
  <c r="K715" i="2" l="1"/>
  <c r="L715" i="2" s="1"/>
  <c r="I716" i="2" s="1"/>
  <c r="C716" i="2"/>
  <c r="D716" i="2"/>
  <c r="N716" i="2"/>
  <c r="J716" i="2" l="1"/>
  <c r="E716" i="2"/>
  <c r="F716" i="2"/>
  <c r="G716" i="2"/>
  <c r="H716" i="2" l="1"/>
  <c r="C717" i="2" l="1"/>
  <c r="K716" i="2"/>
  <c r="L716" i="2" s="1"/>
  <c r="I717" i="2" s="1"/>
  <c r="N717" i="2"/>
  <c r="D717" i="2"/>
  <c r="J717" i="2" l="1"/>
  <c r="E717" i="2"/>
  <c r="F717" i="2"/>
  <c r="G717" i="2"/>
  <c r="H717" i="2" l="1"/>
  <c r="K717" i="2" l="1"/>
  <c r="L717" i="2" s="1"/>
  <c r="I718" i="2" s="1"/>
  <c r="C718" i="2"/>
  <c r="D718" i="2"/>
  <c r="N718" i="2"/>
  <c r="J718" i="2" l="1"/>
  <c r="E718" i="2"/>
  <c r="F718" i="2"/>
  <c r="G718" i="2"/>
  <c r="H718" i="2" l="1"/>
  <c r="C719" i="2" l="1"/>
  <c r="K718" i="2"/>
  <c r="L718" i="2" s="1"/>
  <c r="I719" i="2" s="1"/>
  <c r="D719" i="2"/>
  <c r="N719" i="2"/>
  <c r="J719" i="2" l="1"/>
  <c r="E719" i="2"/>
  <c r="F719" i="2"/>
  <c r="G719" i="2"/>
  <c r="H719" i="2" l="1"/>
  <c r="K719" i="2" l="1"/>
  <c r="L719" i="2" s="1"/>
  <c r="I720" i="2" s="1"/>
  <c r="C720" i="2"/>
  <c r="D720" i="2"/>
  <c r="N720" i="2"/>
  <c r="J720" i="2" l="1"/>
  <c r="E720" i="2"/>
  <c r="F720" i="2"/>
  <c r="G720" i="2"/>
  <c r="H720" i="2" l="1"/>
  <c r="C721" i="2" l="1"/>
  <c r="K720" i="2"/>
  <c r="L720" i="2" s="1"/>
  <c r="I721" i="2" s="1"/>
  <c r="N721" i="2"/>
  <c r="D721" i="2"/>
  <c r="J721" i="2" l="1"/>
  <c r="E721" i="2"/>
  <c r="F721" i="2"/>
  <c r="G721" i="2"/>
  <c r="H721" i="2" l="1"/>
  <c r="K721" i="2" l="1"/>
  <c r="L721" i="2" s="1"/>
  <c r="I722" i="2" s="1"/>
  <c r="C722" i="2"/>
  <c r="D722" i="2"/>
  <c r="N722" i="2"/>
  <c r="J722" i="2" l="1"/>
  <c r="E722" i="2"/>
  <c r="F722" i="2"/>
  <c r="G722" i="2"/>
  <c r="H722" i="2" l="1"/>
  <c r="C723" i="2" l="1"/>
  <c r="K722" i="2"/>
  <c r="L722" i="2" s="1"/>
  <c r="I723" i="2" s="1"/>
  <c r="N723" i="2"/>
  <c r="D723" i="2"/>
  <c r="J723" i="2" l="1"/>
  <c r="E723" i="2"/>
  <c r="F723" i="2"/>
  <c r="G723" i="2"/>
  <c r="H723" i="2" l="1"/>
  <c r="K723" i="2" l="1"/>
  <c r="L723" i="2" s="1"/>
  <c r="I724" i="2" s="1"/>
  <c r="C724" i="2"/>
  <c r="N724" i="2"/>
  <c r="D724" i="2"/>
  <c r="J724" i="2" l="1"/>
  <c r="E724" i="2"/>
  <c r="F724" i="2"/>
  <c r="G724" i="2"/>
  <c r="H724" i="2" l="1"/>
  <c r="C725" i="2" l="1"/>
  <c r="K724" i="2"/>
  <c r="L724" i="2" s="1"/>
  <c r="I725" i="2" s="1"/>
  <c r="N725" i="2"/>
  <c r="D725" i="2"/>
  <c r="J725" i="2" l="1"/>
  <c r="E725" i="2"/>
  <c r="F725" i="2"/>
  <c r="G725" i="2"/>
  <c r="H725" i="2" l="1"/>
  <c r="C726" i="2" l="1"/>
  <c r="K725" i="2"/>
  <c r="L725" i="2" s="1"/>
  <c r="I726" i="2" s="1"/>
  <c r="N726" i="2"/>
  <c r="D726" i="2"/>
  <c r="J726" i="2" l="1"/>
  <c r="E726" i="2"/>
  <c r="F726" i="2"/>
  <c r="G726" i="2"/>
  <c r="H726" i="2" l="1"/>
  <c r="C727" i="2" l="1"/>
  <c r="K726" i="2"/>
  <c r="L726" i="2" s="1"/>
  <c r="I727" i="2" s="1"/>
  <c r="N727" i="2"/>
  <c r="D727" i="2"/>
  <c r="J727" i="2" l="1"/>
  <c r="E727" i="2"/>
  <c r="F727" i="2"/>
  <c r="G727" i="2"/>
  <c r="H727" i="2" l="1"/>
  <c r="K727" i="2" l="1"/>
  <c r="L727" i="2" s="1"/>
  <c r="I728" i="2" s="1"/>
  <c r="C728" i="2"/>
  <c r="N728" i="2"/>
  <c r="D728" i="2"/>
  <c r="J728" i="2" l="1"/>
  <c r="E728" i="2"/>
  <c r="F728" i="2"/>
  <c r="G728" i="2"/>
  <c r="H728" i="2" l="1"/>
  <c r="C729" i="2" l="1"/>
  <c r="K728" i="2"/>
  <c r="L728" i="2" s="1"/>
  <c r="I729" i="2" s="1"/>
  <c r="D729" i="2"/>
  <c r="N729" i="2"/>
  <c r="J729" i="2" l="1"/>
  <c r="E729" i="2"/>
  <c r="F729" i="2"/>
  <c r="G729" i="2"/>
  <c r="H729" i="2" l="1"/>
  <c r="K729" i="2" l="1"/>
  <c r="L729" i="2" s="1"/>
  <c r="I730" i="2" s="1"/>
  <c r="C730" i="2"/>
  <c r="D730" i="2"/>
  <c r="N730" i="2"/>
  <c r="J730" i="2" l="1"/>
  <c r="E730" i="2"/>
  <c r="F730" i="2"/>
  <c r="G730" i="2"/>
  <c r="H730" i="2" l="1"/>
  <c r="C731" i="2" l="1"/>
  <c r="K730" i="2"/>
  <c r="L730" i="2" s="1"/>
  <c r="I731" i="2" s="1"/>
  <c r="N731" i="2"/>
  <c r="D731" i="2"/>
  <c r="J731" i="2" l="1"/>
  <c r="E731" i="2"/>
  <c r="F731" i="2"/>
  <c r="G731" i="2"/>
  <c r="H731" i="2" l="1"/>
  <c r="K731" i="2" l="1"/>
  <c r="L731" i="2" s="1"/>
  <c r="I732" i="2" s="1"/>
  <c r="C732" i="2"/>
  <c r="N732" i="2"/>
  <c r="D732" i="2"/>
  <c r="J732" i="2" l="1"/>
  <c r="E732" i="2"/>
  <c r="F732" i="2"/>
  <c r="G732" i="2"/>
  <c r="H732" i="2" l="1"/>
  <c r="C733" i="2" l="1"/>
  <c r="K732" i="2"/>
  <c r="L732" i="2" s="1"/>
  <c r="I733" i="2" s="1"/>
  <c r="N733" i="2"/>
  <c r="D733" i="2"/>
  <c r="J733" i="2" l="1"/>
  <c r="E733" i="2"/>
  <c r="F733" i="2"/>
  <c r="G733" i="2"/>
  <c r="H733" i="2" l="1"/>
  <c r="K733" i="2" l="1"/>
  <c r="L733" i="2" s="1"/>
  <c r="I734" i="2" s="1"/>
  <c r="C734" i="2"/>
  <c r="N734" i="2"/>
  <c r="D734" i="2"/>
  <c r="J734" i="2" l="1"/>
  <c r="E734" i="2"/>
  <c r="F734" i="2"/>
  <c r="G734" i="2"/>
  <c r="H734" i="2" l="1"/>
  <c r="C735" i="2" l="1"/>
  <c r="K734" i="2"/>
  <c r="L734" i="2" s="1"/>
  <c r="I735" i="2" s="1"/>
  <c r="N735" i="2"/>
  <c r="D735" i="2"/>
  <c r="J735" i="2" l="1"/>
  <c r="E735" i="2"/>
  <c r="F735" i="2"/>
  <c r="G735" i="2"/>
  <c r="H735" i="2" l="1"/>
  <c r="K735" i="2" l="1"/>
  <c r="L735" i="2" s="1"/>
  <c r="I736" i="2" s="1"/>
  <c r="C736" i="2"/>
  <c r="D736" i="2"/>
  <c r="N736" i="2"/>
  <c r="J736" i="2" l="1"/>
  <c r="E736" i="2"/>
  <c r="F736" i="2"/>
  <c r="G736" i="2"/>
  <c r="H736" i="2" l="1"/>
  <c r="C737" i="2" l="1"/>
  <c r="K736" i="2"/>
  <c r="L736" i="2" s="1"/>
  <c r="I737" i="2" s="1"/>
  <c r="N737" i="2"/>
  <c r="D737" i="2"/>
  <c r="J737" i="2" l="1"/>
  <c r="E737" i="2"/>
  <c r="F737" i="2"/>
  <c r="G737" i="2"/>
  <c r="H737" i="2" l="1"/>
  <c r="K737" i="2" l="1"/>
  <c r="L737" i="2" s="1"/>
  <c r="I738" i="2" s="1"/>
  <c r="C738" i="2"/>
  <c r="D738" i="2"/>
  <c r="N738" i="2"/>
  <c r="J738" i="2" l="1"/>
  <c r="E738" i="2"/>
  <c r="F738" i="2"/>
  <c r="G738" i="2"/>
  <c r="H738" i="2" l="1"/>
  <c r="C739" i="2" l="1"/>
  <c r="K738" i="2"/>
  <c r="L738" i="2" s="1"/>
  <c r="I739" i="2" s="1"/>
  <c r="N739" i="2"/>
  <c r="D739" i="2"/>
  <c r="J739" i="2" l="1"/>
  <c r="E739" i="2"/>
  <c r="F739" i="2"/>
  <c r="G739" i="2"/>
  <c r="H739" i="2" l="1"/>
  <c r="K739" i="2" l="1"/>
  <c r="L739" i="2" s="1"/>
  <c r="I740" i="2" s="1"/>
  <c r="C740" i="2"/>
  <c r="D740" i="2"/>
  <c r="N740" i="2"/>
  <c r="J740" i="2" l="1"/>
  <c r="E740" i="2"/>
  <c r="F740" i="2"/>
  <c r="G740" i="2"/>
  <c r="H740" i="2" l="1"/>
  <c r="C741" i="2" l="1"/>
  <c r="K740" i="2"/>
  <c r="L740" i="2" s="1"/>
  <c r="I741" i="2" s="1"/>
  <c r="N741" i="2"/>
  <c r="D741" i="2"/>
  <c r="J741" i="2" l="1"/>
  <c r="E741" i="2"/>
  <c r="F741" i="2"/>
  <c r="G741" i="2"/>
  <c r="H741" i="2" l="1"/>
  <c r="K741" i="2" l="1"/>
  <c r="L741" i="2" s="1"/>
  <c r="I742" i="2" s="1"/>
  <c r="C742" i="2"/>
  <c r="N742" i="2"/>
  <c r="D742" i="2"/>
  <c r="J742" i="2" l="1"/>
  <c r="E742" i="2"/>
  <c r="F742" i="2"/>
  <c r="G742" i="2"/>
  <c r="H742" i="2" l="1"/>
  <c r="C743" i="2" l="1"/>
  <c r="K742" i="2"/>
  <c r="L742" i="2" s="1"/>
  <c r="I743" i="2" s="1"/>
  <c r="D743" i="2"/>
  <c r="N743" i="2"/>
  <c r="J743" i="2" l="1"/>
  <c r="E743" i="2"/>
  <c r="F743" i="2"/>
  <c r="G743" i="2"/>
  <c r="H743" i="2" l="1"/>
  <c r="C744" i="2" l="1"/>
  <c r="K743" i="2"/>
  <c r="L743" i="2" s="1"/>
  <c r="I744" i="2" s="1"/>
  <c r="N744" i="2"/>
  <c r="D744" i="2"/>
  <c r="J744" i="2" l="1"/>
  <c r="E744" i="2"/>
  <c r="F744" i="2"/>
  <c r="G744" i="2"/>
  <c r="H744" i="2" l="1"/>
  <c r="C745" i="2" l="1"/>
  <c r="K744" i="2"/>
  <c r="L744" i="2" s="1"/>
  <c r="I745" i="2" s="1"/>
  <c r="N745" i="2"/>
  <c r="D745" i="2"/>
  <c r="J745" i="2" l="1"/>
  <c r="E745" i="2"/>
  <c r="F745" i="2"/>
  <c r="G745" i="2"/>
  <c r="H745" i="2" l="1"/>
  <c r="K745" i="2" l="1"/>
  <c r="L745" i="2" s="1"/>
  <c r="I746" i="2" s="1"/>
  <c r="C746" i="2"/>
  <c r="D746" i="2"/>
  <c r="N746" i="2"/>
  <c r="J746" i="2" l="1"/>
  <c r="E746" i="2"/>
  <c r="F746" i="2"/>
  <c r="G746" i="2"/>
  <c r="H746" i="2" l="1"/>
  <c r="C747" i="2" l="1"/>
  <c r="K746" i="2"/>
  <c r="L746" i="2" s="1"/>
  <c r="I747" i="2" s="1"/>
  <c r="N747" i="2"/>
  <c r="D747" i="2"/>
  <c r="J747" i="2" l="1"/>
  <c r="E747" i="2"/>
  <c r="F747" i="2"/>
  <c r="G747" i="2"/>
  <c r="H747" i="2" l="1"/>
  <c r="K747" i="2" l="1"/>
  <c r="L747" i="2" s="1"/>
  <c r="I748" i="2" s="1"/>
  <c r="C748" i="2"/>
  <c r="N748" i="2"/>
  <c r="D748" i="2"/>
  <c r="J748" i="2" l="1"/>
  <c r="E748" i="2"/>
  <c r="F748" i="2"/>
  <c r="G748" i="2"/>
  <c r="H748" i="2" l="1"/>
  <c r="C749" i="2" l="1"/>
  <c r="K748" i="2"/>
  <c r="L748" i="2" s="1"/>
  <c r="I749" i="2" s="1"/>
  <c r="N749" i="2"/>
  <c r="D749" i="2"/>
  <c r="J749" i="2" l="1"/>
  <c r="E749" i="2"/>
  <c r="F749" i="2"/>
  <c r="G749" i="2"/>
  <c r="H749" i="2" l="1"/>
  <c r="K749" i="2" l="1"/>
  <c r="L749" i="2" s="1"/>
  <c r="I750" i="2" s="1"/>
  <c r="C750" i="2"/>
  <c r="N750" i="2"/>
  <c r="D750" i="2"/>
  <c r="J750" i="2" l="1"/>
  <c r="E750" i="2"/>
  <c r="F750" i="2"/>
  <c r="G750" i="2"/>
  <c r="H750" i="2" l="1"/>
  <c r="C751" i="2" l="1"/>
  <c r="K750" i="2"/>
  <c r="L750" i="2" s="1"/>
  <c r="I751" i="2" s="1"/>
  <c r="D751" i="2"/>
  <c r="N751" i="2"/>
  <c r="J751" i="2" l="1"/>
  <c r="E751" i="2"/>
  <c r="F751" i="2"/>
  <c r="G751" i="2"/>
  <c r="H751" i="2" l="1"/>
  <c r="K751" i="2" l="1"/>
  <c r="L751" i="2" s="1"/>
  <c r="I752" i="2" s="1"/>
  <c r="C752" i="2"/>
  <c r="N752" i="2"/>
  <c r="D752" i="2"/>
  <c r="J752" i="2" l="1"/>
  <c r="E752" i="2"/>
  <c r="F752" i="2"/>
  <c r="G752" i="2"/>
  <c r="H752" i="2" l="1"/>
  <c r="C753" i="2" l="1"/>
  <c r="K752" i="2"/>
  <c r="L752" i="2" s="1"/>
  <c r="I753" i="2" s="1"/>
  <c r="N753" i="2"/>
  <c r="D753" i="2"/>
  <c r="J753" i="2" l="1"/>
  <c r="E753" i="2"/>
  <c r="F753" i="2"/>
  <c r="G753" i="2"/>
  <c r="H753" i="2" l="1"/>
  <c r="K753" i="2" l="1"/>
  <c r="L753" i="2" s="1"/>
  <c r="I754" i="2" s="1"/>
  <c r="C754" i="2"/>
  <c r="D754" i="2"/>
  <c r="N754" i="2"/>
  <c r="J754" i="2" l="1"/>
  <c r="E754" i="2"/>
  <c r="F754" i="2"/>
  <c r="G754" i="2"/>
  <c r="H754" i="2" l="1"/>
  <c r="C755" i="2" l="1"/>
  <c r="K754" i="2"/>
  <c r="L754" i="2" s="1"/>
  <c r="I755" i="2" s="1"/>
  <c r="N755" i="2"/>
  <c r="D755" i="2"/>
  <c r="J755" i="2" l="1"/>
  <c r="E755" i="2"/>
  <c r="F755" i="2"/>
  <c r="G755" i="2"/>
  <c r="H755" i="2" l="1"/>
  <c r="K755" i="2" l="1"/>
  <c r="L755" i="2" s="1"/>
  <c r="I756" i="2" s="1"/>
  <c r="C756" i="2"/>
  <c r="N756" i="2"/>
  <c r="D756" i="2"/>
  <c r="J756" i="2" l="1"/>
  <c r="E756" i="2"/>
  <c r="F756" i="2"/>
  <c r="G756" i="2"/>
  <c r="H756" i="2" l="1"/>
  <c r="C757" i="2" l="1"/>
  <c r="K756" i="2"/>
  <c r="L756" i="2" s="1"/>
  <c r="I757" i="2" s="1"/>
  <c r="N757" i="2"/>
  <c r="D757" i="2"/>
  <c r="J757" i="2" l="1"/>
  <c r="E757" i="2"/>
  <c r="F757" i="2"/>
  <c r="G757" i="2"/>
  <c r="H757" i="2" l="1"/>
  <c r="K757" i="2" l="1"/>
  <c r="L757" i="2" s="1"/>
  <c r="I758" i="2" s="1"/>
  <c r="C758" i="2"/>
  <c r="N758" i="2"/>
  <c r="D758" i="2"/>
  <c r="J758" i="2" l="1"/>
  <c r="E758" i="2"/>
  <c r="F758" i="2"/>
  <c r="G758" i="2"/>
  <c r="H758" i="2" l="1"/>
  <c r="C759" i="2" l="1"/>
  <c r="K758" i="2"/>
  <c r="L758" i="2" s="1"/>
  <c r="I759" i="2" s="1"/>
  <c r="N759" i="2"/>
  <c r="D759" i="2"/>
  <c r="J759" i="2" l="1"/>
  <c r="E759" i="2"/>
  <c r="F759" i="2"/>
  <c r="G759" i="2"/>
  <c r="H759" i="2" l="1"/>
  <c r="K759" i="2" l="1"/>
  <c r="L759" i="2" s="1"/>
  <c r="I760" i="2" s="1"/>
  <c r="C760" i="2"/>
  <c r="D760" i="2"/>
  <c r="N760" i="2"/>
  <c r="J760" i="2" l="1"/>
  <c r="E760" i="2"/>
  <c r="F760" i="2"/>
  <c r="G760" i="2"/>
  <c r="H760" i="2" l="1"/>
  <c r="C761" i="2" l="1"/>
  <c r="K760" i="2"/>
  <c r="L760" i="2" s="1"/>
  <c r="I761" i="2" s="1"/>
  <c r="N761" i="2"/>
  <c r="D761" i="2"/>
  <c r="J761" i="2" l="1"/>
  <c r="E761" i="2"/>
  <c r="F761" i="2"/>
  <c r="G761" i="2"/>
  <c r="H761" i="2" l="1"/>
  <c r="K761" i="2" l="1"/>
  <c r="L761" i="2" s="1"/>
  <c r="I762" i="2" s="1"/>
  <c r="C762" i="2"/>
  <c r="D762" i="2"/>
  <c r="N762" i="2"/>
  <c r="J762" i="2" l="1"/>
  <c r="E762" i="2"/>
  <c r="F762" i="2"/>
  <c r="G762" i="2"/>
  <c r="H762" i="2" l="1"/>
  <c r="C763" i="2" l="1"/>
  <c r="K762" i="2"/>
  <c r="L762" i="2" s="1"/>
  <c r="I763" i="2" s="1"/>
  <c r="N763" i="2"/>
  <c r="D763" i="2"/>
  <c r="J763" i="2" l="1"/>
  <c r="E763" i="2"/>
  <c r="F763" i="2"/>
  <c r="G763" i="2"/>
  <c r="H763" i="2" l="1"/>
  <c r="K763" i="2" l="1"/>
  <c r="L763" i="2" s="1"/>
  <c r="I764" i="2" s="1"/>
  <c r="C764" i="2"/>
  <c r="N764" i="2"/>
  <c r="D764" i="2"/>
  <c r="J764" i="2" l="1"/>
  <c r="E764" i="2"/>
  <c r="F764" i="2"/>
  <c r="G764" i="2"/>
  <c r="H764" i="2" l="1"/>
  <c r="C765" i="2" l="1"/>
  <c r="K764" i="2"/>
  <c r="L764" i="2" s="1"/>
  <c r="I765" i="2" s="1"/>
  <c r="N765" i="2"/>
  <c r="D765" i="2"/>
  <c r="J765" i="2" l="1"/>
  <c r="E765" i="2"/>
  <c r="F765" i="2"/>
  <c r="G765" i="2"/>
  <c r="H765" i="2" l="1"/>
  <c r="K765" i="2" l="1"/>
  <c r="L765" i="2" s="1"/>
  <c r="I766" i="2" s="1"/>
  <c r="C766" i="2"/>
  <c r="N766" i="2"/>
  <c r="D766" i="2"/>
  <c r="J766" i="2" l="1"/>
  <c r="E766" i="2"/>
  <c r="F766" i="2"/>
  <c r="G766" i="2"/>
  <c r="H766" i="2" l="1"/>
  <c r="C767" i="2" l="1"/>
  <c r="K766" i="2"/>
  <c r="L766" i="2" s="1"/>
  <c r="I767" i="2" s="1"/>
  <c r="D767" i="2"/>
  <c r="N767" i="2"/>
  <c r="J767" i="2" l="1"/>
  <c r="E767" i="2"/>
  <c r="F767" i="2"/>
  <c r="G767" i="2"/>
  <c r="H767" i="2" l="1"/>
  <c r="K767" i="2" l="1"/>
  <c r="L767" i="2" s="1"/>
  <c r="I768" i="2" s="1"/>
  <c r="C768" i="2"/>
  <c r="N768" i="2"/>
  <c r="D768" i="2"/>
  <c r="J768" i="2" l="1"/>
  <c r="E768" i="2"/>
  <c r="F768" i="2"/>
  <c r="G768" i="2"/>
  <c r="H768" i="2" l="1"/>
  <c r="C769" i="2" l="1"/>
  <c r="K768" i="2"/>
  <c r="L768" i="2" s="1"/>
  <c r="I769" i="2" s="1"/>
  <c r="D769" i="2"/>
  <c r="N769" i="2"/>
  <c r="J769" i="2" l="1"/>
  <c r="E769" i="2"/>
  <c r="F769" i="2"/>
  <c r="G769" i="2"/>
  <c r="H769" i="2" l="1"/>
  <c r="K769" i="2" l="1"/>
  <c r="L769" i="2" s="1"/>
  <c r="I770" i="2" s="1"/>
  <c r="C770" i="2"/>
  <c r="N770" i="2"/>
  <c r="D770" i="2"/>
  <c r="J770" i="2" l="1"/>
  <c r="E770" i="2"/>
  <c r="F770" i="2"/>
  <c r="G770" i="2"/>
  <c r="H770" i="2" l="1"/>
  <c r="C771" i="2" l="1"/>
  <c r="K770" i="2"/>
  <c r="L770" i="2" s="1"/>
  <c r="I771" i="2" s="1"/>
  <c r="D771" i="2"/>
  <c r="N771" i="2"/>
  <c r="J771" i="2" l="1"/>
  <c r="E771" i="2"/>
  <c r="F771" i="2"/>
  <c r="G771" i="2"/>
  <c r="H771" i="2" l="1"/>
  <c r="K771" i="2" l="1"/>
  <c r="L771" i="2" s="1"/>
  <c r="I772" i="2" s="1"/>
  <c r="C772" i="2"/>
  <c r="N772" i="2"/>
  <c r="D772" i="2"/>
  <c r="J772" i="2" l="1"/>
  <c r="E772" i="2"/>
  <c r="F772" i="2"/>
  <c r="G772" i="2"/>
  <c r="H772" i="2" l="1"/>
  <c r="C773" i="2" l="1"/>
  <c r="K772" i="2"/>
  <c r="L772" i="2" s="1"/>
  <c r="I773" i="2" s="1"/>
  <c r="D773" i="2"/>
  <c r="N773" i="2"/>
  <c r="J773" i="2" l="1"/>
  <c r="E773" i="2"/>
  <c r="F773" i="2"/>
  <c r="G773" i="2"/>
  <c r="H773" i="2" l="1"/>
  <c r="K773" i="2" l="1"/>
  <c r="L773" i="2" s="1"/>
  <c r="I774" i="2" s="1"/>
  <c r="C774" i="2"/>
  <c r="N774" i="2"/>
  <c r="D774" i="2"/>
  <c r="J774" i="2" l="1"/>
  <c r="E774" i="2"/>
  <c r="F774" i="2"/>
  <c r="G774" i="2"/>
  <c r="H774" i="2" l="1"/>
  <c r="C775" i="2" l="1"/>
  <c r="K774" i="2"/>
  <c r="L774" i="2" s="1"/>
  <c r="I775" i="2" s="1"/>
  <c r="N775" i="2"/>
  <c r="D775" i="2"/>
  <c r="J775" i="2" l="1"/>
  <c r="E775" i="2"/>
  <c r="F775" i="2"/>
  <c r="G775" i="2"/>
  <c r="H775" i="2" l="1"/>
  <c r="K775" i="2" l="1"/>
  <c r="L775" i="2" s="1"/>
  <c r="I776" i="2" s="1"/>
  <c r="C776" i="2"/>
  <c r="N776" i="2"/>
  <c r="D776" i="2"/>
  <c r="J776" i="2" l="1"/>
  <c r="E776" i="2"/>
  <c r="F776" i="2"/>
  <c r="G776" i="2"/>
  <c r="H776" i="2" l="1"/>
  <c r="C777" i="2" l="1"/>
  <c r="K776" i="2"/>
  <c r="L776" i="2" s="1"/>
  <c r="I777" i="2" s="1"/>
  <c r="N777" i="2"/>
  <c r="D777" i="2"/>
  <c r="J777" i="2" l="1"/>
  <c r="E777" i="2"/>
  <c r="F777" i="2"/>
  <c r="G777" i="2"/>
  <c r="H777" i="2" l="1"/>
  <c r="K777" i="2" l="1"/>
  <c r="L777" i="2" s="1"/>
  <c r="I778" i="2" s="1"/>
  <c r="C778" i="2"/>
  <c r="N778" i="2"/>
  <c r="D778" i="2"/>
  <c r="J778" i="2" l="1"/>
  <c r="E778" i="2"/>
  <c r="F778" i="2"/>
  <c r="G778" i="2"/>
  <c r="H778" i="2" l="1"/>
  <c r="K778" i="2" l="1"/>
  <c r="L778" i="2" s="1"/>
  <c r="I779" i="2" s="1"/>
  <c r="C779" i="2"/>
  <c r="N779" i="2"/>
  <c r="D779" i="2"/>
  <c r="J779" i="2" l="1"/>
  <c r="E779" i="2"/>
  <c r="F779" i="2"/>
  <c r="G779" i="2"/>
  <c r="H779" i="2" l="1"/>
  <c r="C780" i="2" l="1"/>
  <c r="K779" i="2"/>
  <c r="L779" i="2" s="1"/>
  <c r="I780" i="2" s="1"/>
  <c r="D780" i="2"/>
  <c r="N780" i="2"/>
  <c r="J780" i="2" l="1"/>
  <c r="E780" i="2"/>
  <c r="F780" i="2"/>
  <c r="G780" i="2"/>
  <c r="H780" i="2" l="1"/>
  <c r="K780" i="2" l="1"/>
  <c r="L780" i="2" s="1"/>
  <c r="I781" i="2" s="1"/>
  <c r="C781" i="2"/>
  <c r="N781" i="2"/>
  <c r="D781" i="2"/>
  <c r="J781" i="2" l="1"/>
  <c r="E781" i="2"/>
  <c r="F781" i="2"/>
  <c r="G781" i="2"/>
  <c r="H781" i="2" l="1"/>
  <c r="C782" i="2" l="1"/>
  <c r="K781" i="2"/>
  <c r="L781" i="2" s="1"/>
  <c r="I782" i="2" s="1"/>
  <c r="D782" i="2"/>
  <c r="N782" i="2"/>
  <c r="J782" i="2" l="1"/>
  <c r="E782" i="2"/>
  <c r="F782" i="2"/>
  <c r="G782" i="2"/>
  <c r="H782" i="2" l="1"/>
  <c r="K782" i="2" l="1"/>
  <c r="L782" i="2" s="1"/>
  <c r="I783" i="2" s="1"/>
  <c r="C783" i="2"/>
  <c r="N783" i="2"/>
  <c r="D783" i="2"/>
  <c r="J783" i="2" l="1"/>
  <c r="E783" i="2"/>
  <c r="F783" i="2"/>
  <c r="G783" i="2"/>
  <c r="H783" i="2" l="1"/>
  <c r="C784" i="2" l="1"/>
  <c r="K783" i="2"/>
  <c r="L783" i="2" s="1"/>
  <c r="I784" i="2" s="1"/>
  <c r="D784" i="2"/>
  <c r="N784" i="2"/>
  <c r="J784" i="2" l="1"/>
  <c r="E784" i="2"/>
  <c r="F784" i="2"/>
  <c r="G784" i="2"/>
  <c r="H784" i="2" l="1"/>
  <c r="K784" i="2" l="1"/>
  <c r="L784" i="2" s="1"/>
  <c r="I785" i="2" s="1"/>
  <c r="C785" i="2"/>
  <c r="N785" i="2"/>
  <c r="D785" i="2"/>
  <c r="J785" i="2" l="1"/>
  <c r="E785" i="2"/>
  <c r="F785" i="2"/>
  <c r="G785" i="2"/>
  <c r="H785" i="2" l="1"/>
  <c r="C786" i="2" l="1"/>
  <c r="K785" i="2"/>
  <c r="L785" i="2" s="1"/>
  <c r="I786" i="2" s="1"/>
  <c r="D786" i="2"/>
  <c r="N786" i="2"/>
  <c r="J786" i="2" l="1"/>
  <c r="E786" i="2"/>
  <c r="F786" i="2"/>
  <c r="G786" i="2"/>
  <c r="H786" i="2" l="1"/>
  <c r="K786" i="2" l="1"/>
  <c r="L786" i="2" s="1"/>
  <c r="I787" i="2" s="1"/>
  <c r="C787" i="2"/>
  <c r="N787" i="2"/>
  <c r="D787" i="2"/>
  <c r="J787" i="2" l="1"/>
  <c r="E787" i="2"/>
  <c r="F787" i="2"/>
  <c r="G787" i="2"/>
  <c r="H787" i="2" l="1"/>
  <c r="C788" i="2" l="1"/>
  <c r="K787" i="2"/>
  <c r="L787" i="2" s="1"/>
  <c r="I788" i="2" s="1"/>
  <c r="D788" i="2"/>
  <c r="N788" i="2"/>
  <c r="J788" i="2" l="1"/>
  <c r="E788" i="2"/>
  <c r="F788" i="2"/>
  <c r="G788" i="2"/>
  <c r="H788" i="2" l="1"/>
  <c r="K788" i="2" l="1"/>
  <c r="L788" i="2" s="1"/>
  <c r="I789" i="2" s="1"/>
  <c r="C789" i="2"/>
  <c r="D789" i="2"/>
  <c r="N789" i="2"/>
  <c r="J789" i="2" l="1"/>
  <c r="E789" i="2"/>
  <c r="F789" i="2"/>
  <c r="G789" i="2"/>
  <c r="H789" i="2" l="1"/>
  <c r="C790" i="2" l="1"/>
  <c r="K789" i="2"/>
  <c r="L789" i="2" s="1"/>
  <c r="I790" i="2" s="1"/>
  <c r="D790" i="2"/>
  <c r="N790" i="2"/>
  <c r="J790" i="2" l="1"/>
  <c r="E790" i="2"/>
  <c r="F790" i="2"/>
  <c r="G790" i="2"/>
  <c r="H790" i="2" l="1"/>
  <c r="K790" i="2" l="1"/>
  <c r="L790" i="2" s="1"/>
  <c r="I791" i="2" s="1"/>
  <c r="C791" i="2"/>
  <c r="N791" i="2"/>
  <c r="D791" i="2"/>
  <c r="J791" i="2" l="1"/>
  <c r="E791" i="2"/>
  <c r="F791" i="2"/>
  <c r="G791" i="2"/>
  <c r="H791" i="2" l="1"/>
  <c r="C792" i="2" l="1"/>
  <c r="K791" i="2"/>
  <c r="L791" i="2" s="1"/>
  <c r="I792" i="2" s="1"/>
  <c r="N792" i="2"/>
  <c r="D792" i="2"/>
  <c r="J792" i="2" l="1"/>
  <c r="E792" i="2"/>
  <c r="F792" i="2"/>
  <c r="G792" i="2"/>
  <c r="H792" i="2" l="1"/>
  <c r="K792" i="2" l="1"/>
  <c r="L792" i="2" s="1"/>
  <c r="I793" i="2" s="1"/>
  <c r="C793" i="2"/>
  <c r="N793" i="2"/>
  <c r="D793" i="2"/>
  <c r="J793" i="2" l="1"/>
  <c r="E793" i="2"/>
  <c r="F793" i="2"/>
  <c r="G793" i="2"/>
  <c r="H793" i="2" l="1"/>
  <c r="C794" i="2" l="1"/>
  <c r="K793" i="2"/>
  <c r="L793" i="2" s="1"/>
  <c r="I794" i="2" s="1"/>
  <c r="D794" i="2"/>
  <c r="N794" i="2"/>
  <c r="J794" i="2" l="1"/>
  <c r="E794" i="2"/>
  <c r="F794" i="2"/>
  <c r="G794" i="2"/>
  <c r="H794" i="2" l="1"/>
  <c r="K794" i="2" l="1"/>
  <c r="L794" i="2" s="1"/>
  <c r="I795" i="2" s="1"/>
  <c r="C795" i="2"/>
  <c r="D795" i="2"/>
  <c r="N795" i="2"/>
  <c r="J795" i="2" l="1"/>
  <c r="E795" i="2"/>
  <c r="F795" i="2"/>
  <c r="G795" i="2"/>
  <c r="H795" i="2" l="1"/>
  <c r="C796" i="2" l="1"/>
  <c r="K795" i="2"/>
  <c r="L795" i="2" s="1"/>
  <c r="I796" i="2" s="1"/>
  <c r="D796" i="2"/>
  <c r="N796" i="2"/>
  <c r="J796" i="2" l="1"/>
  <c r="E796" i="2"/>
  <c r="F796" i="2"/>
  <c r="G796" i="2"/>
  <c r="H796" i="2" l="1"/>
  <c r="K796" i="2" l="1"/>
  <c r="L796" i="2" s="1"/>
  <c r="I797" i="2" s="1"/>
  <c r="C797" i="2"/>
  <c r="N797" i="2"/>
  <c r="D797" i="2"/>
  <c r="J797" i="2" l="1"/>
  <c r="E797" i="2"/>
  <c r="F797" i="2"/>
  <c r="G797" i="2"/>
  <c r="H797" i="2" l="1"/>
  <c r="C798" i="2" l="1"/>
  <c r="K797" i="2"/>
  <c r="L797" i="2" s="1"/>
  <c r="I798" i="2" s="1"/>
  <c r="D798" i="2"/>
  <c r="N798" i="2"/>
  <c r="J798" i="2" l="1"/>
  <c r="E798" i="2"/>
  <c r="F798" i="2"/>
  <c r="G798" i="2"/>
  <c r="H798" i="2" l="1"/>
  <c r="K798" i="2" l="1"/>
  <c r="L798" i="2" s="1"/>
  <c r="I799" i="2" s="1"/>
  <c r="C799" i="2"/>
  <c r="D799" i="2"/>
  <c r="N799" i="2"/>
  <c r="J799" i="2" l="1"/>
  <c r="E799" i="2"/>
  <c r="F799" i="2"/>
  <c r="G799" i="2"/>
  <c r="H799" i="2" l="1"/>
  <c r="C800" i="2" l="1"/>
  <c r="K799" i="2"/>
  <c r="L799" i="2" s="1"/>
  <c r="I800" i="2" s="1"/>
  <c r="D800" i="2"/>
  <c r="N800" i="2"/>
  <c r="J800" i="2" l="1"/>
  <c r="E800" i="2"/>
  <c r="F800" i="2"/>
  <c r="G800" i="2"/>
  <c r="H800" i="2" l="1"/>
  <c r="K800" i="2" l="1"/>
  <c r="L800" i="2" s="1"/>
  <c r="I801" i="2" s="1"/>
  <c r="C801" i="2"/>
  <c r="N801" i="2"/>
  <c r="D801" i="2"/>
  <c r="J801" i="2" l="1"/>
  <c r="E801" i="2"/>
  <c r="F801" i="2"/>
  <c r="G801" i="2"/>
  <c r="H801" i="2" l="1"/>
  <c r="C802" i="2" l="1"/>
  <c r="K801" i="2"/>
  <c r="L801" i="2" s="1"/>
  <c r="I802" i="2" s="1"/>
  <c r="D802" i="2"/>
  <c r="N802" i="2"/>
  <c r="J802" i="2" l="1"/>
  <c r="E802" i="2"/>
  <c r="F802" i="2"/>
  <c r="G802" i="2"/>
  <c r="H802" i="2" l="1"/>
  <c r="K802" i="2" l="1"/>
  <c r="L802" i="2" s="1"/>
  <c r="I803" i="2" s="1"/>
  <c r="C803" i="2"/>
  <c r="N803" i="2"/>
  <c r="D803" i="2"/>
  <c r="J803" i="2" l="1"/>
  <c r="E803" i="2"/>
  <c r="F803" i="2"/>
  <c r="G803" i="2"/>
  <c r="H803" i="2" l="1"/>
  <c r="C804" i="2" l="1"/>
  <c r="K803" i="2"/>
  <c r="L803" i="2" s="1"/>
  <c r="I804" i="2" s="1"/>
  <c r="D804" i="2"/>
  <c r="N804" i="2"/>
  <c r="J804" i="2" l="1"/>
  <c r="E804" i="2"/>
  <c r="F804" i="2"/>
  <c r="G804" i="2"/>
  <c r="H804" i="2" l="1"/>
  <c r="K804" i="2" l="1"/>
  <c r="L804" i="2" s="1"/>
  <c r="I805" i="2" s="1"/>
  <c r="C805" i="2"/>
  <c r="N805" i="2"/>
  <c r="D805" i="2"/>
  <c r="J805" i="2" l="1"/>
  <c r="E805" i="2"/>
  <c r="F805" i="2"/>
  <c r="G805" i="2"/>
  <c r="H805" i="2" l="1"/>
  <c r="C806" i="2" l="1"/>
  <c r="K805" i="2"/>
  <c r="L805" i="2" s="1"/>
  <c r="I806" i="2" s="1"/>
  <c r="D806" i="2"/>
  <c r="N806" i="2"/>
  <c r="J806" i="2" l="1"/>
  <c r="E806" i="2"/>
  <c r="F806" i="2"/>
  <c r="G806" i="2"/>
  <c r="H806" i="2" l="1"/>
  <c r="K806" i="2" l="1"/>
  <c r="L806" i="2" s="1"/>
  <c r="I807" i="2" s="1"/>
  <c r="C807" i="2"/>
  <c r="N807" i="2"/>
  <c r="D807" i="2"/>
  <c r="J807" i="2" l="1"/>
  <c r="E807" i="2"/>
  <c r="F807" i="2"/>
  <c r="G807" i="2"/>
  <c r="H807" i="2" l="1"/>
  <c r="C808" i="2" l="1"/>
  <c r="K807" i="2"/>
  <c r="L807" i="2" s="1"/>
  <c r="I808" i="2" s="1"/>
  <c r="D808" i="2"/>
  <c r="N808" i="2"/>
  <c r="J808" i="2" l="1"/>
  <c r="E808" i="2"/>
  <c r="F808" i="2"/>
  <c r="G808" i="2"/>
  <c r="H808" i="2" l="1"/>
  <c r="K808" i="2" l="1"/>
  <c r="L808" i="2" s="1"/>
  <c r="I809" i="2" s="1"/>
  <c r="C809" i="2"/>
  <c r="N809" i="2"/>
  <c r="D809" i="2"/>
  <c r="J809" i="2" l="1"/>
  <c r="E809" i="2"/>
  <c r="F809" i="2"/>
  <c r="G809" i="2"/>
  <c r="H809" i="2" l="1"/>
  <c r="C810" i="2" l="1"/>
  <c r="K809" i="2"/>
  <c r="L809" i="2" s="1"/>
  <c r="I810" i="2" s="1"/>
  <c r="D810" i="2"/>
  <c r="N810" i="2"/>
  <c r="J810" i="2" l="1"/>
  <c r="E810" i="2"/>
  <c r="F810" i="2"/>
  <c r="G810" i="2"/>
  <c r="H810" i="2" l="1"/>
  <c r="K810" i="2" l="1"/>
  <c r="L810" i="2" s="1"/>
  <c r="I811" i="2" s="1"/>
  <c r="C811" i="2"/>
  <c r="N811" i="2"/>
  <c r="D811" i="2"/>
  <c r="J811" i="2" l="1"/>
  <c r="E811" i="2"/>
  <c r="F811" i="2"/>
  <c r="G811" i="2"/>
  <c r="H811" i="2" l="1"/>
  <c r="C812" i="2" l="1"/>
  <c r="K811" i="2"/>
  <c r="L811" i="2" s="1"/>
  <c r="I812" i="2" s="1"/>
  <c r="D812" i="2"/>
  <c r="N812" i="2"/>
  <c r="J812" i="2" l="1"/>
  <c r="E812" i="2"/>
  <c r="F812" i="2"/>
  <c r="G812" i="2"/>
  <c r="H812" i="2" l="1"/>
  <c r="K812" i="2" l="1"/>
  <c r="L812" i="2" s="1"/>
  <c r="I813" i="2" s="1"/>
  <c r="C813" i="2"/>
  <c r="N813" i="2"/>
  <c r="D813" i="2"/>
  <c r="J813" i="2" l="1"/>
  <c r="E813" i="2"/>
  <c r="F813" i="2"/>
  <c r="G813" i="2"/>
  <c r="H813" i="2" l="1"/>
  <c r="C814" i="2" l="1"/>
  <c r="K813" i="2"/>
  <c r="L813" i="2" s="1"/>
  <c r="I814" i="2" s="1"/>
  <c r="D814" i="2"/>
  <c r="N814" i="2"/>
  <c r="J814" i="2" l="1"/>
  <c r="E814" i="2"/>
  <c r="F814" i="2"/>
  <c r="G814" i="2"/>
  <c r="H814" i="2" l="1"/>
  <c r="K814" i="2" l="1"/>
  <c r="L814" i="2" s="1"/>
  <c r="I815" i="2" s="1"/>
  <c r="C815" i="2"/>
  <c r="N815" i="2"/>
  <c r="D815" i="2"/>
  <c r="J815" i="2" l="1"/>
  <c r="E815" i="2"/>
  <c r="F815" i="2"/>
  <c r="G815" i="2"/>
  <c r="H815" i="2" l="1"/>
  <c r="C816" i="2" l="1"/>
  <c r="K815" i="2"/>
  <c r="L815" i="2" s="1"/>
  <c r="I816" i="2" s="1"/>
  <c r="D816" i="2"/>
  <c r="N816" i="2"/>
  <c r="J816" i="2" l="1"/>
  <c r="E816" i="2"/>
  <c r="F816" i="2"/>
  <c r="G816" i="2"/>
  <c r="H816" i="2" l="1"/>
  <c r="K816" i="2" l="1"/>
  <c r="L816" i="2" s="1"/>
  <c r="I817" i="2" s="1"/>
  <c r="C817" i="2"/>
  <c r="N817" i="2"/>
  <c r="D817" i="2"/>
  <c r="J817" i="2" l="1"/>
  <c r="E817" i="2"/>
  <c r="F817" i="2"/>
  <c r="G817" i="2"/>
  <c r="H817" i="2" l="1"/>
  <c r="C818" i="2" l="1"/>
  <c r="K817" i="2"/>
  <c r="L817" i="2" s="1"/>
  <c r="I818" i="2" s="1"/>
  <c r="D818" i="2"/>
  <c r="N818" i="2"/>
  <c r="J818" i="2" l="1"/>
  <c r="E818" i="2"/>
  <c r="F818" i="2"/>
  <c r="G818" i="2"/>
  <c r="H818" i="2" l="1"/>
  <c r="K818" i="2" l="1"/>
  <c r="L818" i="2" s="1"/>
  <c r="I819" i="2" s="1"/>
  <c r="C819" i="2"/>
  <c r="N819" i="2"/>
  <c r="D819" i="2"/>
  <c r="J819" i="2" l="1"/>
  <c r="E819" i="2"/>
  <c r="F819" i="2"/>
  <c r="G819" i="2"/>
  <c r="H819" i="2" l="1"/>
  <c r="C820" i="2" l="1"/>
  <c r="K819" i="2"/>
  <c r="L819" i="2" s="1"/>
  <c r="I820" i="2" s="1"/>
  <c r="D820" i="2"/>
  <c r="N820" i="2"/>
  <c r="J820" i="2" l="1"/>
  <c r="E820" i="2"/>
  <c r="F820" i="2"/>
  <c r="G820" i="2"/>
  <c r="H820" i="2" l="1"/>
  <c r="K820" i="2" l="1"/>
  <c r="L820" i="2" s="1"/>
  <c r="I821" i="2" s="1"/>
  <c r="C821" i="2"/>
  <c r="N821" i="2"/>
  <c r="D821" i="2"/>
  <c r="J821" i="2" l="1"/>
  <c r="E821" i="2"/>
  <c r="F821" i="2"/>
  <c r="G821" i="2"/>
  <c r="H821" i="2" l="1"/>
  <c r="C822" i="2" l="1"/>
  <c r="K821" i="2"/>
  <c r="L821" i="2" s="1"/>
  <c r="I822" i="2" s="1"/>
  <c r="D822" i="2"/>
  <c r="N822" i="2"/>
  <c r="J822" i="2" l="1"/>
  <c r="E822" i="2"/>
  <c r="F822" i="2"/>
  <c r="G822" i="2"/>
  <c r="H822" i="2" l="1"/>
  <c r="K822" i="2" l="1"/>
  <c r="L822" i="2" s="1"/>
  <c r="I823" i="2" s="1"/>
  <c r="C823" i="2"/>
  <c r="N823" i="2"/>
  <c r="D823" i="2"/>
  <c r="J823" i="2" l="1"/>
  <c r="E823" i="2"/>
  <c r="F823" i="2"/>
  <c r="G823" i="2"/>
  <c r="H823" i="2" l="1"/>
  <c r="C824" i="2" l="1"/>
  <c r="K823" i="2"/>
  <c r="L823" i="2" s="1"/>
  <c r="I824" i="2" s="1"/>
  <c r="N824" i="2"/>
  <c r="D824" i="2"/>
  <c r="J824" i="2" l="1"/>
  <c r="E824" i="2"/>
  <c r="F824" i="2"/>
  <c r="G824" i="2"/>
  <c r="H824" i="2" l="1"/>
  <c r="K824" i="2" l="1"/>
  <c r="L824" i="2" s="1"/>
  <c r="I825" i="2" s="1"/>
  <c r="C825" i="2"/>
  <c r="N825" i="2"/>
  <c r="D825" i="2"/>
  <c r="J825" i="2" l="1"/>
  <c r="E825" i="2"/>
  <c r="F825" i="2"/>
  <c r="G825" i="2"/>
  <c r="H825" i="2" l="1"/>
  <c r="C826" i="2" l="1"/>
  <c r="K825" i="2"/>
  <c r="L825" i="2" s="1"/>
  <c r="I826" i="2" s="1"/>
  <c r="D826" i="2"/>
  <c r="N826" i="2"/>
  <c r="J826" i="2" l="1"/>
  <c r="E826" i="2"/>
  <c r="F826" i="2"/>
  <c r="G826" i="2"/>
  <c r="H826" i="2" l="1"/>
  <c r="K826" i="2" l="1"/>
  <c r="L826" i="2" s="1"/>
  <c r="I827" i="2" s="1"/>
  <c r="C827" i="2"/>
  <c r="D827" i="2"/>
  <c r="N827" i="2"/>
  <c r="J827" i="2" l="1"/>
  <c r="E827" i="2"/>
  <c r="F827" i="2"/>
  <c r="G827" i="2"/>
  <c r="H827" i="2" l="1"/>
  <c r="C828" i="2" l="1"/>
  <c r="K827" i="2"/>
  <c r="L827" i="2" s="1"/>
  <c r="I828" i="2" s="1"/>
  <c r="D828" i="2"/>
  <c r="N828" i="2"/>
  <c r="J828" i="2" l="1"/>
  <c r="E828" i="2"/>
  <c r="F828" i="2"/>
  <c r="G828" i="2"/>
  <c r="H828" i="2" l="1"/>
  <c r="K828" i="2" l="1"/>
  <c r="L828" i="2" s="1"/>
  <c r="I829" i="2" s="1"/>
  <c r="C829" i="2"/>
  <c r="D829" i="2"/>
  <c r="N829" i="2"/>
  <c r="J829" i="2" l="1"/>
  <c r="E829" i="2"/>
  <c r="F829" i="2"/>
  <c r="G829" i="2"/>
  <c r="H829" i="2" l="1"/>
  <c r="C830" i="2" l="1"/>
  <c r="K829" i="2"/>
  <c r="L829" i="2" s="1"/>
  <c r="I830" i="2" s="1"/>
  <c r="N830" i="2"/>
  <c r="D830" i="2"/>
  <c r="J830" i="2" l="1"/>
  <c r="E830" i="2"/>
  <c r="F830" i="2"/>
  <c r="G830" i="2"/>
  <c r="H830" i="2" l="1"/>
  <c r="K830" i="2" l="1"/>
  <c r="L830" i="2" s="1"/>
  <c r="I831" i="2" s="1"/>
  <c r="C831" i="2"/>
  <c r="D831" i="2"/>
  <c r="N831" i="2"/>
  <c r="J831" i="2" l="1"/>
  <c r="E831" i="2"/>
  <c r="F831" i="2"/>
  <c r="G831" i="2"/>
  <c r="H831" i="2" l="1"/>
  <c r="C832" i="2" l="1"/>
  <c r="K831" i="2"/>
  <c r="L831" i="2" s="1"/>
  <c r="I832" i="2" s="1"/>
  <c r="D832" i="2"/>
  <c r="N832" i="2"/>
  <c r="J832" i="2" l="1"/>
  <c r="E832" i="2"/>
  <c r="F832" i="2"/>
  <c r="G832" i="2"/>
  <c r="H832" i="2" l="1"/>
  <c r="K832" i="2" l="1"/>
  <c r="L832" i="2" s="1"/>
  <c r="I833" i="2" s="1"/>
  <c r="C833" i="2"/>
  <c r="N833" i="2"/>
  <c r="D833" i="2"/>
  <c r="J833" i="2" l="1"/>
  <c r="E833" i="2"/>
  <c r="F833" i="2"/>
  <c r="G833" i="2"/>
  <c r="H833" i="2" l="1"/>
  <c r="C834" i="2" l="1"/>
  <c r="K833" i="2"/>
  <c r="L833" i="2" s="1"/>
  <c r="I834" i="2" s="1"/>
  <c r="D834" i="2"/>
  <c r="N834" i="2"/>
  <c r="J834" i="2" l="1"/>
  <c r="E834" i="2"/>
  <c r="F834" i="2"/>
  <c r="G834" i="2"/>
  <c r="H834" i="2" l="1"/>
  <c r="K834" i="2" l="1"/>
  <c r="L834" i="2" s="1"/>
  <c r="I835" i="2" s="1"/>
  <c r="C835" i="2"/>
  <c r="N835" i="2"/>
  <c r="D835" i="2"/>
  <c r="J835" i="2" l="1"/>
  <c r="E835" i="2"/>
  <c r="F835" i="2"/>
  <c r="G835" i="2"/>
  <c r="H835" i="2" l="1"/>
  <c r="C836" i="2" l="1"/>
  <c r="K835" i="2"/>
  <c r="L835" i="2" s="1"/>
  <c r="I836" i="2" s="1"/>
  <c r="D836" i="2"/>
  <c r="N836" i="2"/>
  <c r="J836" i="2" l="1"/>
  <c r="E836" i="2"/>
  <c r="F836" i="2"/>
  <c r="G836" i="2"/>
  <c r="H836" i="2" l="1"/>
  <c r="K836" i="2" l="1"/>
  <c r="L836" i="2" s="1"/>
  <c r="I837" i="2" s="1"/>
  <c r="C837" i="2"/>
  <c r="N837" i="2"/>
  <c r="D837" i="2"/>
  <c r="J837" i="2" l="1"/>
  <c r="E837" i="2"/>
  <c r="F837" i="2"/>
  <c r="G837" i="2"/>
  <c r="H837" i="2" l="1"/>
  <c r="C838" i="2" l="1"/>
  <c r="K837" i="2"/>
  <c r="L837" i="2" s="1"/>
  <c r="I838" i="2" s="1"/>
  <c r="D838" i="2"/>
  <c r="N838" i="2"/>
  <c r="J838" i="2" l="1"/>
  <c r="E838" i="2"/>
  <c r="F838" i="2"/>
  <c r="G838" i="2"/>
  <c r="H838" i="2" l="1"/>
  <c r="K838" i="2" l="1"/>
  <c r="L838" i="2" s="1"/>
  <c r="I839" i="2" s="1"/>
  <c r="C839" i="2"/>
  <c r="D839" i="2"/>
  <c r="N839" i="2"/>
  <c r="J839" i="2" l="1"/>
  <c r="E839" i="2"/>
  <c r="F839" i="2"/>
  <c r="G839" i="2"/>
  <c r="H839" i="2" l="1"/>
  <c r="C840" i="2" l="1"/>
  <c r="K839" i="2"/>
  <c r="L839" i="2" s="1"/>
  <c r="I840" i="2" s="1"/>
  <c r="D840" i="2"/>
  <c r="N840" i="2"/>
  <c r="J840" i="2" l="1"/>
  <c r="E840" i="2"/>
  <c r="F840" i="2"/>
  <c r="G840" i="2"/>
  <c r="H840" i="2" l="1"/>
  <c r="K840" i="2" l="1"/>
  <c r="L840" i="2" s="1"/>
  <c r="I841" i="2" s="1"/>
  <c r="C841" i="2"/>
  <c r="N841" i="2"/>
  <c r="D841" i="2"/>
  <c r="J841" i="2" l="1"/>
  <c r="E841" i="2"/>
  <c r="F841" i="2"/>
  <c r="G841" i="2"/>
  <c r="H841" i="2" l="1"/>
  <c r="C842" i="2" l="1"/>
  <c r="K841" i="2"/>
  <c r="L841" i="2" s="1"/>
  <c r="I842" i="2" s="1"/>
  <c r="D842" i="2"/>
  <c r="N842" i="2"/>
  <c r="J842" i="2" l="1"/>
  <c r="E842" i="2"/>
  <c r="F842" i="2"/>
  <c r="G842" i="2"/>
  <c r="H842" i="2" l="1"/>
  <c r="K842" i="2" l="1"/>
  <c r="L842" i="2" s="1"/>
  <c r="I843" i="2" s="1"/>
  <c r="C843" i="2"/>
  <c r="N843" i="2"/>
  <c r="D843" i="2"/>
  <c r="J843" i="2" l="1"/>
  <c r="E843" i="2"/>
  <c r="F843" i="2"/>
  <c r="G843" i="2"/>
  <c r="H843" i="2" l="1"/>
  <c r="C844" i="2" l="1"/>
  <c r="K843" i="2"/>
  <c r="L843" i="2" s="1"/>
  <c r="I844" i="2" s="1"/>
  <c r="D844" i="2"/>
  <c r="N844" i="2"/>
  <c r="J844" i="2" l="1"/>
  <c r="E844" i="2"/>
  <c r="F844" i="2"/>
  <c r="G844" i="2"/>
  <c r="H844" i="2" l="1"/>
  <c r="K844" i="2" l="1"/>
  <c r="L844" i="2" s="1"/>
  <c r="I845" i="2" s="1"/>
  <c r="C845" i="2"/>
  <c r="N845" i="2"/>
  <c r="D845" i="2"/>
  <c r="J845" i="2" l="1"/>
  <c r="E845" i="2"/>
  <c r="F845" i="2"/>
  <c r="G845" i="2"/>
  <c r="H845" i="2" l="1"/>
  <c r="C846" i="2" l="1"/>
  <c r="K845" i="2"/>
  <c r="L845" i="2" s="1"/>
  <c r="I846" i="2" s="1"/>
  <c r="N846" i="2"/>
  <c r="D846" i="2"/>
  <c r="J846" i="2" l="1"/>
  <c r="E846" i="2"/>
  <c r="F846" i="2"/>
  <c r="G846" i="2"/>
  <c r="H846" i="2" l="1"/>
  <c r="K846" i="2" l="1"/>
  <c r="L846" i="2" s="1"/>
  <c r="I847" i="2" s="1"/>
  <c r="C847" i="2"/>
  <c r="D847" i="2"/>
  <c r="N847" i="2"/>
  <c r="J847" i="2" l="1"/>
  <c r="E847" i="2"/>
  <c r="F847" i="2"/>
  <c r="G847" i="2"/>
  <c r="H847" i="2" l="1"/>
  <c r="C848" i="2" l="1"/>
  <c r="K847" i="2"/>
  <c r="L847" i="2" s="1"/>
  <c r="I848" i="2" s="1"/>
  <c r="D848" i="2"/>
  <c r="N848" i="2"/>
  <c r="J848" i="2" l="1"/>
  <c r="E848" i="2"/>
  <c r="F848" i="2"/>
  <c r="G848" i="2"/>
  <c r="H848" i="2" l="1"/>
  <c r="K848" i="2" l="1"/>
  <c r="L848" i="2" s="1"/>
  <c r="I849" i="2" s="1"/>
  <c r="C849" i="2"/>
  <c r="D849" i="2"/>
  <c r="N849" i="2"/>
  <c r="J849" i="2" l="1"/>
  <c r="E849" i="2"/>
  <c r="F849" i="2"/>
  <c r="G849" i="2"/>
  <c r="H849" i="2" l="1"/>
  <c r="C850" i="2" l="1"/>
  <c r="K849" i="2"/>
  <c r="L849" i="2" s="1"/>
  <c r="I850" i="2" s="1"/>
  <c r="D850" i="2"/>
  <c r="N850" i="2"/>
  <c r="J850" i="2" l="1"/>
  <c r="E850" i="2"/>
  <c r="F850" i="2"/>
  <c r="G850" i="2"/>
  <c r="H850" i="2" l="1"/>
  <c r="K850" i="2" l="1"/>
  <c r="L850" i="2" s="1"/>
  <c r="I851" i="2" s="1"/>
  <c r="C851" i="2"/>
  <c r="N851" i="2"/>
  <c r="D851" i="2"/>
  <c r="J851" i="2" l="1"/>
  <c r="E851" i="2"/>
  <c r="F851" i="2"/>
  <c r="G851" i="2"/>
  <c r="H851" i="2" l="1"/>
  <c r="C852" i="2" l="1"/>
  <c r="K851" i="2"/>
  <c r="L851" i="2" s="1"/>
  <c r="I852" i="2" s="1"/>
  <c r="D852" i="2"/>
  <c r="N852" i="2"/>
  <c r="J852" i="2" l="1"/>
  <c r="E852" i="2"/>
  <c r="F852" i="2"/>
  <c r="G852" i="2"/>
  <c r="H852" i="2" l="1"/>
  <c r="K852" i="2" l="1"/>
  <c r="L852" i="2" s="1"/>
  <c r="I853" i="2" s="1"/>
  <c r="C853" i="2"/>
  <c r="D853" i="2"/>
  <c r="N853" i="2"/>
  <c r="J853" i="2" l="1"/>
  <c r="E853" i="2"/>
  <c r="F853" i="2"/>
  <c r="G853" i="2"/>
  <c r="H853" i="2" l="1"/>
  <c r="C854" i="2" l="1"/>
  <c r="K853" i="2"/>
  <c r="L853" i="2" s="1"/>
  <c r="I854" i="2" s="1"/>
  <c r="D854" i="2"/>
  <c r="N854" i="2"/>
  <c r="J854" i="2" l="1"/>
  <c r="E854" i="2"/>
  <c r="F854" i="2"/>
  <c r="G854" i="2"/>
  <c r="H854" i="2" l="1"/>
  <c r="K854" i="2" l="1"/>
  <c r="L854" i="2" s="1"/>
  <c r="I855" i="2" s="1"/>
  <c r="C855" i="2"/>
  <c r="N855" i="2"/>
  <c r="D855" i="2"/>
  <c r="J855" i="2" l="1"/>
  <c r="E855" i="2"/>
  <c r="F855" i="2"/>
  <c r="G855" i="2"/>
  <c r="H855" i="2" l="1"/>
  <c r="C856" i="2" l="1"/>
  <c r="K855" i="2"/>
  <c r="L855" i="2" s="1"/>
  <c r="I856" i="2" s="1"/>
  <c r="D856" i="2"/>
  <c r="N856" i="2"/>
  <c r="J856" i="2" l="1"/>
  <c r="E856" i="2"/>
  <c r="F856" i="2"/>
  <c r="G856" i="2"/>
  <c r="H856" i="2" l="1"/>
  <c r="K856" i="2" l="1"/>
  <c r="L856" i="2" s="1"/>
  <c r="I857" i="2" s="1"/>
  <c r="C857" i="2"/>
  <c r="N857" i="2"/>
  <c r="D857" i="2"/>
  <c r="J857" i="2" l="1"/>
  <c r="E857" i="2"/>
  <c r="F857" i="2"/>
  <c r="G857" i="2"/>
  <c r="H857" i="2" l="1"/>
  <c r="C858" i="2" l="1"/>
  <c r="K857" i="2"/>
  <c r="L857" i="2" s="1"/>
  <c r="I858" i="2" s="1"/>
  <c r="D858" i="2"/>
  <c r="N858" i="2"/>
  <c r="J858" i="2" l="1"/>
  <c r="E858" i="2"/>
  <c r="F858" i="2"/>
  <c r="G858" i="2"/>
  <c r="H858" i="2" l="1"/>
  <c r="K858" i="2" l="1"/>
  <c r="L858" i="2" s="1"/>
  <c r="I859" i="2" s="1"/>
  <c r="C859" i="2"/>
  <c r="D859" i="2"/>
  <c r="N859" i="2"/>
  <c r="J859" i="2" l="1"/>
  <c r="E859" i="2"/>
  <c r="F859" i="2"/>
  <c r="G859" i="2"/>
  <c r="H859" i="2" l="1"/>
  <c r="C860" i="2" l="1"/>
  <c r="K859" i="2"/>
  <c r="L859" i="2" s="1"/>
  <c r="I860" i="2" s="1"/>
  <c r="D860" i="2"/>
  <c r="N860" i="2"/>
  <c r="J860" i="2" l="1"/>
  <c r="E860" i="2"/>
  <c r="F860" i="2"/>
  <c r="G860" i="2"/>
  <c r="H860" i="2" l="1"/>
  <c r="K860" i="2" l="1"/>
  <c r="L860" i="2" s="1"/>
  <c r="I861" i="2" s="1"/>
  <c r="C861" i="2"/>
  <c r="D861" i="2"/>
  <c r="N861" i="2"/>
  <c r="J861" i="2" l="1"/>
  <c r="E861" i="2"/>
  <c r="F861" i="2"/>
  <c r="G861" i="2"/>
  <c r="H861" i="2" l="1"/>
  <c r="C862" i="2" l="1"/>
  <c r="K861" i="2"/>
  <c r="L861" i="2" s="1"/>
  <c r="I862" i="2" s="1"/>
  <c r="D862" i="2"/>
  <c r="N862" i="2"/>
  <c r="J862" i="2" l="1"/>
  <c r="E862" i="2"/>
  <c r="F862" i="2"/>
  <c r="G862" i="2"/>
  <c r="H862" i="2" l="1"/>
  <c r="K862" i="2" l="1"/>
  <c r="L862" i="2" s="1"/>
  <c r="I863" i="2" s="1"/>
  <c r="C863" i="2"/>
  <c r="N863" i="2"/>
  <c r="D863" i="2"/>
  <c r="J863" i="2" l="1"/>
  <c r="E863" i="2"/>
  <c r="F863" i="2"/>
  <c r="G863" i="2"/>
  <c r="H863" i="2" l="1"/>
  <c r="K863" i="2" l="1"/>
  <c r="L863" i="2" s="1"/>
  <c r="I864" i="2" s="1"/>
  <c r="C864" i="2"/>
  <c r="N864" i="2"/>
  <c r="D864" i="2"/>
  <c r="J864" i="2" l="1"/>
  <c r="E864" i="2"/>
  <c r="F864" i="2"/>
  <c r="G864" i="2"/>
  <c r="H864" i="2" l="1"/>
  <c r="K864" i="2" l="1"/>
  <c r="L864" i="2" s="1"/>
  <c r="I865" i="2" s="1"/>
  <c r="C865" i="2"/>
  <c r="D865" i="2"/>
  <c r="N865" i="2"/>
  <c r="J865" i="2" l="1"/>
  <c r="E865" i="2"/>
  <c r="F865" i="2"/>
  <c r="G865" i="2"/>
  <c r="H865" i="2" l="1"/>
  <c r="C866" i="2" l="1"/>
  <c r="K865" i="2"/>
  <c r="L865" i="2" s="1"/>
  <c r="I866" i="2" s="1"/>
  <c r="N866" i="2"/>
  <c r="D866" i="2"/>
  <c r="J866" i="2" l="1"/>
  <c r="E866" i="2"/>
  <c r="F866" i="2"/>
  <c r="G866" i="2"/>
  <c r="H866" i="2" l="1"/>
  <c r="K866" i="2" l="1"/>
  <c r="L866" i="2" s="1"/>
  <c r="I867" i="2" s="1"/>
  <c r="C867" i="2"/>
  <c r="N867" i="2"/>
  <c r="D867" i="2"/>
  <c r="J867" i="2" l="1"/>
  <c r="E867" i="2"/>
  <c r="F867" i="2"/>
  <c r="G867" i="2"/>
  <c r="H867" i="2" l="1"/>
  <c r="C868" i="2" l="1"/>
  <c r="K867" i="2"/>
  <c r="L867" i="2" s="1"/>
  <c r="I868" i="2" s="1"/>
  <c r="D868" i="2"/>
  <c r="N868" i="2"/>
  <c r="J868" i="2" l="1"/>
  <c r="E868" i="2"/>
  <c r="F868" i="2"/>
  <c r="G868" i="2"/>
  <c r="H868" i="2" l="1"/>
  <c r="K868" i="2" l="1"/>
  <c r="L868" i="2" s="1"/>
  <c r="I869" i="2" s="1"/>
  <c r="C869" i="2"/>
  <c r="N869" i="2"/>
  <c r="D869" i="2"/>
  <c r="J869" i="2" l="1"/>
  <c r="E869" i="2"/>
  <c r="F869" i="2"/>
  <c r="G869" i="2"/>
  <c r="H869" i="2" l="1"/>
  <c r="K869" i="2" l="1"/>
  <c r="L869" i="2" s="1"/>
  <c r="I870" i="2" s="1"/>
  <c r="C870" i="2"/>
  <c r="N870" i="2"/>
  <c r="D870" i="2"/>
  <c r="J870" i="2" l="1"/>
  <c r="E870" i="2"/>
  <c r="F870" i="2"/>
  <c r="G870" i="2"/>
  <c r="H870" i="2" l="1"/>
  <c r="K870" i="2" l="1"/>
  <c r="L870" i="2" s="1"/>
  <c r="I871" i="2" s="1"/>
  <c r="C871" i="2"/>
  <c r="N871" i="2"/>
  <c r="D871" i="2"/>
  <c r="J871" i="2" l="1"/>
  <c r="E871" i="2"/>
  <c r="F871" i="2"/>
  <c r="G871" i="2"/>
  <c r="H871" i="2" l="1"/>
  <c r="C872" i="2" l="1"/>
  <c r="K871" i="2"/>
  <c r="L871" i="2" s="1"/>
  <c r="I872" i="2" s="1"/>
  <c r="D872" i="2"/>
  <c r="N872" i="2"/>
  <c r="J872" i="2" l="1"/>
  <c r="E872" i="2"/>
  <c r="F872" i="2"/>
  <c r="G872" i="2"/>
  <c r="H872" i="2" l="1"/>
  <c r="K872" i="2" l="1"/>
  <c r="L872" i="2" s="1"/>
  <c r="I873" i="2" s="1"/>
  <c r="C873" i="2"/>
  <c r="N873" i="2"/>
  <c r="D873" i="2"/>
  <c r="J873" i="2" l="1"/>
  <c r="E873" i="2"/>
  <c r="F873" i="2"/>
  <c r="G873" i="2"/>
  <c r="H873" i="2" l="1"/>
  <c r="C874" i="2" l="1"/>
  <c r="K873" i="2"/>
  <c r="L873" i="2" s="1"/>
  <c r="I874" i="2" s="1"/>
  <c r="D874" i="2"/>
  <c r="N874" i="2"/>
  <c r="J874" i="2" l="1"/>
  <c r="E874" i="2"/>
  <c r="F874" i="2"/>
  <c r="G874" i="2"/>
  <c r="H874" i="2" l="1"/>
  <c r="K874" i="2" l="1"/>
  <c r="L874" i="2" s="1"/>
  <c r="I875" i="2" s="1"/>
  <c r="C875" i="2"/>
  <c r="N875" i="2"/>
  <c r="D875" i="2"/>
  <c r="J875" i="2" l="1"/>
  <c r="E875" i="2"/>
  <c r="F875" i="2"/>
  <c r="G875" i="2"/>
  <c r="H875" i="2" l="1"/>
  <c r="C876" i="2" l="1"/>
  <c r="K875" i="2"/>
  <c r="L875" i="2" s="1"/>
  <c r="I876" i="2" s="1"/>
  <c r="N876" i="2"/>
  <c r="D876" i="2"/>
  <c r="J876" i="2" l="1"/>
  <c r="E876" i="2"/>
  <c r="F876" i="2"/>
  <c r="G876" i="2"/>
  <c r="H876" i="2" l="1"/>
  <c r="K876" i="2" l="1"/>
  <c r="L876" i="2" s="1"/>
  <c r="I877" i="2" s="1"/>
  <c r="C877" i="2"/>
  <c r="N877" i="2"/>
  <c r="D877" i="2"/>
  <c r="J877" i="2" l="1"/>
  <c r="E877" i="2"/>
  <c r="F877" i="2"/>
  <c r="G877" i="2"/>
  <c r="H877" i="2" l="1"/>
  <c r="K877" i="2" l="1"/>
  <c r="L877" i="2" s="1"/>
  <c r="I878" i="2" s="1"/>
  <c r="C878" i="2"/>
  <c r="D878" i="2"/>
  <c r="N878" i="2"/>
  <c r="J878" i="2" l="1"/>
  <c r="E878" i="2"/>
  <c r="F878" i="2"/>
  <c r="G878" i="2"/>
  <c r="H878" i="2" l="1"/>
  <c r="K878" i="2" l="1"/>
  <c r="L878" i="2" s="1"/>
  <c r="I879" i="2" s="1"/>
  <c r="C879" i="2"/>
  <c r="N879" i="2"/>
  <c r="D879" i="2"/>
  <c r="J879" i="2" l="1"/>
  <c r="E879" i="2"/>
  <c r="F879" i="2"/>
  <c r="G879" i="2"/>
  <c r="H879" i="2" l="1"/>
  <c r="C880" i="2" l="1"/>
  <c r="K879" i="2"/>
  <c r="L879" i="2" s="1"/>
  <c r="I880" i="2" s="1"/>
  <c r="D880" i="2"/>
  <c r="N880" i="2"/>
  <c r="J880" i="2" l="1"/>
  <c r="E880" i="2"/>
  <c r="F880" i="2"/>
  <c r="G880" i="2"/>
  <c r="H880" i="2" l="1"/>
  <c r="K880" i="2" l="1"/>
  <c r="L880" i="2" s="1"/>
  <c r="I881" i="2" s="1"/>
  <c r="C881" i="2"/>
  <c r="N881" i="2"/>
  <c r="D881" i="2"/>
  <c r="J881" i="2" l="1"/>
  <c r="E881" i="2"/>
  <c r="F881" i="2"/>
  <c r="G881" i="2"/>
  <c r="H881" i="2" l="1"/>
  <c r="C882" i="2" l="1"/>
  <c r="K881" i="2"/>
  <c r="L881" i="2" s="1"/>
  <c r="I882" i="2" s="1"/>
  <c r="N882" i="2"/>
  <c r="D882" i="2"/>
  <c r="J882" i="2" l="1"/>
  <c r="E882" i="2"/>
  <c r="F882" i="2"/>
  <c r="G882" i="2"/>
  <c r="H882" i="2" l="1"/>
  <c r="K882" i="2" l="1"/>
  <c r="L882" i="2" s="1"/>
  <c r="I883" i="2" s="1"/>
  <c r="C883" i="2"/>
  <c r="N883" i="2"/>
  <c r="D883" i="2"/>
  <c r="J883" i="2" l="1"/>
  <c r="E883" i="2"/>
  <c r="F883" i="2"/>
  <c r="G883" i="2"/>
  <c r="H883" i="2" l="1"/>
  <c r="C884" i="2" l="1"/>
  <c r="K883" i="2"/>
  <c r="L883" i="2" s="1"/>
  <c r="I884" i="2" s="1"/>
  <c r="D884" i="2"/>
  <c r="N884" i="2"/>
  <c r="J884" i="2" l="1"/>
  <c r="E884" i="2"/>
  <c r="F884" i="2"/>
  <c r="G884" i="2"/>
  <c r="H884" i="2" l="1"/>
  <c r="K884" i="2" l="1"/>
  <c r="L884" i="2" s="1"/>
  <c r="I885" i="2" s="1"/>
  <c r="C885" i="2"/>
  <c r="N885" i="2"/>
  <c r="D885" i="2"/>
  <c r="J885" i="2" l="1"/>
  <c r="E885" i="2"/>
  <c r="F885" i="2"/>
  <c r="G885" i="2"/>
  <c r="H885" i="2" l="1"/>
  <c r="C886" i="2" l="1"/>
  <c r="K885" i="2"/>
  <c r="L885" i="2" s="1"/>
  <c r="I886" i="2" s="1"/>
  <c r="N886" i="2"/>
  <c r="D886" i="2"/>
  <c r="J886" i="2" l="1"/>
  <c r="E886" i="2"/>
  <c r="F886" i="2"/>
  <c r="G886" i="2"/>
  <c r="H886" i="2" l="1"/>
  <c r="K886" i="2" l="1"/>
  <c r="L886" i="2" s="1"/>
  <c r="I887" i="2" s="1"/>
  <c r="C887" i="2"/>
  <c r="N887" i="2"/>
  <c r="D887" i="2"/>
  <c r="J887" i="2" l="1"/>
  <c r="E887" i="2"/>
  <c r="F887" i="2"/>
  <c r="G887" i="2"/>
  <c r="H887" i="2" l="1"/>
  <c r="C888" i="2" l="1"/>
  <c r="K887" i="2"/>
  <c r="L887" i="2" s="1"/>
  <c r="I888" i="2" s="1"/>
  <c r="D888" i="2"/>
  <c r="N888" i="2"/>
  <c r="J888" i="2" l="1"/>
  <c r="E888" i="2"/>
  <c r="F888" i="2"/>
  <c r="G888" i="2"/>
  <c r="H888" i="2" l="1"/>
  <c r="K888" i="2" l="1"/>
  <c r="L888" i="2" s="1"/>
  <c r="I889" i="2" s="1"/>
  <c r="C889" i="2"/>
  <c r="D889" i="2"/>
  <c r="N889" i="2"/>
  <c r="J889" i="2" l="1"/>
  <c r="E889" i="2"/>
  <c r="F889" i="2"/>
  <c r="G889" i="2"/>
  <c r="H889" i="2" l="1"/>
  <c r="C890" i="2" l="1"/>
  <c r="K889" i="2"/>
  <c r="L889" i="2" s="1"/>
  <c r="I890" i="2" s="1"/>
  <c r="D890" i="2"/>
  <c r="N890" i="2"/>
  <c r="J890" i="2" l="1"/>
  <c r="E890" i="2"/>
  <c r="F890" i="2"/>
  <c r="G890" i="2"/>
  <c r="H890" i="2" l="1"/>
  <c r="K890" i="2" l="1"/>
  <c r="L890" i="2" s="1"/>
  <c r="I891" i="2" s="1"/>
  <c r="C891" i="2"/>
  <c r="N891" i="2"/>
  <c r="D891" i="2"/>
  <c r="J891" i="2" l="1"/>
  <c r="E891" i="2"/>
  <c r="F891" i="2"/>
  <c r="G891" i="2"/>
  <c r="H891" i="2" l="1"/>
  <c r="C892" i="2" l="1"/>
  <c r="K891" i="2"/>
  <c r="L891" i="2" s="1"/>
  <c r="I892" i="2" s="1"/>
  <c r="D892" i="2"/>
  <c r="N892" i="2"/>
  <c r="J892" i="2" l="1"/>
  <c r="E892" i="2"/>
  <c r="F892" i="2"/>
  <c r="G892" i="2"/>
  <c r="H892" i="2" l="1"/>
  <c r="C893" i="2" l="1"/>
  <c r="K892" i="2"/>
  <c r="L892" i="2" s="1"/>
  <c r="I893" i="2" s="1"/>
  <c r="N893" i="2"/>
  <c r="D893" i="2"/>
  <c r="J893" i="2" l="1"/>
  <c r="E893" i="2"/>
  <c r="F893" i="2"/>
  <c r="G893" i="2"/>
  <c r="H893" i="2" l="1"/>
  <c r="K893" i="2" l="1"/>
  <c r="L893" i="2" s="1"/>
  <c r="I894" i="2" s="1"/>
  <c r="C894" i="2"/>
  <c r="D894" i="2"/>
  <c r="N894" i="2"/>
  <c r="J894" i="2" l="1"/>
  <c r="E894" i="2"/>
  <c r="F894" i="2"/>
  <c r="G894" i="2"/>
  <c r="H894" i="2" l="1"/>
  <c r="C895" i="2" l="1"/>
  <c r="K894" i="2"/>
  <c r="L894" i="2" s="1"/>
  <c r="I895" i="2" s="1"/>
  <c r="N895" i="2"/>
  <c r="D895" i="2"/>
  <c r="J895" i="2" l="1"/>
  <c r="E895" i="2"/>
  <c r="F895" i="2"/>
  <c r="G895" i="2"/>
  <c r="H895" i="2" l="1"/>
  <c r="K895" i="2" l="1"/>
  <c r="L895" i="2" s="1"/>
  <c r="I896" i="2" s="1"/>
  <c r="C896" i="2"/>
  <c r="N896" i="2"/>
  <c r="D896" i="2"/>
  <c r="J896" i="2" l="1"/>
  <c r="E896" i="2"/>
  <c r="F896" i="2"/>
  <c r="G896" i="2"/>
  <c r="H896" i="2" l="1"/>
  <c r="C897" i="2" l="1"/>
  <c r="K896" i="2"/>
  <c r="L896" i="2" s="1"/>
  <c r="I897" i="2" s="1"/>
  <c r="D897" i="2"/>
  <c r="N897" i="2"/>
  <c r="J897" i="2" l="1"/>
  <c r="E897" i="2"/>
  <c r="F897" i="2"/>
  <c r="G897" i="2"/>
  <c r="H897" i="2" l="1"/>
  <c r="K897" i="2" l="1"/>
  <c r="L897" i="2" s="1"/>
  <c r="I898" i="2" s="1"/>
  <c r="C898" i="2"/>
  <c r="D898" i="2"/>
  <c r="N898" i="2"/>
  <c r="J898" i="2" l="1"/>
  <c r="E898" i="2"/>
  <c r="F898" i="2"/>
  <c r="G898" i="2"/>
  <c r="H898" i="2" l="1"/>
  <c r="C899" i="2" l="1"/>
  <c r="K898" i="2"/>
  <c r="L898" i="2" s="1"/>
  <c r="I899" i="2" s="1"/>
  <c r="D899" i="2"/>
  <c r="N899" i="2"/>
  <c r="J899" i="2" l="1"/>
  <c r="E899" i="2"/>
  <c r="F899" i="2"/>
  <c r="G899" i="2"/>
  <c r="H899" i="2" l="1"/>
  <c r="K899" i="2" l="1"/>
  <c r="L899" i="2" s="1"/>
  <c r="I900" i="2" s="1"/>
  <c r="C900" i="2"/>
  <c r="D900" i="2"/>
  <c r="N900" i="2"/>
  <c r="J900" i="2" l="1"/>
  <c r="E900" i="2"/>
  <c r="F900" i="2"/>
  <c r="G900" i="2"/>
  <c r="H900" i="2" l="1"/>
  <c r="C901" i="2" l="1"/>
  <c r="K900" i="2"/>
  <c r="L900" i="2" s="1"/>
  <c r="I901" i="2" s="1"/>
  <c r="D901" i="2"/>
  <c r="N901" i="2"/>
  <c r="J901" i="2" l="1"/>
  <c r="E901" i="2"/>
  <c r="F901" i="2"/>
  <c r="G901" i="2"/>
  <c r="H901" i="2" l="1"/>
  <c r="K901" i="2" l="1"/>
  <c r="L901" i="2" s="1"/>
  <c r="I902" i="2" s="1"/>
  <c r="C902" i="2"/>
  <c r="D902" i="2"/>
  <c r="N902" i="2"/>
  <c r="J902" i="2" l="1"/>
  <c r="E902" i="2"/>
  <c r="F902" i="2"/>
  <c r="G902" i="2"/>
  <c r="H902" i="2" l="1"/>
  <c r="C903" i="2" l="1"/>
  <c r="K902" i="2"/>
  <c r="L902" i="2" s="1"/>
  <c r="I903" i="2" s="1"/>
  <c r="D903" i="2"/>
  <c r="N903" i="2"/>
  <c r="J903" i="2" l="1"/>
  <c r="E903" i="2"/>
  <c r="F903" i="2"/>
  <c r="G903" i="2"/>
  <c r="H903" i="2" l="1"/>
  <c r="K903" i="2" l="1"/>
  <c r="L903" i="2" s="1"/>
  <c r="I904" i="2" s="1"/>
  <c r="C904" i="2"/>
  <c r="N904" i="2"/>
  <c r="D904" i="2"/>
  <c r="J904" i="2" l="1"/>
  <c r="E904" i="2"/>
  <c r="F904" i="2"/>
  <c r="G904" i="2"/>
  <c r="H904" i="2" l="1"/>
  <c r="C905" i="2" l="1"/>
  <c r="K904" i="2"/>
  <c r="L904" i="2" s="1"/>
  <c r="I905" i="2" s="1"/>
  <c r="D905" i="2"/>
  <c r="N905" i="2"/>
  <c r="J905" i="2" l="1"/>
  <c r="E905" i="2"/>
  <c r="F905" i="2"/>
  <c r="G905" i="2"/>
  <c r="H905" i="2" l="1"/>
  <c r="K905" i="2" l="1"/>
  <c r="L905" i="2" s="1"/>
  <c r="I906" i="2" s="1"/>
  <c r="C906" i="2"/>
  <c r="N906" i="2"/>
  <c r="D906" i="2"/>
  <c r="J906" i="2" l="1"/>
  <c r="E906" i="2"/>
  <c r="F906" i="2"/>
  <c r="G906" i="2"/>
  <c r="H906" i="2" l="1"/>
  <c r="C907" i="2" l="1"/>
  <c r="K906" i="2"/>
  <c r="L906" i="2" s="1"/>
  <c r="I907" i="2" s="1"/>
  <c r="N907" i="2"/>
  <c r="D907" i="2"/>
  <c r="J907" i="2" l="1"/>
  <c r="E907" i="2"/>
  <c r="F907" i="2"/>
  <c r="G907" i="2"/>
  <c r="H907" i="2" l="1"/>
  <c r="K907" i="2" l="1"/>
  <c r="L907" i="2" s="1"/>
  <c r="I908" i="2" s="1"/>
  <c r="C908" i="2"/>
  <c r="D908" i="2"/>
  <c r="N908" i="2"/>
  <c r="J908" i="2" l="1"/>
  <c r="E908" i="2"/>
  <c r="F908" i="2"/>
  <c r="G908" i="2"/>
  <c r="H908" i="2" l="1"/>
  <c r="C909" i="2" l="1"/>
  <c r="K908" i="2"/>
  <c r="L908" i="2" s="1"/>
  <c r="I909" i="2" s="1"/>
  <c r="D909" i="2"/>
  <c r="N909" i="2"/>
  <c r="J909" i="2" l="1"/>
  <c r="E909" i="2"/>
  <c r="F909" i="2"/>
  <c r="G909" i="2"/>
  <c r="H909" i="2" l="1"/>
  <c r="K909" i="2" l="1"/>
  <c r="L909" i="2" s="1"/>
  <c r="I910" i="2" s="1"/>
  <c r="C910" i="2"/>
  <c r="N910" i="2"/>
  <c r="D910" i="2"/>
  <c r="J910" i="2" l="1"/>
  <c r="E910" i="2"/>
  <c r="F910" i="2"/>
  <c r="G910" i="2"/>
  <c r="H910" i="2" l="1"/>
  <c r="C911" i="2" l="1"/>
  <c r="K910" i="2"/>
  <c r="L910" i="2" s="1"/>
  <c r="I911" i="2" s="1"/>
  <c r="N911" i="2"/>
  <c r="D911" i="2"/>
  <c r="J911" i="2" l="1"/>
  <c r="E911" i="2"/>
  <c r="F911" i="2"/>
  <c r="G911" i="2"/>
  <c r="H911" i="2" l="1"/>
  <c r="K911" i="2" l="1"/>
  <c r="L911" i="2" s="1"/>
  <c r="I912" i="2" s="1"/>
  <c r="C912" i="2"/>
  <c r="N912" i="2"/>
  <c r="D912" i="2"/>
  <c r="J912" i="2" l="1"/>
  <c r="E912" i="2"/>
  <c r="F912" i="2"/>
  <c r="G912" i="2"/>
  <c r="H912" i="2" l="1"/>
  <c r="C913" i="2" l="1"/>
  <c r="K912" i="2"/>
  <c r="L912" i="2" s="1"/>
  <c r="I913" i="2" s="1"/>
  <c r="D913" i="2"/>
  <c r="N913" i="2"/>
  <c r="J913" i="2" l="1"/>
  <c r="E913" i="2"/>
  <c r="F913" i="2"/>
  <c r="G913" i="2"/>
  <c r="H913" i="2" l="1"/>
  <c r="K913" i="2" l="1"/>
  <c r="L913" i="2" s="1"/>
  <c r="I914" i="2" s="1"/>
  <c r="C914" i="2"/>
  <c r="N914" i="2"/>
  <c r="D914" i="2"/>
  <c r="J914" i="2" l="1"/>
  <c r="E914" i="2"/>
  <c r="F914" i="2"/>
  <c r="G914" i="2"/>
  <c r="H914" i="2" l="1"/>
  <c r="C915" i="2" l="1"/>
  <c r="K914" i="2"/>
  <c r="L914" i="2" s="1"/>
  <c r="I915" i="2" s="1"/>
  <c r="D915" i="2"/>
  <c r="N915" i="2"/>
  <c r="J915" i="2" l="1"/>
  <c r="E915" i="2"/>
  <c r="F915" i="2"/>
  <c r="G915" i="2"/>
  <c r="H915" i="2" l="1"/>
  <c r="K915" i="2" l="1"/>
  <c r="L915" i="2" s="1"/>
  <c r="I916" i="2" s="1"/>
  <c r="C916" i="2"/>
  <c r="N916" i="2"/>
  <c r="D916" i="2"/>
  <c r="J916" i="2" l="1"/>
  <c r="E916" i="2"/>
  <c r="F916" i="2"/>
  <c r="G916" i="2"/>
  <c r="H916" i="2" l="1"/>
  <c r="C917" i="2" l="1"/>
  <c r="K916" i="2"/>
  <c r="L916" i="2" s="1"/>
  <c r="I917" i="2" s="1"/>
  <c r="N917" i="2"/>
  <c r="D917" i="2"/>
  <c r="J917" i="2" l="1"/>
  <c r="E917" i="2"/>
  <c r="F917" i="2"/>
  <c r="G917" i="2"/>
  <c r="H917" i="2" l="1"/>
  <c r="K917" i="2" l="1"/>
  <c r="L917" i="2" s="1"/>
  <c r="I918" i="2" s="1"/>
  <c r="C918" i="2"/>
  <c r="D918" i="2"/>
  <c r="N918" i="2"/>
  <c r="J918" i="2" l="1"/>
  <c r="E918" i="2"/>
  <c r="F918" i="2"/>
  <c r="G918" i="2"/>
  <c r="H918" i="2" l="1"/>
  <c r="C919" i="2" l="1"/>
  <c r="K918" i="2"/>
  <c r="L918" i="2" s="1"/>
  <c r="I919" i="2" s="1"/>
  <c r="D919" i="2"/>
  <c r="N919" i="2"/>
  <c r="J919" i="2" l="1"/>
  <c r="E919" i="2"/>
  <c r="F919" i="2"/>
  <c r="G919" i="2"/>
  <c r="H919" i="2" l="1"/>
  <c r="K919" i="2" l="1"/>
  <c r="L919" i="2" s="1"/>
  <c r="I920" i="2" s="1"/>
  <c r="C920" i="2"/>
  <c r="D920" i="2"/>
  <c r="N920" i="2"/>
  <c r="J920" i="2" l="1"/>
  <c r="E920" i="2"/>
  <c r="F920" i="2"/>
  <c r="G920" i="2"/>
  <c r="H920" i="2" l="1"/>
  <c r="C921" i="2" l="1"/>
  <c r="K920" i="2"/>
  <c r="L920" i="2" s="1"/>
  <c r="I921" i="2" s="1"/>
  <c r="N921" i="2"/>
  <c r="D921" i="2"/>
  <c r="J921" i="2" l="1"/>
  <c r="E921" i="2"/>
  <c r="F921" i="2"/>
  <c r="G921" i="2"/>
  <c r="H921" i="2" l="1"/>
  <c r="K921" i="2" l="1"/>
  <c r="L921" i="2" s="1"/>
  <c r="I922" i="2" s="1"/>
  <c r="C922" i="2"/>
  <c r="D922" i="2"/>
  <c r="N922" i="2"/>
  <c r="J922" i="2" l="1"/>
  <c r="E922" i="2"/>
  <c r="F922" i="2"/>
  <c r="G922" i="2"/>
  <c r="H922" i="2" l="1"/>
  <c r="C923" i="2" l="1"/>
  <c r="K922" i="2"/>
  <c r="L922" i="2" s="1"/>
  <c r="I923" i="2" s="1"/>
  <c r="D923" i="2"/>
  <c r="N923" i="2"/>
  <c r="J923" i="2" l="1"/>
  <c r="E923" i="2"/>
  <c r="F923" i="2"/>
  <c r="G923" i="2"/>
  <c r="H923" i="2" l="1"/>
  <c r="K923" i="2" l="1"/>
  <c r="L923" i="2" s="1"/>
  <c r="I924" i="2" s="1"/>
  <c r="C924" i="2"/>
  <c r="D924" i="2"/>
  <c r="N924" i="2"/>
  <c r="J924" i="2" l="1"/>
  <c r="E924" i="2"/>
  <c r="F924" i="2"/>
  <c r="G924" i="2"/>
  <c r="H924" i="2" l="1"/>
  <c r="C925" i="2" l="1"/>
  <c r="K924" i="2"/>
  <c r="L924" i="2" s="1"/>
  <c r="I925" i="2" s="1"/>
  <c r="D925" i="2"/>
  <c r="N925" i="2"/>
  <c r="J925" i="2" l="1"/>
  <c r="E925" i="2"/>
  <c r="F925" i="2"/>
  <c r="G925" i="2"/>
  <c r="H925" i="2" l="1"/>
  <c r="K925" i="2" l="1"/>
  <c r="L925" i="2" s="1"/>
  <c r="I926" i="2" s="1"/>
  <c r="C926" i="2"/>
  <c r="N926" i="2"/>
  <c r="D926" i="2"/>
  <c r="J926" i="2" l="1"/>
  <c r="E926" i="2"/>
  <c r="F926" i="2"/>
  <c r="G926" i="2"/>
  <c r="H926" i="2" l="1"/>
  <c r="C927" i="2" l="1"/>
  <c r="K926" i="2"/>
  <c r="L926" i="2" s="1"/>
  <c r="I927" i="2" s="1"/>
  <c r="N927" i="2"/>
  <c r="D927" i="2"/>
  <c r="J927" i="2" l="1"/>
  <c r="E927" i="2"/>
  <c r="F927" i="2"/>
  <c r="G927" i="2"/>
  <c r="H927" i="2" l="1"/>
  <c r="K927" i="2" l="1"/>
  <c r="L927" i="2" s="1"/>
  <c r="I928" i="2" s="1"/>
  <c r="C928" i="2"/>
  <c r="N928" i="2"/>
  <c r="D928" i="2"/>
  <c r="J928" i="2" l="1"/>
  <c r="E928" i="2"/>
  <c r="F928" i="2"/>
  <c r="G928" i="2"/>
  <c r="H928" i="2" l="1"/>
  <c r="C929" i="2" l="1"/>
  <c r="K928" i="2"/>
  <c r="L928" i="2" s="1"/>
  <c r="I929" i="2" s="1"/>
  <c r="D929" i="2"/>
  <c r="N929" i="2"/>
  <c r="J929" i="2" l="1"/>
  <c r="E929" i="2"/>
  <c r="F929" i="2"/>
  <c r="G929" i="2"/>
  <c r="H929" i="2" l="1"/>
  <c r="K929" i="2" l="1"/>
  <c r="L929" i="2" s="1"/>
  <c r="I930" i="2" s="1"/>
  <c r="C930" i="2"/>
  <c r="D930" i="2"/>
  <c r="N930" i="2"/>
  <c r="J930" i="2" l="1"/>
  <c r="E930" i="2"/>
  <c r="F930" i="2"/>
  <c r="G930" i="2"/>
  <c r="H930" i="2" l="1"/>
  <c r="C931" i="2" l="1"/>
  <c r="K930" i="2"/>
  <c r="L930" i="2" s="1"/>
  <c r="I931" i="2" s="1"/>
  <c r="D931" i="2"/>
  <c r="N931" i="2"/>
  <c r="J931" i="2" l="1"/>
  <c r="E931" i="2"/>
  <c r="F931" i="2"/>
  <c r="G931" i="2"/>
  <c r="H931" i="2" l="1"/>
  <c r="K931" i="2" l="1"/>
  <c r="L931" i="2" s="1"/>
  <c r="I932" i="2" s="1"/>
  <c r="C932" i="2"/>
  <c r="N932" i="2"/>
  <c r="D932" i="2"/>
  <c r="J932" i="2" l="1"/>
  <c r="E932" i="2"/>
  <c r="F932" i="2"/>
  <c r="G932" i="2"/>
  <c r="H932" i="2" l="1"/>
  <c r="C933" i="2" l="1"/>
  <c r="K932" i="2"/>
  <c r="L932" i="2" s="1"/>
  <c r="I933" i="2" s="1"/>
  <c r="D933" i="2"/>
  <c r="N933" i="2"/>
  <c r="J933" i="2" l="1"/>
  <c r="E933" i="2"/>
  <c r="F933" i="2"/>
  <c r="G933" i="2"/>
  <c r="H933" i="2" l="1"/>
  <c r="K933" i="2" l="1"/>
  <c r="L933" i="2" s="1"/>
  <c r="I934" i="2" s="1"/>
  <c r="C934" i="2"/>
  <c r="N934" i="2"/>
  <c r="D934" i="2"/>
  <c r="J934" i="2" l="1"/>
  <c r="E934" i="2"/>
  <c r="F934" i="2"/>
  <c r="G934" i="2"/>
  <c r="H934" i="2" l="1"/>
  <c r="C935" i="2" l="1"/>
  <c r="K934" i="2"/>
  <c r="L934" i="2" s="1"/>
  <c r="I935" i="2" s="1"/>
  <c r="N935" i="2"/>
  <c r="D935" i="2"/>
  <c r="J935" i="2" l="1"/>
  <c r="E935" i="2"/>
  <c r="F935" i="2"/>
  <c r="G935" i="2"/>
  <c r="H935" i="2" l="1"/>
  <c r="K935" i="2" l="1"/>
  <c r="L935" i="2" s="1"/>
  <c r="I936" i="2" s="1"/>
  <c r="C936" i="2"/>
  <c r="N936" i="2"/>
  <c r="D936" i="2"/>
  <c r="J936" i="2" l="1"/>
  <c r="E936" i="2"/>
  <c r="F936" i="2"/>
  <c r="G936" i="2"/>
  <c r="H936" i="2" l="1"/>
  <c r="C937" i="2" l="1"/>
  <c r="K936" i="2"/>
  <c r="L936" i="2" s="1"/>
  <c r="I937" i="2" s="1"/>
  <c r="N937" i="2"/>
  <c r="D937" i="2"/>
  <c r="J937" i="2" l="1"/>
  <c r="E937" i="2"/>
  <c r="F937" i="2"/>
  <c r="G937" i="2"/>
  <c r="H937" i="2" l="1"/>
  <c r="K937" i="2" l="1"/>
  <c r="L937" i="2" s="1"/>
  <c r="I938" i="2" s="1"/>
  <c r="C938" i="2"/>
  <c r="N938" i="2"/>
  <c r="D938" i="2"/>
  <c r="J938" i="2" l="1"/>
  <c r="E938" i="2"/>
  <c r="F938" i="2"/>
  <c r="G938" i="2"/>
  <c r="H938" i="2" l="1"/>
  <c r="C939" i="2" l="1"/>
  <c r="K938" i="2"/>
  <c r="L938" i="2" s="1"/>
  <c r="I939" i="2" s="1"/>
  <c r="N939" i="2"/>
  <c r="D939" i="2"/>
  <c r="J939" i="2" l="1"/>
  <c r="E939" i="2"/>
  <c r="F939" i="2"/>
  <c r="G939" i="2"/>
  <c r="H939" i="2" l="1"/>
  <c r="K939" i="2" l="1"/>
  <c r="L939" i="2" s="1"/>
  <c r="I940" i="2" s="1"/>
  <c r="C940" i="2"/>
  <c r="D940" i="2"/>
  <c r="N940" i="2"/>
  <c r="J940" i="2" l="1"/>
  <c r="E940" i="2"/>
  <c r="F940" i="2"/>
  <c r="G940" i="2"/>
  <c r="H940" i="2" l="1"/>
  <c r="C941" i="2" l="1"/>
  <c r="K940" i="2"/>
  <c r="L940" i="2" s="1"/>
  <c r="I941" i="2" s="1"/>
  <c r="D941" i="2"/>
  <c r="N941" i="2"/>
  <c r="J941" i="2" l="1"/>
  <c r="E941" i="2"/>
  <c r="F941" i="2"/>
  <c r="G941" i="2"/>
  <c r="H941" i="2" l="1"/>
  <c r="K941" i="2" l="1"/>
  <c r="L941" i="2" s="1"/>
  <c r="I942" i="2" s="1"/>
  <c r="C942" i="2"/>
  <c r="D942" i="2"/>
  <c r="N942" i="2"/>
  <c r="J942" i="2" l="1"/>
  <c r="E942" i="2"/>
  <c r="F942" i="2"/>
  <c r="G942" i="2"/>
  <c r="H942" i="2" l="1"/>
  <c r="C943" i="2" l="1"/>
  <c r="K942" i="2"/>
  <c r="L942" i="2" s="1"/>
  <c r="I943" i="2" s="1"/>
  <c r="N943" i="2"/>
  <c r="D943" i="2"/>
  <c r="J943" i="2" l="1"/>
  <c r="E943" i="2"/>
  <c r="F943" i="2"/>
  <c r="G943" i="2"/>
  <c r="H943" i="2" l="1"/>
  <c r="K943" i="2" l="1"/>
  <c r="L943" i="2" s="1"/>
  <c r="I944" i="2" s="1"/>
  <c r="C944" i="2"/>
  <c r="D944" i="2"/>
  <c r="N944" i="2"/>
  <c r="J944" i="2" l="1"/>
  <c r="E944" i="2"/>
  <c r="F944" i="2"/>
  <c r="G944" i="2"/>
  <c r="H944" i="2" l="1"/>
  <c r="C945" i="2" l="1"/>
  <c r="K944" i="2"/>
  <c r="L944" i="2" s="1"/>
  <c r="I945" i="2" s="1"/>
  <c r="D945" i="2"/>
  <c r="N945" i="2"/>
  <c r="J945" i="2" l="1"/>
  <c r="E945" i="2"/>
  <c r="F945" i="2"/>
  <c r="G945" i="2"/>
  <c r="H945" i="2" l="1"/>
  <c r="K945" i="2" l="1"/>
  <c r="L945" i="2" s="1"/>
  <c r="I946" i="2" s="1"/>
  <c r="C946" i="2"/>
  <c r="N946" i="2"/>
  <c r="D946" i="2"/>
  <c r="J946" i="2" l="1"/>
  <c r="E946" i="2"/>
  <c r="F946" i="2"/>
  <c r="G946" i="2"/>
  <c r="H946" i="2" l="1"/>
  <c r="C947" i="2" l="1"/>
  <c r="K946" i="2"/>
  <c r="L946" i="2" s="1"/>
  <c r="I947" i="2" s="1"/>
  <c r="D947" i="2"/>
  <c r="N947" i="2"/>
  <c r="J947" i="2" l="1"/>
  <c r="E947" i="2"/>
  <c r="F947" i="2"/>
  <c r="G947" i="2"/>
  <c r="H947" i="2" l="1"/>
  <c r="K947" i="2" l="1"/>
  <c r="L947" i="2" s="1"/>
  <c r="I948" i="2" s="1"/>
  <c r="C948" i="2"/>
  <c r="N948" i="2"/>
  <c r="D948" i="2"/>
  <c r="J948" i="2" l="1"/>
  <c r="E948" i="2"/>
  <c r="F948" i="2"/>
  <c r="G948" i="2"/>
  <c r="H948" i="2" l="1"/>
  <c r="C949" i="2" l="1"/>
  <c r="K948" i="2"/>
  <c r="L948" i="2" s="1"/>
  <c r="I949" i="2" s="1"/>
  <c r="D949" i="2"/>
  <c r="N949" i="2"/>
  <c r="J949" i="2" l="1"/>
  <c r="E949" i="2"/>
  <c r="F949" i="2"/>
  <c r="G949" i="2"/>
  <c r="H949" i="2" l="1"/>
  <c r="K949" i="2" l="1"/>
  <c r="L949" i="2" s="1"/>
  <c r="I950" i="2" s="1"/>
  <c r="C950" i="2"/>
  <c r="N950" i="2"/>
  <c r="D950" i="2"/>
  <c r="J950" i="2" l="1"/>
  <c r="E950" i="2"/>
  <c r="F950" i="2"/>
  <c r="G950" i="2"/>
  <c r="H950" i="2" l="1"/>
  <c r="C951" i="2" l="1"/>
  <c r="K950" i="2"/>
  <c r="L950" i="2" s="1"/>
  <c r="I951" i="2" s="1"/>
  <c r="N951" i="2"/>
  <c r="D951" i="2"/>
  <c r="J951" i="2" l="1"/>
  <c r="E951" i="2"/>
  <c r="F951" i="2"/>
  <c r="G951" i="2"/>
  <c r="H951" i="2" l="1"/>
  <c r="K951" i="2" l="1"/>
  <c r="L951" i="2" s="1"/>
  <c r="I952" i="2" s="1"/>
  <c r="C952" i="2"/>
  <c r="D952" i="2"/>
  <c r="N952" i="2"/>
  <c r="J952" i="2" l="1"/>
  <c r="E952" i="2"/>
  <c r="F952" i="2"/>
  <c r="G952" i="2"/>
  <c r="H952" i="2" l="1"/>
  <c r="C953" i="2" l="1"/>
  <c r="K952" i="2"/>
  <c r="L952" i="2" s="1"/>
  <c r="I953" i="2" s="1"/>
  <c r="N953" i="2"/>
  <c r="D953" i="2"/>
  <c r="J953" i="2" l="1"/>
  <c r="E953" i="2"/>
  <c r="F953" i="2"/>
  <c r="G953" i="2"/>
  <c r="H953" i="2" l="1"/>
  <c r="K953" i="2" l="1"/>
  <c r="L953" i="2" s="1"/>
  <c r="I954" i="2" s="1"/>
  <c r="C954" i="2"/>
  <c r="N954" i="2"/>
  <c r="D954" i="2"/>
  <c r="J954" i="2" l="1"/>
  <c r="E954" i="2"/>
  <c r="F954" i="2"/>
  <c r="G954" i="2"/>
  <c r="H954" i="2" l="1"/>
  <c r="C955" i="2" l="1"/>
  <c r="K954" i="2"/>
  <c r="L954" i="2" s="1"/>
  <c r="I955" i="2" s="1"/>
  <c r="N955" i="2"/>
  <c r="D955" i="2"/>
  <c r="J955" i="2" l="1"/>
  <c r="E955" i="2"/>
  <c r="F955" i="2"/>
  <c r="G955" i="2"/>
  <c r="H955" i="2" l="1"/>
  <c r="K955" i="2" l="1"/>
  <c r="L955" i="2" s="1"/>
  <c r="I956" i="2" s="1"/>
  <c r="C956" i="2"/>
  <c r="N956" i="2"/>
  <c r="D956" i="2"/>
  <c r="J956" i="2" l="1"/>
  <c r="E956" i="2"/>
  <c r="F956" i="2"/>
  <c r="G956" i="2"/>
  <c r="H956" i="2" l="1"/>
  <c r="C957" i="2" l="1"/>
  <c r="K956" i="2"/>
  <c r="L956" i="2" s="1"/>
  <c r="I957" i="2" s="1"/>
  <c r="N957" i="2"/>
  <c r="D957" i="2"/>
  <c r="J957" i="2" l="1"/>
  <c r="E957" i="2"/>
  <c r="F957" i="2"/>
  <c r="G957" i="2"/>
  <c r="H957" i="2" l="1"/>
  <c r="K957" i="2" l="1"/>
  <c r="L957" i="2" s="1"/>
  <c r="I958" i="2" s="1"/>
  <c r="C958" i="2"/>
  <c r="N958" i="2"/>
  <c r="D958" i="2"/>
  <c r="J958" i="2" l="1"/>
  <c r="E958" i="2"/>
  <c r="F958" i="2"/>
  <c r="G958" i="2"/>
  <c r="H958" i="2" l="1"/>
  <c r="K958" i="2" l="1"/>
  <c r="L958" i="2" s="1"/>
  <c r="I959" i="2" s="1"/>
  <c r="C959" i="2"/>
  <c r="N959" i="2"/>
  <c r="D959" i="2"/>
  <c r="J959" i="2" l="1"/>
  <c r="E959" i="2"/>
  <c r="F959" i="2"/>
  <c r="G959" i="2"/>
  <c r="H959" i="2" l="1"/>
  <c r="K959" i="2" l="1"/>
  <c r="L959" i="2" s="1"/>
  <c r="I960" i="2" s="1"/>
  <c r="C960" i="2"/>
  <c r="N960" i="2"/>
  <c r="D960" i="2"/>
  <c r="J960" i="2" l="1"/>
  <c r="E960" i="2"/>
  <c r="F960" i="2"/>
  <c r="G960" i="2"/>
  <c r="H960" i="2" l="1"/>
  <c r="C961" i="2" l="1"/>
  <c r="K960" i="2"/>
  <c r="L960" i="2" s="1"/>
  <c r="I961" i="2" s="1"/>
  <c r="D961" i="2"/>
  <c r="N961" i="2"/>
  <c r="J961" i="2" l="1"/>
  <c r="E961" i="2"/>
  <c r="F961" i="2"/>
  <c r="G961" i="2"/>
  <c r="H961" i="2" l="1"/>
  <c r="K961" i="2" l="1"/>
  <c r="L961" i="2" s="1"/>
  <c r="I962" i="2" s="1"/>
  <c r="C962" i="2"/>
  <c r="N962" i="2"/>
  <c r="D962" i="2"/>
  <c r="J962" i="2" l="1"/>
  <c r="E962" i="2"/>
  <c r="F962" i="2"/>
  <c r="G962" i="2"/>
  <c r="H962" i="2" l="1"/>
  <c r="C963" i="2" l="1"/>
  <c r="K962" i="2"/>
  <c r="L962" i="2" s="1"/>
  <c r="I963" i="2" s="1"/>
  <c r="D963" i="2"/>
  <c r="N963" i="2"/>
  <c r="J963" i="2" l="1"/>
  <c r="E963" i="2"/>
  <c r="F963" i="2"/>
  <c r="G963" i="2"/>
  <c r="H963" i="2" l="1"/>
  <c r="K963" i="2" l="1"/>
  <c r="L963" i="2" s="1"/>
  <c r="I964" i="2" s="1"/>
  <c r="C964" i="2"/>
  <c r="N964" i="2"/>
  <c r="D964" i="2"/>
  <c r="J964" i="2" l="1"/>
  <c r="E964" i="2"/>
  <c r="F964" i="2"/>
  <c r="G964" i="2"/>
  <c r="H964" i="2" l="1"/>
  <c r="C965" i="2" l="1"/>
  <c r="K964" i="2"/>
  <c r="L964" i="2" s="1"/>
  <c r="I965" i="2" s="1"/>
  <c r="D965" i="2"/>
  <c r="N965" i="2"/>
  <c r="J965" i="2" l="1"/>
  <c r="E965" i="2"/>
  <c r="F965" i="2"/>
  <c r="G965" i="2"/>
  <c r="H965" i="2" l="1"/>
  <c r="K965" i="2" l="1"/>
  <c r="L965" i="2" s="1"/>
  <c r="I966" i="2" s="1"/>
  <c r="C966" i="2"/>
  <c r="N966" i="2"/>
  <c r="D966" i="2"/>
  <c r="J966" i="2" l="1"/>
  <c r="E966" i="2"/>
  <c r="F966" i="2"/>
  <c r="G966" i="2"/>
  <c r="H966" i="2" l="1"/>
  <c r="K966" i="2" l="1"/>
  <c r="L966" i="2" s="1"/>
  <c r="I967" i="2" s="1"/>
  <c r="C967" i="2"/>
  <c r="D967" i="2"/>
  <c r="N967" i="2"/>
  <c r="J967" i="2" l="1"/>
  <c r="E967" i="2"/>
  <c r="F967" i="2"/>
  <c r="G967" i="2"/>
  <c r="H967" i="2" l="1"/>
  <c r="C968" i="2" l="1"/>
  <c r="K967" i="2"/>
  <c r="L967" i="2" s="1"/>
  <c r="I968" i="2" s="1"/>
  <c r="N968" i="2"/>
  <c r="D968" i="2"/>
  <c r="J968" i="2" l="1"/>
  <c r="E968" i="2"/>
  <c r="F968" i="2"/>
  <c r="G968" i="2"/>
  <c r="H968" i="2" l="1"/>
  <c r="C969" i="2" l="1"/>
  <c r="K968" i="2"/>
  <c r="L968" i="2" s="1"/>
  <c r="I969" i="2" s="1"/>
  <c r="N969" i="2"/>
  <c r="D969" i="2"/>
  <c r="J969" i="2" l="1"/>
  <c r="E969" i="2"/>
  <c r="F969" i="2"/>
  <c r="G969" i="2"/>
  <c r="H969" i="2" l="1"/>
  <c r="C970" i="2" l="1"/>
  <c r="K969" i="2"/>
  <c r="L969" i="2" s="1"/>
  <c r="I970" i="2" s="1"/>
  <c r="N970" i="2"/>
  <c r="D970" i="2"/>
  <c r="J970" i="2" l="1"/>
  <c r="E970" i="2"/>
  <c r="F970" i="2"/>
  <c r="G970" i="2"/>
  <c r="H970" i="2" l="1"/>
  <c r="K970" i="2" l="1"/>
  <c r="L970" i="2" s="1"/>
  <c r="I971" i="2" s="1"/>
  <c r="C971" i="2"/>
  <c r="D971" i="2"/>
  <c r="N971" i="2"/>
  <c r="J971" i="2" l="1"/>
  <c r="E971" i="2"/>
  <c r="F971" i="2"/>
  <c r="G971" i="2"/>
  <c r="H971" i="2" l="1"/>
  <c r="C972" i="2" l="1"/>
  <c r="K971" i="2"/>
  <c r="L971" i="2" s="1"/>
  <c r="I972" i="2" s="1"/>
  <c r="N972" i="2"/>
  <c r="D972" i="2"/>
  <c r="J972" i="2" l="1"/>
  <c r="E972" i="2"/>
  <c r="F972" i="2"/>
  <c r="G972" i="2"/>
  <c r="H972" i="2" l="1"/>
  <c r="K972" i="2" l="1"/>
  <c r="L972" i="2" s="1"/>
  <c r="I973" i="2" s="1"/>
  <c r="C973" i="2"/>
  <c r="D973" i="2"/>
  <c r="N973" i="2"/>
  <c r="J973" i="2" l="1"/>
  <c r="E973" i="2"/>
  <c r="F973" i="2"/>
  <c r="G973" i="2"/>
  <c r="H973" i="2" l="1"/>
  <c r="C974" i="2" l="1"/>
  <c r="K973" i="2"/>
  <c r="L973" i="2" s="1"/>
  <c r="I974" i="2" s="1"/>
  <c r="N974" i="2"/>
  <c r="D974" i="2"/>
  <c r="J974" i="2" l="1"/>
  <c r="E974" i="2"/>
  <c r="F974" i="2"/>
  <c r="G974" i="2"/>
  <c r="H974" i="2" l="1"/>
  <c r="K974" i="2" l="1"/>
  <c r="L974" i="2" s="1"/>
  <c r="I975" i="2" s="1"/>
  <c r="C975" i="2"/>
  <c r="D975" i="2"/>
  <c r="N975" i="2"/>
  <c r="J975" i="2" l="1"/>
  <c r="E975" i="2"/>
  <c r="F975" i="2"/>
  <c r="G975" i="2"/>
  <c r="H975" i="2" l="1"/>
  <c r="C976" i="2" l="1"/>
  <c r="K975" i="2"/>
  <c r="L975" i="2" s="1"/>
  <c r="I976" i="2" s="1"/>
  <c r="N976" i="2"/>
  <c r="D976" i="2"/>
  <c r="J976" i="2" l="1"/>
  <c r="E976" i="2"/>
  <c r="F976" i="2"/>
  <c r="G976" i="2"/>
  <c r="H976" i="2" l="1"/>
  <c r="K976" i="2" l="1"/>
  <c r="L976" i="2" s="1"/>
  <c r="I977" i="2" s="1"/>
  <c r="C977" i="2"/>
  <c r="D977" i="2"/>
  <c r="N977" i="2"/>
  <c r="J977" i="2" l="1"/>
  <c r="E977" i="2"/>
  <c r="F977" i="2"/>
  <c r="G977" i="2"/>
  <c r="H977" i="2" l="1"/>
  <c r="C978" i="2" l="1"/>
  <c r="K977" i="2"/>
  <c r="L977" i="2" s="1"/>
  <c r="I978" i="2" s="1"/>
  <c r="N978" i="2"/>
  <c r="D978" i="2"/>
  <c r="J978" i="2" l="1"/>
  <c r="E978" i="2"/>
  <c r="F978" i="2"/>
  <c r="G978" i="2"/>
  <c r="H978" i="2" l="1"/>
  <c r="K978" i="2" l="1"/>
  <c r="L978" i="2" s="1"/>
  <c r="I979" i="2" s="1"/>
  <c r="C979" i="2"/>
  <c r="D979" i="2"/>
  <c r="N979" i="2"/>
  <c r="J979" i="2" l="1"/>
  <c r="E979" i="2"/>
  <c r="F979" i="2"/>
  <c r="G979" i="2"/>
  <c r="H979" i="2" l="1"/>
  <c r="C980" i="2" l="1"/>
  <c r="K979" i="2"/>
  <c r="L979" i="2" s="1"/>
  <c r="I980" i="2" s="1"/>
  <c r="N980" i="2"/>
  <c r="D980" i="2"/>
  <c r="J980" i="2" l="1"/>
  <c r="E980" i="2"/>
  <c r="F980" i="2"/>
  <c r="G980" i="2"/>
  <c r="H980" i="2" l="1"/>
  <c r="K980" i="2" l="1"/>
  <c r="L980" i="2" s="1"/>
  <c r="I981" i="2" s="1"/>
  <c r="C981" i="2"/>
  <c r="D981" i="2"/>
  <c r="N981" i="2"/>
  <c r="J981" i="2" l="1"/>
  <c r="E981" i="2"/>
  <c r="F981" i="2"/>
  <c r="G981" i="2"/>
  <c r="H981" i="2" l="1"/>
  <c r="C982" i="2" l="1"/>
  <c r="K981" i="2"/>
  <c r="L981" i="2" s="1"/>
  <c r="I982" i="2" s="1"/>
  <c r="N982" i="2"/>
  <c r="D982" i="2"/>
  <c r="J982" i="2" l="1"/>
  <c r="E982" i="2"/>
  <c r="F982" i="2"/>
  <c r="G982" i="2"/>
  <c r="H982" i="2" l="1"/>
  <c r="K982" i="2" l="1"/>
  <c r="L982" i="2" s="1"/>
  <c r="I983" i="2" s="1"/>
  <c r="C983" i="2"/>
  <c r="D983" i="2"/>
  <c r="N983" i="2"/>
  <c r="J983" i="2" l="1"/>
  <c r="E983" i="2"/>
  <c r="F983" i="2"/>
  <c r="G983" i="2"/>
  <c r="H983" i="2" l="1"/>
  <c r="C984" i="2" l="1"/>
  <c r="K983" i="2"/>
  <c r="L983" i="2" s="1"/>
  <c r="I984" i="2" s="1"/>
  <c r="N984" i="2"/>
  <c r="D984" i="2"/>
  <c r="J984" i="2" l="1"/>
  <c r="E984" i="2"/>
  <c r="F984" i="2"/>
  <c r="G984" i="2"/>
  <c r="H984" i="2" l="1"/>
  <c r="K984" i="2" l="1"/>
  <c r="L984" i="2" s="1"/>
  <c r="I985" i="2" s="1"/>
  <c r="C985" i="2"/>
  <c r="D985" i="2"/>
  <c r="N985" i="2"/>
  <c r="J985" i="2" l="1"/>
  <c r="E985" i="2"/>
  <c r="F985" i="2"/>
  <c r="G985" i="2"/>
  <c r="H985" i="2" l="1"/>
  <c r="C986" i="2" l="1"/>
  <c r="K985" i="2"/>
  <c r="L985" i="2" s="1"/>
  <c r="I986" i="2" s="1"/>
  <c r="N986" i="2"/>
  <c r="D986" i="2"/>
  <c r="J986" i="2" l="1"/>
  <c r="E986" i="2"/>
  <c r="F986" i="2"/>
  <c r="G986" i="2"/>
  <c r="H986" i="2" l="1"/>
  <c r="K986" i="2" l="1"/>
  <c r="L986" i="2" s="1"/>
  <c r="I987" i="2" s="1"/>
  <c r="C987" i="2"/>
  <c r="N987" i="2"/>
  <c r="D987" i="2"/>
  <c r="J987" i="2" l="1"/>
  <c r="E987" i="2"/>
  <c r="F987" i="2"/>
  <c r="G987" i="2"/>
  <c r="H987" i="2" l="1"/>
  <c r="C988" i="2" l="1"/>
  <c r="K987" i="2"/>
  <c r="L987" i="2" s="1"/>
  <c r="I988" i="2" s="1"/>
  <c r="N988" i="2"/>
  <c r="D988" i="2"/>
  <c r="J988" i="2" l="1"/>
  <c r="E988" i="2"/>
  <c r="F988" i="2"/>
  <c r="G988" i="2"/>
  <c r="H988" i="2" l="1"/>
  <c r="K988" i="2" l="1"/>
  <c r="L988" i="2" s="1"/>
  <c r="I989" i="2" s="1"/>
  <c r="C989" i="2"/>
  <c r="D989" i="2"/>
  <c r="N989" i="2"/>
  <c r="J989" i="2" l="1"/>
  <c r="E989" i="2"/>
  <c r="F989" i="2"/>
  <c r="G989" i="2"/>
  <c r="H989" i="2" l="1"/>
  <c r="C990" i="2" l="1"/>
  <c r="K989" i="2"/>
  <c r="L989" i="2" s="1"/>
  <c r="I990" i="2" s="1"/>
  <c r="N990" i="2"/>
  <c r="D990" i="2"/>
  <c r="J990" i="2" l="1"/>
  <c r="E990" i="2"/>
  <c r="F990" i="2"/>
  <c r="G990" i="2"/>
  <c r="H990" i="2" l="1"/>
  <c r="K990" i="2" l="1"/>
  <c r="L990" i="2" s="1"/>
  <c r="I991" i="2" s="1"/>
  <c r="C991" i="2"/>
  <c r="D991" i="2"/>
  <c r="N991" i="2"/>
  <c r="J991" i="2" l="1"/>
  <c r="E991" i="2"/>
  <c r="F991" i="2"/>
  <c r="G991" i="2"/>
  <c r="H991" i="2" l="1"/>
  <c r="C992" i="2" l="1"/>
  <c r="K991" i="2"/>
  <c r="L991" i="2" s="1"/>
  <c r="I992" i="2" s="1"/>
  <c r="N992" i="2"/>
  <c r="D992" i="2"/>
  <c r="J992" i="2" l="1"/>
  <c r="E992" i="2"/>
  <c r="F992" i="2"/>
  <c r="G992" i="2"/>
  <c r="H992" i="2" l="1"/>
  <c r="K992" i="2" l="1"/>
  <c r="L992" i="2" s="1"/>
  <c r="I993" i="2" s="1"/>
  <c r="C993" i="2"/>
  <c r="D993" i="2"/>
  <c r="N993" i="2"/>
  <c r="J993" i="2" l="1"/>
  <c r="E993" i="2"/>
  <c r="F993" i="2"/>
  <c r="G993" i="2"/>
  <c r="H993" i="2" l="1"/>
  <c r="C994" i="2" l="1"/>
  <c r="K993" i="2"/>
  <c r="L993" i="2" s="1"/>
  <c r="I994" i="2" s="1"/>
  <c r="N994" i="2"/>
  <c r="D994" i="2"/>
  <c r="J994" i="2" l="1"/>
  <c r="E994" i="2"/>
  <c r="F994" i="2"/>
  <c r="G994" i="2"/>
  <c r="H994" i="2" l="1"/>
  <c r="K994" i="2" l="1"/>
  <c r="L994" i="2" s="1"/>
  <c r="I995" i="2" s="1"/>
  <c r="C995" i="2"/>
  <c r="N995" i="2"/>
  <c r="D995" i="2"/>
  <c r="J995" i="2" l="1"/>
  <c r="E995" i="2"/>
  <c r="F995" i="2"/>
  <c r="G995" i="2"/>
  <c r="H995" i="2" l="1"/>
  <c r="C996" i="2" l="1"/>
  <c r="K995" i="2"/>
  <c r="L995" i="2" s="1"/>
  <c r="I996" i="2" s="1"/>
  <c r="D996" i="2"/>
  <c r="N996" i="2"/>
  <c r="J996" i="2" l="1"/>
  <c r="E996" i="2"/>
  <c r="F996" i="2"/>
  <c r="G996" i="2"/>
  <c r="H996" i="2" l="1"/>
  <c r="K996" i="2" l="1"/>
  <c r="L996" i="2" s="1"/>
  <c r="I997" i="2" s="1"/>
  <c r="C997" i="2"/>
  <c r="N997" i="2"/>
  <c r="D997" i="2"/>
  <c r="J997" i="2" l="1"/>
  <c r="E997" i="2"/>
  <c r="F997" i="2"/>
  <c r="G997" i="2"/>
  <c r="H997" i="2" l="1"/>
  <c r="C998" i="2" l="1"/>
  <c r="K997" i="2"/>
  <c r="L997" i="2" s="1"/>
  <c r="I998" i="2" s="1"/>
  <c r="N998" i="2"/>
  <c r="D998" i="2"/>
  <c r="J998" i="2" l="1"/>
  <c r="E998" i="2"/>
  <c r="F998" i="2"/>
  <c r="G998" i="2"/>
  <c r="H998" i="2" l="1"/>
  <c r="K998" i="2" l="1"/>
  <c r="L998" i="2" s="1"/>
  <c r="I999" i="2" s="1"/>
  <c r="C999" i="2"/>
  <c r="D999" i="2"/>
  <c r="N999" i="2"/>
  <c r="J999" i="2" l="1"/>
  <c r="E999" i="2"/>
  <c r="F999" i="2"/>
  <c r="G999" i="2"/>
  <c r="H999" i="2" l="1"/>
  <c r="C1000" i="2" l="1"/>
  <c r="K999" i="2"/>
  <c r="L999" i="2" s="1"/>
  <c r="I1000" i="2" s="1"/>
  <c r="N1000" i="2"/>
  <c r="D1000" i="2"/>
  <c r="J1000" i="2" l="1"/>
  <c r="E1000" i="2"/>
  <c r="F1000" i="2"/>
  <c r="G1000" i="2"/>
  <c r="H1000" i="2" l="1"/>
  <c r="K1000" i="2" l="1"/>
  <c r="L1000" i="2" s="1"/>
  <c r="I1001" i="2" s="1"/>
  <c r="C1001" i="2"/>
  <c r="N1001" i="2"/>
  <c r="D1001" i="2"/>
  <c r="J1001" i="2" l="1"/>
  <c r="E1001" i="2"/>
  <c r="F1001" i="2"/>
  <c r="G1001" i="2"/>
  <c r="H1001" i="2" l="1"/>
  <c r="C1002" i="2" l="1"/>
  <c r="K1001" i="2"/>
  <c r="L1001" i="2" s="1"/>
  <c r="I1002" i="2" s="1"/>
  <c r="D1002" i="2"/>
  <c r="N1002" i="2"/>
  <c r="J1002" i="2" l="1"/>
  <c r="E1002" i="2"/>
  <c r="F1002" i="2"/>
  <c r="G1002" i="2"/>
  <c r="H1002" i="2" l="1"/>
  <c r="K1002" i="2" l="1"/>
  <c r="L1002" i="2" s="1"/>
  <c r="I1003" i="2" s="1"/>
  <c r="C1003" i="2"/>
  <c r="D1003" i="2"/>
  <c r="N1003" i="2"/>
  <c r="J1003" i="2" l="1"/>
  <c r="E1003" i="2"/>
  <c r="F1003" i="2"/>
  <c r="G1003" i="2"/>
  <c r="H1003" i="2" l="1"/>
  <c r="C1004" i="2" l="1"/>
  <c r="K1003" i="2"/>
  <c r="L1003" i="2" s="1"/>
  <c r="I1004" i="2" s="1"/>
  <c r="N1004" i="2"/>
  <c r="D1004" i="2"/>
  <c r="J1004" i="2" l="1"/>
  <c r="E1004" i="2"/>
  <c r="F1004" i="2"/>
  <c r="G1004" i="2"/>
  <c r="H1004" i="2" l="1"/>
  <c r="K1004" i="2" l="1"/>
  <c r="L1004" i="2" s="1"/>
  <c r="I1005" i="2" s="1"/>
  <c r="C1005" i="2"/>
  <c r="N1005" i="2"/>
  <c r="D1005" i="2"/>
  <c r="J1005" i="2" l="1"/>
  <c r="E1005" i="2"/>
  <c r="F1005" i="2"/>
  <c r="G1005" i="2"/>
  <c r="H1005" i="2" l="1"/>
  <c r="C1006" i="2" l="1"/>
  <c r="K1005" i="2"/>
  <c r="L1005" i="2" s="1"/>
  <c r="I1006" i="2" s="1"/>
  <c r="N1006" i="2"/>
  <c r="D1006" i="2"/>
  <c r="J1006" i="2" l="1"/>
  <c r="E1006" i="2"/>
  <c r="F1006" i="2"/>
  <c r="G1006" i="2"/>
  <c r="H1006" i="2" l="1"/>
  <c r="K1006" i="2" l="1"/>
  <c r="L1006" i="2" s="1"/>
  <c r="I1007" i="2" s="1"/>
  <c r="C1007" i="2"/>
  <c r="D1007" i="2"/>
  <c r="N1007" i="2"/>
  <c r="J1007" i="2" l="1"/>
  <c r="E1007" i="2"/>
  <c r="F1007" i="2"/>
  <c r="G1007" i="2"/>
  <c r="H1007" i="2" l="1"/>
  <c r="C1008" i="2" l="1"/>
  <c r="K1007" i="2"/>
  <c r="L1007" i="2" s="1"/>
  <c r="I1008" i="2" s="1"/>
  <c r="N1008" i="2"/>
  <c r="D1008" i="2"/>
  <c r="J1008" i="2" l="1"/>
  <c r="E1008" i="2"/>
  <c r="F1008" i="2"/>
  <c r="G1008" i="2"/>
  <c r="H1008" i="2" l="1"/>
  <c r="K1008" i="2" l="1"/>
  <c r="L1008" i="2" s="1"/>
  <c r="I1009" i="2" s="1"/>
  <c r="C1009" i="2"/>
  <c r="D1009" i="2"/>
  <c r="N1009" i="2"/>
  <c r="J1009" i="2" l="1"/>
  <c r="E1009" i="2"/>
  <c r="F1009" i="2"/>
  <c r="G1009" i="2"/>
  <c r="H1009" i="2" l="1"/>
  <c r="C1010" i="2" l="1"/>
  <c r="K1009" i="2"/>
  <c r="L1009" i="2" s="1"/>
  <c r="I1010" i="2" s="1"/>
  <c r="N1010" i="2"/>
  <c r="D1010" i="2"/>
  <c r="J1010" i="2" l="1"/>
  <c r="E1010" i="2"/>
  <c r="F1010" i="2"/>
  <c r="G1010" i="2"/>
  <c r="H1010" i="2" l="1"/>
  <c r="K1010" i="2" l="1"/>
  <c r="L1010" i="2" s="1"/>
  <c r="I1011" i="2" s="1"/>
  <c r="C1011" i="2"/>
  <c r="D1011" i="2"/>
  <c r="N1011" i="2"/>
  <c r="J1011" i="2" l="1"/>
  <c r="E1011" i="2"/>
  <c r="F1011" i="2"/>
  <c r="G1011" i="2"/>
  <c r="H1011" i="2" l="1"/>
  <c r="C1012" i="2" l="1"/>
  <c r="K1011" i="2"/>
  <c r="L1011" i="2" s="1"/>
  <c r="I1012" i="2" s="1"/>
  <c r="N1012" i="2"/>
  <c r="D1012" i="2"/>
  <c r="J1012" i="2" l="1"/>
  <c r="E1012" i="2"/>
  <c r="F1012" i="2"/>
  <c r="G1012" i="2"/>
  <c r="H1012" i="2" l="1"/>
  <c r="K1012" i="2" l="1"/>
  <c r="L1012" i="2" s="1"/>
  <c r="I1013" i="2" s="1"/>
  <c r="C1013" i="2"/>
  <c r="D1013" i="2"/>
  <c r="N1013" i="2"/>
  <c r="J1013" i="2" l="1"/>
  <c r="E1013" i="2"/>
  <c r="F1013" i="2"/>
  <c r="G1013" i="2"/>
  <c r="H1013" i="2" l="1"/>
  <c r="C1014" i="2" l="1"/>
  <c r="K1013" i="2"/>
  <c r="L1013" i="2" s="1"/>
  <c r="I1014" i="2" s="1"/>
  <c r="N1014" i="2"/>
  <c r="D1014" i="2"/>
  <c r="J1014" i="2" l="1"/>
  <c r="E1014" i="2"/>
  <c r="F1014" i="2"/>
  <c r="G1014" i="2"/>
  <c r="H1014" i="2" l="1"/>
  <c r="K1014" i="2" l="1"/>
  <c r="L1014" i="2" s="1"/>
  <c r="I1015" i="2" s="1"/>
  <c r="C1015" i="2"/>
  <c r="D1015" i="2"/>
  <c r="N1015" i="2"/>
  <c r="J1015" i="2" l="1"/>
  <c r="E1015" i="2"/>
  <c r="F1015" i="2"/>
  <c r="G1015" i="2"/>
  <c r="H1015" i="2" l="1"/>
  <c r="C1016" i="2" l="1"/>
  <c r="K1015" i="2"/>
  <c r="L1015" i="2" s="1"/>
  <c r="I1016" i="2" s="1"/>
  <c r="N1016" i="2"/>
  <c r="D1016" i="2"/>
  <c r="J1016" i="2" l="1"/>
  <c r="E1016" i="2"/>
  <c r="F1016" i="2"/>
  <c r="G1016" i="2"/>
  <c r="H1016" i="2" l="1"/>
  <c r="K1016" i="2" l="1"/>
  <c r="L1016" i="2" s="1"/>
  <c r="I1017" i="2" s="1"/>
  <c r="C1017" i="2"/>
  <c r="D1017" i="2"/>
  <c r="N1017" i="2"/>
  <c r="J1017" i="2" l="1"/>
  <c r="E1017" i="2"/>
  <c r="F1017" i="2"/>
  <c r="G1017" i="2"/>
  <c r="H1017" i="2" l="1"/>
  <c r="C1018" i="2" l="1"/>
  <c r="K1017" i="2"/>
  <c r="L1017" i="2" s="1"/>
  <c r="I1018" i="2" s="1"/>
  <c r="N1018" i="2"/>
  <c r="D1018" i="2"/>
  <c r="J1018" i="2" l="1"/>
  <c r="E1018" i="2"/>
  <c r="F1018" i="2"/>
  <c r="G1018" i="2"/>
  <c r="H1018" i="2" l="1"/>
  <c r="K1018" i="2" l="1"/>
  <c r="L1018" i="2" s="1"/>
  <c r="I1019" i="2" s="1"/>
  <c r="C1019" i="2"/>
  <c r="N1019" i="2"/>
  <c r="D1019" i="2"/>
  <c r="J1019" i="2" l="1"/>
  <c r="E1019" i="2"/>
  <c r="F1019" i="2"/>
  <c r="G1019" i="2"/>
  <c r="H1019" i="2" l="1"/>
  <c r="C1020" i="2" l="1"/>
  <c r="K1019" i="2"/>
  <c r="L1019" i="2" s="1"/>
  <c r="I1020" i="2" s="1"/>
  <c r="N1020" i="2"/>
  <c r="D1020" i="2"/>
  <c r="J1020" i="2" l="1"/>
  <c r="E1020" i="2"/>
  <c r="F1020" i="2"/>
  <c r="G1020" i="2"/>
  <c r="H1020" i="2" l="1"/>
  <c r="K1020" i="2" l="1"/>
  <c r="L1020" i="2" s="1"/>
  <c r="I1021" i="2" s="1"/>
  <c r="C1021" i="2"/>
  <c r="D1021" i="2"/>
  <c r="N1021" i="2"/>
  <c r="J1021" i="2" l="1"/>
  <c r="E1021" i="2"/>
  <c r="F1021" i="2"/>
  <c r="G1021" i="2"/>
  <c r="H1021" i="2" l="1"/>
  <c r="C1022" i="2" l="1"/>
  <c r="K1021" i="2"/>
  <c r="L1021" i="2" s="1"/>
  <c r="I1022" i="2" s="1"/>
  <c r="N1022" i="2"/>
  <c r="D1022" i="2"/>
  <c r="J1022" i="2" l="1"/>
  <c r="E1022" i="2"/>
  <c r="F1022" i="2"/>
  <c r="G1022" i="2"/>
  <c r="H1022" i="2" l="1"/>
  <c r="K1022" i="2" l="1"/>
  <c r="L1022" i="2" s="1"/>
  <c r="I1023" i="2" s="1"/>
  <c r="C1023" i="2"/>
  <c r="D1023" i="2"/>
  <c r="N1023" i="2"/>
  <c r="J1023" i="2" l="1"/>
  <c r="E1023" i="2"/>
  <c r="F1023" i="2"/>
  <c r="G1023" i="2"/>
  <c r="H1023" i="2" l="1"/>
  <c r="C1024" i="2" l="1"/>
  <c r="K1023" i="2"/>
  <c r="L1023" i="2" s="1"/>
  <c r="I1024" i="2" s="1"/>
  <c r="N1024" i="2"/>
  <c r="D1024" i="2"/>
  <c r="J1024" i="2" l="1"/>
  <c r="E1024" i="2"/>
  <c r="F1024" i="2"/>
  <c r="G1024" i="2"/>
  <c r="H1024" i="2" l="1"/>
  <c r="K1024" i="2" l="1"/>
  <c r="L1024" i="2" s="1"/>
  <c r="I1025" i="2" s="1"/>
  <c r="C1025" i="2"/>
  <c r="N1025" i="2"/>
  <c r="D1025" i="2"/>
  <c r="J1025" i="2" l="1"/>
  <c r="E1025" i="2"/>
  <c r="F1025" i="2"/>
  <c r="G1025" i="2"/>
  <c r="H1025" i="2" l="1"/>
  <c r="C1026" i="2" l="1"/>
  <c r="K1025" i="2"/>
  <c r="L1025" i="2" s="1"/>
  <c r="I1026" i="2" s="1"/>
  <c r="N1026" i="2"/>
  <c r="D1026" i="2"/>
  <c r="J1026" i="2" l="1"/>
  <c r="E1026" i="2"/>
  <c r="F1026" i="2"/>
  <c r="G1026" i="2"/>
  <c r="H1026" i="2" l="1"/>
  <c r="K1026" i="2" l="1"/>
  <c r="L1026" i="2" s="1"/>
  <c r="I1027" i="2" s="1"/>
  <c r="C1027" i="2"/>
  <c r="N1027" i="2"/>
  <c r="D1027" i="2"/>
  <c r="J1027" i="2" l="1"/>
  <c r="E1027" i="2"/>
  <c r="F1027" i="2"/>
  <c r="G1027" i="2"/>
  <c r="H1027" i="2" l="1"/>
  <c r="C1028" i="2" l="1"/>
  <c r="K1027" i="2"/>
  <c r="L1027" i="2" s="1"/>
  <c r="I1028" i="2" s="1"/>
  <c r="N1028" i="2"/>
  <c r="D1028" i="2"/>
  <c r="J1028" i="2" l="1"/>
  <c r="E1028" i="2"/>
  <c r="F1028" i="2"/>
  <c r="G1028" i="2"/>
  <c r="H1028" i="2" l="1"/>
  <c r="K1028" i="2" l="1"/>
  <c r="L1028" i="2" s="1"/>
  <c r="I1029" i="2" s="1"/>
  <c r="C1029" i="2"/>
  <c r="D1029" i="2"/>
  <c r="N1029" i="2"/>
  <c r="J1029" i="2" l="1"/>
  <c r="E1029" i="2"/>
  <c r="F1029" i="2"/>
  <c r="G1029" i="2"/>
  <c r="H1029" i="2" l="1"/>
  <c r="C1030" i="2" l="1"/>
  <c r="K1029" i="2"/>
  <c r="L1029" i="2" s="1"/>
  <c r="I1030" i="2" s="1"/>
  <c r="N1030" i="2"/>
  <c r="D1030" i="2"/>
  <c r="J1030" i="2" l="1"/>
  <c r="E1030" i="2"/>
  <c r="F1030" i="2"/>
  <c r="G1030" i="2"/>
  <c r="H1030" i="2" l="1"/>
  <c r="C1031" i="2" l="1"/>
  <c r="K1030" i="2"/>
  <c r="L1030" i="2" s="1"/>
  <c r="I1031" i="2" s="1"/>
  <c r="N1031" i="2"/>
  <c r="D1031" i="2"/>
  <c r="J1031" i="2" l="1"/>
  <c r="E1031" i="2"/>
  <c r="F1031" i="2"/>
  <c r="G1031" i="2"/>
  <c r="H1031" i="2" l="1"/>
  <c r="K1031" i="2" l="1"/>
  <c r="L1031" i="2" s="1"/>
  <c r="I1032" i="2" s="1"/>
  <c r="C1032" i="2"/>
  <c r="N1032" i="2"/>
  <c r="D1032" i="2"/>
  <c r="J1032" i="2" l="1"/>
  <c r="E1032" i="2"/>
  <c r="F1032" i="2"/>
  <c r="G1032" i="2"/>
  <c r="H1032" i="2" l="1"/>
  <c r="K1032" i="2" l="1"/>
  <c r="L1032" i="2" s="1"/>
  <c r="I1033" i="2" s="1"/>
  <c r="C1033" i="2"/>
  <c r="N1033" i="2"/>
  <c r="D1033" i="2"/>
  <c r="J1033" i="2" l="1"/>
  <c r="E1033" i="2"/>
  <c r="F1033" i="2"/>
  <c r="G1033" i="2"/>
  <c r="H1033" i="2" l="1"/>
  <c r="C1034" i="2" l="1"/>
  <c r="K1033" i="2"/>
  <c r="L1033" i="2" s="1"/>
  <c r="I1034" i="2" s="1"/>
  <c r="N1034" i="2"/>
  <c r="D1034" i="2"/>
  <c r="J1034" i="2" l="1"/>
  <c r="E1034" i="2"/>
  <c r="F1034" i="2"/>
  <c r="G1034" i="2"/>
  <c r="H1034" i="2" l="1"/>
  <c r="K1034" i="2" l="1"/>
  <c r="L1034" i="2" s="1"/>
  <c r="I1035" i="2" s="1"/>
  <c r="C1035" i="2"/>
  <c r="N1035" i="2"/>
  <c r="D1035" i="2"/>
  <c r="J1035" i="2" l="1"/>
  <c r="E1035" i="2"/>
  <c r="F1035" i="2"/>
  <c r="G1035" i="2"/>
  <c r="H1035" i="2" l="1"/>
  <c r="C1036" i="2" l="1"/>
  <c r="K1035" i="2"/>
  <c r="L1035" i="2" s="1"/>
  <c r="I1036" i="2" s="1"/>
  <c r="N1036" i="2"/>
  <c r="D1036" i="2"/>
  <c r="J1036" i="2" l="1"/>
  <c r="E1036" i="2"/>
  <c r="F1036" i="2"/>
  <c r="G1036" i="2"/>
  <c r="H1036" i="2" l="1"/>
  <c r="K1036" i="2" l="1"/>
  <c r="L1036" i="2" s="1"/>
  <c r="I1037" i="2" s="1"/>
  <c r="C1037" i="2"/>
  <c r="N1037" i="2"/>
  <c r="D1037" i="2"/>
  <c r="J1037" i="2" l="1"/>
  <c r="E1037" i="2"/>
  <c r="F1037" i="2"/>
  <c r="G1037" i="2"/>
  <c r="H1037" i="2" l="1"/>
  <c r="C1038" i="2" l="1"/>
  <c r="K1037" i="2"/>
  <c r="L1037" i="2" s="1"/>
  <c r="I1038" i="2" s="1"/>
  <c r="N1038" i="2"/>
  <c r="D1038" i="2"/>
  <c r="J1038" i="2" l="1"/>
  <c r="E1038" i="2"/>
  <c r="F1038" i="2"/>
  <c r="G1038" i="2"/>
  <c r="H1038" i="2" l="1"/>
  <c r="K1038" i="2" l="1"/>
  <c r="L1038" i="2" s="1"/>
  <c r="I1039" i="2" s="1"/>
  <c r="C1039" i="2"/>
  <c r="N1039" i="2"/>
  <c r="D1039" i="2"/>
  <c r="J1039" i="2" l="1"/>
  <c r="E1039" i="2"/>
  <c r="F1039" i="2"/>
  <c r="G1039" i="2"/>
  <c r="H1039" i="2" l="1"/>
  <c r="C1040" i="2" l="1"/>
  <c r="K1039" i="2"/>
  <c r="L1039" i="2" s="1"/>
  <c r="I1040" i="2" s="1"/>
  <c r="N1040" i="2"/>
  <c r="D1040" i="2"/>
  <c r="J1040" i="2" l="1"/>
  <c r="E1040" i="2"/>
  <c r="F1040" i="2"/>
  <c r="G1040" i="2"/>
  <c r="H1040" i="2" l="1"/>
  <c r="K1040" i="2" l="1"/>
  <c r="L1040" i="2" s="1"/>
  <c r="I1041" i="2" s="1"/>
  <c r="C1041" i="2"/>
  <c r="N1041" i="2"/>
  <c r="D1041" i="2"/>
  <c r="J1041" i="2" l="1"/>
  <c r="E1041" i="2"/>
  <c r="F1041" i="2"/>
  <c r="G1041" i="2"/>
  <c r="H1041" i="2" l="1"/>
  <c r="C1042" i="2" l="1"/>
  <c r="K1041" i="2"/>
  <c r="L1041" i="2" s="1"/>
  <c r="I1042" i="2" s="1"/>
  <c r="D1042" i="2"/>
  <c r="N1042" i="2"/>
  <c r="J1042" i="2" l="1"/>
  <c r="E1042" i="2"/>
  <c r="F1042" i="2"/>
  <c r="G1042" i="2"/>
  <c r="H1042" i="2" l="1"/>
  <c r="C1043" i="2" l="1"/>
  <c r="K1042" i="2"/>
  <c r="L1042" i="2" s="1"/>
  <c r="I1043" i="2" s="1"/>
  <c r="D1043" i="2"/>
  <c r="N1043" i="2"/>
  <c r="J1043" i="2" l="1"/>
  <c r="E1043" i="2"/>
  <c r="F1043" i="2"/>
  <c r="G1043" i="2"/>
  <c r="H1043" i="2" l="1"/>
  <c r="C1044" i="2" l="1"/>
  <c r="K1043" i="2"/>
  <c r="L1043" i="2" s="1"/>
  <c r="I1044" i="2" s="1"/>
  <c r="N1044" i="2"/>
  <c r="D1044" i="2"/>
  <c r="J1044" i="2" l="1"/>
  <c r="E1044" i="2"/>
  <c r="F1044" i="2"/>
  <c r="G1044" i="2"/>
  <c r="H1044" i="2" l="1"/>
  <c r="K1044" i="2" l="1"/>
  <c r="L1044" i="2" s="1"/>
  <c r="I1045" i="2" s="1"/>
  <c r="C1045" i="2"/>
  <c r="N1045" i="2"/>
  <c r="D1045" i="2"/>
  <c r="J1045" i="2" l="1"/>
  <c r="E1045" i="2"/>
  <c r="F1045" i="2"/>
  <c r="G1045" i="2"/>
  <c r="H1045" i="2" l="1"/>
  <c r="C1046" i="2" l="1"/>
  <c r="K1045" i="2"/>
  <c r="L1045" i="2" s="1"/>
  <c r="I1046" i="2" s="1"/>
  <c r="N1046" i="2"/>
  <c r="D1046" i="2"/>
  <c r="J1046" i="2" l="1"/>
  <c r="E1046" i="2"/>
  <c r="F1046" i="2"/>
  <c r="G1046" i="2"/>
  <c r="H1046" i="2" l="1"/>
  <c r="K1046" i="2" l="1"/>
  <c r="L1046" i="2" s="1"/>
  <c r="I1047" i="2" s="1"/>
  <c r="C1047" i="2"/>
  <c r="N1047" i="2"/>
  <c r="D1047" i="2"/>
  <c r="J1047" i="2" l="1"/>
  <c r="E1047" i="2"/>
  <c r="F1047" i="2"/>
  <c r="G1047" i="2"/>
  <c r="H1047" i="2" l="1"/>
  <c r="K1047" i="2" l="1"/>
  <c r="L1047" i="2" s="1"/>
  <c r="I1048" i="2" s="1"/>
  <c r="C1048" i="2"/>
  <c r="N1048" i="2"/>
  <c r="D1048" i="2"/>
  <c r="J1048" i="2" l="1"/>
  <c r="E1048" i="2"/>
  <c r="F1048" i="2"/>
  <c r="G1048" i="2"/>
  <c r="H1048" i="2" l="1"/>
  <c r="K1048" i="2" l="1"/>
  <c r="L1048" i="2" s="1"/>
  <c r="I1049" i="2" s="1"/>
  <c r="C1049" i="2"/>
  <c r="N1049" i="2"/>
  <c r="D1049" i="2"/>
  <c r="J1049" i="2" l="1"/>
  <c r="E1049" i="2"/>
  <c r="F1049" i="2"/>
  <c r="G1049" i="2"/>
  <c r="H1049" i="2" l="1"/>
  <c r="C1050" i="2" l="1"/>
  <c r="K1049" i="2"/>
  <c r="L1049" i="2" s="1"/>
  <c r="I1050" i="2" s="1"/>
  <c r="D1050" i="2"/>
  <c r="N1050" i="2"/>
  <c r="J1050" i="2" l="1"/>
  <c r="E1050" i="2"/>
  <c r="F1050" i="2"/>
  <c r="G1050" i="2"/>
  <c r="G2" i="2" l="1"/>
  <c r="F2" i="2" s="1"/>
  <c r="H1050" i="2"/>
  <c r="K1050" i="2" l="1"/>
  <c r="L1050" i="2" s="1"/>
  <c r="H2" i="2"/>
  <c r="I2" i="2" s="1"/>
</calcChain>
</file>

<file path=xl/sharedStrings.xml><?xml version="1.0" encoding="utf-8"?>
<sst xmlns="http://schemas.openxmlformats.org/spreadsheetml/2006/main" count="17" uniqueCount="13">
  <si>
    <t>SOLUCIÓN DE LA ECUACIÓN DEL COEFICIENTE DE FRICCIÓN DE FELIX BAUMGARTNER</t>
  </si>
  <si>
    <r>
      <t>k</t>
    </r>
    <r>
      <rPr>
        <b/>
        <i/>
        <vertAlign val="subscript"/>
        <sz val="14"/>
        <color theme="1"/>
        <rFont val="Calibri"/>
        <family val="2"/>
        <scheme val="minor"/>
      </rPr>
      <t>1</t>
    </r>
  </si>
  <si>
    <r>
      <t>k</t>
    </r>
    <r>
      <rPr>
        <b/>
        <i/>
        <vertAlign val="subscript"/>
        <sz val="14"/>
        <color theme="1"/>
        <rFont val="Calibri"/>
        <family val="2"/>
        <scheme val="minor"/>
      </rPr>
      <t>2</t>
    </r>
  </si>
  <si>
    <r>
      <t>t</t>
    </r>
    <r>
      <rPr>
        <b/>
        <i/>
        <vertAlign val="subscript"/>
        <sz val="14"/>
        <color theme="1"/>
        <rFont val="Calibri"/>
        <family val="2"/>
        <scheme val="minor"/>
      </rPr>
      <t>i</t>
    </r>
  </si>
  <si>
    <r>
      <t>v</t>
    </r>
    <r>
      <rPr>
        <b/>
        <i/>
        <vertAlign val="subscript"/>
        <sz val="14"/>
        <color theme="1"/>
        <rFont val="Calibri"/>
        <family val="2"/>
        <scheme val="minor"/>
      </rPr>
      <t>i</t>
    </r>
  </si>
  <si>
    <r>
      <t>k</t>
    </r>
    <r>
      <rPr>
        <b/>
        <i/>
        <vertAlign val="subscript"/>
        <sz val="14"/>
        <color theme="1"/>
        <rFont val="Calibri"/>
        <family val="2"/>
        <scheme val="minor"/>
      </rPr>
      <t>3</t>
    </r>
  </si>
  <si>
    <r>
      <t>k</t>
    </r>
    <r>
      <rPr>
        <b/>
        <i/>
        <vertAlign val="subscript"/>
        <sz val="14"/>
        <color theme="1"/>
        <rFont val="Calibri"/>
        <family val="2"/>
        <scheme val="minor"/>
      </rPr>
      <t>4</t>
    </r>
  </si>
  <si>
    <r>
      <t>v</t>
    </r>
    <r>
      <rPr>
        <b/>
        <i/>
        <vertAlign val="subscript"/>
        <sz val="14"/>
        <color theme="1"/>
        <rFont val="Calibri"/>
        <family val="2"/>
        <scheme val="minor"/>
      </rPr>
      <t>i+1</t>
    </r>
  </si>
  <si>
    <r>
      <t>y</t>
    </r>
    <r>
      <rPr>
        <b/>
        <i/>
        <vertAlign val="subscript"/>
        <sz val="14"/>
        <color theme="1"/>
        <rFont val="Calibri"/>
        <family val="2"/>
        <scheme val="minor"/>
      </rPr>
      <t>i+1</t>
    </r>
  </si>
  <si>
    <t>MÉTODO DE RUNGE-KUTTA DE 4TO ORDEN</t>
  </si>
  <si>
    <t>MÉTODO DE HEUN O TRAPECIOS</t>
  </si>
  <si>
    <r>
      <t>y</t>
    </r>
    <r>
      <rPr>
        <b/>
        <i/>
        <vertAlign val="subscript"/>
        <sz val="14"/>
        <color theme="1"/>
        <rFont val="Calibri"/>
        <family val="2"/>
        <scheme val="minor"/>
      </rPr>
      <t>i</t>
    </r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</si>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</sst>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&quot;h = &quot;General&quot; s &quot;"/>
    <numFmt numFmtId="165" formatCode="0.00&quot; s &quot;"/>
    <numFmt numFmtId="166" formatCode="0.0000&quot; m &quot;"/>
    <numFmt numFmtId="167" formatCode="0.0000&quot; m/s &quot;"/>
    <numFmt numFmtId="168" formatCode="0.0000&quot; m/s² &quot;"/>
    <numFmt numFmtId="169" formatCode="0.00&quot; Match &quot;"/>
    <numFmt numFmtId="170" formatCode="0.00&quot; g &quot;"/>
    <numFmt numFmtId="171" formatCode="0.00&quot; min&quot;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vertAlign val="subscript"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11" fontId="0" fillId="0" borderId="0" xfId="0" applyNumberFormat="1"/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0" borderId="0" xfId="0" applyAlignment="1"/>
    <xf numFmtId="164" fontId="1" fillId="4" borderId="0" xfId="0" applyNumberFormat="1" applyFon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4" fillId="0" borderId="0" xfId="0" applyNumberFormat="1" applyFont="1" applyAlignment="1">
      <alignment horizontal="center" vertical="center"/>
    </xf>
    <xf numFmtId="167" fontId="4" fillId="0" borderId="0" xfId="0" applyNumberFormat="1" applyFont="1" applyAlignment="1">
      <alignment horizontal="center" vertical="center"/>
    </xf>
    <xf numFmtId="168" fontId="2" fillId="0" borderId="0" xfId="0" applyNumberFormat="1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Velocidad vs altura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Hoja2!$C$4:$C$1050</c:f>
              <c:numCache>
                <c:formatCode>0.0000" m/s "</c:formatCode>
                <c:ptCount val="1047"/>
                <c:pt idx="0">
                  <c:v>0</c:v>
                </c:pt>
                <c:pt idx="1">
                  <c:v>-2.7467999999999999</c:v>
                </c:pt>
                <c:pt idx="2">
                  <c:v>-5.4935999999999998</c:v>
                </c:pt>
                <c:pt idx="3">
                  <c:v>-8.2403999999999993</c:v>
                </c:pt>
                <c:pt idx="4">
                  <c:v>-10.9872</c:v>
                </c:pt>
                <c:pt idx="5">
                  <c:v>-13.734</c:v>
                </c:pt>
                <c:pt idx="6">
                  <c:v>-16.480799999999999</c:v>
                </c:pt>
                <c:pt idx="7">
                  <c:v>-19.227599999999999</c:v>
                </c:pt>
                <c:pt idx="8">
                  <c:v>-21.974399999999999</c:v>
                </c:pt>
                <c:pt idx="9">
                  <c:v>-24.7212</c:v>
                </c:pt>
                <c:pt idx="10">
                  <c:v>-27.468</c:v>
                </c:pt>
                <c:pt idx="11">
                  <c:v>-30.2148</c:v>
                </c:pt>
                <c:pt idx="12">
                  <c:v>-32.961599999999997</c:v>
                </c:pt>
                <c:pt idx="13">
                  <c:v>-35.708399999999997</c:v>
                </c:pt>
                <c:pt idx="14">
                  <c:v>-38.455199999999998</c:v>
                </c:pt>
                <c:pt idx="15">
                  <c:v>-41.201999999999998</c:v>
                </c:pt>
                <c:pt idx="16">
                  <c:v>-43.948799999999999</c:v>
                </c:pt>
                <c:pt idx="17">
                  <c:v>-46.695599999999999</c:v>
                </c:pt>
                <c:pt idx="18">
                  <c:v>-49.442399999999999</c:v>
                </c:pt>
                <c:pt idx="19">
                  <c:v>-52.1892</c:v>
                </c:pt>
                <c:pt idx="20">
                  <c:v>-54.936</c:v>
                </c:pt>
                <c:pt idx="21">
                  <c:v>-57.6828</c:v>
                </c:pt>
                <c:pt idx="22">
                  <c:v>-60.429600000000001</c:v>
                </c:pt>
                <c:pt idx="23">
                  <c:v>-63.176400000000001</c:v>
                </c:pt>
                <c:pt idx="24">
                  <c:v>-65.923199999999994</c:v>
                </c:pt>
                <c:pt idx="25">
                  <c:v>-68.669999999999987</c:v>
                </c:pt>
                <c:pt idx="26">
                  <c:v>-71.416799999999981</c:v>
                </c:pt>
                <c:pt idx="27">
                  <c:v>-74.163599999999974</c:v>
                </c:pt>
                <c:pt idx="28">
                  <c:v>-76.910399999999967</c:v>
                </c:pt>
                <c:pt idx="29">
                  <c:v>-79.65719999999996</c:v>
                </c:pt>
                <c:pt idx="30">
                  <c:v>-82.403999999999954</c:v>
                </c:pt>
                <c:pt idx="31">
                  <c:v>-85.150799999999947</c:v>
                </c:pt>
                <c:pt idx="32">
                  <c:v>-87.89759999999994</c:v>
                </c:pt>
                <c:pt idx="33">
                  <c:v>-90.644399999999933</c:v>
                </c:pt>
                <c:pt idx="34">
                  <c:v>-93.391199999999927</c:v>
                </c:pt>
                <c:pt idx="35">
                  <c:v>-96.13799999999992</c:v>
                </c:pt>
                <c:pt idx="36">
                  <c:v>-98.884799999999913</c:v>
                </c:pt>
                <c:pt idx="37">
                  <c:v>-101.63159999999991</c:v>
                </c:pt>
                <c:pt idx="38">
                  <c:v>-104.3783999999999</c:v>
                </c:pt>
                <c:pt idx="39">
                  <c:v>-107.12519999999989</c:v>
                </c:pt>
                <c:pt idx="40">
                  <c:v>-109.87199999999989</c:v>
                </c:pt>
                <c:pt idx="41">
                  <c:v>-112.61879999999988</c:v>
                </c:pt>
                <c:pt idx="42">
                  <c:v>-115.36559999999987</c:v>
                </c:pt>
                <c:pt idx="43">
                  <c:v>-118.11239999999987</c:v>
                </c:pt>
                <c:pt idx="44">
                  <c:v>-120.85919999999986</c:v>
                </c:pt>
                <c:pt idx="45">
                  <c:v>-123.60599999999985</c:v>
                </c:pt>
                <c:pt idx="46">
                  <c:v>-126.35279999999985</c:v>
                </c:pt>
                <c:pt idx="47">
                  <c:v>-129.09959999999984</c:v>
                </c:pt>
                <c:pt idx="48">
                  <c:v>-131.84639999999985</c:v>
                </c:pt>
                <c:pt idx="49">
                  <c:v>-134.59319999999985</c:v>
                </c:pt>
                <c:pt idx="50">
                  <c:v>-137.33999999999986</c:v>
                </c:pt>
                <c:pt idx="51">
                  <c:v>-140.08679999999987</c:v>
                </c:pt>
                <c:pt idx="52">
                  <c:v>-142.83359999999988</c:v>
                </c:pt>
                <c:pt idx="53">
                  <c:v>-145.58039999999988</c:v>
                </c:pt>
                <c:pt idx="54">
                  <c:v>-148.32719999999989</c:v>
                </c:pt>
                <c:pt idx="55">
                  <c:v>-151.0739999999999</c:v>
                </c:pt>
                <c:pt idx="56">
                  <c:v>-153.82079999999991</c:v>
                </c:pt>
                <c:pt idx="57">
                  <c:v>-156.56759999999991</c:v>
                </c:pt>
                <c:pt idx="58">
                  <c:v>-159.31439999999992</c:v>
                </c:pt>
                <c:pt idx="59">
                  <c:v>-162.06119999999993</c:v>
                </c:pt>
                <c:pt idx="60">
                  <c:v>-164.80799999999994</c:v>
                </c:pt>
                <c:pt idx="61">
                  <c:v>-167.55479999999994</c:v>
                </c:pt>
                <c:pt idx="62">
                  <c:v>-170.30159999999995</c:v>
                </c:pt>
                <c:pt idx="63">
                  <c:v>-173.04839999999996</c:v>
                </c:pt>
                <c:pt idx="64">
                  <c:v>-175.79519999999997</c:v>
                </c:pt>
                <c:pt idx="65">
                  <c:v>-178.54199999999997</c:v>
                </c:pt>
                <c:pt idx="66">
                  <c:v>-181.28879999999998</c:v>
                </c:pt>
                <c:pt idx="67">
                  <c:v>-184.03559999999999</c:v>
                </c:pt>
                <c:pt idx="68">
                  <c:v>-186.7824</c:v>
                </c:pt>
                <c:pt idx="69">
                  <c:v>-189.5292</c:v>
                </c:pt>
                <c:pt idx="70">
                  <c:v>-192.27600000000001</c:v>
                </c:pt>
                <c:pt idx="71">
                  <c:v>-195.02280000000002</c:v>
                </c:pt>
                <c:pt idx="72">
                  <c:v>-197.76960000000003</c:v>
                </c:pt>
                <c:pt idx="73">
                  <c:v>-200.51640000000003</c:v>
                </c:pt>
                <c:pt idx="74">
                  <c:v>-203.26320000000004</c:v>
                </c:pt>
                <c:pt idx="75">
                  <c:v>-206.01000000000005</c:v>
                </c:pt>
                <c:pt idx="76">
                  <c:v>-208.75680000000006</c:v>
                </c:pt>
                <c:pt idx="77">
                  <c:v>-211.50360000000006</c:v>
                </c:pt>
                <c:pt idx="78">
                  <c:v>-214.25040000000007</c:v>
                </c:pt>
                <c:pt idx="79">
                  <c:v>-216.99720000000008</c:v>
                </c:pt>
                <c:pt idx="80">
                  <c:v>-219.74400000000009</c:v>
                </c:pt>
                <c:pt idx="81">
                  <c:v>-222.49080000000009</c:v>
                </c:pt>
                <c:pt idx="82">
                  <c:v>-225.2376000000001</c:v>
                </c:pt>
                <c:pt idx="83">
                  <c:v>-227.98440000000011</c:v>
                </c:pt>
                <c:pt idx="84">
                  <c:v>-230.73120000000011</c:v>
                </c:pt>
                <c:pt idx="85">
                  <c:v>-233.47800000000012</c:v>
                </c:pt>
                <c:pt idx="86">
                  <c:v>-236.22480000000013</c:v>
                </c:pt>
                <c:pt idx="87">
                  <c:v>-238.97160000000014</c:v>
                </c:pt>
                <c:pt idx="88">
                  <c:v>-241.71840000000014</c:v>
                </c:pt>
                <c:pt idx="89">
                  <c:v>-244.46520000000015</c:v>
                </c:pt>
                <c:pt idx="90">
                  <c:v>-247.21200000000016</c:v>
                </c:pt>
                <c:pt idx="91">
                  <c:v>-249.95880000000017</c:v>
                </c:pt>
                <c:pt idx="92">
                  <c:v>-252.70560000000017</c:v>
                </c:pt>
                <c:pt idx="93">
                  <c:v>-255.45240000000018</c:v>
                </c:pt>
                <c:pt idx="94">
                  <c:v>-258.19920000000019</c:v>
                </c:pt>
                <c:pt idx="95">
                  <c:v>-260.9460000000002</c:v>
                </c:pt>
                <c:pt idx="96">
                  <c:v>-263.6928000000002</c:v>
                </c:pt>
                <c:pt idx="97">
                  <c:v>-266.43960000000021</c:v>
                </c:pt>
                <c:pt idx="98">
                  <c:v>-269.18640000000022</c:v>
                </c:pt>
                <c:pt idx="99">
                  <c:v>-271.93320000000023</c:v>
                </c:pt>
                <c:pt idx="100">
                  <c:v>-274.68000000000023</c:v>
                </c:pt>
                <c:pt idx="101">
                  <c:v>-277.42680000000024</c:v>
                </c:pt>
                <c:pt idx="102">
                  <c:v>-280.17360000000025</c:v>
                </c:pt>
                <c:pt idx="103">
                  <c:v>-282.92040000000026</c:v>
                </c:pt>
                <c:pt idx="104">
                  <c:v>-285.66720000000026</c:v>
                </c:pt>
                <c:pt idx="105">
                  <c:v>-288.41400000000027</c:v>
                </c:pt>
                <c:pt idx="106">
                  <c:v>-291.16080000000028</c:v>
                </c:pt>
                <c:pt idx="107">
                  <c:v>-293.90760000000029</c:v>
                </c:pt>
                <c:pt idx="108">
                  <c:v>-296.65440000000029</c:v>
                </c:pt>
                <c:pt idx="109">
                  <c:v>-299.4012000000003</c:v>
                </c:pt>
                <c:pt idx="110">
                  <c:v>-302.14800000000031</c:v>
                </c:pt>
                <c:pt idx="111">
                  <c:v>-304.89480000000032</c:v>
                </c:pt>
                <c:pt idx="112">
                  <c:v>-307.64160000000032</c:v>
                </c:pt>
                <c:pt idx="113">
                  <c:v>-310.38840000000033</c:v>
                </c:pt>
                <c:pt idx="114">
                  <c:v>-313.13520000000034</c:v>
                </c:pt>
                <c:pt idx="115">
                  <c:v>-315.88200000000035</c:v>
                </c:pt>
                <c:pt idx="116">
                  <c:v>-318.62880000000035</c:v>
                </c:pt>
                <c:pt idx="117">
                  <c:v>-321.37560000000036</c:v>
                </c:pt>
                <c:pt idx="118">
                  <c:v>-324.12240000000037</c:v>
                </c:pt>
                <c:pt idx="119">
                  <c:v>-326.86920000000038</c:v>
                </c:pt>
                <c:pt idx="120">
                  <c:v>-329.61600000000038</c:v>
                </c:pt>
                <c:pt idx="121">
                  <c:v>-332.36280000000039</c:v>
                </c:pt>
                <c:pt idx="122">
                  <c:v>-335.1096000000004</c:v>
                </c:pt>
                <c:pt idx="123">
                  <c:v>-337.85640000000041</c:v>
                </c:pt>
                <c:pt idx="124">
                  <c:v>-340.60320000000041</c:v>
                </c:pt>
                <c:pt idx="125">
                  <c:v>-343.35000000000042</c:v>
                </c:pt>
                <c:pt idx="126">
                  <c:v>-346.09680000000043</c:v>
                </c:pt>
                <c:pt idx="127">
                  <c:v>-348.84360000000044</c:v>
                </c:pt>
                <c:pt idx="128">
                  <c:v>-351.59040000000044</c:v>
                </c:pt>
                <c:pt idx="129">
                  <c:v>-354.33720000000045</c:v>
                </c:pt>
                <c:pt idx="130">
                  <c:v>-357.08400000000046</c:v>
                </c:pt>
                <c:pt idx="131">
                  <c:v>-359.83080000000047</c:v>
                </c:pt>
                <c:pt idx="132">
                  <c:v>-362.57760000000047</c:v>
                </c:pt>
                <c:pt idx="133">
                  <c:v>-365.32440000000048</c:v>
                </c:pt>
                <c:pt idx="134">
                  <c:v>-368.07120000000049</c:v>
                </c:pt>
                <c:pt idx="135">
                  <c:v>-370.8180000000005</c:v>
                </c:pt>
                <c:pt idx="136">
                  <c:v>-373.5648000000005</c:v>
                </c:pt>
                <c:pt idx="137">
                  <c:v>-376.31160000000051</c:v>
                </c:pt>
                <c:pt idx="138">
                  <c:v>-379.05840000000052</c:v>
                </c:pt>
                <c:pt idx="139">
                  <c:v>-381.80520000000053</c:v>
                </c:pt>
                <c:pt idx="140">
                  <c:v>-384.55200000000053</c:v>
                </c:pt>
                <c:pt idx="141">
                  <c:v>-387.29880000000054</c:v>
                </c:pt>
                <c:pt idx="142">
                  <c:v>-390.04560000000055</c:v>
                </c:pt>
                <c:pt idx="143">
                  <c:v>-392.79240000000055</c:v>
                </c:pt>
                <c:pt idx="144">
                  <c:v>-395.53920000000056</c:v>
                </c:pt>
                <c:pt idx="145">
                  <c:v>-398.28600000000057</c:v>
                </c:pt>
                <c:pt idx="146">
                  <c:v>-401.03280000000058</c:v>
                </c:pt>
                <c:pt idx="147">
                  <c:v>-403.77960000000058</c:v>
                </c:pt>
                <c:pt idx="148">
                  <c:v>-406.52640000000059</c:v>
                </c:pt>
                <c:pt idx="149">
                  <c:v>-409.2732000000006</c:v>
                </c:pt>
                <c:pt idx="150">
                  <c:v>-412.02000000000061</c:v>
                </c:pt>
                <c:pt idx="151">
                  <c:v>-414.76680000000061</c:v>
                </c:pt>
                <c:pt idx="152">
                  <c:v>-417.51360000000062</c:v>
                </c:pt>
                <c:pt idx="153">
                  <c:v>-420.260320512166</c:v>
                </c:pt>
                <c:pt idx="154">
                  <c:v>-423.00269066432332</c:v>
                </c:pt>
                <c:pt idx="155">
                  <c:v>-425.72815650631986</c:v>
                </c:pt>
                <c:pt idx="156">
                  <c:v>-428.4227341699011</c:v>
                </c:pt>
                <c:pt idx="157">
                  <c:v>-431.07180028916355</c:v>
                </c:pt>
                <c:pt idx="158">
                  <c:v>-433.66011396490853</c:v>
                </c:pt>
                <c:pt idx="159">
                  <c:v>-436.17185318992694</c:v>
                </c:pt>
                <c:pt idx="160">
                  <c:v>-438.59066700825628</c:v>
                </c:pt>
                <c:pt idx="161">
                  <c:v>-440.89974452321189</c:v>
                </c:pt>
                <c:pt idx="162">
                  <c:v>-443.08190163406312</c:v>
                </c:pt>
                <c:pt idx="163">
                  <c:v>-445.11968606356504</c:v>
                </c:pt>
                <c:pt idx="164">
                  <c:v>-446.99550083523451</c:v>
                </c:pt>
                <c:pt idx="165">
                  <c:v>-448.69174587152668</c:v>
                </c:pt>
                <c:pt idx="166">
                  <c:v>-450.19097681835262</c:v>
                </c:pt>
                <c:pt idx="167">
                  <c:v>-451.47607957015521</c:v>
                </c:pt>
                <c:pt idx="168">
                  <c:v>-452.53045829210106</c:v>
                </c:pt>
                <c:pt idx="169">
                  <c:v>-453.33823403763967</c:v>
                </c:pt>
                <c:pt idx="170">
                  <c:v>-453.88445037280405</c:v>
                </c:pt>
                <c:pt idx="171">
                  <c:v>-454.15528178041126</c:v>
                </c:pt>
                <c:pt idx="172">
                  <c:v>-454.13824006835148</c:v>
                </c:pt>
                <c:pt idx="173">
                  <c:v>-453.82237358783607</c:v>
                </c:pt>
                <c:pt idx="174">
                  <c:v>-453.19845381898244</c:v>
                </c:pt>
                <c:pt idx="175">
                  <c:v>-452.25914383595591</c:v>
                </c:pt>
                <c:pt idx="176">
                  <c:v>-450.99914334647912</c:v>
                </c:pt>
                <c:pt idx="177">
                  <c:v>-449.41530542304713</c:v>
                </c:pt>
                <c:pt idx="178">
                  <c:v>-447.50672070325356</c:v>
                </c:pt>
                <c:pt idx="179">
                  <c:v>-445.27476571595213</c:v>
                </c:pt>
                <c:pt idx="180">
                  <c:v>-442.72311305445942</c:v>
                </c:pt>
                <c:pt idx="181">
                  <c:v>-439.85770231932287</c:v>
                </c:pt>
                <c:pt idx="182">
                  <c:v>-436.68667203177733</c:v>
                </c:pt>
                <c:pt idx="183">
                  <c:v>-433.22025400836066</c:v>
                </c:pt>
                <c:pt idx="184">
                  <c:v>-429.47063291874849</c:v>
                </c:pt>
                <c:pt idx="185">
                  <c:v>-425.45177485759325</c:v>
                </c:pt>
                <c:pt idx="186">
                  <c:v>-421.17922969032855</c:v>
                </c:pt>
                <c:pt idx="187">
                  <c:v>-416.66991263851867</c:v>
                </c:pt>
                <c:pt idx="188">
                  <c:v>-411.94187102404624</c:v>
                </c:pt>
                <c:pt idx="189">
                  <c:v>-407.01404228201625</c:v>
                </c:pt>
                <c:pt idx="190">
                  <c:v>-401.90600928548162</c:v>
                </c:pt>
                <c:pt idx="191">
                  <c:v>-396.63775872212562</c:v>
                </c:pt>
                <c:pt idx="192">
                  <c:v>-391.2294477576022</c:v>
                </c:pt>
                <c:pt idx="193">
                  <c:v>-385.70118355504701</c:v>
                </c:pt>
                <c:pt idx="194">
                  <c:v>-380.07281944302343</c:v>
                </c:pt>
                <c:pt idx="195">
                  <c:v>-374.3637706836472</c:v>
                </c:pt>
                <c:pt idx="196">
                  <c:v>-368.59285193522294</c:v>
                </c:pt>
                <c:pt idx="197">
                  <c:v>-362.77813767062582</c:v>
                </c:pt>
                <c:pt idx="198">
                  <c:v>-356.93684603792417</c:v>
                </c:pt>
                <c:pt idx="199">
                  <c:v>-351.08524595918436</c:v>
                </c:pt>
                <c:pt idx="200">
                  <c:v>-345.23858667434047</c:v>
                </c:pt>
                <c:pt idx="201">
                  <c:v>-339.4110484586547</c:v>
                </c:pt>
                <c:pt idx="202">
                  <c:v>-333.61571287665203</c:v>
                </c:pt>
                <c:pt idx="203">
                  <c:v>-327.86455067853882</c:v>
                </c:pt>
                <c:pt idx="204">
                  <c:v>-322.16842528851038</c:v>
                </c:pt>
                <c:pt idx="205">
                  <c:v>-316.53710976636427</c:v>
                </c:pt>
                <c:pt idx="206">
                  <c:v>-310.97931513096864</c:v>
                </c:pt>
                <c:pt idx="207">
                  <c:v>-305.50272800217988</c:v>
                </c:pt>
                <c:pt idx="208">
                  <c:v>-300.11405563275599</c:v>
                </c:pt>
                <c:pt idx="209">
                  <c:v>-294.81907655055159</c:v>
                </c:pt>
                <c:pt idx="210">
                  <c:v>-289.62269520204478</c:v>
                </c:pt>
                <c:pt idx="211">
                  <c:v>-284.52899917089485</c:v>
                </c:pt>
                <c:pt idx="212">
                  <c:v>-279.54131773136612</c:v>
                </c:pt>
                <c:pt idx="213">
                  <c:v>-274.66228067939574</c:v>
                </c:pt>
                <c:pt idx="214">
                  <c:v>-269.89387655877545</c:v>
                </c:pt>
                <c:pt idx="215">
                  <c:v>-265.23750956274978</c:v>
                </c:pt>
                <c:pt idx="216">
                  <c:v>-260.69405453995392</c:v>
                </c:pt>
                <c:pt idx="217">
                  <c:v>-256.26390966672108</c:v>
                </c:pt>
                <c:pt idx="218">
                  <c:v>-251.94704646491439</c:v>
                </c:pt>
                <c:pt idx="219">
                  <c:v>-247.74305694576935</c:v>
                </c:pt>
                <c:pt idx="220">
                  <c:v>-243.65119774643335</c:v>
                </c:pt>
                <c:pt idx="221">
                  <c:v>-239.67043119795665</c:v>
                </c:pt>
                <c:pt idx="222">
                  <c:v>-235.79946332262952</c:v>
                </c:pt>
                <c:pt idx="223">
                  <c:v>-232.03677880609493</c:v>
                </c:pt>
                <c:pt idx="224">
                  <c:v>-228.38067302694984</c:v>
                </c:pt>
                <c:pt idx="225">
                  <c:v>-224.82928125491665</c:v>
                </c:pt>
                <c:pt idx="226">
                  <c:v>-221.38060514939411</c:v>
                </c:pt>
                <c:pt idx="227">
                  <c:v>-218.03253670446961</c:v>
                </c:pt>
                <c:pt idx="228">
                  <c:v>-214.78287979537404</c:v>
                </c:pt>
                <c:pt idx="229">
                  <c:v>-211.62936948585562</c:v>
                </c:pt>
                <c:pt idx="230">
                  <c:v>-208.56968925689472</c:v>
                </c:pt>
                <c:pt idx="231">
                  <c:v>-205.60148631532277</c:v>
                </c:pt>
                <c:pt idx="232">
                  <c:v>-202.72238513688305</c:v>
                </c:pt>
                <c:pt idx="233">
                  <c:v>-199.92999939262168</c:v>
                </c:pt>
                <c:pt idx="234">
                  <c:v>-197.22194240067853</c:v>
                </c:pt>
                <c:pt idx="235">
                  <c:v>-194.5958362379335</c:v>
                </c:pt>
                <c:pt idx="236">
                  <c:v>-192.04931963786279</c:v>
                </c:pt>
                <c:pt idx="237">
                  <c:v>-189.58005479261826</c:v>
                </c:pt>
                <c:pt idx="238">
                  <c:v>-187.18573316895493</c:v>
                </c:pt>
                <c:pt idx="239">
                  <c:v>-184.86408043935188</c:v>
                </c:pt>
                <c:pt idx="240">
                  <c:v>-182.61286062161219</c:v>
                </c:pt>
                <c:pt idx="241">
                  <c:v>-180.42987951247554</c:v>
                </c:pt>
                <c:pt idx="242">
                  <c:v>-178.31298749339163</c:v>
                </c:pt>
                <c:pt idx="243">
                  <c:v>-176.2600817796216</c:v>
                </c:pt>
                <c:pt idx="244">
                  <c:v>-174.26910817728438</c:v>
                </c:pt>
                <c:pt idx="245">
                  <c:v>-172.338062406853</c:v>
                </c:pt>
                <c:pt idx="246">
                  <c:v>-170.4649910459332</c:v>
                </c:pt>
                <c:pt idx="247">
                  <c:v>-168.64799213891678</c:v>
                </c:pt>
                <c:pt idx="248">
                  <c:v>-166.88521551627989</c:v>
                </c:pt>
                <c:pt idx="249">
                  <c:v>-165.17486286187685</c:v>
                </c:pt>
                <c:pt idx="250">
                  <c:v>-163.51518756254026</c:v>
                </c:pt>
                <c:pt idx="251">
                  <c:v>-161.90449437061915</c:v>
                </c:pt>
                <c:pt idx="252">
                  <c:v>-160.34113890674288</c:v>
                </c:pt>
                <c:pt idx="253">
                  <c:v>-158.82352702706902</c:v>
                </c:pt>
                <c:pt idx="254">
                  <c:v>-157.35011407653315</c:v>
                </c:pt>
                <c:pt idx="255">
                  <c:v>-155.9194040471464</c:v>
                </c:pt>
                <c:pt idx="256">
                  <c:v>-154.52994865816063</c:v>
                </c:pt>
                <c:pt idx="257">
                  <c:v>-153.18034637291987</c:v>
                </c:pt>
                <c:pt idx="258">
                  <c:v>-151.86924136542191</c:v>
                </c:pt>
                <c:pt idx="259">
                  <c:v>-150.5953224480065</c:v>
                </c:pt>
                <c:pt idx="260">
                  <c:v>-149.35732197014829</c:v>
                </c:pt>
                <c:pt idx="261">
                  <c:v>-148.15401469705063</c:v>
                </c:pt>
                <c:pt idx="262">
                  <c:v>-146.98421667559188</c:v>
                </c:pt>
                <c:pt idx="263">
                  <c:v>-145.84678409415878</c:v>
                </c:pt>
                <c:pt idx="264">
                  <c:v>-144.74061214199722</c:v>
                </c:pt>
                <c:pt idx="265">
                  <c:v>-143.66463387290884</c:v>
                </c:pt>
                <c:pt idx="266">
                  <c:v>-142.61781907741201</c:v>
                </c:pt>
                <c:pt idx="267">
                  <c:v>-141.59917316685775</c:v>
                </c:pt>
                <c:pt idx="268">
                  <c:v>-140.60773607243735</c:v>
                </c:pt>
                <c:pt idx="269">
                  <c:v>-139.64258116153036</c:v>
                </c:pt>
                <c:pt idx="270">
                  <c:v>-138.70281417341252</c:v>
                </c:pt>
                <c:pt idx="271">
                  <c:v>-137.78757217596706</c:v>
                </c:pt>
                <c:pt idx="272">
                  <c:v>-136.89602254471254</c:v>
                </c:pt>
                <c:pt idx="273">
                  <c:v>-136.02736196517355</c:v>
                </c:pt>
                <c:pt idx="274">
                  <c:v>-135.18081545936903</c:v>
                </c:pt>
                <c:pt idx="275">
                  <c:v>-134.35563543697558</c:v>
                </c:pt>
                <c:pt idx="276">
                  <c:v>-133.55110077153458</c:v>
                </c:pt>
                <c:pt idx="277">
                  <c:v>-132.76651590190923</c:v>
                </c:pt>
                <c:pt idx="278">
                  <c:v>-132.00120995905775</c:v>
                </c:pt>
                <c:pt idx="279">
                  <c:v>-131.25453591806951</c:v>
                </c:pt>
                <c:pt idx="280">
                  <c:v>-130.5258697753093</c:v>
                </c:pt>
                <c:pt idx="281">
                  <c:v>-129.81460975042864</c:v>
                </c:pt>
                <c:pt idx="282">
                  <c:v>-129.12017551293098</c:v>
                </c:pt>
                <c:pt idx="283">
                  <c:v>-128.44200743291768</c:v>
                </c:pt>
                <c:pt idx="284">
                  <c:v>-127.77956585559221</c:v>
                </c:pt>
                <c:pt idx="285">
                  <c:v>-127.13233039905961</c:v>
                </c:pt>
                <c:pt idx="286">
                  <c:v>-126.49979927492653</c:v>
                </c:pt>
                <c:pt idx="287">
                  <c:v>-125.88148863118195</c:v>
                </c:pt>
                <c:pt idx="288">
                  <c:v>-125.27693191682005</c:v>
                </c:pt>
                <c:pt idx="289">
                  <c:v>-124.68567926765282</c:v>
                </c:pt>
                <c:pt idx="290">
                  <c:v>-124.10729691275129</c:v>
                </c:pt>
                <c:pt idx="291">
                  <c:v>-123.54136660094916</c:v>
                </c:pt>
                <c:pt idx="292">
                  <c:v>-122.98748504684059</c:v>
                </c:pt>
                <c:pt idx="293">
                  <c:v>-122.44526339570555</c:v>
                </c:pt>
                <c:pt idx="294">
                  <c:v>-121.91432670679939</c:v>
                </c:pt>
                <c:pt idx="295">
                  <c:v>-121.39431345444888</c:v>
                </c:pt>
                <c:pt idx="296">
                  <c:v>-120.88487504640457</c:v>
                </c:pt>
                <c:pt idx="297">
                  <c:v>-120.38567535890775</c:v>
                </c:pt>
                <c:pt idx="298">
                  <c:v>-119.89639028794019</c:v>
                </c:pt>
                <c:pt idx="299">
                  <c:v>-119.41670731613596</c:v>
                </c:pt>
                <c:pt idx="300">
                  <c:v>-118.94632509484552</c:v>
                </c:pt>
                <c:pt idx="301">
                  <c:v>-118.48495304085507</c:v>
                </c:pt>
                <c:pt idx="302">
                  <c:v>-118.032310947276</c:v>
                </c:pt>
                <c:pt idx="303">
                  <c:v>-117.58812860813235</c:v>
                </c:pt>
                <c:pt idx="304">
                  <c:v>-117.15214545618723</c:v>
                </c:pt>
                <c:pt idx="305">
                  <c:v>-116.7241102135618</c:v>
                </c:pt>
                <c:pt idx="306">
                  <c:v>-116.30378055471392</c:v>
                </c:pt>
                <c:pt idx="307">
                  <c:v>-115.89092278135607</c:v>
                </c:pt>
                <c:pt idx="308">
                  <c:v>-115.4853115089053</c:v>
                </c:pt>
                <c:pt idx="309">
                  <c:v>-115.08672936407075</c:v>
                </c:pt>
                <c:pt idx="310">
                  <c:v>-114.69496669319633</c:v>
                </c:pt>
                <c:pt idx="311">
                  <c:v>-114.30982128098888</c:v>
                </c:pt>
                <c:pt idx="312">
                  <c:v>-113.93109807927395</c:v>
                </c:pt>
                <c:pt idx="313">
                  <c:v>-113.55860894543297</c:v>
                </c:pt>
                <c:pt idx="314">
                  <c:v>-113.19217239018727</c:v>
                </c:pt>
                <c:pt idx="315">
                  <c:v>-112.8316133344053</c:v>
                </c:pt>
                <c:pt idx="316">
                  <c:v>-112.47676287462046</c:v>
                </c:pt>
                <c:pt idx="317">
                  <c:v>-112.12745805695727</c:v>
                </c:pt>
                <c:pt idx="318">
                  <c:v>-111.78354165917403</c:v>
                </c:pt>
                <c:pt idx="319">
                  <c:v>-111.44486198053988</c:v>
                </c:pt>
                <c:pt idx="320">
                  <c:v>-111.11127263927378</c:v>
                </c:pt>
                <c:pt idx="321">
                  <c:v>-110.78263237728224</c:v>
                </c:pt>
                <c:pt idx="322">
                  <c:v>-110.45880487194167</c:v>
                </c:pt>
                <c:pt idx="323">
                  <c:v>-110.1396585546797</c:v>
                </c:pt>
                <c:pt idx="324">
                  <c:v>-109.8250664361185</c:v>
                </c:pt>
                <c:pt idx="325">
                  <c:v>-109.51490593755098</c:v>
                </c:pt>
                <c:pt idx="326">
                  <c:v>-109.20905872852862</c:v>
                </c:pt>
                <c:pt idx="327">
                  <c:v>-108.90741057034747</c:v>
                </c:pt>
                <c:pt idx="328">
                  <c:v>-108.60985116522586</c:v>
                </c:pt>
                <c:pt idx="329">
                  <c:v>-108.31627401097455</c:v>
                </c:pt>
                <c:pt idx="330">
                  <c:v>-108.02657626096681</c:v>
                </c:pt>
                <c:pt idx="331">
                  <c:v>-107.74065858922256</c:v>
                </c:pt>
                <c:pt idx="332">
                  <c:v>-107.45842506042702</c:v>
                </c:pt>
                <c:pt idx="333">
                  <c:v>-107.17978300471015</c:v>
                </c:pt>
                <c:pt idx="334">
                  <c:v>-106.90464289701964</c:v>
                </c:pt>
                <c:pt idx="335">
                  <c:v>-106.63291824092536</c:v>
                </c:pt>
                <c:pt idx="336">
                  <c:v>-106.36452545669891</c:v>
                </c:pt>
                <c:pt idx="337">
                  <c:v>-106.09938377351725</c:v>
                </c:pt>
                <c:pt idx="338">
                  <c:v>-105.83741512564448</c:v>
                </c:pt>
                <c:pt idx="339">
                  <c:v>-105.57854405245077</c:v>
                </c:pt>
                <c:pt idx="340">
                  <c:v>-105.32269760213208</c:v>
                </c:pt>
                <c:pt idx="341">
                  <c:v>-105.06980523899942</c:v>
                </c:pt>
                <c:pt idx="342">
                  <c:v>-104.81979875421013</c:v>
                </c:pt>
                <c:pt idx="343">
                  <c:v>-104.57261217981859</c:v>
                </c:pt>
                <c:pt idx="344">
                  <c:v>-104.32818170602779</c:v>
                </c:pt>
                <c:pt idx="345">
                  <c:v>-104.0864456015268</c:v>
                </c:pt>
                <c:pt idx="346">
                  <c:v>-103.84734413680376</c:v>
                </c:pt>
                <c:pt idx="347">
                  <c:v>-103.61081951032712</c:v>
                </c:pt>
                <c:pt idx="348">
                  <c:v>-103.37681577749214</c:v>
                </c:pt>
                <c:pt idx="349">
                  <c:v>-103.14527878223241</c:v>
                </c:pt>
                <c:pt idx="350">
                  <c:v>-102.91615609120025</c:v>
                </c:pt>
                <c:pt idx="351">
                  <c:v>-102.68939693042283</c:v>
                </c:pt>
                <c:pt idx="352">
                  <c:v>-102.46495212434395</c:v>
                </c:pt>
                <c:pt idx="353">
                  <c:v>-102.24277403716469</c:v>
                </c:pt>
                <c:pt idx="354">
                  <c:v>-102.02281651639899</c:v>
                </c:pt>
                <c:pt idx="355">
                  <c:v>-101.8050348385631</c:v>
                </c:pt>
                <c:pt idx="356">
                  <c:v>-101.58938565692083</c:v>
                </c:pt>
                <c:pt idx="357">
                  <c:v>-101.37582695120881</c:v>
                </c:pt>
                <c:pt idx="358">
                  <c:v>-101.1643179792691</c:v>
                </c:pt>
                <c:pt idx="359">
                  <c:v>-100.95481923051845</c:v>
                </c:pt>
                <c:pt idx="360">
                  <c:v>-100.74729238118651</c:v>
                </c:pt>
                <c:pt idx="361">
                  <c:v>-100.54170025125724</c:v>
                </c:pt>
                <c:pt idx="362">
                  <c:v>-100.33800676305023</c:v>
                </c:pt>
                <c:pt idx="363">
                  <c:v>-100.13617690138079</c:v>
                </c:pt>
                <c:pt idx="364">
                  <c:v>-99.936176675240006</c:v>
                </c:pt>
                <c:pt idx="365">
                  <c:v>-99.737973080937579</c:v>
                </c:pt>
                <c:pt idx="366">
                  <c:v>-99.5415340666529</c:v>
                </c:pt>
                <c:pt idx="367">
                  <c:v>-99.346828498341139</c:v>
                </c:pt>
                <c:pt idx="368">
                  <c:v>-99.153826126943429</c:v>
                </c:pt>
                <c:pt idx="369">
                  <c:v>-98.962497556851787</c:v>
                </c:pt>
                <c:pt idx="370">
                  <c:v>-98.772814215581391</c:v>
                </c:pt>
                <c:pt idx="371">
                  <c:v>-98.58474832460432</c:v>
                </c:pt>
                <c:pt idx="372">
                  <c:v>-98.39827287130062</c:v>
                </c:pt>
                <c:pt idx="373">
                  <c:v>-98.213361581984088</c:v>
                </c:pt>
                <c:pt idx="374">
                  <c:v>-98.029988895961878</c:v>
                </c:pt>
                <c:pt idx="375">
                  <c:v>-97.84812994058818</c:v>
                </c:pt>
                <c:pt idx="376">
                  <c:v>-97.667760507274011</c:v>
                </c:pt>
                <c:pt idx="377">
                  <c:v>-97.488857028416362</c:v>
                </c:pt>
                <c:pt idx="378">
                  <c:v>-97.311396555211289</c:v>
                </c:pt>
                <c:pt idx="379">
                  <c:v>-97.135356736316837</c:v>
                </c:pt>
                <c:pt idx="380">
                  <c:v>-96.960715797333094</c:v>
                </c:pt>
                <c:pt idx="381">
                  <c:v>-96.787452521067635</c:v>
                </c:pt>
                <c:pt idx="382">
                  <c:v>-96.615546228555914</c:v>
                </c:pt>
                <c:pt idx="383">
                  <c:v>-96.444976760807364</c:v>
                </c:pt>
                <c:pt idx="384">
                  <c:v>-96.275724461248956</c:v>
                </c:pt>
                <c:pt idx="385">
                  <c:v>-96.107770158838946</c:v>
                </c:pt>
                <c:pt idx="386">
                  <c:v>-95.941095151824868</c:v>
                </c:pt>
                <c:pt idx="387">
                  <c:v>-95.775681192120331</c:v>
                </c:pt>
                <c:pt idx="388">
                  <c:v>-95.61151047027667</c:v>
                </c:pt>
                <c:pt idx="389">
                  <c:v>-95.448565601025976</c:v>
                </c:pt>
                <c:pt idx="390">
                  <c:v>-95.286829609373129</c:v>
                </c:pt>
                <c:pt idx="391">
                  <c:v>-95.126285917215313</c:v>
                </c:pt>
                <c:pt idx="392">
                  <c:v>-94.966918330468204</c:v>
                </c:pt>
                <c:pt idx="393">
                  <c:v>-94.808711026678907</c:v>
                </c:pt>
                <c:pt idx="394">
                  <c:v>-94.651648543106532</c:v>
                </c:pt>
                <c:pt idx="395">
                  <c:v>-94.495715765251802</c:v>
                </c:pt>
                <c:pt idx="396">
                  <c:v>-94.340897915818132</c:v>
                </c:pt>
                <c:pt idx="397">
                  <c:v>-94.187180544087028</c:v>
                </c:pt>
                <c:pt idx="398">
                  <c:v>-94.034549515691481</c:v>
                </c:pt>
                <c:pt idx="399">
                  <c:v>-93.882991002771533</c:v>
                </c:pt>
                <c:pt idx="400">
                  <c:v>-93.732491474496953</c:v>
                </c:pt>
                <c:pt idx="401">
                  <c:v>-93.583037687942451</c:v>
                </c:pt>
                <c:pt idx="402">
                  <c:v>-93.434616679301499</c:v>
                </c:pt>
                <c:pt idx="403">
                  <c:v>-93.287215755425237</c:v>
                </c:pt>
                <c:pt idx="404">
                  <c:v>-93.140822485673709</c:v>
                </c:pt>
                <c:pt idx="405">
                  <c:v>-92.99542469406687</c:v>
                </c:pt>
                <c:pt idx="406">
                  <c:v>-92.85101045172371</c:v>
                </c:pt>
                <c:pt idx="407">
                  <c:v>-92.707568069577761</c:v>
                </c:pt>
                <c:pt idx="408">
                  <c:v>-92.565086091358353</c:v>
                </c:pt>
                <c:pt idx="409">
                  <c:v>-92.423553286826774</c:v>
                </c:pt>
                <c:pt idx="410">
                  <c:v>-92.28295864525748</c:v>
                </c:pt>
                <c:pt idx="411">
                  <c:v>-92.143291369154454</c:v>
                </c:pt>
                <c:pt idx="412">
                  <c:v>-92.004540868193487</c:v>
                </c:pt>
                <c:pt idx="413">
                  <c:v>-91.866696753381476</c:v>
                </c:pt>
                <c:pt idx="414">
                  <c:v>-91.72974883142399</c:v>
                </c:pt>
                <c:pt idx="415">
                  <c:v>-91.593687099293078</c:v>
                </c:pt>
                <c:pt idx="416">
                  <c:v>-91.458501738987209</c:v>
                </c:pt>
                <c:pt idx="417">
                  <c:v>-91.324183112475907</c:v>
                </c:pt>
                <c:pt idx="418">
                  <c:v>-91.190721756821659</c:v>
                </c:pt>
                <c:pt idx="419">
                  <c:v>-91.058108379472273</c:v>
                </c:pt>
                <c:pt idx="420">
                  <c:v>-90.926333853716812</c:v>
                </c:pt>
                <c:pt idx="421">
                  <c:v>-90.795389214298808</c:v>
                </c:pt>
                <c:pt idx="422">
                  <c:v>-90.665265653180455</c:v>
                </c:pt>
                <c:pt idx="423">
                  <c:v>-90.535954515452005</c:v>
                </c:pt>
                <c:pt idx="424">
                  <c:v>-90.407447295380521</c:v>
                </c:pt>
                <c:pt idx="425">
                  <c:v>-90.279735632592718</c:v>
                </c:pt>
                <c:pt idx="426">
                  <c:v>-90.152811308386532</c:v>
                </c:pt>
                <c:pt idx="427">
                  <c:v>-90.026666242166399</c:v>
                </c:pt>
                <c:pt idx="428">
                  <c:v>-89.90129248799758</c:v>
                </c:pt>
                <c:pt idx="429">
                  <c:v>-89.776682231274734</c:v>
                </c:pt>
                <c:pt idx="430">
                  <c:v>-89.652827785500449</c:v>
                </c:pt>
                <c:pt idx="431">
                  <c:v>-89.529721589169441</c:v>
                </c:pt>
                <c:pt idx="432">
                  <c:v>-89.407356202754329</c:v>
                </c:pt>
                <c:pt idx="433">
                  <c:v>-89.285724305789117</c:v>
                </c:pt>
                <c:pt idx="434">
                  <c:v>-89.16481869404663</c:v>
                </c:pt>
                <c:pt idx="435">
                  <c:v>-89.044632276806354</c:v>
                </c:pt>
                <c:pt idx="436">
                  <c:v>-88.925158074209094</c:v>
                </c:pt>
                <c:pt idx="437">
                  <c:v>-88.806389214695358</c:v>
                </c:pt>
                <c:pt idx="438">
                  <c:v>-88.688318932524155</c:v>
                </c:pt>
                <c:pt idx="439">
                  <c:v>-88.57094056536917</c:v>
                </c:pt>
                <c:pt idx="440">
                  <c:v>-88.454247551989496</c:v>
                </c:pt>
                <c:pt idx="441">
                  <c:v>-88.338233429972021</c:v>
                </c:pt>
                <c:pt idx="442">
                  <c:v>-88.222891833542903</c:v>
                </c:pt>
                <c:pt idx="443">
                  <c:v>-88.108216491445447</c:v>
                </c:pt>
                <c:pt idx="444">
                  <c:v>-87.994201224881991</c:v>
                </c:pt>
                <c:pt idx="445">
                  <c:v>-87.880839945517437</c:v>
                </c:pt>
                <c:pt idx="446">
                  <c:v>-87.768126653542083</c:v>
                </c:pt>
                <c:pt idx="447">
                  <c:v>-87.656055435791728</c:v>
                </c:pt>
                <c:pt idx="448">
                  <c:v>-87.544620463922755</c:v>
                </c:pt>
                <c:pt idx="449">
                  <c:v>-87.433815992640419</c:v>
                </c:pt>
                <c:pt idx="450">
                  <c:v>-87.323636357978174</c:v>
                </c:pt>
                <c:pt idx="451">
                  <c:v>-87.214075975626471</c:v>
                </c:pt>
                <c:pt idx="452">
                  <c:v>-87.105129339308974</c:v>
                </c:pt>
                <c:pt idx="453">
                  <c:v>-86.996791019204693</c:v>
                </c:pt>
                <c:pt idx="454">
                  <c:v>-86.889055660414385</c:v>
                </c:pt>
                <c:pt idx="455">
                  <c:v>-86.781917981469491</c:v>
                </c:pt>
                <c:pt idx="456">
                  <c:v>-86.675372772882383</c:v>
                </c:pt>
                <c:pt idx="457">
                  <c:v>-86.569414895736202</c:v>
                </c:pt>
                <c:pt idx="458">
                  <c:v>-86.464039280313102</c:v>
                </c:pt>
                <c:pt idx="459">
                  <c:v>-86.359240924759504</c:v>
                </c:pt>
                <c:pt idx="460">
                  <c:v>-86.255014893787035</c:v>
                </c:pt>
                <c:pt idx="461">
                  <c:v>-86.151356317407988</c:v>
                </c:pt>
                <c:pt idx="462">
                  <c:v>-86.048260389704168</c:v>
                </c:pt>
                <c:pt idx="463">
                  <c:v>-85.945722367627837</c:v>
                </c:pt>
                <c:pt idx="464">
                  <c:v>-85.843737569833891</c:v>
                </c:pt>
                <c:pt idx="465">
                  <c:v>-85.742301375541984</c:v>
                </c:pt>
                <c:pt idx="466">
                  <c:v>-85.641409223427857</c:v>
                </c:pt>
                <c:pt idx="467">
                  <c:v>-85.541056610542654</c:v>
                </c:pt>
                <c:pt idx="468">
                  <c:v>-85.44123909125949</c:v>
                </c:pt>
                <c:pt idx="469">
                  <c:v>-85.341952276246332</c:v>
                </c:pt>
                <c:pt idx="470">
                  <c:v>-85.243191831464259</c:v>
                </c:pt>
                <c:pt idx="471">
                  <c:v>-85.144953477190356</c:v>
                </c:pt>
                <c:pt idx="472">
                  <c:v>-85.04723298706449</c:v>
                </c:pt>
                <c:pt idx="473">
                  <c:v>-84.950026187159068</c:v>
                </c:pt>
                <c:pt idx="474">
                  <c:v>-84.853328955071234</c:v>
                </c:pt>
                <c:pt idx="475">
                  <c:v>-84.757137219036593</c:v>
                </c:pt>
                <c:pt idx="476">
                  <c:v>-84.661446957063987</c:v>
                </c:pt>
                <c:pt idx="477">
                  <c:v>-84.566254196090526</c:v>
                </c:pt>
                <c:pt idx="478">
                  <c:v>-84.471555011156312</c:v>
                </c:pt>
                <c:pt idx="479">
                  <c:v>-84.37734552459824</c:v>
                </c:pt>
                <c:pt idx="480">
                  <c:v>-84.283621905262308</c:v>
                </c:pt>
                <c:pt idx="481">
                  <c:v>-84.190380367733837</c:v>
                </c:pt>
                <c:pt idx="482">
                  <c:v>-84.097617171585156</c:v>
                </c:pt>
                <c:pt idx="483">
                  <c:v>-84.0053286206401</c:v>
                </c:pt>
                <c:pt idx="484">
                  <c:v>-83.913511062254884</c:v>
                </c:pt>
                <c:pt idx="485">
                  <c:v>-83.822160886614967</c:v>
                </c:pt>
                <c:pt idx="486">
                  <c:v>-83.731274526047258</c:v>
                </c:pt>
                <c:pt idx="487">
                  <c:v>-83.640848454347363</c:v>
                </c:pt>
                <c:pt idx="488">
                  <c:v>-83.550879186121392</c:v>
                </c:pt>
                <c:pt idx="489">
                  <c:v>-83.461363276141867</c:v>
                </c:pt>
                <c:pt idx="490">
                  <c:v>-83.372297318717415</c:v>
                </c:pt>
                <c:pt idx="491">
                  <c:v>-83.283677947075816</c:v>
                </c:pt>
                <c:pt idx="492">
                  <c:v>-83.195501832759973</c:v>
                </c:pt>
                <c:pt idx="493">
                  <c:v>-83.107765685036611</c:v>
                </c:pt>
                <c:pt idx="494">
                  <c:v>-83.020466250317128</c:v>
                </c:pt>
                <c:pt idx="495">
                  <c:v>-82.933600311590482</c:v>
                </c:pt>
                <c:pt idx="496">
                  <c:v>-82.847164687867647</c:v>
                </c:pt>
                <c:pt idx="497">
                  <c:v>-82.761156233637365</c:v>
                </c:pt>
                <c:pt idx="498">
                  <c:v>-82.675571838332914</c:v>
                </c:pt>
                <c:pt idx="499">
                  <c:v>-82.590408425809585</c:v>
                </c:pt>
                <c:pt idx="500">
                  <c:v>-82.505662953832569</c:v>
                </c:pt>
                <c:pt idx="501">
                  <c:v>-82.421332413574973</c:v>
                </c:pt>
                <c:pt idx="502">
                  <c:v>-82.337413829125808</c:v>
                </c:pt>
                <c:pt idx="503">
                  <c:v>-82.253904257007491</c:v>
                </c:pt>
                <c:pt idx="504">
                  <c:v>-82.170800785702838</c:v>
                </c:pt>
                <c:pt idx="505">
                  <c:v>-82.088100535191117</c:v>
                </c:pt>
                <c:pt idx="506">
                  <c:v>-82.005800656493079</c:v>
                </c:pt>
                <c:pt idx="507">
                  <c:v>-81.923898331224635</c:v>
                </c:pt>
                <c:pt idx="508">
                  <c:v>-81.842390771159046</c:v>
                </c:pt>
                <c:pt idx="509">
                  <c:v>-81.761275217797333</c:v>
                </c:pt>
                <c:pt idx="510">
                  <c:v>-81.68054894194681</c:v>
                </c:pt>
                <c:pt idx="511">
                  <c:v>-81.600209243307418</c:v>
                </c:pt>
                <c:pt idx="512">
                  <c:v>-81.520253450065738</c:v>
                </c:pt>
                <c:pt idx="513">
                  <c:v>-81.440678918496573</c:v>
                </c:pt>
                <c:pt idx="514">
                  <c:v>-81.361483032571726</c:v>
                </c:pt>
                <c:pt idx="515">
                  <c:v>-81.282663203576007</c:v>
                </c:pt>
                <c:pt idx="516">
                  <c:v>-81.204216869730132</c:v>
                </c:pt>
                <c:pt idx="517">
                  <c:v>-81.126141495820505</c:v>
                </c:pt>
                <c:pt idx="518">
                  <c:v>-81.048434572835589</c:v>
                </c:pt>
                <c:pt idx="519">
                  <c:v>-80.971093617608773</c:v>
                </c:pt>
                <c:pt idx="520">
                  <c:v>-80.894116172467605</c:v>
                </c:pt>
                <c:pt idx="521">
                  <c:v>-80.817499804889238</c:v>
                </c:pt>
                <c:pt idx="522">
                  <c:v>-80.741242107161867</c:v>
                </c:pt>
                <c:pt idx="523">
                  <c:v>-80.665340696052169</c:v>
                </c:pt>
                <c:pt idx="524">
                  <c:v>-80.589793212478469</c:v>
                </c:pt>
                <c:pt idx="525">
                  <c:v>-80.514597321189598</c:v>
                </c:pt>
                <c:pt idx="526">
                  <c:v>-80.439750710449289</c:v>
                </c:pt>
                <c:pt idx="527">
                  <c:v>-80.365251091725938</c:v>
                </c:pt>
                <c:pt idx="528">
                  <c:v>-80.291096199387738</c:v>
                </c:pt>
                <c:pt idx="529">
                  <c:v>-80.217283790402917</c:v>
                </c:pt>
                <c:pt idx="530">
                  <c:v>-80.143811644045115</c:v>
                </c:pt>
                <c:pt idx="531">
                  <c:v>-80.070677561603645</c:v>
                </c:pt>
                <c:pt idx="532">
                  <c:v>-79.997879366098658</c:v>
                </c:pt>
                <c:pt idx="533">
                  <c:v>-79.925414902001066</c:v>
                </c:pt>
                <c:pt idx="534">
                  <c:v>-79.853282034957061</c:v>
                </c:pt>
                <c:pt idx="535">
                  <c:v>-79.781478651517219</c:v>
                </c:pt>
                <c:pt idx="536">
                  <c:v>-79.710002658870096</c:v>
                </c:pt>
                <c:pt idx="537">
                  <c:v>-79.638851984580143</c:v>
                </c:pt>
                <c:pt idx="538">
                  <c:v>-79.568024576329876</c:v>
                </c:pt>
                <c:pt idx="539">
                  <c:v>-79.497518401666312</c:v>
                </c:pt>
                <c:pt idx="540">
                  <c:v>-79.427331447751428</c:v>
                </c:pt>
                <c:pt idx="541">
                  <c:v>-79.357461721116707</c:v>
                </c:pt>
                <c:pt idx="542">
                  <c:v>-79.287907247421529</c:v>
                </c:pt>
                <c:pt idx="543">
                  <c:v>-79.218666071215537</c:v>
                </c:pt>
                <c:pt idx="544">
                  <c:v>-79.149736255704696</c:v>
                </c:pt>
                <c:pt idx="545">
                  <c:v>-79.08111588252109</c:v>
                </c:pt>
                <c:pt idx="546">
                  <c:v>-79.012803051496363</c:v>
                </c:pt>
                <c:pt idx="547">
                  <c:v>-78.944795880438704</c:v>
                </c:pt>
                <c:pt idx="548">
                  <c:v>-78.877092504913321</c:v>
                </c:pt>
                <c:pt idx="549">
                  <c:v>-78.809691078026361</c:v>
                </c:pt>
                <c:pt idx="550">
                  <c:v>-78.742589770212163</c:v>
                </c:pt>
                <c:pt idx="551">
                  <c:v>-78.675786769023816</c:v>
                </c:pt>
                <c:pt idx="552">
                  <c:v>-78.609280278926946</c:v>
                </c:pt>
                <c:pt idx="553">
                  <c:v>-78.5430685210967</c:v>
                </c:pt>
                <c:pt idx="554">
                  <c:v>-78.477149733217743</c:v>
                </c:pt>
                <c:pt idx="555">
                  <c:v>-78.411522169287451</c:v>
                </c:pt>
                <c:pt idx="556">
                  <c:v>-78.346184099421947</c:v>
                </c:pt>
                <c:pt idx="557">
                  <c:v>-78.281133809665178</c:v>
                </c:pt>
                <c:pt idx="558">
                  <c:v>-78.216369601800807</c:v>
                </c:pt>
                <c:pt idx="559">
                  <c:v>-78.151889793167001</c:v>
                </c:pt>
                <c:pt idx="560">
                  <c:v>-78.08769271647391</c:v>
                </c:pt>
                <c:pt idx="561">
                  <c:v>-78.023776719623925</c:v>
                </c:pt>
                <c:pt idx="562">
                  <c:v>-77.960140165534611</c:v>
                </c:pt>
                <c:pt idx="563">
                  <c:v>-77.896781431964243</c:v>
                </c:pt>
                <c:pt idx="564">
                  <c:v>-77.833698911339908</c:v>
                </c:pt>
                <c:pt idx="565">
                  <c:v>-77.770891010588201</c:v>
                </c:pt>
                <c:pt idx="566">
                  <c:v>-77.708356150968299</c:v>
                </c:pt>
                <c:pt idx="567">
                  <c:v>-77.646092767907604</c:v>
                </c:pt>
                <c:pt idx="568">
                  <c:v>-77.584099310839648</c:v>
                </c:pt>
                <c:pt idx="569">
                  <c:v>-77.522374243044496</c:v>
                </c:pt>
                <c:pt idx="570">
                  <c:v>-77.460916041491316</c:v>
                </c:pt>
                <c:pt idx="571">
                  <c:v>-77.399723196683325</c:v>
                </c:pt>
                <c:pt idx="572">
                  <c:v>-77.338794212504922</c:v>
                </c:pt>
                <c:pt idx="573">
                  <c:v>-77.278127606071038</c:v>
                </c:pt>
                <c:pt idx="574">
                  <c:v>-77.217721907578579</c:v>
                </c:pt>
                <c:pt idx="575">
                  <c:v>-77.157575660160077</c:v>
                </c:pt>
                <c:pt idx="576">
                  <c:v>-77.097687419739358</c:v>
                </c:pt>
                <c:pt idx="577">
                  <c:v>-77.038055754889243</c:v>
                </c:pt>
                <c:pt idx="578">
                  <c:v>-76.978679246691328</c:v>
                </c:pt>
                <c:pt idx="579">
                  <c:v>-76.919556488597664</c:v>
                </c:pt>
                <c:pt idx="580">
                  <c:v>-76.860686086294422</c:v>
                </c:pt>
                <c:pt idx="581">
                  <c:v>-76.802066657567423</c:v>
                </c:pt>
                <c:pt idx="582">
                  <c:v>-76.743696832169618</c:v>
                </c:pt>
                <c:pt idx="583">
                  <c:v>-76.68557525169031</c:v>
                </c:pt>
                <c:pt idx="584">
                  <c:v>-76.627700569426281</c:v>
                </c:pt>
                <c:pt idx="585">
                  <c:v>-76.570071450254645</c:v>
                </c:pt>
                <c:pt idx="586">
                  <c:v>-76.512686570507469</c:v>
                </c:pt>
                <c:pt idx="587">
                  <c:v>-76.455544617848133</c:v>
                </c:pt>
                <c:pt idx="588">
                  <c:v>-76.398644291149353</c:v>
                </c:pt>
                <c:pt idx="589">
                  <c:v>-76.341984300372886</c:v>
                </c:pt>
                <c:pt idx="590">
                  <c:v>-76.285563366450901</c:v>
                </c:pt>
                <c:pt idx="591">
                  <c:v>-76.229380221168896</c:v>
                </c:pt>
                <c:pt idx="592">
                  <c:v>-76.173433607050256</c:v>
                </c:pt>
                <c:pt idx="593">
                  <c:v>-76.117722277242365</c:v>
                </c:pt>
                <c:pt idx="594">
                  <c:v>-76.062244995404214</c:v>
                </c:pt>
                <c:pt idx="595">
                  <c:v>-76.007000535595594</c:v>
                </c:pt>
                <c:pt idx="596">
                  <c:v>-75.951987682167683</c:v>
                </c:pt>
                <c:pt idx="597">
                  <c:v>-75.897205229655128</c:v>
                </c:pt>
                <c:pt idx="598">
                  <c:v>-75.842651982669622</c:v>
                </c:pt>
                <c:pt idx="599">
                  <c:v>-75.788326755794799</c:v>
                </c:pt>
                <c:pt idx="600">
                  <c:v>-75.734228373482594</c:v>
                </c:pt>
                <c:pt idx="601">
                  <c:v>-75.680355669950927</c:v>
                </c:pt>
                <c:pt idx="602">
                  <c:v>-75.62670748908279</c:v>
                </c:pt>
                <c:pt idx="603">
                  <c:v>-75.573282684326585</c:v>
                </c:pt>
                <c:pt idx="604">
                  <c:v>-75.520080118597832</c:v>
                </c:pt>
                <c:pt idx="605">
                  <c:v>-75.467098664182146</c:v>
                </c:pt>
                <c:pt idx="606">
                  <c:v>-75.41433720263943</c:v>
                </c:pt>
                <c:pt idx="607">
                  <c:v>-75.361794624709404</c:v>
                </c:pt>
                <c:pt idx="608">
                  <c:v>-75.309469830218291</c:v>
                </c:pt>
                <c:pt idx="609">
                  <c:v>-75.257361727986734</c:v>
                </c:pt>
                <c:pt idx="610">
                  <c:v>-75.205469235738889</c:v>
                </c:pt>
                <c:pt idx="611">
                  <c:v>-75.153791280012712</c:v>
                </c:pt>
                <c:pt idx="612">
                  <c:v>-75.102326796071353</c:v>
                </c:pt>
                <c:pt idx="613">
                  <c:v>-75.051074727815745</c:v>
                </c:pt>
                <c:pt idx="614">
                  <c:v>-75.000034027698277</c:v>
                </c:pt>
                <c:pt idx="615">
                  <c:v>-74.94920365663755</c:v>
                </c:pt>
                <c:pt idx="616">
                  <c:v>-74.898582583934243</c:v>
                </c:pt>
                <c:pt idx="617">
                  <c:v>-74.848169787188041</c:v>
                </c:pt>
                <c:pt idx="618">
                  <c:v>-74.797964252215607</c:v>
                </c:pt>
                <c:pt idx="619">
                  <c:v>-74.747964972969584</c:v>
                </c:pt>
                <c:pt idx="620">
                  <c:v>-74.698170951458636</c:v>
                </c:pt>
                <c:pt idx="621">
                  <c:v>-74.648581197668491</c:v>
                </c:pt>
                <c:pt idx="622">
                  <c:v>-74.599194729483941</c:v>
                </c:pt>
                <c:pt idx="623">
                  <c:v>-74.550010572611839</c:v>
                </c:pt>
                <c:pt idx="624">
                  <c:v>-74.501027760505067</c:v>
                </c:pt>
                <c:pt idx="625">
                  <c:v>-74.452245334287454</c:v>
                </c:pt>
                <c:pt idx="626">
                  <c:v>-74.403662342679553</c:v>
                </c:pt>
                <c:pt idx="627">
                  <c:v>-74.355277841925457</c:v>
                </c:pt>
                <c:pt idx="628">
                  <c:v>-74.307090895720407</c:v>
                </c:pt>
                <c:pt idx="629">
                  <c:v>-74.259100575139357</c:v>
                </c:pt>
                <c:pt idx="630">
                  <c:v>-74.211305958566413</c:v>
                </c:pt>
                <c:pt idx="631">
                  <c:v>-74.163706131625091</c:v>
                </c:pt>
                <c:pt idx="632">
                  <c:v>-74.116300187109474</c:v>
                </c:pt>
                <c:pt idx="633">
                  <c:v>-74.069087224916217</c:v>
                </c:pt>
                <c:pt idx="634">
                  <c:v>-74.022066351977315</c:v>
                </c:pt>
                <c:pt idx="635">
                  <c:v>-73.975236682193753</c:v>
                </c:pt>
                <c:pt idx="636">
                  <c:v>-73.928597336369933</c:v>
                </c:pt>
                <c:pt idx="637">
                  <c:v>-73.88214744214892</c:v>
                </c:pt>
                <c:pt idx="638">
                  <c:v>-73.835886133948406</c:v>
                </c:pt>
                <c:pt idx="639">
                  <c:v>-73.78981255289753</c:v>
                </c:pt>
                <c:pt idx="640">
                  <c:v>-73.74392584677436</c:v>
                </c:pt>
                <c:pt idx="641">
                  <c:v>-73.698225169944251</c:v>
                </c:pt>
                <c:pt idx="642">
                  <c:v>-73.652709683298809</c:v>
                </c:pt>
                <c:pt idx="643">
                  <c:v>-73.607378554195648</c:v>
                </c:pt>
                <c:pt idx="644">
                  <c:v>-73.562230956398878</c:v>
                </c:pt>
                <c:pt idx="645">
                  <c:v>-73.517266070020284</c:v>
                </c:pt>
                <c:pt idx="646">
                  <c:v>-73.472483081461164</c:v>
                </c:pt>
                <c:pt idx="647">
                  <c:v>-73.427881183354927</c:v>
                </c:pt>
                <c:pt idx="648">
                  <c:v>-73.383459574510312</c:v>
                </c:pt>
                <c:pt idx="649">
                  <c:v>-73.339217459855305</c:v>
                </c:pt>
                <c:pt idx="650">
                  <c:v>-73.295154050381697</c:v>
                </c:pt>
                <c:pt idx="651">
                  <c:v>-73.251268563090292</c:v>
                </c:pt>
                <c:pt idx="652">
                  <c:v>-73.207560220936784</c:v>
                </c:pt>
                <c:pt idx="653">
                  <c:v>-73.164028252778266</c:v>
                </c:pt>
                <c:pt idx="654">
                  <c:v>-73.120671893320278</c:v>
                </c:pt>
                <c:pt idx="655">
                  <c:v>-73.077490383064614</c:v>
                </c:pt>
                <c:pt idx="656">
                  <c:v>-73.03448296825762</c:v>
                </c:pt>
                <c:pt idx="657">
                  <c:v>-72.991648900839124</c:v>
                </c:pt>
                <c:pt idx="658">
                  <c:v>-72.948987438391981</c:v>
                </c:pt>
                <c:pt idx="659">
                  <c:v>-72.906497844092172</c:v>
                </c:pt>
                <c:pt idx="660">
                  <c:v>-72.864179386659501</c:v>
                </c:pt>
                <c:pt idx="661">
                  <c:v>-72.822031340308826</c:v>
                </c:pt>
                <c:pt idx="662">
                  <c:v>-72.780052984701868</c:v>
                </c:pt>
                <c:pt idx="663">
                  <c:v>-72.738243604899608</c:v>
                </c:pt>
                <c:pt idx="664">
                  <c:v>-72.696602491315161</c:v>
                </c:pt>
                <c:pt idx="665">
                  <c:v>-72.655128939667208</c:v>
                </c:pt>
                <c:pt idx="666">
                  <c:v>-72.613822250934007</c:v>
                </c:pt>
                <c:pt idx="667">
                  <c:v>-72.572681731307881</c:v>
                </c:pt>
                <c:pt idx="668">
                  <c:v>-72.531706692150195</c:v>
                </c:pt>
                <c:pt idx="669">
                  <c:v>-72.490896449946931</c:v>
                </c:pt>
                <c:pt idx="670">
                  <c:v>-72.450250326264666</c:v>
                </c:pt>
                <c:pt idx="671">
                  <c:v>-72.409767647707127</c:v>
                </c:pt>
                <c:pt idx="672">
                  <c:v>-72.369447745872165</c:v>
                </c:pt>
                <c:pt idx="673">
                  <c:v>-72.329289957309285</c:v>
                </c:pt>
                <c:pt idx="674">
                  <c:v>-72.289293623477604</c:v>
                </c:pt>
                <c:pt idx="675">
                  <c:v>-72.24945809070428</c:v>
                </c:pt>
                <c:pt idx="676">
                  <c:v>-72.209782710143429</c:v>
                </c:pt>
                <c:pt idx="677">
                  <c:v>-72.170266837735468</c:v>
                </c:pt>
                <c:pt idx="678">
                  <c:v>-72.130909834166957</c:v>
                </c:pt>
                <c:pt idx="679">
                  <c:v>-72.091711064830847</c:v>
                </c:pt>
                <c:pt idx="680">
                  <c:v>-72.052669899787205</c:v>
                </c:pt>
                <c:pt idx="681">
                  <c:v>-72.013785713724303</c:v>
                </c:pt>
                <c:pt idx="682">
                  <c:v>-71.975057885920236</c:v>
                </c:pt>
                <c:pt idx="683">
                  <c:v>-71.936485800204892</c:v>
                </c:pt>
                <c:pt idx="684">
                  <c:v>-71.898068844922378</c:v>
                </c:pt>
                <c:pt idx="685">
                  <c:v>-71.859806412893818</c:v>
                </c:pt>
                <c:pt idx="686">
                  <c:v>-71.821697901380603</c:v>
                </c:pt>
                <c:pt idx="687">
                  <c:v>-71.783742712048038</c:v>
                </c:pt>
                <c:pt idx="688">
                  <c:v>-71.745940250929365</c:v>
                </c:pt>
                <c:pt idx="689">
                  <c:v>-71.708289928390187</c:v>
                </c:pt>
                <c:pt idx="690">
                  <c:v>-71.670791159093284</c:v>
                </c:pt>
                <c:pt idx="691">
                  <c:v>-71.633443361963813</c:v>
                </c:pt>
                <c:pt idx="692">
                  <c:v>-71.596245960154917</c:v>
                </c:pt>
                <c:pt idx="693">
                  <c:v>-71.559198381013601</c:v>
                </c:pt>
                <c:pt idx="694">
                  <c:v>-71.522300056047143</c:v>
                </c:pt>
                <c:pt idx="695">
                  <c:v>-71.485550420889709</c:v>
                </c:pt>
                <c:pt idx="696">
                  <c:v>-71.448948915269426</c:v>
                </c:pt>
                <c:pt idx="697">
                  <c:v>-71.412494982975787</c:v>
                </c:pt>
                <c:pt idx="698">
                  <c:v>-71.376188071827386</c:v>
                </c:pt>
                <c:pt idx="699">
                  <c:v>-71.340027633640048</c:v>
                </c:pt>
                <c:pt idx="700">
                  <c:v>-71.304013124195222</c:v>
                </c:pt>
                <c:pt idx="701">
                  <c:v>-71.268144003208818</c:v>
                </c:pt>
                <c:pt idx="702">
                  <c:v>-71.232419734300265</c:v>
                </c:pt>
                <c:pt idx="703">
                  <c:v>-71.196839784961995</c:v>
                </c:pt>
                <c:pt idx="704">
                  <c:v>-71.161403626529207</c:v>
                </c:pt>
                <c:pt idx="705">
                  <c:v>-71.126110734149947</c:v>
                </c:pt>
                <c:pt idx="706">
                  <c:v>-71.090960586755529</c:v>
                </c:pt>
                <c:pt idx="707">
                  <c:v>-71.055952667031278</c:v>
                </c:pt>
                <c:pt idx="708">
                  <c:v>-71.021086461387526</c:v>
                </c:pt>
                <c:pt idx="709">
                  <c:v>-70.98636145993099</c:v>
                </c:pt>
                <c:pt idx="710">
                  <c:v>-70.951777156436435</c:v>
                </c:pt>
                <c:pt idx="711">
                  <c:v>-70.917333048318568</c:v>
                </c:pt>
                <c:pt idx="712">
                  <c:v>-70.883028636604323</c:v>
                </c:pt>
                <c:pt idx="713">
                  <c:v>-70.848863425905392</c:v>
                </c:pt>
                <c:pt idx="714">
                  <c:v>-70.814836924391059</c:v>
                </c:pt>
                <c:pt idx="715">
                  <c:v>-70.780948643761306</c:v>
                </c:pt>
                <c:pt idx="716">
                  <c:v>-70.747198099220171</c:v>
                </c:pt>
                <c:pt idx="717">
                  <c:v>-70.7135848094495</c:v>
                </c:pt>
                <c:pt idx="718">
                  <c:v>-70.68010829658283</c:v>
                </c:pt>
                <c:pt idx="719">
                  <c:v>-70.646768086179648</c:v>
                </c:pt>
                <c:pt idx="720">
                  <c:v>-70.613563707199873</c:v>
                </c:pt>
                <c:pt idx="721">
                  <c:v>-70.580494691978615</c:v>
                </c:pt>
                <c:pt idx="722">
                  <c:v>-70.547560576201207</c:v>
                </c:pt>
                <c:pt idx="723">
                  <c:v>-70.514760898878464</c:v>
                </c:pt>
                <c:pt idx="724">
                  <c:v>-70.482095202322256</c:v>
                </c:pt>
                <c:pt idx="725">
                  <c:v>-70.449563032121276</c:v>
                </c:pt>
                <c:pt idx="726">
                  <c:v>-70.41716393711711</c:v>
                </c:pt>
                <c:pt idx="727">
                  <c:v>-70.384897469380533</c:v>
                </c:pt>
                <c:pt idx="728">
                  <c:v>-70.352763184188007</c:v>
                </c:pt>
                <c:pt idx="729">
                  <c:v>-70.320760639998511</c:v>
                </c:pt>
                <c:pt idx="730">
                  <c:v>-70.28888939843057</c:v>
                </c:pt>
                <c:pt idx="731">
                  <c:v>-70.257149024239467</c:v>
                </c:pt>
                <c:pt idx="732">
                  <c:v>-70.225539085294798</c:v>
                </c:pt>
                <c:pt idx="733">
                  <c:v>-70.194059152558154</c:v>
                </c:pt>
                <c:pt idx="734">
                  <c:v>-70.162708800061111</c:v>
                </c:pt>
                <c:pt idx="735">
                  <c:v>-70.13148760488339</c:v>
                </c:pt>
                <c:pt idx="736">
                  <c:v>-70.100395147131294</c:v>
                </c:pt>
                <c:pt idx="737">
                  <c:v>-70.069431009916315</c:v>
                </c:pt>
                <c:pt idx="738">
                  <c:v>-70.038594779334019</c:v>
                </c:pt>
                <c:pt idx="739">
                  <c:v>-70.007886044443069</c:v>
                </c:pt>
                <c:pt idx="740">
                  <c:v>-69.977304397244524</c:v>
                </c:pt>
                <c:pt idx="741">
                  <c:v>-69.946849432661381</c:v>
                </c:pt>
                <c:pt idx="742">
                  <c:v>-69.916520748518195</c:v>
                </c:pt>
                <c:pt idx="743">
                  <c:v>-69.886317945521071</c:v>
                </c:pt>
                <c:pt idx="744">
                  <c:v>-69.856240627237753</c:v>
                </c:pt>
                <c:pt idx="745">
                  <c:v>-69.826288400077914</c:v>
                </c:pt>
                <c:pt idx="746">
                  <c:v>-69.79646087327373</c:v>
                </c:pt>
                <c:pt idx="747">
                  <c:v>-69.76675765886057</c:v>
                </c:pt>
                <c:pt idx="748">
                  <c:v>-69.737178371657933</c:v>
                </c:pt>
                <c:pt idx="749">
                  <c:v>-69.70772262925054</c:v>
                </c:pt>
                <c:pt idx="750">
                  <c:v>-69.678390051969657</c:v>
                </c:pt>
                <c:pt idx="751">
                  <c:v>-69.649180262874566</c:v>
                </c:pt>
                <c:pt idx="752">
                  <c:v>-69.620092887734288</c:v>
                </c:pt>
                <c:pt idx="753">
                  <c:v>-69.591127555009422</c:v>
                </c:pt>
                <c:pt idx="754">
                  <c:v>-69.562283895834213</c:v>
                </c:pt>
                <c:pt idx="755">
                  <c:v>-69.533561543998758</c:v>
                </c:pt>
                <c:pt idx="756">
                  <c:v>-69.504960135931483</c:v>
                </c:pt>
                <c:pt idx="757">
                  <c:v>-69.476479310681682</c:v>
                </c:pt>
                <c:pt idx="758">
                  <c:v>-69.448118709902317</c:v>
                </c:pt>
                <c:pt idx="759">
                  <c:v>-69.419877977832968</c:v>
                </c:pt>
                <c:pt idx="760">
                  <c:v>-69.391756761282934</c:v>
                </c:pt>
                <c:pt idx="761">
                  <c:v>-69.363754709614525</c:v>
                </c:pt>
                <c:pt idx="762">
                  <c:v>-69.335871474726545</c:v>
                </c:pt>
                <c:pt idx="763">
                  <c:v>-69.308106711037922</c:v>
                </c:pt>
                <c:pt idx="764">
                  <c:v>-69.280460075471453</c:v>
                </c:pt>
                <c:pt idx="765">
                  <c:v>-69.252931227437827</c:v>
                </c:pt>
                <c:pt idx="766">
                  <c:v>-69.225519828819699</c:v>
                </c:pt>
                <c:pt idx="767">
                  <c:v>-69.198225543955985</c:v>
                </c:pt>
                <c:pt idx="768">
                  <c:v>-69.171048039626328</c:v>
                </c:pt>
                <c:pt idx="769">
                  <c:v>-69.143986985035653</c:v>
                </c:pt>
                <c:pt idx="770">
                  <c:v>-69.117042051798947</c:v>
                </c:pt>
                <c:pt idx="771">
                  <c:v>-69.09021291392618</c:v>
                </c:pt>
                <c:pt idx="772">
                  <c:v>-69.063499247807329</c:v>
                </c:pt>
                <c:pt idx="773">
                  <c:v>-69.036900732197623</c:v>
                </c:pt>
                <c:pt idx="774">
                  <c:v>-69.010417048202896</c:v>
                </c:pt>
                <c:pt idx="775">
                  <c:v>-68.984047879265106</c:v>
                </c:pt>
                <c:pt idx="776">
                  <c:v>-68.957792911147962</c:v>
                </c:pt>
                <c:pt idx="777">
                  <c:v>-68.931651831922778</c:v>
                </c:pt>
                <c:pt idx="778">
                  <c:v>-68.905624331954371</c:v>
                </c:pt>
                <c:pt idx="779">
                  <c:v>-68.879710103887177</c:v>
                </c:pt>
                <c:pt idx="780">
                  <c:v>-68.853908842631483</c:v>
                </c:pt>
                <c:pt idx="781">
                  <c:v>-68.828220245349797</c:v>
                </c:pt>
                <c:pt idx="782">
                  <c:v>-68.802644011443348</c:v>
                </c:pt>
                <c:pt idx="783">
                  <c:v>-68.777179842538715</c:v>
                </c:pt>
                <c:pt idx="784">
                  <c:v>-68.751827442474664</c:v>
                </c:pt>
                <c:pt idx="785">
                  <c:v>-68.726586517289007</c:v>
                </c:pt>
                <c:pt idx="786">
                  <c:v>-68.701456775205699</c:v>
                </c:pt>
                <c:pt idx="787">
                  <c:v>-68.676437926621958</c:v>
                </c:pt>
                <c:pt idx="788">
                  <c:v>-68.651529684095649</c:v>
                </c:pt>
                <c:pt idx="789">
                  <c:v>-68.626731762332668</c:v>
                </c:pt>
                <c:pt idx="790">
                  <c:v>-68.602043878174527</c:v>
                </c:pt>
                <c:pt idx="791">
                  <c:v>-68.577465750586072</c:v>
                </c:pt>
                <c:pt idx="792">
                  <c:v>-68.552997100643296</c:v>
                </c:pt>
                <c:pt idx="793">
                  <c:v>-68.528637651521251</c:v>
                </c:pt>
                <c:pt idx="794">
                  <c:v>-68.504387128482151</c:v>
                </c:pt>
                <c:pt idx="795">
                  <c:v>-68.480245258863562</c:v>
                </c:pt>
                <c:pt idx="796">
                  <c:v>-68.456211772066709</c:v>
                </c:pt>
                <c:pt idx="797">
                  <c:v>-68.432286399544907</c:v>
                </c:pt>
                <c:pt idx="798">
                  <c:v>-68.408468874792121</c:v>
                </c:pt>
                <c:pt idx="799">
                  <c:v>-68.384758933331611</c:v>
                </c:pt>
                <c:pt idx="800">
                  <c:v>-68.36115631270475</c:v>
                </c:pt>
                <c:pt idx="801">
                  <c:v>-68.337660752459911</c:v>
                </c:pt>
                <c:pt idx="802">
                  <c:v>-68.314271994141464</c:v>
                </c:pt>
                <c:pt idx="803">
                  <c:v>-68.290989781278938</c:v>
                </c:pt>
                <c:pt idx="804">
                  <c:v>-68.267813859376247</c:v>
                </c:pt>
                <c:pt idx="805">
                  <c:v>-68.244743975901059</c:v>
                </c:pt>
                <c:pt idx="806">
                  <c:v>-68.221779880274227</c:v>
                </c:pt>
                <c:pt idx="807">
                  <c:v>-68.198921323859395</c:v>
                </c:pt>
                <c:pt idx="808">
                  <c:v>-68.176168059952658</c:v>
                </c:pt>
                <c:pt idx="809">
                  <c:v>-68.153519843772372</c:v>
                </c:pt>
                <c:pt idx="810">
                  <c:v>-68.130976432449032</c:v>
                </c:pt>
                <c:pt idx="811">
                  <c:v>-68.108537585015299</c:v>
                </c:pt>
                <c:pt idx="812">
                  <c:v>-68.086203062396066</c:v>
                </c:pt>
                <c:pt idx="813">
                  <c:v>-68.063972627398698</c:v>
                </c:pt>
                <c:pt idx="814">
                  <c:v>-68.041846044703348</c:v>
                </c:pt>
                <c:pt idx="815">
                  <c:v>-68.019823080853371</c:v>
                </c:pt>
                <c:pt idx="816">
                  <c:v>-67.997903504245826</c:v>
                </c:pt>
                <c:pt idx="817">
                  <c:v>-67.976087085122103</c:v>
                </c:pt>
                <c:pt idx="818">
                  <c:v>-67.954373595558664</c:v>
                </c:pt>
                <c:pt idx="819">
                  <c:v>-67.932762809457799</c:v>
                </c:pt>
                <c:pt idx="820">
                  <c:v>-67.911254502538597</c:v>
                </c:pt>
                <c:pt idx="821">
                  <c:v>-67.889848452327939</c:v>
                </c:pt>
                <c:pt idx="822">
                  <c:v>-67.868544438151602</c:v>
                </c:pt>
                <c:pt idx="823">
                  <c:v>-67.84734224112546</c:v>
                </c:pt>
                <c:pt idx="824">
                  <c:v>-67.826241644146776</c:v>
                </c:pt>
                <c:pt idx="825">
                  <c:v>-67.805242431885617</c:v>
                </c:pt>
                <c:pt idx="826">
                  <c:v>-67.784344390776312</c:v>
                </c:pt>
                <c:pt idx="827">
                  <c:v>-67.763547309009027</c:v>
                </c:pt>
                <c:pt idx="828">
                  <c:v>-67.742850976521481</c:v>
                </c:pt>
                <c:pt idx="829">
                  <c:v>-67.72225518499063</c:v>
                </c:pt>
                <c:pt idx="830">
                  <c:v>-67.701759727824594</c:v>
                </c:pt>
                <c:pt idx="831">
                  <c:v>-67.681364400154521</c:v>
                </c:pt>
                <c:pt idx="832">
                  <c:v>-67.661068998826693</c:v>
                </c:pt>
                <c:pt idx="833">
                  <c:v>-67.640873322394569</c:v>
                </c:pt>
                <c:pt idx="834">
                  <c:v>-67.62077717111103</c:v>
                </c:pt>
                <c:pt idx="835">
                  <c:v>-67.600780346920672</c:v>
                </c:pt>
                <c:pt idx="836">
                  <c:v>-67.58088265345215</c:v>
                </c:pt>
                <c:pt idx="837">
                  <c:v>-67.561083896010686</c:v>
                </c:pt>
                <c:pt idx="838">
                  <c:v>-67.541383881570582</c:v>
                </c:pt>
                <c:pt idx="839">
                  <c:v>-67.521782418767842</c:v>
                </c:pt>
                <c:pt idx="840">
                  <c:v>-67.502279317892928</c:v>
                </c:pt>
                <c:pt idx="841">
                  <c:v>-67.482874390883509</c:v>
                </c:pt>
                <c:pt idx="842">
                  <c:v>-67.463567451317388</c:v>
                </c:pt>
                <c:pt idx="843">
                  <c:v>-67.444358314405406</c:v>
                </c:pt>
                <c:pt idx="844">
                  <c:v>-67.425246796984553</c:v>
                </c:pt>
                <c:pt idx="845">
                  <c:v>-67.406232717511017</c:v>
                </c:pt>
                <c:pt idx="846">
                  <c:v>-67.387315896053451</c:v>
                </c:pt>
                <c:pt idx="847">
                  <c:v>-67.36849615428622</c:v>
                </c:pt>
                <c:pt idx="848">
                  <c:v>-67.349773315482764</c:v>
                </c:pt>
                <c:pt idx="849">
                  <c:v>-67.331147204509051</c:v>
                </c:pt>
                <c:pt idx="850">
                  <c:v>-67.312617647817078</c:v>
                </c:pt>
                <c:pt idx="851">
                  <c:v>-67.294184473438477</c:v>
                </c:pt>
                <c:pt idx="852">
                  <c:v>-67.275847510978167</c:v>
                </c:pt>
                <c:pt idx="853">
                  <c:v>-67.257606591608138</c:v>
                </c:pt>
                <c:pt idx="854">
                  <c:v>-67.239461548061215</c:v>
                </c:pt>
                <c:pt idx="855">
                  <c:v>-67.221412214625005</c:v>
                </c:pt>
                <c:pt idx="856">
                  <c:v>-67.203458427135857</c:v>
                </c:pt>
                <c:pt idx="857">
                  <c:v>-67.185600022972906</c:v>
                </c:pt>
                <c:pt idx="858">
                  <c:v>-67.167836841052178</c:v>
                </c:pt>
                <c:pt idx="859">
                  <c:v>-67.150168721820791</c:v>
                </c:pt>
                <c:pt idx="860">
                  <c:v>-67.132595507251239</c:v>
                </c:pt>
                <c:pt idx="861">
                  <c:v>-67.115117040835699</c:v>
                </c:pt>
                <c:pt idx="862">
                  <c:v>-67.097733167580458</c:v>
                </c:pt>
                <c:pt idx="863">
                  <c:v>-67.080443734000383</c:v>
                </c:pt>
                <c:pt idx="864">
                  <c:v>-67.063248588113495</c:v>
                </c:pt>
                <c:pt idx="865">
                  <c:v>-67.046147579435569</c:v>
                </c:pt>
                <c:pt idx="866">
                  <c:v>-67.029140558974817</c:v>
                </c:pt>
                <c:pt idx="867">
                  <c:v>-67.012227379226658</c:v>
                </c:pt>
                <c:pt idx="868">
                  <c:v>-66.995407894168594</c:v>
                </c:pt>
                <c:pt idx="869">
                  <c:v>-66.978681959255013</c:v>
                </c:pt>
                <c:pt idx="870">
                  <c:v>-66.962049431412254</c:v>
                </c:pt>
                <c:pt idx="871">
                  <c:v>-66.945510169033582</c:v>
                </c:pt>
                <c:pt idx="872">
                  <c:v>-66.929064031974306</c:v>
                </c:pt>
                <c:pt idx="873">
                  <c:v>-66.912710881546943</c:v>
                </c:pt>
                <c:pt idx="874">
                  <c:v>-66.896450580516472</c:v>
                </c:pt>
                <c:pt idx="875">
                  <c:v>-66.880282993095634</c:v>
                </c:pt>
                <c:pt idx="876">
                  <c:v>-66.864207984940279</c:v>
                </c:pt>
                <c:pt idx="877">
                  <c:v>-66.848225423144825</c:v>
                </c:pt>
                <c:pt idx="878">
                  <c:v>-66.832335176237734</c:v>
                </c:pt>
                <c:pt idx="879">
                  <c:v>-66.816537114177095</c:v>
                </c:pt>
                <c:pt idx="880">
                  <c:v>-66.800831108346259</c:v>
                </c:pt>
                <c:pt idx="881">
                  <c:v>-66.785217031549521</c:v>
                </c:pt>
                <c:pt idx="882">
                  <c:v>-66.769694758007887</c:v>
                </c:pt>
                <c:pt idx="883">
                  <c:v>-66.754264163354861</c:v>
                </c:pt>
                <c:pt idx="884">
                  <c:v>-66.738925124632374</c:v>
                </c:pt>
                <c:pt idx="885">
                  <c:v>-66.723677520286714</c:v>
                </c:pt>
                <c:pt idx="886">
                  <c:v>-66.708521230164536</c:v>
                </c:pt>
                <c:pt idx="887">
                  <c:v>-66.693456135508939</c:v>
                </c:pt>
                <c:pt idx="888">
                  <c:v>-66.678482118955586</c:v>
                </c:pt>
                <c:pt idx="889">
                  <c:v>-66.663599064528924</c:v>
                </c:pt>
                <c:pt idx="890">
                  <c:v>-66.648806857638419</c:v>
                </c:pt>
                <c:pt idx="891">
                  <c:v>-66.634105385074889</c:v>
                </c:pt>
                <c:pt idx="892">
                  <c:v>-66.619494535006893</c:v>
                </c:pt>
                <c:pt idx="893">
                  <c:v>-66.604974196977153</c:v>
                </c:pt>
                <c:pt idx="894">
                  <c:v>-66.590544261899069</c:v>
                </c:pt>
                <c:pt idx="895">
                  <c:v>-66.576204622053254</c:v>
                </c:pt>
                <c:pt idx="896">
                  <c:v>-66.561955171084207</c:v>
                </c:pt>
                <c:pt idx="897">
                  <c:v>-66.547795803996948</c:v>
                </c:pt>
                <c:pt idx="898">
                  <c:v>-66.533726417153773</c:v>
                </c:pt>
                <c:pt idx="899">
                  <c:v>-66.51974690827106</c:v>
                </c:pt>
                <c:pt idx="900">
                  <c:v>-66.505857176416129</c:v>
                </c:pt>
                <c:pt idx="901">
                  <c:v>-66.492057122004141</c:v>
                </c:pt>
                <c:pt idx="902">
                  <c:v>-66.478346646795117</c:v>
                </c:pt>
                <c:pt idx="903">
                  <c:v>-66.464725653890909</c:v>
                </c:pt>
                <c:pt idx="904">
                  <c:v>-66.451194047732358</c:v>
                </c:pt>
                <c:pt idx="905">
                  <c:v>-66.437751734096395</c:v>
                </c:pt>
                <c:pt idx="906">
                  <c:v>-66.424398620093285</c:v>
                </c:pt>
                <c:pt idx="907">
                  <c:v>-66.411134614163856</c:v>
                </c:pt>
                <c:pt idx="908">
                  <c:v>-66.397959626076869</c:v>
                </c:pt>
                <c:pt idx="909">
                  <c:v>-66.384873566926359</c:v>
                </c:pt>
                <c:pt idx="910">
                  <c:v>-66.371876349129067</c:v>
                </c:pt>
                <c:pt idx="911">
                  <c:v>-66.358967886421993</c:v>
                </c:pt>
                <c:pt idx="912">
                  <c:v>-66.346148093859881</c:v>
                </c:pt>
                <c:pt idx="913">
                  <c:v>-66.333416887812859</c:v>
                </c:pt>
                <c:pt idx="914">
                  <c:v>-66.320774185964098</c:v>
                </c:pt>
                <c:pt idx="915">
                  <c:v>-66.308219907307517</c:v>
                </c:pt>
                <c:pt idx="916">
                  <c:v>-66.29575397214559</c:v>
                </c:pt>
                <c:pt idx="917">
                  <c:v>-66.283376302087149</c:v>
                </c:pt>
                <c:pt idx="918">
                  <c:v>-66.271086820045284</c:v>
                </c:pt>
                <c:pt idx="919">
                  <c:v>-66.258885450235283</c:v>
                </c:pt>
                <c:pt idx="920">
                  <c:v>-66.246772118172629</c:v>
                </c:pt>
                <c:pt idx="921">
                  <c:v>-66.23474675067105</c:v>
                </c:pt>
                <c:pt idx="922">
                  <c:v>-66.222809275840632</c:v>
                </c:pt>
                <c:pt idx="923">
                  <c:v>-66.210959623085998</c:v>
                </c:pt>
                <c:pt idx="924">
                  <c:v>-66.199197723104504</c:v>
                </c:pt>
                <c:pt idx="925">
                  <c:v>-66.187523507884507</c:v>
                </c:pt>
                <c:pt idx="926">
                  <c:v>-66.175936910703726</c:v>
                </c:pt>
                <c:pt idx="927">
                  <c:v>-66.164437866127599</c:v>
                </c:pt>
                <c:pt idx="928">
                  <c:v>-66.153026310007718</c:v>
                </c:pt>
                <c:pt idx="929">
                  <c:v>-66.141702179480333</c:v>
                </c:pt>
                <c:pt idx="930">
                  <c:v>-66.130465412964924</c:v>
                </c:pt>
                <c:pt idx="931">
                  <c:v>-66.119315950162729</c:v>
                </c:pt>
                <c:pt idx="932">
                  <c:v>-66.108253732055474</c:v>
                </c:pt>
                <c:pt idx="933">
                  <c:v>-66.097278700904056</c:v>
                </c:pt>
                <c:pt idx="934">
                  <c:v>-66.086390800247273</c:v>
                </c:pt>
                <c:pt idx="935">
                  <c:v>-66.07558997490068</c:v>
                </c:pt>
                <c:pt idx="936">
                  <c:v>-66.064876170955472</c:v>
                </c:pt>
                <c:pt idx="937">
                  <c:v>-66.054249335777357</c:v>
                </c:pt>
                <c:pt idx="938">
                  <c:v>-66.043709418005577</c:v>
                </c:pt>
                <c:pt idx="939">
                  <c:v>-66.033256367551942</c:v>
                </c:pt>
                <c:pt idx="940">
                  <c:v>-66.02289013559988</c:v>
                </c:pt>
                <c:pt idx="941">
                  <c:v>-66.012610674603621</c:v>
                </c:pt>
                <c:pt idx="942">
                  <c:v>-66.002417938287351</c:v>
                </c:pt>
                <c:pt idx="943">
                  <c:v>-65.992311881644497</c:v>
                </c:pt>
                <c:pt idx="944">
                  <c:v>-65.982292460937003</c:v>
                </c:pt>
                <c:pt idx="945">
                  <c:v>-65.972359633694694</c:v>
                </c:pt>
                <c:pt idx="946">
                  <c:v>-65.962513358714673</c:v>
                </c:pt>
                <c:pt idx="947">
                  <c:v>-65.952753596060802</c:v>
                </c:pt>
                <c:pt idx="948">
                  <c:v>-65.943080307063227</c:v>
                </c:pt>
                <c:pt idx="949">
                  <c:v>-65.933493454317897</c:v>
                </c:pt>
                <c:pt idx="950">
                  <c:v>-65.923993001686242</c:v>
                </c:pt>
                <c:pt idx="951">
                  <c:v>-65.914578914294836</c:v>
                </c:pt>
                <c:pt idx="952">
                  <c:v>-65.905251158535094</c:v>
                </c:pt>
                <c:pt idx="953">
                  <c:v>-65.896009702063097</c:v>
                </c:pt>
                <c:pt idx="954">
                  <c:v>-65.88685451379942</c:v>
                </c:pt>
                <c:pt idx="955">
                  <c:v>-65.87778556392901</c:v>
                </c:pt>
                <c:pt idx="956">
                  <c:v>-65.868802823901149</c:v>
                </c:pt>
                <c:pt idx="957">
                  <c:v>-65.859906266429434</c:v>
                </c:pt>
                <c:pt idx="958">
                  <c:v>-65.851095865491843</c:v>
                </c:pt>
                <c:pt idx="959">
                  <c:v>-65.84237159633085</c:v>
                </c:pt>
                <c:pt idx="960">
                  <c:v>-65.833733435453581</c:v>
                </c:pt>
                <c:pt idx="961">
                  <c:v>-65.825181360632001</c:v>
                </c:pt>
                <c:pt idx="962">
                  <c:v>-65.816715350903237</c:v>
                </c:pt>
                <c:pt idx="963">
                  <c:v>-65.808335386569837</c:v>
                </c:pt>
                <c:pt idx="964">
                  <c:v>-65.800041449200208</c:v>
                </c:pt>
                <c:pt idx="965">
                  <c:v>-65.791833521629016</c:v>
                </c:pt>
                <c:pt idx="966">
                  <c:v>-65.783711587957669</c:v>
                </c:pt>
                <c:pt idx="967">
                  <c:v>-65.775675633554883</c:v>
                </c:pt>
                <c:pt idx="968">
                  <c:v>-65.76772564505724</c:v>
                </c:pt>
                <c:pt idx="969">
                  <c:v>-65.759861610369867</c:v>
                </c:pt>
                <c:pt idx="970">
                  <c:v>-65.752083518667135</c:v>
                </c:pt>
                <c:pt idx="971">
                  <c:v>-65.744391360393422</c:v>
                </c:pt>
                <c:pt idx="972">
                  <c:v>-65.736785127263914</c:v>
                </c:pt>
                <c:pt idx="973">
                  <c:v>-65.72926481226547</c:v>
                </c:pt>
                <c:pt idx="974">
                  <c:v>-65.721830409657585</c:v>
                </c:pt>
                <c:pt idx="975">
                  <c:v>-65.714481914973334</c:v>
                </c:pt>
                <c:pt idx="976">
                  <c:v>-65.707219325020404</c:v>
                </c:pt>
                <c:pt idx="977">
                  <c:v>-65.700042637882206</c:v>
                </c:pt>
                <c:pt idx="978">
                  <c:v>-65.692951852919023</c:v>
                </c:pt>
                <c:pt idx="979">
                  <c:v>-65.685946970769209</c:v>
                </c:pt>
                <c:pt idx="980">
                  <c:v>-65.679027993350417</c:v>
                </c:pt>
                <c:pt idx="981">
                  <c:v>-65.672194923860943</c:v>
                </c:pt>
                <c:pt idx="982">
                  <c:v>-65.665447766781128</c:v>
                </c:pt>
                <c:pt idx="983">
                  <c:v>-65.65878652787471</c:v>
                </c:pt>
                <c:pt idx="984">
                  <c:v>-65.652211214190373</c:v>
                </c:pt>
                <c:pt idx="985">
                  <c:v>-65.645721834063252</c:v>
                </c:pt>
                <c:pt idx="986">
                  <c:v>-65.639318397116568</c:v>
                </c:pt>
                <c:pt idx="987">
                  <c:v>-65.633000914263221</c:v>
                </c:pt>
                <c:pt idx="988">
                  <c:v>-65.626769397707577</c:v>
                </c:pt>
                <c:pt idx="989">
                  <c:v>-65.620623860947177</c:v>
                </c:pt>
                <c:pt idx="990">
                  <c:v>-65.614564318774612</c:v>
                </c:pt>
                <c:pt idx="991">
                  <c:v>-65.608590787279368</c:v>
                </c:pt>
                <c:pt idx="992">
                  <c:v>-65.602703283849806</c:v>
                </c:pt>
                <c:pt idx="993">
                  <c:v>-65.596901827175131</c:v>
                </c:pt>
                <c:pt idx="994">
                  <c:v>-65.591186437247472</c:v>
                </c:pt>
                <c:pt idx="995">
                  <c:v>-65.585557135364027</c:v>
                </c:pt>
                <c:pt idx="996">
                  <c:v>-65.580013944129178</c:v>
                </c:pt>
                <c:pt idx="997">
                  <c:v>-65.574556887456794</c:v>
                </c:pt>
                <c:pt idx="998">
                  <c:v>-65.569185990572493</c:v>
                </c:pt>
                <c:pt idx="999">
                  <c:v>-65.563901280016012</c:v>
                </c:pt>
                <c:pt idx="1000">
                  <c:v>-65.558702783643625</c:v>
                </c:pt>
                <c:pt idx="1001">
                  <c:v>-65.553590530630601</c:v>
                </c:pt>
                <c:pt idx="1002">
                  <c:v>-65.548564551473774</c:v>
                </c:pt>
                <c:pt idx="1003">
                  <c:v>-65.543624877994134</c:v>
                </c:pt>
                <c:pt idx="1004">
                  <c:v>-65.538771543339465</c:v>
                </c:pt>
                <c:pt idx="1005">
                  <c:v>-65.534004581987091</c:v>
                </c:pt>
                <c:pt idx="1006">
                  <c:v>-65.529324029746675</c:v>
                </c:pt>
                <c:pt idx="1007">
                  <c:v>-65.524729923763019</c:v>
                </c:pt>
                <c:pt idx="1008">
                  <c:v>-65.520222302519002</c:v>
                </c:pt>
                <c:pt idx="1009">
                  <c:v>-65.515801205838557</c:v>
                </c:pt>
                <c:pt idx="1010">
                  <c:v>-65.511466674889675</c:v>
                </c:pt>
                <c:pt idx="1011">
                  <c:v>-65.507218752187526</c:v>
                </c:pt>
                <c:pt idx="1012">
                  <c:v>-65.503057481597637</c:v>
                </c:pt>
                <c:pt idx="1013">
                  <c:v>-65.498982908339059</c:v>
                </c:pt>
                <c:pt idx="1014">
                  <c:v>-65.494995078987714</c:v>
                </c:pt>
                <c:pt idx="1015">
                  <c:v>-65.491094041479712</c:v>
                </c:pt>
                <c:pt idx="1016">
                  <c:v>-65.487279845114784</c:v>
                </c:pt>
                <c:pt idx="1017">
                  <c:v>-65.483552540559771</c:v>
                </c:pt>
                <c:pt idx="1018">
                  <c:v>-65.479912179852164</c:v>
                </c:pt>
                <c:pt idx="1019">
                  <c:v>-65.476358816403717</c:v>
                </c:pt>
                <c:pt idx="1020">
                  <c:v>-65.472892505004125</c:v>
                </c:pt>
                <c:pt idx="1021">
                  <c:v>-65.469513301824804</c:v>
                </c:pt>
                <c:pt idx="1022">
                  <c:v>-65.466221264422643</c:v>
                </c:pt>
                <c:pt idx="1023">
                  <c:v>-65.463016451743954</c:v>
                </c:pt>
                <c:pt idx="1024">
                  <c:v>-65.459898924128396</c:v>
                </c:pt>
                <c:pt idx="1025">
                  <c:v>-65.456868743312981</c:v>
                </c:pt>
                <c:pt idx="1026">
                  <c:v>-65.453925972436181</c:v>
                </c:pt>
                <c:pt idx="1027">
                  <c:v>-65.451070676042065</c:v>
                </c:pt>
                <c:pt idx="1028">
                  <c:v>-65.448302920084558</c:v>
                </c:pt>
                <c:pt idx="1029">
                  <c:v>-65.44562277193171</c:v>
                </c:pt>
                <c:pt idx="1030">
                  <c:v>-65.443030300370083</c:v>
                </c:pt>
                <c:pt idx="1031">
                  <c:v>-65.440525575609158</c:v>
                </c:pt>
                <c:pt idx="1032">
                  <c:v>-65.438108669285896</c:v>
                </c:pt>
                <c:pt idx="1033">
                  <c:v>-65.435779654469258</c:v>
                </c:pt>
                <c:pt idx="1034">
                  <c:v>-65.433538605664936</c:v>
                </c:pt>
                <c:pt idx="1035">
                  <c:v>-65.431385598819986</c:v>
                </c:pt>
                <c:pt idx="1036">
                  <c:v>-65.429320711327719</c:v>
                </c:pt>
                <c:pt idx="1037">
                  <c:v>-65.427344022032514</c:v>
                </c:pt>
                <c:pt idx="1038">
                  <c:v>-65.425455611234796</c:v>
                </c:pt>
                <c:pt idx="1039">
                  <c:v>-65.423655560696034</c:v>
                </c:pt>
                <c:pt idx="1040">
                  <c:v>-65.42194395364389</c:v>
                </c:pt>
                <c:pt idx="1041">
                  <c:v>-65.420320874777346</c:v>
                </c:pt>
                <c:pt idx="1042">
                  <c:v>-65.418786410271963</c:v>
                </c:pt>
                <c:pt idx="1043">
                  <c:v>-65.417340647785224</c:v>
                </c:pt>
                <c:pt idx="1044">
                  <c:v>-65.415983676461934</c:v>
                </c:pt>
                <c:pt idx="1045">
                  <c:v>-65.414715586939707</c:v>
                </c:pt>
                <c:pt idx="1046">
                  <c:v>-65.413536471354519</c:v>
                </c:pt>
              </c:numCache>
            </c:numRef>
          </c:xVal>
          <c:yVal>
            <c:numRef>
              <c:f>Hoja2!$I$4:$I$1050</c:f>
              <c:numCache>
                <c:formatCode>0.0000" m "</c:formatCode>
                <c:ptCount val="1047"/>
                <c:pt idx="0">
                  <c:v>38970</c:v>
                </c:pt>
                <c:pt idx="1">
                  <c:v>38969.615447999997</c:v>
                </c:pt>
                <c:pt idx="2">
                  <c:v>38968.461791999995</c:v>
                </c:pt>
                <c:pt idx="3">
                  <c:v>38966.539031999993</c:v>
                </c:pt>
                <c:pt idx="4">
                  <c:v>38963.847167999993</c:v>
                </c:pt>
                <c:pt idx="5">
                  <c:v>38960.386199999994</c:v>
                </c:pt>
                <c:pt idx="6">
                  <c:v>38956.156127999995</c:v>
                </c:pt>
                <c:pt idx="7">
                  <c:v>38951.156951999998</c:v>
                </c:pt>
                <c:pt idx="8">
                  <c:v>38945.388672000001</c:v>
                </c:pt>
                <c:pt idx="9">
                  <c:v>38938.851287999998</c:v>
                </c:pt>
                <c:pt idx="10">
                  <c:v>38931.544799999996</c:v>
                </c:pt>
                <c:pt idx="11">
                  <c:v>38923.469207999995</c:v>
                </c:pt>
                <c:pt idx="12">
                  <c:v>38914.624511999995</c:v>
                </c:pt>
                <c:pt idx="13">
                  <c:v>38905.010711999996</c:v>
                </c:pt>
                <c:pt idx="14">
                  <c:v>38894.627807999997</c:v>
                </c:pt>
                <c:pt idx="15">
                  <c:v>38883.4758</c:v>
                </c:pt>
                <c:pt idx="16">
                  <c:v>38871.554687999997</c:v>
                </c:pt>
                <c:pt idx="17">
                  <c:v>38858.864471999994</c:v>
                </c:pt>
                <c:pt idx="18">
                  <c:v>38845.405151999992</c:v>
                </c:pt>
                <c:pt idx="19">
                  <c:v>38831.176727999991</c:v>
                </c:pt>
                <c:pt idx="20">
                  <c:v>38816.179199999991</c:v>
                </c:pt>
                <c:pt idx="21">
                  <c:v>38800.412567999992</c:v>
                </c:pt>
                <c:pt idx="22">
                  <c:v>38783.876831999994</c:v>
                </c:pt>
                <c:pt idx="23">
                  <c:v>38766.571991999997</c:v>
                </c:pt>
                <c:pt idx="24">
                  <c:v>38748.498047999994</c:v>
                </c:pt>
                <c:pt idx="25">
                  <c:v>38729.654999999992</c:v>
                </c:pt>
                <c:pt idx="26">
                  <c:v>38710.04284799999</c:v>
                </c:pt>
                <c:pt idx="27">
                  <c:v>38689.661591999989</c:v>
                </c:pt>
                <c:pt idx="28">
                  <c:v>38668.51123199999</c:v>
                </c:pt>
                <c:pt idx="29">
                  <c:v>38646.591767999991</c:v>
                </c:pt>
                <c:pt idx="30">
                  <c:v>38623.903199999993</c:v>
                </c:pt>
                <c:pt idx="31">
                  <c:v>38600.445527999997</c:v>
                </c:pt>
                <c:pt idx="32">
                  <c:v>38576.218751999993</c:v>
                </c:pt>
                <c:pt idx="33">
                  <c:v>38551.222871999991</c:v>
                </c:pt>
                <c:pt idx="34">
                  <c:v>38525.45788799999</c:v>
                </c:pt>
                <c:pt idx="35">
                  <c:v>38498.92379999999</c:v>
                </c:pt>
                <c:pt idx="36">
                  <c:v>38471.62060799999</c:v>
                </c:pt>
                <c:pt idx="37">
                  <c:v>38443.548311999992</c:v>
                </c:pt>
                <c:pt idx="38">
                  <c:v>38414.706911999994</c:v>
                </c:pt>
                <c:pt idx="39">
                  <c:v>38385.096407999998</c:v>
                </c:pt>
                <c:pt idx="40">
                  <c:v>38354.716799999995</c:v>
                </c:pt>
                <c:pt idx="41">
                  <c:v>38323.568087999993</c:v>
                </c:pt>
                <c:pt idx="42">
                  <c:v>38291.650271999992</c:v>
                </c:pt>
                <c:pt idx="43">
                  <c:v>38258.963351999992</c:v>
                </c:pt>
                <c:pt idx="44">
                  <c:v>38225.507327999992</c:v>
                </c:pt>
                <c:pt idx="45">
                  <c:v>38191.282199999994</c:v>
                </c:pt>
                <c:pt idx="46">
                  <c:v>38156.287967999997</c:v>
                </c:pt>
                <c:pt idx="47">
                  <c:v>38120.524632000001</c:v>
                </c:pt>
                <c:pt idx="48">
                  <c:v>38083.992191999998</c:v>
                </c:pt>
                <c:pt idx="49">
                  <c:v>38046.690647999996</c:v>
                </c:pt>
                <c:pt idx="50">
                  <c:v>38008.619999999995</c:v>
                </c:pt>
                <c:pt idx="51">
                  <c:v>37969.780247999995</c:v>
                </c:pt>
                <c:pt idx="52">
                  <c:v>37930.171391999997</c:v>
                </c:pt>
                <c:pt idx="53">
                  <c:v>37889.793431999999</c:v>
                </c:pt>
                <c:pt idx="54">
                  <c:v>37848.646368000002</c:v>
                </c:pt>
                <c:pt idx="55">
                  <c:v>37806.730199999998</c:v>
                </c:pt>
                <c:pt idx="56">
                  <c:v>37764.044927999996</c:v>
                </c:pt>
                <c:pt idx="57">
                  <c:v>37720.590551999994</c:v>
                </c:pt>
                <c:pt idx="58">
                  <c:v>37676.367071999994</c:v>
                </c:pt>
                <c:pt idx="59">
                  <c:v>37631.374487999994</c:v>
                </c:pt>
                <c:pt idx="60">
                  <c:v>37585.612799999995</c:v>
                </c:pt>
                <c:pt idx="61">
                  <c:v>37539.082007999998</c:v>
                </c:pt>
                <c:pt idx="62">
                  <c:v>37491.782112000001</c:v>
                </c:pt>
                <c:pt idx="63">
                  <c:v>37443.713111999998</c:v>
                </c:pt>
                <c:pt idx="64">
                  <c:v>37394.875007999995</c:v>
                </c:pt>
                <c:pt idx="65">
                  <c:v>37345.267799999994</c:v>
                </c:pt>
                <c:pt idx="66">
                  <c:v>37294.891487999994</c:v>
                </c:pt>
                <c:pt idx="67">
                  <c:v>37243.746071999994</c:v>
                </c:pt>
                <c:pt idx="68">
                  <c:v>37191.831551999996</c:v>
                </c:pt>
                <c:pt idx="69">
                  <c:v>37139.147927999999</c:v>
                </c:pt>
                <c:pt idx="70">
                  <c:v>37085.695200000002</c:v>
                </c:pt>
                <c:pt idx="71">
                  <c:v>37031.473367999999</c:v>
                </c:pt>
                <c:pt idx="72">
                  <c:v>36976.482431999997</c:v>
                </c:pt>
                <c:pt idx="73">
                  <c:v>36920.722391999996</c:v>
                </c:pt>
                <c:pt idx="74">
                  <c:v>36864.193247999996</c:v>
                </c:pt>
                <c:pt idx="75">
                  <c:v>36806.894999999997</c:v>
                </c:pt>
                <c:pt idx="76">
                  <c:v>36748.827647999999</c:v>
                </c:pt>
                <c:pt idx="77">
                  <c:v>36689.991192000001</c:v>
                </c:pt>
                <c:pt idx="78">
                  <c:v>36630.385631999998</c:v>
                </c:pt>
                <c:pt idx="79">
                  <c:v>36570.010967999995</c:v>
                </c:pt>
                <c:pt idx="80">
                  <c:v>36508.867199999993</c:v>
                </c:pt>
                <c:pt idx="81">
                  <c:v>36446.954327999993</c:v>
                </c:pt>
                <c:pt idx="82">
                  <c:v>36384.272351999993</c:v>
                </c:pt>
                <c:pt idx="83">
                  <c:v>36320.821271999994</c:v>
                </c:pt>
                <c:pt idx="84">
                  <c:v>36256.601087999996</c:v>
                </c:pt>
                <c:pt idx="85">
                  <c:v>36191.611799999999</c:v>
                </c:pt>
                <c:pt idx="86">
                  <c:v>36125.853407999995</c:v>
                </c:pt>
                <c:pt idx="87">
                  <c:v>36059.325911999993</c:v>
                </c:pt>
                <c:pt idx="88">
                  <c:v>35992.029311999991</c:v>
                </c:pt>
                <c:pt idx="89">
                  <c:v>35923.963607999991</c:v>
                </c:pt>
                <c:pt idx="90">
                  <c:v>35855.128799999991</c:v>
                </c:pt>
                <c:pt idx="91">
                  <c:v>35785.524887999993</c:v>
                </c:pt>
                <c:pt idx="92">
                  <c:v>35715.151871999995</c:v>
                </c:pt>
                <c:pt idx="93">
                  <c:v>35644.009751999998</c:v>
                </c:pt>
                <c:pt idx="94">
                  <c:v>35572.098527999995</c:v>
                </c:pt>
                <c:pt idx="95">
                  <c:v>35499.418199999993</c:v>
                </c:pt>
                <c:pt idx="96">
                  <c:v>35425.968767999992</c:v>
                </c:pt>
                <c:pt idx="97">
                  <c:v>35351.750231999991</c:v>
                </c:pt>
                <c:pt idx="98">
                  <c:v>35276.762591999992</c:v>
                </c:pt>
                <c:pt idx="99">
                  <c:v>35201.005847999993</c:v>
                </c:pt>
                <c:pt idx="100">
                  <c:v>35124.479999999996</c:v>
                </c:pt>
                <c:pt idx="101">
                  <c:v>35047.185047999999</c:v>
                </c:pt>
                <c:pt idx="102">
                  <c:v>34969.120991999996</c:v>
                </c:pt>
                <c:pt idx="103">
                  <c:v>34890.287831999995</c:v>
                </c:pt>
                <c:pt idx="104">
                  <c:v>34810.685567999994</c:v>
                </c:pt>
                <c:pt idx="105">
                  <c:v>34730.314199999993</c:v>
                </c:pt>
                <c:pt idx="106">
                  <c:v>34649.173727999994</c:v>
                </c:pt>
                <c:pt idx="107">
                  <c:v>34567.264151999996</c:v>
                </c:pt>
                <c:pt idx="108">
                  <c:v>34484.585471999999</c:v>
                </c:pt>
                <c:pt idx="109">
                  <c:v>34401.137687999995</c:v>
                </c:pt>
                <c:pt idx="110">
                  <c:v>34316.920799999993</c:v>
                </c:pt>
                <c:pt idx="111">
                  <c:v>34231.934807999991</c:v>
                </c:pt>
                <c:pt idx="112">
                  <c:v>34146.17971199999</c:v>
                </c:pt>
                <c:pt idx="113">
                  <c:v>34059.65551199999</c:v>
                </c:pt>
                <c:pt idx="114">
                  <c:v>33972.362207999991</c:v>
                </c:pt>
                <c:pt idx="115">
                  <c:v>33884.299799999993</c:v>
                </c:pt>
                <c:pt idx="116">
                  <c:v>33795.468287999996</c:v>
                </c:pt>
                <c:pt idx="117">
                  <c:v>33705.867671999993</c:v>
                </c:pt>
                <c:pt idx="118">
                  <c:v>33615.497951999991</c:v>
                </c:pt>
                <c:pt idx="119">
                  <c:v>33524.359127999989</c:v>
                </c:pt>
                <c:pt idx="120">
                  <c:v>33432.451199999989</c:v>
                </c:pt>
                <c:pt idx="121">
                  <c:v>33339.774167999989</c:v>
                </c:pt>
                <c:pt idx="122">
                  <c:v>33246.32803199999</c:v>
                </c:pt>
                <c:pt idx="123">
                  <c:v>33152.112791999993</c:v>
                </c:pt>
                <c:pt idx="124">
                  <c:v>33057.128447999996</c:v>
                </c:pt>
                <c:pt idx="125">
                  <c:v>32961.374999999993</c:v>
                </c:pt>
                <c:pt idx="126">
                  <c:v>32864.852447999991</c:v>
                </c:pt>
                <c:pt idx="127">
                  <c:v>32767.560791999989</c:v>
                </c:pt>
                <c:pt idx="128">
                  <c:v>32669.500031999989</c:v>
                </c:pt>
                <c:pt idx="129">
                  <c:v>32570.67016799999</c:v>
                </c:pt>
                <c:pt idx="130">
                  <c:v>32471.071199999991</c:v>
                </c:pt>
                <c:pt idx="131">
                  <c:v>32370.70312799999</c:v>
                </c:pt>
                <c:pt idx="132">
                  <c:v>32269.56595199999</c:v>
                </c:pt>
                <c:pt idx="133">
                  <c:v>32167.659671999991</c:v>
                </c:pt>
                <c:pt idx="134">
                  <c:v>32064.984287999989</c:v>
                </c:pt>
                <c:pt idx="135">
                  <c:v>31961.539799999988</c:v>
                </c:pt>
                <c:pt idx="136">
                  <c:v>31857.326207999988</c:v>
                </c:pt>
                <c:pt idx="137">
                  <c:v>31752.343511999989</c:v>
                </c:pt>
                <c:pt idx="138">
                  <c:v>31646.591711999987</c:v>
                </c:pt>
                <c:pt idx="139">
                  <c:v>31540.070807999986</c:v>
                </c:pt>
                <c:pt idx="140">
                  <c:v>31432.780799999986</c:v>
                </c:pt>
                <c:pt idx="141">
                  <c:v>31324.721687999987</c:v>
                </c:pt>
                <c:pt idx="142">
                  <c:v>31215.893471999985</c:v>
                </c:pt>
                <c:pt idx="143">
                  <c:v>31106.296151999984</c:v>
                </c:pt>
                <c:pt idx="144">
                  <c:v>30995.929727999985</c:v>
                </c:pt>
                <c:pt idx="145">
                  <c:v>30884.794199999986</c:v>
                </c:pt>
                <c:pt idx="146">
                  <c:v>30772.889567999984</c:v>
                </c:pt>
                <c:pt idx="147">
                  <c:v>30660.215831999983</c:v>
                </c:pt>
                <c:pt idx="148">
                  <c:v>30546.772991999984</c:v>
                </c:pt>
                <c:pt idx="149">
                  <c:v>30432.561047999985</c:v>
                </c:pt>
                <c:pt idx="150">
                  <c:v>30317.579999999984</c:v>
                </c:pt>
                <c:pt idx="151">
                  <c:v>30201.829847999983</c:v>
                </c:pt>
                <c:pt idx="152">
                  <c:v>30085.310591999983</c:v>
                </c:pt>
                <c:pt idx="153">
                  <c:v>29968.022243128282</c:v>
                </c:pt>
                <c:pt idx="154">
                  <c:v>29849.965421563575</c:v>
                </c:pt>
                <c:pt idx="155">
                  <c:v>29731.143102959686</c:v>
                </c:pt>
                <c:pt idx="156">
                  <c:v>29611.561978265014</c:v>
                </c:pt>
                <c:pt idx="157">
                  <c:v>29491.232743440745</c:v>
                </c:pt>
                <c:pt idx="158">
                  <c:v>29370.170275445176</c:v>
                </c:pt>
                <c:pt idx="159">
                  <c:v>29248.393800043501</c:v>
                </c:pt>
                <c:pt idx="160">
                  <c:v>29125.927047215755</c:v>
                </c:pt>
                <c:pt idx="161">
                  <c:v>29002.79838960135</c:v>
                </c:pt>
                <c:pt idx="162">
                  <c:v>28879.040959139333</c:v>
                </c:pt>
                <c:pt idx="163">
                  <c:v>28754.692736861663</c:v>
                </c:pt>
                <c:pt idx="164">
                  <c:v>28629.79661069583</c:v>
                </c:pt>
                <c:pt idx="165">
                  <c:v>28504.400396156885</c:v>
                </c:pt>
                <c:pt idx="166">
                  <c:v>28378.5568149803</c:v>
                </c:pt>
                <c:pt idx="167">
                  <c:v>28252.32342708591</c:v>
                </c:pt>
                <c:pt idx="168">
                  <c:v>28125.762511785193</c:v>
                </c:pt>
                <c:pt idx="169">
                  <c:v>27998.940894859028</c:v>
                </c:pt>
                <c:pt idx="170">
                  <c:v>27871.929719041567</c:v>
                </c:pt>
                <c:pt idx="171">
                  <c:v>27744.804156540118</c:v>
                </c:pt>
                <c:pt idx="172">
                  <c:v>27617.64306348129</c:v>
                </c:pt>
                <c:pt idx="173">
                  <c:v>27490.528577569425</c:v>
                </c:pt>
                <c:pt idx="174">
                  <c:v>27363.545661732471</c:v>
                </c:pt>
                <c:pt idx="175">
                  <c:v>27236.781598060781</c:v>
                </c:pt>
                <c:pt idx="176">
                  <c:v>27110.325437855241</c:v>
                </c:pt>
                <c:pt idx="177">
                  <c:v>26984.267415027509</c:v>
                </c:pt>
                <c:pt idx="178">
                  <c:v>26858.698331369826</c:v>
                </c:pt>
                <c:pt idx="179">
                  <c:v>26733.708923271137</c:v>
                </c:pt>
                <c:pt idx="180">
                  <c:v>26609.38922024328</c:v>
                </c:pt>
                <c:pt idx="181">
                  <c:v>26485.827906090952</c:v>
                </c:pt>
                <c:pt idx="182">
                  <c:v>26363.111693681796</c:v>
                </c:pt>
                <c:pt idx="183">
                  <c:v>26241.324724036178</c:v>
                </c:pt>
                <c:pt idx="184">
                  <c:v>26120.547999866383</c:v>
                </c:pt>
                <c:pt idx="185">
                  <c:v>26000.858862777695</c:v>
                </c:pt>
                <c:pt idx="186">
                  <c:v>25882.330522140986</c:v>
                </c:pt>
                <c:pt idx="187">
                  <c:v>25765.031642214948</c:v>
                </c:pt>
                <c:pt idx="188">
                  <c:v>25649.025992502189</c:v>
                </c:pt>
                <c:pt idx="189">
                  <c:v>25534.372164639339</c:v>
                </c:pt>
                <c:pt idx="190">
                  <c:v>25421.123357419889</c:v>
                </c:pt>
                <c:pt idx="191">
                  <c:v>25309.327229898823</c:v>
                </c:pt>
                <c:pt idx="192">
                  <c:v>25199.025820991661</c:v>
                </c:pt>
                <c:pt idx="193">
                  <c:v>25090.255532607891</c:v>
                </c:pt>
                <c:pt idx="194">
                  <c:v>24983.047172188162</c:v>
                </c:pt>
                <c:pt idx="195">
                  <c:v>24877.426049570429</c:v>
                </c:pt>
                <c:pt idx="196">
                  <c:v>24773.412122403788</c:v>
                </c:pt>
                <c:pt idx="197">
                  <c:v>24671.020183858971</c:v>
                </c:pt>
                <c:pt idx="198">
                  <c:v>24570.260086139773</c:v>
                </c:pt>
                <c:pt idx="199">
                  <c:v>24471.136993260177</c:v>
                </c:pt>
                <c:pt idx="200">
                  <c:v>24373.651656691483</c:v>
                </c:pt>
                <c:pt idx="201">
                  <c:v>24277.800707772865</c:v>
                </c:pt>
                <c:pt idx="202">
                  <c:v>24183.576961185921</c:v>
                </c:pt>
                <c:pt idx="203">
                  <c:v>24090.969724288196</c:v>
                </c:pt>
                <c:pt idx="204">
                  <c:v>23999.96510765281</c:v>
                </c:pt>
                <c:pt idx="205">
                  <c:v>23910.546332745129</c:v>
                </c:pt>
                <c:pt idx="206">
                  <c:v>23822.694033259504</c:v>
                </c:pt>
                <c:pt idx="207">
                  <c:v>23736.386547220864</c:v>
                </c:pt>
                <c:pt idx="208">
                  <c:v>23651.600197511973</c:v>
                </c:pt>
                <c:pt idx="209">
                  <c:v>23568.309559006309</c:v>
                </c:pt>
                <c:pt idx="210">
                  <c:v>23486.487710960944</c:v>
                </c:pt>
                <c:pt idx="211">
                  <c:v>23406.106473748732</c:v>
                </c:pt>
                <c:pt idx="212">
                  <c:v>23327.136629382414</c:v>
                </c:pt>
                <c:pt idx="213">
                  <c:v>23249.548125604906</c:v>
                </c:pt>
                <c:pt idx="214">
                  <c:v>23173.310263591564</c:v>
                </c:pt>
                <c:pt idx="215">
                  <c:v>23098.391869534549</c:v>
                </c:pt>
                <c:pt idx="216">
                  <c:v>23024.76145056017</c:v>
                </c:pt>
                <c:pt idx="217">
                  <c:v>22952.387335571235</c:v>
                </c:pt>
                <c:pt idx="218">
                  <c:v>22881.237801712807</c:v>
                </c:pt>
                <c:pt idx="219">
                  <c:v>22811.281187235312</c:v>
                </c:pt>
                <c:pt idx="220">
                  <c:v>22742.485991578404</c:v>
                </c:pt>
                <c:pt idx="221">
                  <c:v>22674.820963526188</c:v>
                </c:pt>
                <c:pt idx="222">
                  <c:v>22608.255178293308</c:v>
                </c:pt>
                <c:pt idx="223">
                  <c:v>22542.758104395285</c:v>
                </c:pt>
                <c:pt idx="224">
                  <c:v>22478.299661138659</c:v>
                </c:pt>
                <c:pt idx="225">
                  <c:v>22414.850267539197</c:v>
                </c:pt>
                <c:pt idx="226">
                  <c:v>22352.380883442594</c:v>
                </c:pt>
                <c:pt idx="227">
                  <c:v>22290.863043583053</c:v>
                </c:pt>
                <c:pt idx="228">
                  <c:v>22230.268885273075</c:v>
                </c:pt>
                <c:pt idx="229">
                  <c:v>22170.571170373703</c:v>
                </c:pt>
                <c:pt idx="230">
                  <c:v>22111.74330214972</c:v>
                </c:pt>
                <c:pt idx="231">
                  <c:v>22053.759337569609</c:v>
                </c:pt>
                <c:pt idx="232">
                  <c:v>21996.593995566302</c:v>
                </c:pt>
                <c:pt idx="233">
                  <c:v>21940.222661732172</c:v>
                </c:pt>
                <c:pt idx="234">
                  <c:v>21884.621389881111</c:v>
                </c:pt>
                <c:pt idx="235">
                  <c:v>21829.766900871706</c:v>
                </c:pt>
                <c:pt idx="236">
                  <c:v>21775.636579049093</c:v>
                </c:pt>
                <c:pt idx="237">
                  <c:v>21722.208466628825</c:v>
                </c:pt>
                <c:pt idx="238">
                  <c:v>21669.461256314204</c:v>
                </c:pt>
                <c:pt idx="239">
                  <c:v>21617.37428240904</c:v>
                </c:pt>
                <c:pt idx="240">
                  <c:v>21565.927510660506</c:v>
                </c:pt>
                <c:pt idx="241">
                  <c:v>21515.101527041734</c:v>
                </c:pt>
                <c:pt idx="242">
                  <c:v>21464.877525660911</c:v>
                </c:pt>
                <c:pt idx="243">
                  <c:v>21415.237295962688</c:v>
                </c:pt>
                <c:pt idx="244">
                  <c:v>21366.163209368722</c:v>
                </c:pt>
                <c:pt idx="245">
                  <c:v>21317.638205486943</c:v>
                </c:pt>
                <c:pt idx="246">
                  <c:v>21269.645778003553</c:v>
                </c:pt>
                <c:pt idx="247">
                  <c:v>21222.169960357674</c:v>
                </c:pt>
                <c:pt idx="248">
                  <c:v>21175.195311285948</c:v>
                </c:pt>
                <c:pt idx="249">
                  <c:v>21128.706900313005</c:v>
                </c:pt>
                <c:pt idx="250">
                  <c:v>21082.690293253589</c:v>
                </c:pt>
                <c:pt idx="251">
                  <c:v>21037.131537782945</c:v>
                </c:pt>
                <c:pt idx="252">
                  <c:v>20992.017149124113</c:v>
                </c:pt>
                <c:pt idx="253">
                  <c:v>20947.33409589338</c:v>
                </c:pt>
                <c:pt idx="254">
                  <c:v>20903.069786138876</c:v>
                </c:pt>
                <c:pt idx="255">
                  <c:v>20859.212053601561</c:v>
                </c:pt>
                <c:pt idx="256">
                  <c:v>20815.749144222817</c:v>
                </c:pt>
                <c:pt idx="257">
                  <c:v>20772.669702918465</c:v>
                </c:pt>
                <c:pt idx="258">
                  <c:v>20729.962760635099</c:v>
                </c:pt>
                <c:pt idx="259">
                  <c:v>20687.617721701219</c:v>
                </c:pt>
                <c:pt idx="260">
                  <c:v>20645.624351482678</c:v>
                </c:pt>
                <c:pt idx="261">
                  <c:v>20603.97276434927</c:v>
                </c:pt>
                <c:pt idx="262">
                  <c:v>20562.653411957101</c:v>
                </c:pt>
                <c:pt idx="263">
                  <c:v>20521.657071849335</c:v>
                </c:pt>
                <c:pt idx="264">
                  <c:v>20480.974836376274</c:v>
                </c:pt>
                <c:pt idx="265">
                  <c:v>20440.598101934185</c:v>
                </c:pt>
                <c:pt idx="266">
                  <c:v>20400.51855852114</c:v>
                </c:pt>
                <c:pt idx="267">
                  <c:v>20360.728179606944</c:v>
                </c:pt>
                <c:pt idx="268">
                  <c:v>20321.219212313441</c:v>
                </c:pt>
                <c:pt idx="269">
                  <c:v>20281.984167900686</c:v>
                </c:pt>
                <c:pt idx="270">
                  <c:v>20243.015812553793</c:v>
                </c:pt>
                <c:pt idx="271">
                  <c:v>20204.307158464879</c:v>
                </c:pt>
                <c:pt idx="272">
                  <c:v>20165.851455203985</c:v>
                </c:pt>
                <c:pt idx="273">
                  <c:v>20127.642181372601</c:v>
                </c:pt>
                <c:pt idx="274">
                  <c:v>20089.673036533164</c:v>
                </c:pt>
                <c:pt idx="275">
                  <c:v>20051.937933407677</c:v>
                </c:pt>
                <c:pt idx="276">
                  <c:v>20014.430990338486</c:v>
                </c:pt>
                <c:pt idx="277">
                  <c:v>19977.146524004202</c:v>
                </c:pt>
                <c:pt idx="278">
                  <c:v>19940.079042383666</c:v>
                </c:pt>
                <c:pt idx="279">
                  <c:v>19903.223237960869</c:v>
                </c:pt>
                <c:pt idx="280">
                  <c:v>19866.573981163794</c:v>
                </c:pt>
                <c:pt idx="281">
                  <c:v>19830.126314030193</c:v>
                </c:pt>
                <c:pt idx="282">
                  <c:v>19793.875444093323</c:v>
                </c:pt>
                <c:pt idx="283">
                  <c:v>19757.816738480902</c:v>
                </c:pt>
                <c:pt idx="284">
                  <c:v>19721.945718220511</c:v>
                </c:pt>
                <c:pt idx="285">
                  <c:v>19686.258052744859</c:v>
                </c:pt>
                <c:pt idx="286">
                  <c:v>19650.7495545905</c:v>
                </c:pt>
                <c:pt idx="287">
                  <c:v>19615.416174283644</c:v>
                </c:pt>
                <c:pt idx="288">
                  <c:v>19580.253995406925</c:v>
                </c:pt>
                <c:pt idx="289">
                  <c:v>19545.2592298411</c:v>
                </c:pt>
                <c:pt idx="290">
                  <c:v>19510.428213175845</c:v>
                </c:pt>
                <c:pt idx="291">
                  <c:v>19475.757400283928</c:v>
                </c:pt>
                <c:pt idx="292">
                  <c:v>19441.243361053239</c:v>
                </c:pt>
                <c:pt idx="293">
                  <c:v>19406.882776271283</c:v>
                </c:pt>
                <c:pt idx="294">
                  <c:v>19372.672433656931</c:v>
                </c:pt>
                <c:pt idx="295">
                  <c:v>19338.609224034357</c:v>
                </c:pt>
                <c:pt idx="296">
                  <c:v>19304.690137644237</c:v>
                </c:pt>
                <c:pt idx="297">
                  <c:v>19270.912260587495</c:v>
                </c:pt>
                <c:pt idx="298">
                  <c:v>19237.272771396936</c:v>
                </c:pt>
                <c:pt idx="299">
                  <c:v>19203.768937732366</c:v>
                </c:pt>
                <c:pt idx="300">
                  <c:v>19170.398113194828</c:v>
                </c:pt>
                <c:pt idx="301">
                  <c:v>19137.15773425583</c:v>
                </c:pt>
                <c:pt idx="302">
                  <c:v>19104.045317297492</c:v>
                </c:pt>
                <c:pt idx="303">
                  <c:v>19071.058455759736</c:v>
                </c:pt>
                <c:pt idx="304">
                  <c:v>19038.194817390729</c:v>
                </c:pt>
                <c:pt idx="305">
                  <c:v>19005.452141596965</c:v>
                </c:pt>
                <c:pt idx="306">
                  <c:v>18972.828236889407</c:v>
                </c:pt>
                <c:pt idx="307">
                  <c:v>18940.320978422358</c:v>
                </c:pt>
                <c:pt idx="308">
                  <c:v>18907.928305621721</c:v>
                </c:pt>
                <c:pt idx="309">
                  <c:v>18875.648219899504</c:v>
                </c:pt>
                <c:pt idx="310">
                  <c:v>18843.478782451486</c:v>
                </c:pt>
                <c:pt idx="311">
                  <c:v>18811.418112135099</c:v>
                </c:pt>
                <c:pt idx="312">
                  <c:v>18779.464383424664</c:v>
                </c:pt>
                <c:pt idx="313">
                  <c:v>18747.615824441204</c:v>
                </c:pt>
                <c:pt idx="314">
                  <c:v>18715.870715054218</c:v>
                </c:pt>
                <c:pt idx="315">
                  <c:v>18684.227385052774</c:v>
                </c:pt>
                <c:pt idx="316">
                  <c:v>18652.684212383512</c:v>
                </c:pt>
                <c:pt idx="317">
                  <c:v>18621.239621453093</c:v>
                </c:pt>
                <c:pt idx="318">
                  <c:v>18589.892081492835</c:v>
                </c:pt>
                <c:pt idx="319">
                  <c:v>18558.640104983275</c:v>
                </c:pt>
                <c:pt idx="320">
                  <c:v>18527.4822461365</c:v>
                </c:pt>
                <c:pt idx="321">
                  <c:v>18496.417099434184</c:v>
                </c:pt>
                <c:pt idx="322">
                  <c:v>18465.443298219292</c:v>
                </c:pt>
                <c:pt idx="323">
                  <c:v>18434.559513339565</c:v>
                </c:pt>
                <c:pt idx="324">
                  <c:v>18403.764451840852</c:v>
                </c:pt>
                <c:pt idx="325">
                  <c:v>18373.056855708539</c:v>
                </c:pt>
                <c:pt idx="326">
                  <c:v>18342.435500655287</c:v>
                </c:pt>
                <c:pt idx="327">
                  <c:v>18311.899194953443</c:v>
                </c:pt>
                <c:pt idx="328">
                  <c:v>18281.446778310463</c:v>
                </c:pt>
                <c:pt idx="329">
                  <c:v>18251.077120785794</c:v>
                </c:pt>
                <c:pt idx="330">
                  <c:v>18220.789121747723</c:v>
                </c:pt>
                <c:pt idx="331">
                  <c:v>18190.581708868696</c:v>
                </c:pt>
                <c:pt idx="332">
                  <c:v>18160.453837157744</c:v>
                </c:pt>
                <c:pt idx="333">
                  <c:v>18130.404488028624</c:v>
                </c:pt>
                <c:pt idx="334">
                  <c:v>18100.43266840238</c:v>
                </c:pt>
                <c:pt idx="335">
                  <c:v>18070.537409843069</c:v>
                </c:pt>
                <c:pt idx="336">
                  <c:v>18040.7177677254</c:v>
                </c:pt>
                <c:pt idx="337">
                  <c:v>18010.97282043317</c:v>
                </c:pt>
                <c:pt idx="338">
                  <c:v>17981.301668587286</c:v>
                </c:pt>
                <c:pt idx="339">
                  <c:v>17951.703434302352</c:v>
                </c:pt>
                <c:pt idx="340">
                  <c:v>17922.177260470711</c:v>
                </c:pt>
                <c:pt idx="341">
                  <c:v>17892.722310072953</c:v>
                </c:pt>
                <c:pt idx="342">
                  <c:v>17863.337765513905</c:v>
                </c:pt>
                <c:pt idx="343">
                  <c:v>17834.022827983139</c:v>
                </c:pt>
                <c:pt idx="344">
                  <c:v>17804.776716839122</c:v>
                </c:pt>
                <c:pt idx="345">
                  <c:v>17775.598669016064</c:v>
                </c:pt>
                <c:pt idx="346">
                  <c:v>17746.487938452698</c:v>
                </c:pt>
                <c:pt idx="347">
                  <c:v>17717.443795542098</c:v>
                </c:pt>
                <c:pt idx="348">
                  <c:v>17688.465526601802</c:v>
                </c:pt>
                <c:pt idx="349">
                  <c:v>17659.552433363438</c:v>
                </c:pt>
                <c:pt idx="350">
                  <c:v>17630.703832481158</c:v>
                </c:pt>
                <c:pt idx="351">
                  <c:v>17601.91905505813</c:v>
                </c:pt>
                <c:pt idx="352">
                  <c:v>17573.197446190461</c:v>
                </c:pt>
                <c:pt idx="353">
                  <c:v>17544.538364527849</c:v>
                </c:pt>
                <c:pt idx="354">
                  <c:v>17515.94118185035</c:v>
                </c:pt>
                <c:pt idx="355">
                  <c:v>17487.405282660657</c:v>
                </c:pt>
                <c:pt idx="356">
                  <c:v>17458.930063791289</c:v>
                </c:pt>
                <c:pt idx="357">
                  <c:v>17430.514934026152</c:v>
                </c:pt>
                <c:pt idx="358">
                  <c:v>17402.159313735887</c:v>
                </c:pt>
                <c:pt idx="359">
                  <c:v>17373.862634526518</c:v>
                </c:pt>
                <c:pt idx="360">
                  <c:v>17345.624338900881</c:v>
                </c:pt>
                <c:pt idx="361">
                  <c:v>17317.44387993234</c:v>
                </c:pt>
                <c:pt idx="362">
                  <c:v>17289.320720950338</c:v>
                </c:pt>
                <c:pt idx="363">
                  <c:v>17261.254335237318</c:v>
                </c:pt>
                <c:pt idx="364">
                  <c:v>17233.244205736592</c:v>
                </c:pt>
                <c:pt idx="365">
                  <c:v>17205.289824770727</c:v>
                </c:pt>
                <c:pt idx="366">
                  <c:v>17177.390693770063</c:v>
                </c:pt>
                <c:pt idx="367">
                  <c:v>17149.546323010964</c:v>
                </c:pt>
                <c:pt idx="368">
                  <c:v>17121.756231363423</c:v>
                </c:pt>
                <c:pt idx="369">
                  <c:v>17094.019946047691</c:v>
                </c:pt>
                <c:pt idx="370">
                  <c:v>17066.337002399549</c:v>
                </c:pt>
                <c:pt idx="371">
                  <c:v>17038.706943643923</c:v>
                </c:pt>
                <c:pt idx="372">
                  <c:v>17011.129320676497</c:v>
                </c:pt>
                <c:pt idx="373">
                  <c:v>16983.603691853037</c:v>
                </c:pt>
                <c:pt idx="374">
                  <c:v>16956.129622786124</c:v>
                </c:pt>
                <c:pt idx="375">
                  <c:v>16928.706686149006</c:v>
                </c:pt>
                <c:pt idx="376">
                  <c:v>16901.334461486305</c:v>
                </c:pt>
                <c:pt idx="377">
                  <c:v>16874.01253503131</c:v>
                </c:pt>
                <c:pt idx="378">
                  <c:v>16846.740499529602</c:v>
                </c:pt>
                <c:pt idx="379">
                  <c:v>16819.51795406879</c:v>
                </c:pt>
                <c:pt idx="380">
                  <c:v>16792.344503914079</c:v>
                </c:pt>
                <c:pt idx="381">
                  <c:v>16765.219760349504</c:v>
                </c:pt>
                <c:pt idx="382">
                  <c:v>16738.143340524555</c:v>
                </c:pt>
                <c:pt idx="383">
                  <c:v>16711.114867306045</c:v>
                </c:pt>
                <c:pt idx="384">
                  <c:v>16684.133969134957</c:v>
                </c:pt>
                <c:pt idx="385">
                  <c:v>16657.200279888144</c:v>
                </c:pt>
                <c:pt idx="386">
                  <c:v>16630.313438744652</c:v>
                </c:pt>
                <c:pt idx="387">
                  <c:v>16603.473090056501</c:v>
                </c:pt>
                <c:pt idx="388">
                  <c:v>16576.678883223765</c:v>
                </c:pt>
                <c:pt idx="389">
                  <c:v>16549.930472573782</c:v>
                </c:pt>
                <c:pt idx="390">
                  <c:v>16523.227517244326</c:v>
                </c:pt>
                <c:pt idx="391">
                  <c:v>16496.569681070603</c:v>
                </c:pt>
                <c:pt idx="392">
                  <c:v>16469.956632475929</c:v>
                </c:pt>
                <c:pt idx="393">
                  <c:v>16443.388044365929</c:v>
                </c:pt>
                <c:pt idx="394">
                  <c:v>16416.863594026159</c:v>
                </c:pt>
                <c:pt idx="395">
                  <c:v>16390.382963022988</c:v>
                </c:pt>
                <c:pt idx="396">
                  <c:v>16363.945837107638</c:v>
                </c:pt>
                <c:pt idx="397">
                  <c:v>16337.551906123252</c:v>
                </c:pt>
                <c:pt idx="398">
                  <c:v>16311.200863914883</c:v>
                </c:pt>
                <c:pt idx="399">
                  <c:v>16284.892408242298</c:v>
                </c:pt>
                <c:pt idx="400">
                  <c:v>16258.626240695481</c:v>
                </c:pt>
                <c:pt idx="401">
                  <c:v>16232.40206661274</c:v>
                </c:pt>
                <c:pt idx="402">
                  <c:v>16206.219595001327</c:v>
                </c:pt>
                <c:pt idx="403">
                  <c:v>16180.078538460464</c:v>
                </c:pt>
                <c:pt idx="404">
                  <c:v>16153.97861310671</c:v>
                </c:pt>
                <c:pt idx="405">
                  <c:v>16127.919538501546</c:v>
                </c:pt>
                <c:pt idx="406">
                  <c:v>16101.901037581136</c:v>
                </c:pt>
                <c:pt idx="407">
                  <c:v>16075.922836588154</c:v>
                </c:pt>
                <c:pt idx="408">
                  <c:v>16049.984665005622</c:v>
                </c:pt>
                <c:pt idx="409">
                  <c:v>16024.086255492677</c:v>
                </c:pt>
                <c:pt idx="410">
                  <c:v>15998.227343822186</c:v>
                </c:pt>
                <c:pt idx="411">
                  <c:v>15972.407668820168</c:v>
                </c:pt>
                <c:pt idx="412">
                  <c:v>15946.626972306938</c:v>
                </c:pt>
                <c:pt idx="413">
                  <c:v>15920.884999039918</c:v>
                </c:pt>
                <c:pt idx="414">
                  <c:v>15895.181496658044</c:v>
                </c:pt>
                <c:pt idx="415">
                  <c:v>15869.516215627744</c:v>
                </c:pt>
                <c:pt idx="416">
                  <c:v>15843.888909190384</c:v>
                </c:pt>
                <c:pt idx="417">
                  <c:v>15818.299333311179</c:v>
                </c:pt>
                <c:pt idx="418">
                  <c:v>15792.747246629477</c:v>
                </c:pt>
                <c:pt idx="419">
                  <c:v>15767.232410410395</c:v>
                </c:pt>
                <c:pt idx="420">
                  <c:v>15741.75458849775</c:v>
                </c:pt>
                <c:pt idx="421">
                  <c:v>15716.313547268228</c:v>
                </c:pt>
                <c:pt idx="422">
                  <c:v>15690.909055586781</c:v>
                </c:pt>
                <c:pt idx="423">
                  <c:v>15665.540884763172</c:v>
                </c:pt>
                <c:pt idx="424">
                  <c:v>15640.208808509655</c:v>
                </c:pt>
                <c:pt idx="425">
                  <c:v>15614.912602899738</c:v>
                </c:pt>
                <c:pt idx="426">
                  <c:v>15589.652046328001</c:v>
                </c:pt>
                <c:pt idx="427">
                  <c:v>15564.426919470923</c:v>
                </c:pt>
                <c:pt idx="428">
                  <c:v>15539.2370052487</c:v>
                </c:pt>
                <c:pt idx="429">
                  <c:v>15514.082088788002</c:v>
                </c:pt>
                <c:pt idx="430">
                  <c:v>15488.961957385653</c:v>
                </c:pt>
                <c:pt idx="431">
                  <c:v>15463.876400473198</c:v>
                </c:pt>
                <c:pt idx="432">
                  <c:v>15438.825209582328</c:v>
                </c:pt>
                <c:pt idx="433">
                  <c:v>15413.808178311132</c:v>
                </c:pt>
                <c:pt idx="434">
                  <c:v>15388.825102291155</c:v>
                </c:pt>
                <c:pt idx="435">
                  <c:v>15363.875779155236</c:v>
                </c:pt>
                <c:pt idx="436">
                  <c:v>15338.960008506094</c:v>
                </c:pt>
                <c:pt idx="437">
                  <c:v>15314.077591885647</c:v>
                </c:pt>
                <c:pt idx="438">
                  <c:v>15289.228332745037</c:v>
                </c:pt>
                <c:pt idx="439">
                  <c:v>15264.412036415331</c:v>
                </c:pt>
                <c:pt idx="440">
                  <c:v>15239.628510078901</c:v>
                </c:pt>
                <c:pt idx="441">
                  <c:v>15214.877562741427</c:v>
                </c:pt>
                <c:pt idx="442">
                  <c:v>15190.159005204536</c:v>
                </c:pt>
                <c:pt idx="443">
                  <c:v>15165.472650039037</c:v>
                </c:pt>
                <c:pt idx="444">
                  <c:v>15140.818311558751</c:v>
                </c:pt>
                <c:pt idx="445">
                  <c:v>15116.195805794894</c:v>
                </c:pt>
                <c:pt idx="446">
                  <c:v>15091.604950471026</c:v>
                </c:pt>
                <c:pt idx="447">
                  <c:v>15067.04556497852</c:v>
                </c:pt>
                <c:pt idx="448">
                  <c:v>15042.517470352559</c:v>
                </c:pt>
                <c:pt idx="449">
                  <c:v>15018.02048924864</c:v>
                </c:pt>
                <c:pt idx="450">
                  <c:v>14993.554445919553</c:v>
                </c:pt>
                <c:pt idx="451">
                  <c:v>14969.11916619285</c:v>
                </c:pt>
                <c:pt idx="452">
                  <c:v>14944.714477448759</c:v>
                </c:pt>
                <c:pt idx="453">
                  <c:v>14920.340208598567</c:v>
                </c:pt>
                <c:pt idx="454">
                  <c:v>14895.996190063421</c:v>
                </c:pt>
                <c:pt idx="455">
                  <c:v>14871.682253753557</c:v>
                </c:pt>
                <c:pt idx="456">
                  <c:v>14847.398233047948</c:v>
                </c:pt>
                <c:pt idx="457">
                  <c:v>14823.143962774342</c:v>
                </c:pt>
                <c:pt idx="458">
                  <c:v>14798.919279189695</c:v>
                </c:pt>
                <c:pt idx="459">
                  <c:v>14774.724019960984</c:v>
                </c:pt>
                <c:pt idx="460">
                  <c:v>14750.558024146387</c:v>
                </c:pt>
                <c:pt idx="461">
                  <c:v>14726.42113217682</c:v>
                </c:pt>
                <c:pt idx="462">
                  <c:v>14702.313185837824</c:v>
                </c:pt>
                <c:pt idx="463">
                  <c:v>14678.234028251798</c:v>
                </c:pt>
                <c:pt idx="464">
                  <c:v>14654.183503860553</c:v>
                </c:pt>
                <c:pt idx="465">
                  <c:v>14630.1614584082</c:v>
                </c:pt>
                <c:pt idx="466">
                  <c:v>14606.167738924345</c:v>
                </c:pt>
                <c:pt idx="467">
                  <c:v>14582.20219370759</c:v>
                </c:pt>
                <c:pt idx="468">
                  <c:v>14558.264672309337</c:v>
                </c:pt>
                <c:pt idx="469">
                  <c:v>14534.355025517885</c:v>
                </c:pt>
                <c:pt idx="470">
                  <c:v>14510.473105342806</c:v>
                </c:pt>
                <c:pt idx="471">
                  <c:v>14486.618764999594</c:v>
                </c:pt>
                <c:pt idx="472">
                  <c:v>14462.791858894598</c:v>
                </c:pt>
                <c:pt idx="473">
                  <c:v>14438.992242610206</c:v>
                </c:pt>
                <c:pt idx="474">
                  <c:v>14415.219772890294</c:v>
                </c:pt>
                <c:pt idx="475">
                  <c:v>14391.474307625918</c:v>
                </c:pt>
                <c:pt idx="476">
                  <c:v>14367.755705841264</c:v>
                </c:pt>
                <c:pt idx="477">
                  <c:v>14344.063827679822</c:v>
                </c:pt>
                <c:pt idx="478">
                  <c:v>14320.398534390808</c:v>
                </c:pt>
                <c:pt idx="479">
                  <c:v>14296.759688315802</c:v>
                </c:pt>
                <c:pt idx="480">
                  <c:v>14273.147152875621</c:v>
                </c:pt>
                <c:pt idx="481">
                  <c:v>14249.560792557402</c:v>
                </c:pt>
                <c:pt idx="482">
                  <c:v>14226.000472901898</c:v>
                </c:pt>
                <c:pt idx="483">
                  <c:v>14202.466060490986</c:v>
                </c:pt>
                <c:pt idx="484">
                  <c:v>14178.95742293538</c:v>
                </c:pt>
                <c:pt idx="485">
                  <c:v>14155.474428862539</c:v>
                </c:pt>
                <c:pt idx="486">
                  <c:v>14132.016947904765</c:v>
                </c:pt>
                <c:pt idx="487">
                  <c:v>14108.58485068751</c:v>
                </c:pt>
                <c:pt idx="488">
                  <c:v>14085.178008817844</c:v>
                </c:pt>
                <c:pt idx="489">
                  <c:v>14061.796294873127</c:v>
                </c:pt>
                <c:pt idx="490">
                  <c:v>14038.439582389847</c:v>
                </c:pt>
                <c:pt idx="491">
                  <c:v>14015.107745852636</c:v>
                </c:pt>
                <c:pt idx="492">
                  <c:v>13991.800660683459</c:v>
                </c:pt>
                <c:pt idx="493">
                  <c:v>13968.518203230968</c:v>
                </c:pt>
                <c:pt idx="494">
                  <c:v>13945.260250760019</c:v>
                </c:pt>
                <c:pt idx="495">
                  <c:v>13922.026681441352</c:v>
                </c:pt>
                <c:pt idx="496">
                  <c:v>13898.817374341428</c:v>
                </c:pt>
                <c:pt idx="497">
                  <c:v>13875.632209412417</c:v>
                </c:pt>
                <c:pt idx="498">
                  <c:v>13852.471067482342</c:v>
                </c:pt>
                <c:pt idx="499">
                  <c:v>13829.333830245361</c:v>
                </c:pt>
                <c:pt idx="500">
                  <c:v>13806.220380252211</c:v>
                </c:pt>
                <c:pt idx="501">
                  <c:v>13783.130600900773</c:v>
                </c:pt>
                <c:pt idx="502">
                  <c:v>13760.064376426795</c:v>
                </c:pt>
                <c:pt idx="503">
                  <c:v>13737.021591894736</c:v>
                </c:pt>
                <c:pt idx="504">
                  <c:v>13714.002133188756</c:v>
                </c:pt>
                <c:pt idx="505">
                  <c:v>13691.005887003832</c:v>
                </c:pt>
                <c:pt idx="506">
                  <c:v>13668.032740836996</c:v>
                </c:pt>
                <c:pt idx="507">
                  <c:v>13645.082582978715</c:v>
                </c:pt>
                <c:pt idx="508">
                  <c:v>13622.155302504381</c:v>
                </c:pt>
                <c:pt idx="509">
                  <c:v>13599.250789265927</c:v>
                </c:pt>
                <c:pt idx="510">
                  <c:v>13576.368933883563</c:v>
                </c:pt>
                <c:pt idx="511">
                  <c:v>13553.509627737627</c:v>
                </c:pt>
                <c:pt idx="512">
                  <c:v>13530.672762960554</c:v>
                </c:pt>
                <c:pt idx="513">
                  <c:v>13507.858232428955</c:v>
                </c:pt>
                <c:pt idx="514">
                  <c:v>13485.065929755805</c:v>
                </c:pt>
                <c:pt idx="515">
                  <c:v>13462.295749282745</c:v>
                </c:pt>
                <c:pt idx="516">
                  <c:v>13439.547586072482</c:v>
                </c:pt>
                <c:pt idx="517">
                  <c:v>13416.821335901304</c:v>
                </c:pt>
                <c:pt idx="518">
                  <c:v>13394.116895251693</c:v>
                </c:pt>
                <c:pt idx="519">
                  <c:v>13371.434161305031</c:v>
                </c:pt>
                <c:pt idx="520">
                  <c:v>13348.773031934421</c:v>
                </c:pt>
                <c:pt idx="521">
                  <c:v>13326.13340569759</c:v>
                </c:pt>
                <c:pt idx="522">
                  <c:v>13303.515181829904</c:v>
                </c:pt>
                <c:pt idx="523">
                  <c:v>13280.918260237453</c:v>
                </c:pt>
                <c:pt idx="524">
                  <c:v>13258.342541490259</c:v>
                </c:pt>
                <c:pt idx="525">
                  <c:v>13235.787926815547</c:v>
                </c:pt>
                <c:pt idx="526">
                  <c:v>13213.254318091118</c:v>
                </c:pt>
                <c:pt idx="527">
                  <c:v>13190.741617838814</c:v>
                </c:pt>
                <c:pt idx="528">
                  <c:v>13168.249729218058</c:v>
                </c:pt>
                <c:pt idx="529">
                  <c:v>13145.778556019488</c:v>
                </c:pt>
                <c:pt idx="530">
                  <c:v>13123.328002658665</c:v>
                </c:pt>
                <c:pt idx="531">
                  <c:v>13100.897974169875</c:v>
                </c:pt>
                <c:pt idx="532">
                  <c:v>13078.488376199997</c:v>
                </c:pt>
                <c:pt idx="533">
                  <c:v>13056.099115002464</c:v>
                </c:pt>
                <c:pt idx="534">
                  <c:v>13033.730097431289</c:v>
                </c:pt>
                <c:pt idx="535">
                  <c:v>13011.381230935183</c:v>
                </c:pt>
                <c:pt idx="536">
                  <c:v>12989.05242355173</c:v>
                </c:pt>
                <c:pt idx="537">
                  <c:v>12966.743583901647</c:v>
                </c:pt>
                <c:pt idx="538">
                  <c:v>12944.45462118312</c:v>
                </c:pt>
                <c:pt idx="539">
                  <c:v>12922.1854451662</c:v>
                </c:pt>
                <c:pt idx="540">
                  <c:v>12899.935966187282</c:v>
                </c:pt>
                <c:pt idx="541">
                  <c:v>12877.706095143642</c:v>
                </c:pt>
                <c:pt idx="542">
                  <c:v>12855.495743488045</c:v>
                </c:pt>
                <c:pt idx="543">
                  <c:v>12833.304823223436</c:v>
                </c:pt>
                <c:pt idx="544">
                  <c:v>12811.133246897667</c:v>
                </c:pt>
                <c:pt idx="545">
                  <c:v>12788.980927598315</c:v>
                </c:pt>
                <c:pt idx="546">
                  <c:v>12766.847778947553</c:v>
                </c:pt>
                <c:pt idx="547">
                  <c:v>12744.733715097082</c:v>
                </c:pt>
                <c:pt idx="548">
                  <c:v>12722.638650723133</c:v>
                </c:pt>
                <c:pt idx="549">
                  <c:v>12700.562501021521</c:v>
                </c:pt>
                <c:pt idx="550">
                  <c:v>12678.505181702767</c:v>
                </c:pt>
                <c:pt idx="551">
                  <c:v>12656.466608987274</c:v>
                </c:pt>
                <c:pt idx="552">
                  <c:v>12634.446699600561</c:v>
                </c:pt>
                <c:pt idx="553">
                  <c:v>12612.445370768557</c:v>
                </c:pt>
                <c:pt idx="554">
                  <c:v>12590.462540212953</c:v>
                </c:pt>
                <c:pt idx="555">
                  <c:v>12568.498126146602</c:v>
                </c:pt>
                <c:pt idx="556">
                  <c:v>12546.552047268982</c:v>
                </c:pt>
                <c:pt idx="557">
                  <c:v>12524.624222761709</c:v>
                </c:pt>
                <c:pt idx="558">
                  <c:v>12502.714572284105</c:v>
                </c:pt>
                <c:pt idx="559">
                  <c:v>12480.82301596881</c:v>
                </c:pt>
                <c:pt idx="560">
                  <c:v>12458.949474417461</c:v>
                </c:pt>
                <c:pt idx="561">
                  <c:v>12437.093868696407</c:v>
                </c:pt>
                <c:pt idx="562">
                  <c:v>12415.256120332486</c:v>
                </c:pt>
                <c:pt idx="563">
                  <c:v>12393.436151308835</c:v>
                </c:pt>
                <c:pt idx="564">
                  <c:v>12371.633884060773</c:v>
                </c:pt>
                <c:pt idx="565">
                  <c:v>12349.849241471704</c:v>
                </c:pt>
                <c:pt idx="566">
                  <c:v>12328.082146869087</c:v>
                </c:pt>
                <c:pt idx="567">
                  <c:v>12306.332524020443</c:v>
                </c:pt>
                <c:pt idx="568">
                  <c:v>12284.600297129418</c:v>
                </c:pt>
                <c:pt idx="569">
                  <c:v>12262.885390831874</c:v>
                </c:pt>
                <c:pt idx="570">
                  <c:v>12241.187730192039</c:v>
                </c:pt>
                <c:pt idx="571">
                  <c:v>12219.507240698695</c:v>
                </c:pt>
                <c:pt idx="572">
                  <c:v>12197.843848261407</c:v>
                </c:pt>
                <c:pt idx="573">
                  <c:v>12176.197479206807</c:v>
                </c:pt>
                <c:pt idx="574">
                  <c:v>12154.568060274896</c:v>
                </c:pt>
                <c:pt idx="575">
                  <c:v>12132.955518615412</c:v>
                </c:pt>
                <c:pt idx="576">
                  <c:v>12111.359781784226</c:v>
                </c:pt>
                <c:pt idx="577">
                  <c:v>12089.780777739777</c:v>
                </c:pt>
                <c:pt idx="578">
                  <c:v>12068.218434839557</c:v>
                </c:pt>
                <c:pt idx="579">
                  <c:v>12046.672681836617</c:v>
                </c:pt>
                <c:pt idx="580">
                  <c:v>12025.143447876131</c:v>
                </c:pt>
                <c:pt idx="581">
                  <c:v>12003.630662491991</c:v>
                </c:pt>
                <c:pt idx="582">
                  <c:v>11982.134255603427</c:v>
                </c:pt>
                <c:pt idx="583">
                  <c:v>11960.654157511686</c:v>
                </c:pt>
                <c:pt idx="584">
                  <c:v>11939.19029889673</c:v>
                </c:pt>
                <c:pt idx="585">
                  <c:v>11917.742610813975</c:v>
                </c:pt>
                <c:pt idx="586">
                  <c:v>11896.311024691069</c:v>
                </c:pt>
                <c:pt idx="587">
                  <c:v>11874.895472324699</c:v>
                </c:pt>
                <c:pt idx="588">
                  <c:v>11853.495885877439</c:v>
                </c:pt>
                <c:pt idx="589">
                  <c:v>11832.112197874625</c:v>
                </c:pt>
                <c:pt idx="590">
                  <c:v>11810.744341201269</c:v>
                </c:pt>
                <c:pt idx="591">
                  <c:v>11789.392249099003</c:v>
                </c:pt>
                <c:pt idx="592">
                  <c:v>11768.055855163051</c:v>
                </c:pt>
                <c:pt idx="593">
                  <c:v>11746.73509333925</c:v>
                </c:pt>
                <c:pt idx="594">
                  <c:v>11725.42989792108</c:v>
                </c:pt>
                <c:pt idx="595">
                  <c:v>11704.14020354674</c:v>
                </c:pt>
                <c:pt idx="596">
                  <c:v>11682.865945196254</c:v>
                </c:pt>
                <c:pt idx="597">
                  <c:v>11661.607058188598</c:v>
                </c:pt>
                <c:pt idx="598">
                  <c:v>11640.363478178873</c:v>
                </c:pt>
                <c:pt idx="599">
                  <c:v>11619.135141155488</c:v>
                </c:pt>
                <c:pt idx="600">
                  <c:v>11597.921983437389</c:v>
                </c:pt>
                <c:pt idx="601">
                  <c:v>11576.723941671307</c:v>
                </c:pt>
                <c:pt idx="602">
                  <c:v>11555.540952829042</c:v>
                </c:pt>
                <c:pt idx="603">
                  <c:v>11534.372954204764</c:v>
                </c:pt>
                <c:pt idx="604">
                  <c:v>11513.219883412354</c:v>
                </c:pt>
                <c:pt idx="605">
                  <c:v>11492.081678382765</c:v>
                </c:pt>
                <c:pt idx="606">
                  <c:v>11470.958277361409</c:v>
                </c:pt>
                <c:pt idx="607">
                  <c:v>11449.84961890558</c:v>
                </c:pt>
                <c:pt idx="608">
                  <c:v>11428.755641881891</c:v>
                </c:pt>
                <c:pt idx="609">
                  <c:v>11407.676285463742</c:v>
                </c:pt>
                <c:pt idx="610">
                  <c:v>11386.61148912882</c:v>
                </c:pt>
                <c:pt idx="611">
                  <c:v>11365.561192656614</c:v>
                </c:pt>
                <c:pt idx="612">
                  <c:v>11344.525336125962</c:v>
                </c:pt>
                <c:pt idx="613">
                  <c:v>11323.503859912618</c:v>
                </c:pt>
                <c:pt idx="614">
                  <c:v>11302.496704686846</c:v>
                </c:pt>
                <c:pt idx="615">
                  <c:v>11281.503811411039</c:v>
                </c:pt>
                <c:pt idx="616">
                  <c:v>11260.525121337359</c:v>
                </c:pt>
                <c:pt idx="617">
                  <c:v>11239.560576005402</c:v>
                </c:pt>
                <c:pt idx="618">
                  <c:v>11218.610117239885</c:v>
                </c:pt>
                <c:pt idx="619">
                  <c:v>11197.673687148359</c:v>
                </c:pt>
                <c:pt idx="620">
                  <c:v>11176.751228118939</c:v>
                </c:pt>
                <c:pt idx="621">
                  <c:v>11155.842682818062</c:v>
                </c:pt>
                <c:pt idx="622">
                  <c:v>11134.94799418826</c:v>
                </c:pt>
                <c:pt idx="623">
                  <c:v>11114.067105445967</c:v>
                </c:pt>
                <c:pt idx="624">
                  <c:v>11093.199960079332</c:v>
                </c:pt>
                <c:pt idx="625">
                  <c:v>11072.346501846061</c:v>
                </c:pt>
                <c:pt idx="626">
                  <c:v>11051.506674771286</c:v>
                </c:pt>
                <c:pt idx="627">
                  <c:v>11030.680423145441</c:v>
                </c:pt>
                <c:pt idx="628">
                  <c:v>11009.867691522169</c:v>
                </c:pt>
                <c:pt idx="629">
                  <c:v>10989.06842471625</c:v>
                </c:pt>
                <c:pt idx="630">
                  <c:v>10968.282567801531</c:v>
                </c:pt>
                <c:pt idx="631">
                  <c:v>10947.510066108904</c:v>
                </c:pt>
                <c:pt idx="632">
                  <c:v>10926.750865224281</c:v>
                </c:pt>
                <c:pt idx="633">
                  <c:v>10906.004910986598</c:v>
                </c:pt>
                <c:pt idx="634">
                  <c:v>10885.272149485832</c:v>
                </c:pt>
                <c:pt idx="635">
                  <c:v>10864.552527061049</c:v>
                </c:pt>
                <c:pt idx="636">
                  <c:v>10843.84599029845</c:v>
                </c:pt>
                <c:pt idx="637">
                  <c:v>10823.152486029458</c:v>
                </c:pt>
                <c:pt idx="638">
                  <c:v>10802.471961328803</c:v>
                </c:pt>
                <c:pt idx="639">
                  <c:v>10781.804363512645</c:v>
                </c:pt>
                <c:pt idx="640">
                  <c:v>10761.149640136691</c:v>
                </c:pt>
                <c:pt idx="641">
                  <c:v>10740.507738994351</c:v>
                </c:pt>
                <c:pt idx="642">
                  <c:v>10719.878608114897</c:v>
                </c:pt>
                <c:pt idx="643">
                  <c:v>10699.262195761648</c:v>
                </c:pt>
                <c:pt idx="644">
                  <c:v>10678.658450430165</c:v>
                </c:pt>
                <c:pt idx="645">
                  <c:v>10658.067320846465</c:v>
                </c:pt>
                <c:pt idx="646">
                  <c:v>10637.488755965258</c:v>
                </c:pt>
                <c:pt idx="647">
                  <c:v>10616.922704968183</c:v>
                </c:pt>
                <c:pt idx="648">
                  <c:v>10596.369117262082</c:v>
                </c:pt>
                <c:pt idx="649">
                  <c:v>10575.82794247727</c:v>
                </c:pt>
                <c:pt idx="650">
                  <c:v>10555.299130465837</c:v>
                </c:pt>
                <c:pt idx="651">
                  <c:v>10534.782631299951</c:v>
                </c:pt>
                <c:pt idx="652">
                  <c:v>10514.278395270188</c:v>
                </c:pt>
                <c:pt idx="653">
                  <c:v>10493.786372883867</c:v>
                </c:pt>
                <c:pt idx="654">
                  <c:v>10473.306514863414</c:v>
                </c:pt>
                <c:pt idx="655">
                  <c:v>10452.83877214472</c:v>
                </c:pt>
                <c:pt idx="656">
                  <c:v>10432.383095875535</c:v>
                </c:pt>
                <c:pt idx="657">
                  <c:v>10411.939437413861</c:v>
                </c:pt>
                <c:pt idx="658">
                  <c:v>10391.507748326369</c:v>
                </c:pt>
                <c:pt idx="659">
                  <c:v>10371.087980386821</c:v>
                </c:pt>
                <c:pt idx="660">
                  <c:v>10350.680085574515</c:v>
                </c:pt>
                <c:pt idx="661">
                  <c:v>10330.284016072739</c:v>
                </c:pt>
                <c:pt idx="662">
                  <c:v>10309.899724267238</c:v>
                </c:pt>
                <c:pt idx="663">
                  <c:v>10289.527162744693</c:v>
                </c:pt>
                <c:pt idx="664">
                  <c:v>10269.166284291223</c:v>
                </c:pt>
                <c:pt idx="665">
                  <c:v>10248.817041890885</c:v>
                </c:pt>
                <c:pt idx="666">
                  <c:v>10228.479388724201</c:v>
                </c:pt>
                <c:pt idx="667">
                  <c:v>10208.153278166687</c:v>
                </c:pt>
                <c:pt idx="668">
                  <c:v>10187.838663787403</c:v>
                </c:pt>
                <c:pt idx="669">
                  <c:v>10167.535499347508</c:v>
                </c:pt>
                <c:pt idx="670">
                  <c:v>10147.243738798839</c:v>
                </c:pt>
                <c:pt idx="671">
                  <c:v>10126.963336282482</c:v>
                </c:pt>
                <c:pt idx="672">
                  <c:v>10106.694246127381</c:v>
                </c:pt>
                <c:pt idx="673">
                  <c:v>10086.436422848936</c:v>
                </c:pt>
                <c:pt idx="674">
                  <c:v>10066.189821147625</c:v>
                </c:pt>
                <c:pt idx="675">
                  <c:v>10045.95439590764</c:v>
                </c:pt>
                <c:pt idx="676">
                  <c:v>10025.730102195521</c:v>
                </c:pt>
                <c:pt idx="677">
                  <c:v>10005.516895258817</c:v>
                </c:pt>
                <c:pt idx="678">
                  <c:v>9985.3147305247512</c:v>
                </c:pt>
                <c:pt idx="679">
                  <c:v>9965.1235635988924</c:v>
                </c:pt>
                <c:pt idx="680">
                  <c:v>9944.9433502638458</c:v>
                </c:pt>
                <c:pt idx="681">
                  <c:v>9924.7740464779545</c:v>
                </c:pt>
                <c:pt idx="682">
                  <c:v>9904.6156083740043</c:v>
                </c:pt>
                <c:pt idx="683">
                  <c:v>9884.4679922579471</c:v>
                </c:pt>
                <c:pt idx="684">
                  <c:v>9864.3311546076293</c:v>
                </c:pt>
                <c:pt idx="685">
                  <c:v>9844.2050520715347</c:v>
                </c:pt>
                <c:pt idx="686">
                  <c:v>9824.0896414675371</c:v>
                </c:pt>
                <c:pt idx="687">
                  <c:v>9803.9848797816576</c:v>
                </c:pt>
                <c:pt idx="688">
                  <c:v>9783.8907241668403</c:v>
                </c:pt>
                <c:pt idx="689">
                  <c:v>9763.8071319417359</c:v>
                </c:pt>
                <c:pt idx="690">
                  <c:v>9743.7340605894879</c:v>
                </c:pt>
                <c:pt idx="691">
                  <c:v>9723.6714677565396</c:v>
                </c:pt>
                <c:pt idx="692">
                  <c:v>9703.6193112514429</c:v>
                </c:pt>
                <c:pt idx="693">
                  <c:v>9683.577549043679</c:v>
                </c:pt>
                <c:pt idx="694">
                  <c:v>9663.5461392624911</c:v>
                </c:pt>
                <c:pt idx="695">
                  <c:v>9643.5250401957201</c:v>
                </c:pt>
                <c:pt idx="696">
                  <c:v>9623.5142102886584</c:v>
                </c:pt>
                <c:pt idx="697">
                  <c:v>9603.5136081429046</c:v>
                </c:pt>
                <c:pt idx="698">
                  <c:v>9583.5231925152329</c:v>
                </c:pt>
                <c:pt idx="699">
                  <c:v>9563.5429223164683</c:v>
                </c:pt>
                <c:pt idx="700">
                  <c:v>9543.5727566103706</c:v>
                </c:pt>
                <c:pt idx="701">
                  <c:v>9523.6126546125342</c:v>
                </c:pt>
                <c:pt idx="702">
                  <c:v>9503.6625756892827</c:v>
                </c:pt>
                <c:pt idx="703">
                  <c:v>9483.7224793565856</c:v>
                </c:pt>
                <c:pt idx="704">
                  <c:v>9463.7923252789769</c:v>
                </c:pt>
                <c:pt idx="705">
                  <c:v>9443.8720732684815</c:v>
                </c:pt>
                <c:pt idx="706">
                  <c:v>9423.9616832835545</c:v>
                </c:pt>
                <c:pt idx="707">
                  <c:v>9404.061115428025</c:v>
                </c:pt>
                <c:pt idx="708">
                  <c:v>9384.1703299500459</c:v>
                </c:pt>
                <c:pt idx="709">
                  <c:v>9364.2892872410612</c:v>
                </c:pt>
                <c:pt idx="710">
                  <c:v>9344.4179478347705</c:v>
                </c:pt>
                <c:pt idx="711">
                  <c:v>9324.5562724061056</c:v>
                </c:pt>
                <c:pt idx="712">
                  <c:v>9304.7042217702165</c:v>
                </c:pt>
                <c:pt idx="713">
                  <c:v>9284.8617568814643</c:v>
                </c:pt>
                <c:pt idx="714">
                  <c:v>9265.0288388324225</c:v>
                </c:pt>
                <c:pt idx="715">
                  <c:v>9245.2054288528816</c:v>
                </c:pt>
                <c:pt idx="716">
                  <c:v>9225.3914883088637</c:v>
                </c:pt>
                <c:pt idx="717">
                  <c:v>9205.5869787016491</c:v>
                </c:pt>
                <c:pt idx="718">
                  <c:v>9185.7918616668048</c:v>
                </c:pt>
                <c:pt idx="719">
                  <c:v>9166.0060989732174</c:v>
                </c:pt>
                <c:pt idx="720">
                  <c:v>9146.2296525221445</c:v>
                </c:pt>
                <c:pt idx="721">
                  <c:v>9126.4624843462589</c:v>
                </c:pt>
                <c:pt idx="722">
                  <c:v>9106.7045566087145</c:v>
                </c:pt>
                <c:pt idx="723">
                  <c:v>9086.955831602203</c:v>
                </c:pt>
                <c:pt idx="724">
                  <c:v>9067.2162717480351</c:v>
                </c:pt>
                <c:pt idx="725">
                  <c:v>9047.4858395952124</c:v>
                </c:pt>
                <c:pt idx="726">
                  <c:v>9027.7644978195185</c:v>
                </c:pt>
                <c:pt idx="727">
                  <c:v>9008.0522092226092</c:v>
                </c:pt>
                <c:pt idx="728">
                  <c:v>8988.3489367311104</c:v>
                </c:pt>
                <c:pt idx="729">
                  <c:v>8968.6546433957246</c:v>
                </c:pt>
                <c:pt idx="730">
                  <c:v>8948.969292390344</c:v>
                </c:pt>
                <c:pt idx="731">
                  <c:v>8929.292847011171</c:v>
                </c:pt>
                <c:pt idx="732">
                  <c:v>8909.6252706758369</c:v>
                </c:pt>
                <c:pt idx="733">
                  <c:v>8889.966526922537</c:v>
                </c:pt>
                <c:pt idx="734">
                  <c:v>8870.316579409171</c:v>
                </c:pt>
                <c:pt idx="735">
                  <c:v>8850.6753919124785</c:v>
                </c:pt>
                <c:pt idx="736">
                  <c:v>8831.0429283271969</c:v>
                </c:pt>
                <c:pt idx="737">
                  <c:v>8811.4191526652103</c:v>
                </c:pt>
                <c:pt idx="738">
                  <c:v>8791.804029054716</c:v>
                </c:pt>
                <c:pt idx="739">
                  <c:v>8772.1975217393865</c:v>
                </c:pt>
                <c:pt idx="740">
                  <c:v>8752.5995950775505</c:v>
                </c:pt>
                <c:pt idx="741">
                  <c:v>8733.0102135413636</c:v>
                </c:pt>
                <c:pt idx="742">
                  <c:v>8713.4293417159988</c:v>
                </c:pt>
                <c:pt idx="743">
                  <c:v>8693.8569442988337</c:v>
                </c:pt>
                <c:pt idx="744">
                  <c:v>8674.2929860986478</c:v>
                </c:pt>
                <c:pt idx="745">
                  <c:v>8654.7374320348245</c:v>
                </c:pt>
                <c:pt idx="746">
                  <c:v>8635.1902471365556</c:v>
                </c:pt>
                <c:pt idx="747">
                  <c:v>8615.6513965420563</c:v>
                </c:pt>
                <c:pt idx="748">
                  <c:v>8596.1208454977841</c:v>
                </c:pt>
                <c:pt idx="749">
                  <c:v>8576.598559357657</c:v>
                </c:pt>
                <c:pt idx="750">
                  <c:v>8557.0845035822858</c:v>
                </c:pt>
                <c:pt idx="751">
                  <c:v>8537.5786437382085</c:v>
                </c:pt>
                <c:pt idx="752">
                  <c:v>8518.080945497124</c:v>
                </c:pt>
                <c:pt idx="753">
                  <c:v>8498.5913746351398</c:v>
                </c:pt>
                <c:pt idx="754">
                  <c:v>8479.1098970320218</c:v>
                </c:pt>
                <c:pt idx="755">
                  <c:v>8459.6364786704453</c:v>
                </c:pt>
                <c:pt idx="756">
                  <c:v>8440.1710856352547</c:v>
                </c:pt>
                <c:pt idx="757">
                  <c:v>8420.7136841127285</c:v>
                </c:pt>
                <c:pt idx="758">
                  <c:v>8401.2642403898462</c:v>
                </c:pt>
                <c:pt idx="759">
                  <c:v>8381.8227208535627</c:v>
                </c:pt>
                <c:pt idx="760">
                  <c:v>8362.3890919900859</c:v>
                </c:pt>
                <c:pt idx="761">
                  <c:v>8342.9633203841604</c:v>
                </c:pt>
                <c:pt idx="762">
                  <c:v>8323.5453727183522</c:v>
                </c:pt>
                <c:pt idx="763">
                  <c:v>8304.135215772345</c:v>
                </c:pt>
                <c:pt idx="764">
                  <c:v>8284.7328164222345</c:v>
                </c:pt>
                <c:pt idx="765">
                  <c:v>8265.3381416398279</c:v>
                </c:pt>
                <c:pt idx="766">
                  <c:v>8245.951158491951</c:v>
                </c:pt>
                <c:pt idx="767">
                  <c:v>8226.5718341397624</c:v>
                </c:pt>
                <c:pt idx="768">
                  <c:v>8207.2001358380603</c:v>
                </c:pt>
                <c:pt idx="769">
                  <c:v>8187.8360309346081</c:v>
                </c:pt>
                <c:pt idx="770">
                  <c:v>8168.4794868694516</c:v>
                </c:pt>
                <c:pt idx="771">
                  <c:v>8149.1304711742505</c:v>
                </c:pt>
                <c:pt idx="772">
                  <c:v>8129.788951471608</c:v>
                </c:pt>
                <c:pt idx="773">
                  <c:v>8110.4548954744077</c:v>
                </c:pt>
                <c:pt idx="774">
                  <c:v>8091.1282709851521</c:v>
                </c:pt>
                <c:pt idx="775">
                  <c:v>8071.8090458953066</c:v>
                </c:pt>
                <c:pt idx="776">
                  <c:v>8052.4971881846486</c:v>
                </c:pt>
                <c:pt idx="777">
                  <c:v>8033.1926659206183</c:v>
                </c:pt>
                <c:pt idx="778">
                  <c:v>8013.8954472576752</c:v>
                </c:pt>
                <c:pt idx="779">
                  <c:v>7994.6055004366572</c:v>
                </c:pt>
                <c:pt idx="780">
                  <c:v>7975.3227937841448</c:v>
                </c:pt>
                <c:pt idx="781">
                  <c:v>7956.0472957118272</c:v>
                </c:pt>
                <c:pt idx="782">
                  <c:v>7936.7789747158758</c:v>
                </c:pt>
                <c:pt idx="783">
                  <c:v>7917.5177993763182</c:v>
                </c:pt>
                <c:pt idx="784">
                  <c:v>7898.2637383564161</c:v>
                </c:pt>
                <c:pt idx="785">
                  <c:v>7879.0167604020489</c:v>
                </c:pt>
                <c:pt idx="786">
                  <c:v>7859.7768343410999</c:v>
                </c:pt>
                <c:pt idx="787">
                  <c:v>7840.5439290828435</c:v>
                </c:pt>
                <c:pt idx="788">
                  <c:v>7821.3180136173432</c:v>
                </c:pt>
                <c:pt idx="789">
                  <c:v>7802.0990570148433</c:v>
                </c:pt>
                <c:pt idx="790">
                  <c:v>7782.8870284251725</c:v>
                </c:pt>
                <c:pt idx="791">
                  <c:v>7763.6818970771465</c:v>
                </c:pt>
                <c:pt idx="792">
                  <c:v>7744.4836322779747</c:v>
                </c:pt>
                <c:pt idx="793">
                  <c:v>7725.2922034126714</c:v>
                </c:pt>
                <c:pt idx="794">
                  <c:v>7706.1075799434711</c:v>
                </c:pt>
                <c:pt idx="795">
                  <c:v>7686.9297314092428</c:v>
                </c:pt>
                <c:pt idx="796">
                  <c:v>7667.7586274249124</c:v>
                </c:pt>
                <c:pt idx="797">
                  <c:v>7648.5942376808871</c:v>
                </c:pt>
                <c:pt idx="798">
                  <c:v>7629.4365319424796</c:v>
                </c:pt>
                <c:pt idx="799">
                  <c:v>7610.2854800493424</c:v>
                </c:pt>
                <c:pt idx="800">
                  <c:v>7591.1410519148976</c:v>
                </c:pt>
                <c:pt idx="801">
                  <c:v>7572.0032175257747</c:v>
                </c:pt>
                <c:pt idx="802">
                  <c:v>7552.8719469412508</c:v>
                </c:pt>
                <c:pt idx="803">
                  <c:v>7533.7472102926922</c:v>
                </c:pt>
                <c:pt idx="804">
                  <c:v>7514.6289777830007</c:v>
                </c:pt>
                <c:pt idx="805">
                  <c:v>7495.5172196860622</c:v>
                </c:pt>
                <c:pt idx="806">
                  <c:v>7476.4119063461976</c:v>
                </c:pt>
                <c:pt idx="807">
                  <c:v>7457.3130081776189</c:v>
                </c:pt>
                <c:pt idx="808">
                  <c:v>7438.2204956638852</c:v>
                </c:pt>
                <c:pt idx="809">
                  <c:v>7419.1343393573634</c:v>
                </c:pt>
                <c:pt idx="810">
                  <c:v>7400.0545098786924</c:v>
                </c:pt>
                <c:pt idx="811">
                  <c:v>7380.9809779162479</c:v>
                </c:pt>
                <c:pt idx="812">
                  <c:v>7361.9137142256104</c:v>
                </c:pt>
                <c:pt idx="813">
                  <c:v>7342.8526896290396</c:v>
                </c:pt>
                <c:pt idx="814">
                  <c:v>7323.797875014945</c:v>
                </c:pt>
                <c:pt idx="815">
                  <c:v>7304.7492413373675</c:v>
                </c:pt>
                <c:pt idx="816">
                  <c:v>7285.7067596154538</c:v>
                </c:pt>
                <c:pt idx="817">
                  <c:v>7266.6704009329424</c:v>
                </c:pt>
                <c:pt idx="818">
                  <c:v>7247.640136437647</c:v>
                </c:pt>
                <c:pt idx="819">
                  <c:v>7228.6159373409446</c:v>
                </c:pt>
                <c:pt idx="820">
                  <c:v>7209.5977749172653</c:v>
                </c:pt>
                <c:pt idx="821">
                  <c:v>7190.5856205035843</c:v>
                </c:pt>
                <c:pt idx="822">
                  <c:v>7171.5794454989173</c:v>
                </c:pt>
                <c:pt idx="823">
                  <c:v>7152.5792213638188</c:v>
                </c:pt>
                <c:pt idx="824">
                  <c:v>7133.5849196198806</c:v>
                </c:pt>
                <c:pt idx="825">
                  <c:v>7114.5965118492359</c:v>
                </c:pt>
                <c:pt idx="826">
                  <c:v>7095.6139696940636</c:v>
                </c:pt>
                <c:pt idx="827">
                  <c:v>7076.6372648560937</c:v>
                </c:pt>
                <c:pt idx="828">
                  <c:v>7057.6663690961195</c:v>
                </c:pt>
                <c:pt idx="829">
                  <c:v>7038.7012542335078</c:v>
                </c:pt>
                <c:pt idx="830">
                  <c:v>7019.7418921457138</c:v>
                </c:pt>
                <c:pt idx="831">
                  <c:v>7000.7882547677964</c:v>
                </c:pt>
                <c:pt idx="832">
                  <c:v>6981.840314091939</c:v>
                </c:pt>
                <c:pt idx="833">
                  <c:v>6962.8980421669685</c:v>
                </c:pt>
                <c:pt idx="834">
                  <c:v>6943.9614110978773</c:v>
                </c:pt>
                <c:pt idx="835">
                  <c:v>6925.0303930453529</c:v>
                </c:pt>
                <c:pt idx="836">
                  <c:v>6906.1049602253006</c:v>
                </c:pt>
                <c:pt idx="837">
                  <c:v>6887.1850849083758</c:v>
                </c:pt>
                <c:pt idx="838">
                  <c:v>6868.270739419514</c:v>
                </c:pt>
                <c:pt idx="839">
                  <c:v>6849.3618961374668</c:v>
                </c:pt>
                <c:pt idx="840">
                  <c:v>6830.4585274943347</c:v>
                </c:pt>
                <c:pt idx="841">
                  <c:v>6811.5606059751062</c:v>
                </c:pt>
                <c:pt idx="842">
                  <c:v>6792.6681041171978</c:v>
                </c:pt>
                <c:pt idx="843">
                  <c:v>6773.7809945099962</c:v>
                </c:pt>
                <c:pt idx="844">
                  <c:v>6754.8992497944018</c:v>
                </c:pt>
                <c:pt idx="845">
                  <c:v>6736.0228426623726</c:v>
                </c:pt>
                <c:pt idx="846">
                  <c:v>6717.1517458564731</c:v>
                </c:pt>
                <c:pt idx="847">
                  <c:v>6698.2859321694259</c:v>
                </c:pt>
                <c:pt idx="848">
                  <c:v>6679.4253744436583</c:v>
                </c:pt>
                <c:pt idx="849">
                  <c:v>6660.5700455708593</c:v>
                </c:pt>
                <c:pt idx="850">
                  <c:v>6641.7199184915335</c:v>
                </c:pt>
                <c:pt idx="851">
                  <c:v>6622.8749661945576</c:v>
                </c:pt>
                <c:pt idx="852">
                  <c:v>6604.0351617167389</c:v>
                </c:pt>
                <c:pt idx="853">
                  <c:v>6585.2004781423766</c:v>
                </c:pt>
                <c:pt idx="854">
                  <c:v>6566.3708886028226</c:v>
                </c:pt>
                <c:pt idx="855">
                  <c:v>6547.5463662760467</c:v>
                </c:pt>
                <c:pt idx="856">
                  <c:v>6528.7268843862003</c:v>
                </c:pt>
                <c:pt idx="857">
                  <c:v>6509.9124162031849</c:v>
                </c:pt>
                <c:pt idx="858">
                  <c:v>6491.1029350422214</c:v>
                </c:pt>
                <c:pt idx="859">
                  <c:v>6472.2984142634195</c:v>
                </c:pt>
                <c:pt idx="860">
                  <c:v>6453.4988272713499</c:v>
                </c:pt>
                <c:pt idx="861">
                  <c:v>6434.7041475146179</c:v>
                </c:pt>
                <c:pt idx="862">
                  <c:v>6415.9143484854394</c:v>
                </c:pt>
                <c:pt idx="863">
                  <c:v>6397.1294037192183</c:v>
                </c:pt>
                <c:pt idx="864">
                  <c:v>6378.3492867941222</c:v>
                </c:pt>
                <c:pt idx="865">
                  <c:v>6359.5739713306657</c:v>
                </c:pt>
                <c:pt idx="866">
                  <c:v>6340.8034309912882</c:v>
                </c:pt>
                <c:pt idx="867">
                  <c:v>6322.0376394799396</c:v>
                </c:pt>
                <c:pt idx="868">
                  <c:v>6303.2765705416641</c:v>
                </c:pt>
                <c:pt idx="869">
                  <c:v>6284.5201979621852</c:v>
                </c:pt>
                <c:pt idx="870">
                  <c:v>6265.7684955674922</c:v>
                </c:pt>
                <c:pt idx="871">
                  <c:v>6247.0214372234295</c:v>
                </c:pt>
                <c:pt idx="872">
                  <c:v>6228.2789968352881</c:v>
                </c:pt>
                <c:pt idx="873">
                  <c:v>6209.5411483473954</c:v>
                </c:pt>
                <c:pt idx="874">
                  <c:v>6190.8078657427068</c:v>
                </c:pt>
                <c:pt idx="875">
                  <c:v>6172.0791230424011</c:v>
                </c:pt>
                <c:pt idx="876">
                  <c:v>6153.3548943054757</c:v>
                </c:pt>
                <c:pt idx="877">
                  <c:v>6134.6351536283437</c:v>
                </c:pt>
                <c:pt idx="878">
                  <c:v>6115.9198751444301</c:v>
                </c:pt>
                <c:pt idx="879">
                  <c:v>6097.2090330237716</c:v>
                </c:pt>
                <c:pt idx="880">
                  <c:v>6078.5026014726182</c:v>
                </c:pt>
                <c:pt idx="881">
                  <c:v>6059.8005547330331</c:v>
                </c:pt>
                <c:pt idx="882">
                  <c:v>6041.1028670824953</c:v>
                </c:pt>
                <c:pt idx="883">
                  <c:v>6022.4095128335048</c:v>
                </c:pt>
                <c:pt idx="884">
                  <c:v>6003.7204663331868</c:v>
                </c:pt>
                <c:pt idx="885">
                  <c:v>5985.0357019628982</c:v>
                </c:pt>
                <c:pt idx="886">
                  <c:v>5966.3551941378346</c:v>
                </c:pt>
                <c:pt idx="887">
                  <c:v>5947.67891730664</c:v>
                </c:pt>
                <c:pt idx="888">
                  <c:v>5929.0068459510148</c:v>
                </c:pt>
                <c:pt idx="889">
                  <c:v>5910.338954585327</c:v>
                </c:pt>
                <c:pt idx="890">
                  <c:v>5891.6752177562239</c:v>
                </c:pt>
                <c:pt idx="891">
                  <c:v>5873.0156100422437</c:v>
                </c:pt>
                <c:pt idx="892">
                  <c:v>5854.360106053432</c:v>
                </c:pt>
                <c:pt idx="893">
                  <c:v>5835.7086804309538</c:v>
                </c:pt>
                <c:pt idx="894">
                  <c:v>5817.0613078467113</c:v>
                </c:pt>
                <c:pt idx="895">
                  <c:v>5798.4179630029575</c:v>
                </c:pt>
                <c:pt idx="896">
                  <c:v>5779.7786206319179</c:v>
                </c:pt>
                <c:pt idx="897">
                  <c:v>5761.1432554954063</c:v>
                </c:pt>
                <c:pt idx="898">
                  <c:v>5742.5118423844451</c:v>
                </c:pt>
                <c:pt idx="899">
                  <c:v>5723.884356118886</c:v>
                </c:pt>
                <c:pt idx="900">
                  <c:v>5705.2607715470294</c:v>
                </c:pt>
                <c:pt idx="901">
                  <c:v>5686.6410635452503</c:v>
                </c:pt>
                <c:pt idx="902">
                  <c:v>5668.0252070176184</c:v>
                </c:pt>
                <c:pt idx="903">
                  <c:v>5649.4131768955222</c:v>
                </c:pt>
                <c:pt idx="904">
                  <c:v>5630.8049481372946</c:v>
                </c:pt>
                <c:pt idx="905">
                  <c:v>5612.2004957278386</c:v>
                </c:pt>
                <c:pt idx="906">
                  <c:v>5593.5997946782518</c:v>
                </c:pt>
                <c:pt idx="907">
                  <c:v>5575.0028200254555</c:v>
                </c:pt>
                <c:pt idx="908">
                  <c:v>5556.4095468318219</c:v>
                </c:pt>
                <c:pt idx="909">
                  <c:v>5537.8199501848012</c:v>
                </c:pt>
                <c:pt idx="910">
                  <c:v>5519.2340051965539</c:v>
                </c:pt>
                <c:pt idx="911">
                  <c:v>5500.6516870035766</c:v>
                </c:pt>
                <c:pt idx="912">
                  <c:v>5482.0729707663368</c:v>
                </c:pt>
                <c:pt idx="913">
                  <c:v>5463.497831668903</c:v>
                </c:pt>
                <c:pt idx="914">
                  <c:v>5444.9262449185744</c:v>
                </c:pt>
                <c:pt idx="915">
                  <c:v>5426.3581857455165</c:v>
                </c:pt>
                <c:pt idx="916">
                  <c:v>5407.793629402393</c:v>
                </c:pt>
                <c:pt idx="917">
                  <c:v>5389.2325511640001</c:v>
                </c:pt>
                <c:pt idx="918">
                  <c:v>5370.6749263269012</c:v>
                </c:pt>
                <c:pt idx="919">
                  <c:v>5352.1207302090615</c:v>
                </c:pt>
                <c:pt idx="920">
                  <c:v>5333.5699381494842</c:v>
                </c:pt>
                <c:pt idx="921">
                  <c:v>5315.0225255078458</c:v>
                </c:pt>
                <c:pt idx="922">
                  <c:v>5296.4784676641339</c:v>
                </c:pt>
                <c:pt idx="923">
                  <c:v>5277.9377400182839</c:v>
                </c:pt>
                <c:pt idx="924">
                  <c:v>5259.4003179898173</c:v>
                </c:pt>
                <c:pt idx="925">
                  <c:v>5240.8661770174785</c:v>
                </c:pt>
                <c:pt idx="926">
                  <c:v>5222.3352925588761</c:v>
                </c:pt>
                <c:pt idx="927">
                  <c:v>5203.80764009012</c:v>
                </c:pt>
                <c:pt idx="928">
                  <c:v>5185.2831951054613</c:v>
                </c:pt>
                <c:pt idx="929">
                  <c:v>5166.7619331169326</c:v>
                </c:pt>
                <c:pt idx="930">
                  <c:v>5148.2438296539904</c:v>
                </c:pt>
                <c:pt idx="931">
                  <c:v>5129.7288602631525</c:v>
                </c:pt>
                <c:pt idx="932">
                  <c:v>5111.2170005076423</c:v>
                </c:pt>
                <c:pt idx="933">
                  <c:v>5092.7082259670278</c:v>
                </c:pt>
                <c:pt idx="934">
                  <c:v>5074.2025122368668</c:v>
                </c:pt>
                <c:pt idx="935">
                  <c:v>5055.6998349283458</c:v>
                </c:pt>
                <c:pt idx="936">
                  <c:v>5037.2001696679263</c:v>
                </c:pt>
                <c:pt idx="937">
                  <c:v>5018.7034920969836</c:v>
                </c:pt>
                <c:pt idx="938">
                  <c:v>5000.2097778714542</c:v>
                </c:pt>
                <c:pt idx="939">
                  <c:v>4981.7190026614762</c:v>
                </c:pt>
                <c:pt idx="940">
                  <c:v>4963.2311421510349</c:v>
                </c:pt>
                <c:pt idx="941">
                  <c:v>4944.7461720376068</c:v>
                </c:pt>
                <c:pt idx="942">
                  <c:v>4926.2640680318018</c:v>
                </c:pt>
                <c:pt idx="943">
                  <c:v>4907.7848058570116</c:v>
                </c:pt>
                <c:pt idx="944">
                  <c:v>4889.30836124905</c:v>
                </c:pt>
                <c:pt idx="945">
                  <c:v>4870.8347099558014</c:v>
                </c:pt>
                <c:pt idx="946">
                  <c:v>4852.3638277368636</c:v>
                </c:pt>
                <c:pt idx="947">
                  <c:v>4833.8956903631952</c:v>
                </c:pt>
                <c:pt idx="948">
                  <c:v>4815.4302736167574</c:v>
                </c:pt>
                <c:pt idx="949">
                  <c:v>4796.9675532901638</c:v>
                </c:pt>
                <c:pt idx="950">
                  <c:v>4778.5075051863232</c:v>
                </c:pt>
                <c:pt idx="951">
                  <c:v>4760.0501051180854</c:v>
                </c:pt>
                <c:pt idx="952">
                  <c:v>4741.5953289078889</c:v>
                </c:pt>
                <c:pt idx="953">
                  <c:v>4723.1431523874053</c:v>
                </c:pt>
                <c:pt idx="954">
                  <c:v>4704.6935513971848</c:v>
                </c:pt>
                <c:pt idx="955">
                  <c:v>4686.2465017863033</c:v>
                </c:pt>
                <c:pt idx="956">
                  <c:v>4667.8019794120073</c:v>
                </c:pt>
                <c:pt idx="957">
                  <c:v>4649.3599601393607</c:v>
                </c:pt>
                <c:pt idx="958">
                  <c:v>4630.9204198408916</c:v>
                </c:pt>
                <c:pt idx="959">
                  <c:v>4612.4833343962364</c:v>
                </c:pt>
                <c:pt idx="960">
                  <c:v>4594.0486796917867</c:v>
                </c:pt>
                <c:pt idx="961">
                  <c:v>4575.6164316203349</c:v>
                </c:pt>
                <c:pt idx="962">
                  <c:v>4557.1865660807198</c:v>
                </c:pt>
                <c:pt idx="963">
                  <c:v>4538.7590589774736</c:v>
                </c:pt>
                <c:pt idx="964">
                  <c:v>4520.3338862204655</c:v>
                </c:pt>
                <c:pt idx="965">
                  <c:v>4501.9110237245495</c:v>
                </c:pt>
                <c:pt idx="966">
                  <c:v>4483.4904474092073</c:v>
                </c:pt>
                <c:pt idx="967">
                  <c:v>4465.0721331981958</c:v>
                </c:pt>
                <c:pt idx="968">
                  <c:v>4446.6560570191905</c:v>
                </c:pt>
                <c:pt idx="969">
                  <c:v>4428.2421948034307</c:v>
                </c:pt>
                <c:pt idx="970">
                  <c:v>4409.8305224853657</c:v>
                </c:pt>
                <c:pt idx="971">
                  <c:v>4391.4210160022976</c:v>
                </c:pt>
                <c:pt idx="972">
                  <c:v>4373.0136512940253</c:v>
                </c:pt>
                <c:pt idx="973">
                  <c:v>4354.6084043024912</c:v>
                </c:pt>
                <c:pt idx="974">
                  <c:v>4336.2052509714222</c:v>
                </c:pt>
                <c:pt idx="975">
                  <c:v>4317.804167245974</c:v>
                </c:pt>
                <c:pt idx="976">
                  <c:v>4299.4051290723746</c:v>
                </c:pt>
                <c:pt idx="977">
                  <c:v>4281.0081123975679</c:v>
                </c:pt>
                <c:pt idx="978">
                  <c:v>4262.6130931688558</c:v>
                </c:pt>
                <c:pt idx="979">
                  <c:v>4244.2200473335397</c:v>
                </c:pt>
                <c:pt idx="980">
                  <c:v>4225.8289508385633</c:v>
                </c:pt>
                <c:pt idx="981">
                  <c:v>4207.4397796301537</c:v>
                </c:pt>
                <c:pt idx="982">
                  <c:v>4189.0525096534639</c:v>
                </c:pt>
                <c:pt idx="983">
                  <c:v>4170.6671168522116</c:v>
                </c:pt>
                <c:pt idx="984">
                  <c:v>4152.2835771683222</c:v>
                </c:pt>
                <c:pt idx="985">
                  <c:v>4133.901866541567</c:v>
                </c:pt>
                <c:pt idx="986">
                  <c:v>4115.5219609092019</c:v>
                </c:pt>
                <c:pt idx="987">
                  <c:v>4097.1438362056087</c:v>
                </c:pt>
                <c:pt idx="988">
                  <c:v>4078.767468361933</c:v>
                </c:pt>
                <c:pt idx="989">
                  <c:v>4060.3928333057215</c:v>
                </c:pt>
                <c:pt idx="990">
                  <c:v>4042.0199069605605</c:v>
                </c:pt>
                <c:pt idx="991">
                  <c:v>4023.6486652457129</c:v>
                </c:pt>
                <c:pt idx="992">
                  <c:v>4005.2790840757548</c:v>
                </c:pt>
                <c:pt idx="993">
                  <c:v>3986.9111393602111</c:v>
                </c:pt>
                <c:pt idx="994">
                  <c:v>3968.5448070031921</c:v>
                </c:pt>
                <c:pt idx="995">
                  <c:v>3950.1800629030263</c:v>
                </c:pt>
                <c:pt idx="996">
                  <c:v>3931.8168829518972</c:v>
                </c:pt>
                <c:pt idx="997">
                  <c:v>3913.4552430354752</c:v>
                </c:pt>
                <c:pt idx="998">
                  <c:v>3895.0951190325509</c:v>
                </c:pt>
                <c:pt idx="999">
                  <c:v>3876.7364868146683</c:v>
                </c:pt>
                <c:pt idx="1000">
                  <c:v>3858.3793222457562</c:v>
                </c:pt>
                <c:pt idx="1001">
                  <c:v>3840.0236011817578</c:v>
                </c:pt>
                <c:pt idx="1002">
                  <c:v>3821.669299470263</c:v>
                </c:pt>
                <c:pt idx="1003">
                  <c:v>3803.3163929501375</c:v>
                </c:pt>
                <c:pt idx="1004">
                  <c:v>3784.9648574511507</c:v>
                </c:pt>
                <c:pt idx="1005">
                  <c:v>3766.6146687936048</c:v>
                </c:pt>
                <c:pt idx="1006">
                  <c:v>3748.265802787962</c:v>
                </c:pt>
                <c:pt idx="1007">
                  <c:v>3729.9182352344706</c:v>
                </c:pt>
                <c:pt idx="1008">
                  <c:v>3711.5719419227912</c:v>
                </c:pt>
                <c:pt idx="1009">
                  <c:v>3693.2268986316212</c:v>
                </c:pt>
                <c:pt idx="1010">
                  <c:v>3674.8830811283192</c:v>
                </c:pt>
                <c:pt idx="1011">
                  <c:v>3656.5404651685285</c:v>
                </c:pt>
                <c:pt idx="1012">
                  <c:v>3638.1990264957985</c:v>
                </c:pt>
                <c:pt idx="1013">
                  <c:v>3619.8587408412072</c:v>
                </c:pt>
                <c:pt idx="1014">
                  <c:v>3601.5195839229814</c:v>
                </c:pt>
                <c:pt idx="1015">
                  <c:v>3583.181531446116</c:v>
                </c:pt>
                <c:pt idx="1016">
                  <c:v>3564.8445591019927</c:v>
                </c:pt>
                <c:pt idx="1017">
                  <c:v>3546.5086425679983</c:v>
                </c:pt>
                <c:pt idx="1018">
                  <c:v>3528.1737575071406</c:v>
                </c:pt>
                <c:pt idx="1019">
                  <c:v>3509.8398795676649</c:v>
                </c:pt>
                <c:pt idx="1020">
                  <c:v>3491.5069843826677</c:v>
                </c:pt>
                <c:pt idx="1021">
                  <c:v>3473.1750475697118</c:v>
                </c:pt>
                <c:pt idx="1022">
                  <c:v>3454.844044730437</c:v>
                </c:pt>
                <c:pt idx="1023">
                  <c:v>3436.5139514501734</c:v>
                </c:pt>
                <c:pt idx="1024">
                  <c:v>3418.1847432975514</c:v>
                </c:pt>
                <c:pt idx="1025">
                  <c:v>3399.8563958241098</c:v>
                </c:pt>
                <c:pt idx="1026">
                  <c:v>3381.5288845639047</c:v>
                </c:pt>
                <c:pt idx="1027">
                  <c:v>3363.202185033118</c:v>
                </c:pt>
                <c:pt idx="1028">
                  <c:v>3344.8762727296603</c:v>
                </c:pt>
                <c:pt idx="1029">
                  <c:v>3326.5511231327782</c:v>
                </c:pt>
                <c:pt idx="1030">
                  <c:v>3308.2267117026558</c:v>
                </c:pt>
                <c:pt idx="1031">
                  <c:v>3289.9030138800185</c:v>
                </c:pt>
                <c:pt idx="1032">
                  <c:v>3271.5800050857333</c:v>
                </c:pt>
                <c:pt idx="1033">
                  <c:v>3253.2576607204078</c:v>
                </c:pt>
                <c:pt idx="1034">
                  <c:v>3234.935956163989</c:v>
                </c:pt>
                <c:pt idx="1035">
                  <c:v>3216.614866775361</c:v>
                </c:pt>
                <c:pt idx="1036">
                  <c:v>3198.2943678919401</c:v>
                </c:pt>
                <c:pt idx="1037">
                  <c:v>3179.9744348292697</c:v>
                </c:pt>
                <c:pt idx="1038">
                  <c:v>3161.6550428806122</c:v>
                </c:pt>
                <c:pt idx="1039">
                  <c:v>3143.3361673165418</c:v>
                </c:pt>
                <c:pt idx="1040">
                  <c:v>3125.0177833845341</c:v>
                </c:pt>
                <c:pt idx="1041">
                  <c:v>3106.6998663085551</c:v>
                </c:pt>
                <c:pt idx="1042">
                  <c:v>3088.3823912886483</c:v>
                </c:pt>
                <c:pt idx="1043">
                  <c:v>3070.0653335005204</c:v>
                </c:pt>
                <c:pt idx="1044">
                  <c:v>3051.7486680951256</c:v>
                </c:pt>
                <c:pt idx="1045">
                  <c:v>3033.4323701982494</c:v>
                </c:pt>
                <c:pt idx="1046">
                  <c:v>3015.1164149100882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65-4C21-9DBE-E6411585C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319936"/>
        <c:axId val="506327008"/>
      </c:scatterChart>
      <c:valAx>
        <c:axId val="506319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&quot; m/s 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06327008"/>
        <c:crosses val="autoZero"/>
        <c:crossBetween val="midCat"/>
      </c:valAx>
      <c:valAx>
        <c:axId val="506327008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m 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06319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561975</xdr:colOff>
      <xdr:row>2</xdr:row>
      <xdr:rowOff>257174</xdr:rowOff>
    </xdr:from>
    <xdr:to>
      <xdr:col>20</xdr:col>
      <xdr:colOff>561975</xdr:colOff>
      <xdr:row>30</xdr:row>
      <xdr:rowOff>66674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H12"/>
  <sheetViews>
    <sheetView workbookViewId="0">
      <selection activeCell="F12" sqref="F12"/>
    </sheetView>
  </sheetViews>
  <sheetFormatPr baseColWidth="10" defaultRowHeight="15" x14ac:dyDescent="0.25"/>
  <cols>
    <col min="1" max="1" width="17.28515625" customWidth="1"/>
    <col min="5" max="5" width="11.7109375" bestFit="1" customWidth="1"/>
  </cols>
  <sheetData>
    <row r="2" spans="2:8" x14ac:dyDescent="0.25">
      <c r="B2" t="s">
        <v>0</v>
      </c>
    </row>
    <row r="3" spans="2:8" x14ac:dyDescent="0.25">
      <c r="B3">
        <v>1</v>
      </c>
      <c r="C3" s="1">
        <v>3000</v>
      </c>
      <c r="D3" s="1">
        <f>C3^2</f>
        <v>9000000</v>
      </c>
      <c r="E3" s="1">
        <f>C3^3</f>
        <v>27000000000</v>
      </c>
      <c r="F3">
        <v>5.4</v>
      </c>
    </row>
    <row r="4" spans="2:8" x14ac:dyDescent="0.25">
      <c r="B4">
        <v>1</v>
      </c>
      <c r="C4" s="1">
        <v>30000</v>
      </c>
      <c r="D4" s="1">
        <f>C4^2</f>
        <v>900000000</v>
      </c>
      <c r="E4" s="1">
        <f>C4^3</f>
        <v>27000000000000</v>
      </c>
      <c r="F4">
        <v>0</v>
      </c>
    </row>
    <row r="5" spans="2:8" x14ac:dyDescent="0.25">
      <c r="B5">
        <v>0</v>
      </c>
      <c r="C5">
        <v>1</v>
      </c>
      <c r="D5" s="1">
        <f>2*C3</f>
        <v>6000</v>
      </c>
      <c r="E5" s="1">
        <f>3*C3^2</f>
        <v>27000000</v>
      </c>
      <c r="F5">
        <v>0</v>
      </c>
    </row>
    <row r="6" spans="2:8" x14ac:dyDescent="0.25">
      <c r="B6">
        <v>0</v>
      </c>
      <c r="C6">
        <v>1</v>
      </c>
      <c r="D6" s="1">
        <f>2*C4</f>
        <v>60000</v>
      </c>
      <c r="E6" s="1">
        <f>3*C4^2</f>
        <v>2700000000</v>
      </c>
      <c r="F6">
        <v>0</v>
      </c>
    </row>
    <row r="9" spans="2:8" x14ac:dyDescent="0.25">
      <c r="E9">
        <f t="array" ref="E9:E12">MMULT(MINVERSE(B3:E6),F3:F6)</f>
        <v>5.1851851851851851</v>
      </c>
      <c r="F9">
        <f>E9</f>
        <v>5.1851851851851851</v>
      </c>
      <c r="G9">
        <v>20000</v>
      </c>
      <c r="H9">
        <f>E9+E10*G9+E11*G9^2+E12*G9^3</f>
        <v>1.6735253772290797</v>
      </c>
    </row>
    <row r="10" spans="2:8" x14ac:dyDescent="0.25">
      <c r="E10">
        <v>1.481481481481482E-4</v>
      </c>
      <c r="F10">
        <f>E10</f>
        <v>1.481481481481482E-4</v>
      </c>
    </row>
    <row r="11" spans="2:8" x14ac:dyDescent="0.25">
      <c r="E11">
        <v>-2.7160493827160497E-8</v>
      </c>
      <c r="F11">
        <f>E11</f>
        <v>-2.7160493827160497E-8</v>
      </c>
    </row>
    <row r="12" spans="2:8" x14ac:dyDescent="0.25">
      <c r="E12">
        <v>5.4869684499314136E-13</v>
      </c>
      <c r="F12">
        <f>E12</f>
        <v>5.4869684499314136E-13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050"/>
  <sheetViews>
    <sheetView tabSelected="1" workbookViewId="0">
      <pane xSplit="2" ySplit="3" topLeftCell="I4" activePane="bottomRight" state="frozen"/>
      <selection pane="topRight" activeCell="C1" sqref="C1"/>
      <selection pane="bottomLeft" activeCell="A4" sqref="A4"/>
      <selection pane="bottomRight" activeCell="V27" sqref="V27"/>
    </sheetView>
  </sheetViews>
  <sheetFormatPr baseColWidth="10" defaultRowHeight="15" x14ac:dyDescent="0.25"/>
  <cols>
    <col min="1" max="1" width="13.5703125" customWidth="1"/>
    <col min="2" max="2" width="8.42578125" customWidth="1"/>
    <col min="3" max="6" width="16" customWidth="1"/>
    <col min="7" max="7" width="19.5703125" customWidth="1"/>
    <col min="8" max="8" width="20.42578125" customWidth="1"/>
    <col min="9" max="12" width="16" customWidth="1"/>
    <col min="13" max="13" width="2" customWidth="1"/>
  </cols>
  <sheetData>
    <row r="1" spans="2:14" x14ac:dyDescent="0.25">
      <c r="B1" s="17" t="s">
        <v>9</v>
      </c>
      <c r="C1" s="17"/>
      <c r="D1" s="17"/>
      <c r="E1" s="17"/>
      <c r="F1" s="17"/>
      <c r="G1" s="17"/>
      <c r="H1" s="17"/>
      <c r="I1" s="5"/>
      <c r="J1" s="17" t="s">
        <v>10</v>
      </c>
      <c r="K1" s="17"/>
      <c r="L1" s="17"/>
      <c r="N1" s="6">
        <v>0.28000000000000003</v>
      </c>
    </row>
    <row r="2" spans="2:14" ht="20.25" x14ac:dyDescent="0.25">
      <c r="B2" s="2"/>
      <c r="C2" s="2"/>
      <c r="D2" s="2"/>
      <c r="E2" s="2"/>
      <c r="F2" s="14">
        <f>G2/9.81</f>
        <v>2.1303166333197034</v>
      </c>
      <c r="G2" s="13">
        <f>ABS(MAX(G4:G1050))</f>
        <v>20.898406172866292</v>
      </c>
      <c r="H2" s="12">
        <f>ABS(MIN(H4:H1050))</f>
        <v>454.15528178041126</v>
      </c>
      <c r="I2" s="11">
        <f>H2/340.3</f>
        <v>1.3345732641211028</v>
      </c>
      <c r="J2" s="2" t="s">
        <v>1</v>
      </c>
      <c r="K2" s="2" t="s">
        <v>2</v>
      </c>
      <c r="L2" s="2"/>
    </row>
    <row r="3" spans="2:14" ht="20.25" x14ac:dyDescent="0.25">
      <c r="B3" s="4" t="s">
        <v>3</v>
      </c>
      <c r="C3" s="4" t="s">
        <v>4</v>
      </c>
      <c r="D3" s="4" t="s">
        <v>1</v>
      </c>
      <c r="E3" s="4" t="s">
        <v>2</v>
      </c>
      <c r="F3" s="4" t="s">
        <v>5</v>
      </c>
      <c r="G3" s="4" t="s">
        <v>6</v>
      </c>
      <c r="H3" s="4" t="s">
        <v>7</v>
      </c>
      <c r="I3" s="3" t="s">
        <v>11</v>
      </c>
      <c r="J3" s="3" t="s">
        <v>4</v>
      </c>
      <c r="K3" s="3" t="s">
        <v>7</v>
      </c>
      <c r="L3" s="3" t="s">
        <v>8</v>
      </c>
      <c r="N3" s="3" t="s">
        <v>12</v>
      </c>
    </row>
    <row r="4" spans="2:14" x14ac:dyDescent="0.25">
      <c r="B4" s="7">
        <v>0</v>
      </c>
      <c r="C4" s="9">
        <v>0</v>
      </c>
      <c r="D4" s="10">
        <f>dvdt($C4,$I4)</f>
        <v>-9.81</v>
      </c>
      <c r="E4" s="10">
        <f t="shared" ref="E4:E67" si="0">dvdt($C4+h/2*D4,$I4+(h/2)/2*(2*C4+D4*h/2))</f>
        <v>-9.81</v>
      </c>
      <c r="F4" s="10">
        <f t="shared" ref="F4:F67" si="1">dvdt($C4+h/2*E4,$I4+(h/2)/2*(2*$C4+E4*h/2))</f>
        <v>-9.81</v>
      </c>
      <c r="G4" s="10">
        <f t="shared" ref="G4:G67" si="2">dvdt($C4+h*F4,$I4+h/2*(2*$C4+F4*h))</f>
        <v>-9.81</v>
      </c>
      <c r="H4" s="9">
        <f t="shared" ref="H4:H67" si="3">C4+h/6*(D4+2*E4+2*F4+G4)</f>
        <v>-2.7467999999999999</v>
      </c>
      <c r="I4" s="8">
        <v>38970</v>
      </c>
      <c r="J4" s="9">
        <f>C4</f>
        <v>0</v>
      </c>
      <c r="K4" s="9">
        <f>H4</f>
        <v>-2.7467999999999999</v>
      </c>
      <c r="L4" s="8">
        <f t="shared" ref="L4:L67" si="4">I4+h/2*(J4+K4)</f>
        <v>38969.615447999997</v>
      </c>
      <c r="N4" s="16">
        <f>C_y(I4)</f>
        <v>0</v>
      </c>
    </row>
    <row r="5" spans="2:14" x14ac:dyDescent="0.25">
      <c r="B5" s="7">
        <f t="shared" ref="B5:B68" si="5">B4+h</f>
        <v>0.28000000000000003</v>
      </c>
      <c r="C5" s="9">
        <f>H4</f>
        <v>-2.7467999999999999</v>
      </c>
      <c r="D5" s="10">
        <f>dvdt($C5,$I5)</f>
        <v>-9.81</v>
      </c>
      <c r="E5" s="10">
        <f t="shared" si="0"/>
        <v>-9.81</v>
      </c>
      <c r="F5" s="10">
        <f t="shared" si="1"/>
        <v>-9.81</v>
      </c>
      <c r="G5" s="10">
        <f t="shared" si="2"/>
        <v>-9.81</v>
      </c>
      <c r="H5" s="9">
        <f t="shared" si="3"/>
        <v>-5.4935999999999998</v>
      </c>
      <c r="I5" s="8">
        <f>L4</f>
        <v>38969.615447999997</v>
      </c>
      <c r="J5" s="9">
        <f>C5</f>
        <v>-2.7467999999999999</v>
      </c>
      <c r="K5" s="9">
        <f>H5</f>
        <v>-5.4935999999999998</v>
      </c>
      <c r="L5" s="8">
        <f t="shared" si="4"/>
        <v>38968.461791999995</v>
      </c>
      <c r="N5" s="16">
        <f t="shared" ref="N5:N68" si="6">C_y(I5)</f>
        <v>0</v>
      </c>
    </row>
    <row r="6" spans="2:14" x14ac:dyDescent="0.25">
      <c r="B6" s="7">
        <f t="shared" si="5"/>
        <v>0.56000000000000005</v>
      </c>
      <c r="C6" s="9">
        <f t="shared" ref="C6:C69" si="7">H5</f>
        <v>-5.4935999999999998</v>
      </c>
      <c r="D6" s="10">
        <f t="shared" ref="D6:D69" si="8">dvdt($C6,$I6)</f>
        <v>-9.81</v>
      </c>
      <c r="E6" s="10">
        <f t="shared" si="0"/>
        <v>-9.81</v>
      </c>
      <c r="F6" s="10">
        <f t="shared" si="1"/>
        <v>-9.81</v>
      </c>
      <c r="G6" s="10">
        <f t="shared" si="2"/>
        <v>-9.81</v>
      </c>
      <c r="H6" s="9">
        <f t="shared" si="3"/>
        <v>-8.2403999999999993</v>
      </c>
      <c r="I6" s="8">
        <f t="shared" ref="I6:I69" si="9">L5</f>
        <v>38968.461791999995</v>
      </c>
      <c r="J6" s="9">
        <f t="shared" ref="J6:J69" si="10">C6</f>
        <v>-5.4935999999999998</v>
      </c>
      <c r="K6" s="9">
        <f t="shared" ref="K6:K69" si="11">H6</f>
        <v>-8.2403999999999993</v>
      </c>
      <c r="L6" s="8">
        <f t="shared" si="4"/>
        <v>38966.539031999993</v>
      </c>
      <c r="N6" s="16">
        <f t="shared" si="6"/>
        <v>0</v>
      </c>
    </row>
    <row r="7" spans="2:14" x14ac:dyDescent="0.25">
      <c r="B7" s="7">
        <f t="shared" si="5"/>
        <v>0.84000000000000008</v>
      </c>
      <c r="C7" s="9">
        <f t="shared" si="7"/>
        <v>-8.2403999999999993</v>
      </c>
      <c r="D7" s="10">
        <f t="shared" si="8"/>
        <v>-9.81</v>
      </c>
      <c r="E7" s="10">
        <f t="shared" si="0"/>
        <v>-9.81</v>
      </c>
      <c r="F7" s="10">
        <f t="shared" si="1"/>
        <v>-9.81</v>
      </c>
      <c r="G7" s="10">
        <f t="shared" si="2"/>
        <v>-9.81</v>
      </c>
      <c r="H7" s="9">
        <f t="shared" si="3"/>
        <v>-10.9872</v>
      </c>
      <c r="I7" s="8">
        <f t="shared" si="9"/>
        <v>38966.539031999993</v>
      </c>
      <c r="J7" s="9">
        <f t="shared" si="10"/>
        <v>-8.2403999999999993</v>
      </c>
      <c r="K7" s="9">
        <f t="shared" si="11"/>
        <v>-10.9872</v>
      </c>
      <c r="L7" s="8">
        <f t="shared" si="4"/>
        <v>38963.847167999993</v>
      </c>
      <c r="N7" s="16">
        <f t="shared" si="6"/>
        <v>0</v>
      </c>
    </row>
    <row r="8" spans="2:14" x14ac:dyDescent="0.25">
      <c r="B8" s="7">
        <f t="shared" si="5"/>
        <v>1.1200000000000001</v>
      </c>
      <c r="C8" s="9">
        <f t="shared" si="7"/>
        <v>-10.9872</v>
      </c>
      <c r="D8" s="10">
        <f t="shared" si="8"/>
        <v>-9.81</v>
      </c>
      <c r="E8" s="10">
        <f t="shared" si="0"/>
        <v>-9.81</v>
      </c>
      <c r="F8" s="10">
        <f t="shared" si="1"/>
        <v>-9.81</v>
      </c>
      <c r="G8" s="10">
        <f t="shared" si="2"/>
        <v>-9.81</v>
      </c>
      <c r="H8" s="9">
        <f t="shared" si="3"/>
        <v>-13.734</v>
      </c>
      <c r="I8" s="8">
        <f t="shared" si="9"/>
        <v>38963.847167999993</v>
      </c>
      <c r="J8" s="9">
        <f t="shared" si="10"/>
        <v>-10.9872</v>
      </c>
      <c r="K8" s="9">
        <f t="shared" si="11"/>
        <v>-13.734</v>
      </c>
      <c r="L8" s="8">
        <f t="shared" si="4"/>
        <v>38960.386199999994</v>
      </c>
      <c r="N8" s="16">
        <f t="shared" si="6"/>
        <v>0</v>
      </c>
    </row>
    <row r="9" spans="2:14" x14ac:dyDescent="0.25">
      <c r="B9" s="7">
        <f t="shared" si="5"/>
        <v>1.4000000000000001</v>
      </c>
      <c r="C9" s="9">
        <f t="shared" si="7"/>
        <v>-13.734</v>
      </c>
      <c r="D9" s="10">
        <f t="shared" si="8"/>
        <v>-9.81</v>
      </c>
      <c r="E9" s="10">
        <f t="shared" si="0"/>
        <v>-9.81</v>
      </c>
      <c r="F9" s="10">
        <f t="shared" si="1"/>
        <v>-9.81</v>
      </c>
      <c r="G9" s="10">
        <f t="shared" si="2"/>
        <v>-9.81</v>
      </c>
      <c r="H9" s="9">
        <f t="shared" si="3"/>
        <v>-16.480799999999999</v>
      </c>
      <c r="I9" s="8">
        <f t="shared" si="9"/>
        <v>38960.386199999994</v>
      </c>
      <c r="J9" s="9">
        <f t="shared" si="10"/>
        <v>-13.734</v>
      </c>
      <c r="K9" s="9">
        <f t="shared" si="11"/>
        <v>-16.480799999999999</v>
      </c>
      <c r="L9" s="8">
        <f t="shared" si="4"/>
        <v>38956.156127999995</v>
      </c>
      <c r="N9" s="16">
        <f t="shared" si="6"/>
        <v>0</v>
      </c>
    </row>
    <row r="10" spans="2:14" x14ac:dyDescent="0.25">
      <c r="B10" s="7">
        <f t="shared" si="5"/>
        <v>1.6800000000000002</v>
      </c>
      <c r="C10" s="9">
        <f t="shared" si="7"/>
        <v>-16.480799999999999</v>
      </c>
      <c r="D10" s="10">
        <f t="shared" si="8"/>
        <v>-9.81</v>
      </c>
      <c r="E10" s="10">
        <f t="shared" si="0"/>
        <v>-9.81</v>
      </c>
      <c r="F10" s="10">
        <f t="shared" si="1"/>
        <v>-9.81</v>
      </c>
      <c r="G10" s="10">
        <f t="shared" si="2"/>
        <v>-9.81</v>
      </c>
      <c r="H10" s="9">
        <f t="shared" si="3"/>
        <v>-19.227599999999999</v>
      </c>
      <c r="I10" s="8">
        <f t="shared" si="9"/>
        <v>38956.156127999995</v>
      </c>
      <c r="J10" s="9">
        <f t="shared" si="10"/>
        <v>-16.480799999999999</v>
      </c>
      <c r="K10" s="9">
        <f t="shared" si="11"/>
        <v>-19.227599999999999</v>
      </c>
      <c r="L10" s="8">
        <f t="shared" si="4"/>
        <v>38951.156951999998</v>
      </c>
      <c r="N10" s="16">
        <f t="shared" si="6"/>
        <v>0</v>
      </c>
    </row>
    <row r="11" spans="2:14" x14ac:dyDescent="0.25">
      <c r="B11" s="7">
        <f t="shared" si="5"/>
        <v>1.9600000000000002</v>
      </c>
      <c r="C11" s="9">
        <f t="shared" si="7"/>
        <v>-19.227599999999999</v>
      </c>
      <c r="D11" s="10">
        <f t="shared" si="8"/>
        <v>-9.81</v>
      </c>
      <c r="E11" s="10">
        <f t="shared" si="0"/>
        <v>-9.81</v>
      </c>
      <c r="F11" s="10">
        <f t="shared" si="1"/>
        <v>-9.81</v>
      </c>
      <c r="G11" s="10">
        <f t="shared" si="2"/>
        <v>-9.81</v>
      </c>
      <c r="H11" s="9">
        <f t="shared" si="3"/>
        <v>-21.974399999999999</v>
      </c>
      <c r="I11" s="8">
        <f t="shared" si="9"/>
        <v>38951.156951999998</v>
      </c>
      <c r="J11" s="9">
        <f t="shared" si="10"/>
        <v>-19.227599999999999</v>
      </c>
      <c r="K11" s="9">
        <f t="shared" si="11"/>
        <v>-21.974399999999999</v>
      </c>
      <c r="L11" s="8">
        <f t="shared" si="4"/>
        <v>38945.388672000001</v>
      </c>
      <c r="N11" s="16">
        <f t="shared" si="6"/>
        <v>0</v>
      </c>
    </row>
    <row r="12" spans="2:14" x14ac:dyDescent="0.25">
      <c r="B12" s="7">
        <f t="shared" si="5"/>
        <v>2.2400000000000002</v>
      </c>
      <c r="C12" s="9">
        <f t="shared" si="7"/>
        <v>-21.974399999999999</v>
      </c>
      <c r="D12" s="10">
        <f t="shared" si="8"/>
        <v>-9.81</v>
      </c>
      <c r="E12" s="10">
        <f t="shared" si="0"/>
        <v>-9.81</v>
      </c>
      <c r="F12" s="10">
        <f t="shared" si="1"/>
        <v>-9.81</v>
      </c>
      <c r="G12" s="10">
        <f t="shared" si="2"/>
        <v>-9.81</v>
      </c>
      <c r="H12" s="9">
        <f t="shared" si="3"/>
        <v>-24.7212</v>
      </c>
      <c r="I12" s="8">
        <f t="shared" si="9"/>
        <v>38945.388672000001</v>
      </c>
      <c r="J12" s="9">
        <f t="shared" si="10"/>
        <v>-21.974399999999999</v>
      </c>
      <c r="K12" s="9">
        <f t="shared" si="11"/>
        <v>-24.7212</v>
      </c>
      <c r="L12" s="8">
        <f t="shared" si="4"/>
        <v>38938.851287999998</v>
      </c>
      <c r="N12" s="16">
        <f t="shared" si="6"/>
        <v>0</v>
      </c>
    </row>
    <row r="13" spans="2:14" x14ac:dyDescent="0.25">
      <c r="B13" s="7">
        <f t="shared" si="5"/>
        <v>2.5200000000000005</v>
      </c>
      <c r="C13" s="9">
        <f t="shared" si="7"/>
        <v>-24.7212</v>
      </c>
      <c r="D13" s="10">
        <f t="shared" si="8"/>
        <v>-9.81</v>
      </c>
      <c r="E13" s="10">
        <f t="shared" si="0"/>
        <v>-9.81</v>
      </c>
      <c r="F13" s="10">
        <f t="shared" si="1"/>
        <v>-9.81</v>
      </c>
      <c r="G13" s="10">
        <f t="shared" si="2"/>
        <v>-9.81</v>
      </c>
      <c r="H13" s="9">
        <f t="shared" si="3"/>
        <v>-27.468</v>
      </c>
      <c r="I13" s="8">
        <f t="shared" si="9"/>
        <v>38938.851287999998</v>
      </c>
      <c r="J13" s="9">
        <f t="shared" si="10"/>
        <v>-24.7212</v>
      </c>
      <c r="K13" s="9">
        <f t="shared" si="11"/>
        <v>-27.468</v>
      </c>
      <c r="L13" s="8">
        <f t="shared" si="4"/>
        <v>38931.544799999996</v>
      </c>
      <c r="N13" s="16">
        <f t="shared" si="6"/>
        <v>0</v>
      </c>
    </row>
    <row r="14" spans="2:14" x14ac:dyDescent="0.25">
      <c r="B14" s="7">
        <f t="shared" si="5"/>
        <v>2.8000000000000007</v>
      </c>
      <c r="C14" s="9">
        <f t="shared" si="7"/>
        <v>-27.468</v>
      </c>
      <c r="D14" s="10">
        <f t="shared" si="8"/>
        <v>-9.81</v>
      </c>
      <c r="E14" s="10">
        <f t="shared" si="0"/>
        <v>-9.81</v>
      </c>
      <c r="F14" s="10">
        <f t="shared" si="1"/>
        <v>-9.81</v>
      </c>
      <c r="G14" s="10">
        <f t="shared" si="2"/>
        <v>-9.81</v>
      </c>
      <c r="H14" s="9">
        <f t="shared" si="3"/>
        <v>-30.2148</v>
      </c>
      <c r="I14" s="8">
        <f t="shared" si="9"/>
        <v>38931.544799999996</v>
      </c>
      <c r="J14" s="9">
        <f t="shared" si="10"/>
        <v>-27.468</v>
      </c>
      <c r="K14" s="9">
        <f t="shared" si="11"/>
        <v>-30.2148</v>
      </c>
      <c r="L14" s="8">
        <f t="shared" si="4"/>
        <v>38923.469207999995</v>
      </c>
      <c r="N14" s="16">
        <f t="shared" si="6"/>
        <v>0</v>
      </c>
    </row>
    <row r="15" spans="2:14" x14ac:dyDescent="0.25">
      <c r="B15" s="7">
        <f t="shared" si="5"/>
        <v>3.080000000000001</v>
      </c>
      <c r="C15" s="9">
        <f t="shared" si="7"/>
        <v>-30.2148</v>
      </c>
      <c r="D15" s="10">
        <f t="shared" si="8"/>
        <v>-9.81</v>
      </c>
      <c r="E15" s="10">
        <f t="shared" si="0"/>
        <v>-9.81</v>
      </c>
      <c r="F15" s="10">
        <f t="shared" si="1"/>
        <v>-9.81</v>
      </c>
      <c r="G15" s="10">
        <f t="shared" si="2"/>
        <v>-9.81</v>
      </c>
      <c r="H15" s="9">
        <f t="shared" si="3"/>
        <v>-32.961599999999997</v>
      </c>
      <c r="I15" s="8">
        <f t="shared" si="9"/>
        <v>38923.469207999995</v>
      </c>
      <c r="J15" s="9">
        <f t="shared" si="10"/>
        <v>-30.2148</v>
      </c>
      <c r="K15" s="9">
        <f t="shared" si="11"/>
        <v>-32.961599999999997</v>
      </c>
      <c r="L15" s="8">
        <f t="shared" si="4"/>
        <v>38914.624511999995</v>
      </c>
      <c r="N15" s="16">
        <f t="shared" si="6"/>
        <v>0</v>
      </c>
    </row>
    <row r="16" spans="2:14" x14ac:dyDescent="0.25">
      <c r="B16" s="7">
        <f t="shared" si="5"/>
        <v>3.3600000000000012</v>
      </c>
      <c r="C16" s="9">
        <f t="shared" si="7"/>
        <v>-32.961599999999997</v>
      </c>
      <c r="D16" s="10">
        <f t="shared" si="8"/>
        <v>-9.81</v>
      </c>
      <c r="E16" s="10">
        <f t="shared" si="0"/>
        <v>-9.81</v>
      </c>
      <c r="F16" s="10">
        <f t="shared" si="1"/>
        <v>-9.81</v>
      </c>
      <c r="G16" s="10">
        <f t="shared" si="2"/>
        <v>-9.81</v>
      </c>
      <c r="H16" s="9">
        <f t="shared" si="3"/>
        <v>-35.708399999999997</v>
      </c>
      <c r="I16" s="8">
        <f t="shared" si="9"/>
        <v>38914.624511999995</v>
      </c>
      <c r="J16" s="9">
        <f t="shared" si="10"/>
        <v>-32.961599999999997</v>
      </c>
      <c r="K16" s="9">
        <f t="shared" si="11"/>
        <v>-35.708399999999997</v>
      </c>
      <c r="L16" s="8">
        <f t="shared" si="4"/>
        <v>38905.010711999996</v>
      </c>
      <c r="N16" s="16">
        <f t="shared" si="6"/>
        <v>0</v>
      </c>
    </row>
    <row r="17" spans="2:14" x14ac:dyDescent="0.25">
      <c r="B17" s="7">
        <f t="shared" si="5"/>
        <v>3.6400000000000015</v>
      </c>
      <c r="C17" s="9">
        <f t="shared" si="7"/>
        <v>-35.708399999999997</v>
      </c>
      <c r="D17" s="10">
        <f t="shared" si="8"/>
        <v>-9.81</v>
      </c>
      <c r="E17" s="10">
        <f t="shared" si="0"/>
        <v>-9.81</v>
      </c>
      <c r="F17" s="10">
        <f t="shared" si="1"/>
        <v>-9.81</v>
      </c>
      <c r="G17" s="10">
        <f t="shared" si="2"/>
        <v>-9.81</v>
      </c>
      <c r="H17" s="9">
        <f t="shared" si="3"/>
        <v>-38.455199999999998</v>
      </c>
      <c r="I17" s="8">
        <f t="shared" si="9"/>
        <v>38905.010711999996</v>
      </c>
      <c r="J17" s="9">
        <f t="shared" si="10"/>
        <v>-35.708399999999997</v>
      </c>
      <c r="K17" s="9">
        <f t="shared" si="11"/>
        <v>-38.455199999999998</v>
      </c>
      <c r="L17" s="8">
        <f t="shared" si="4"/>
        <v>38894.627807999997</v>
      </c>
      <c r="N17" s="16">
        <f t="shared" si="6"/>
        <v>0</v>
      </c>
    </row>
    <row r="18" spans="2:14" x14ac:dyDescent="0.25">
      <c r="B18" s="7">
        <f t="shared" si="5"/>
        <v>3.9200000000000017</v>
      </c>
      <c r="C18" s="9">
        <f t="shared" si="7"/>
        <v>-38.455199999999998</v>
      </c>
      <c r="D18" s="10">
        <f t="shared" si="8"/>
        <v>-9.81</v>
      </c>
      <c r="E18" s="10">
        <f t="shared" si="0"/>
        <v>-9.81</v>
      </c>
      <c r="F18" s="10">
        <f t="shared" si="1"/>
        <v>-9.81</v>
      </c>
      <c r="G18" s="10">
        <f t="shared" si="2"/>
        <v>-9.81</v>
      </c>
      <c r="H18" s="9">
        <f t="shared" si="3"/>
        <v>-41.201999999999998</v>
      </c>
      <c r="I18" s="8">
        <f t="shared" si="9"/>
        <v>38894.627807999997</v>
      </c>
      <c r="J18" s="9">
        <f t="shared" si="10"/>
        <v>-38.455199999999998</v>
      </c>
      <c r="K18" s="9">
        <f t="shared" si="11"/>
        <v>-41.201999999999998</v>
      </c>
      <c r="L18" s="8">
        <f t="shared" si="4"/>
        <v>38883.4758</v>
      </c>
      <c r="N18" s="16">
        <f t="shared" si="6"/>
        <v>0</v>
      </c>
    </row>
    <row r="19" spans="2:14" x14ac:dyDescent="0.25">
      <c r="B19" s="7">
        <f t="shared" si="5"/>
        <v>4.200000000000002</v>
      </c>
      <c r="C19" s="9">
        <f t="shared" si="7"/>
        <v>-41.201999999999998</v>
      </c>
      <c r="D19" s="10">
        <f t="shared" si="8"/>
        <v>-9.81</v>
      </c>
      <c r="E19" s="10">
        <f t="shared" si="0"/>
        <v>-9.81</v>
      </c>
      <c r="F19" s="10">
        <f t="shared" si="1"/>
        <v>-9.81</v>
      </c>
      <c r="G19" s="10">
        <f t="shared" si="2"/>
        <v>-9.81</v>
      </c>
      <c r="H19" s="9">
        <f t="shared" si="3"/>
        <v>-43.948799999999999</v>
      </c>
      <c r="I19" s="8">
        <f t="shared" si="9"/>
        <v>38883.4758</v>
      </c>
      <c r="J19" s="9">
        <f t="shared" si="10"/>
        <v>-41.201999999999998</v>
      </c>
      <c r="K19" s="9">
        <f t="shared" si="11"/>
        <v>-43.948799999999999</v>
      </c>
      <c r="L19" s="8">
        <f t="shared" si="4"/>
        <v>38871.554687999997</v>
      </c>
      <c r="N19" s="16">
        <f t="shared" si="6"/>
        <v>0</v>
      </c>
    </row>
    <row r="20" spans="2:14" x14ac:dyDescent="0.25">
      <c r="B20" s="7">
        <f t="shared" si="5"/>
        <v>4.4800000000000022</v>
      </c>
      <c r="C20" s="9">
        <f t="shared" si="7"/>
        <v>-43.948799999999999</v>
      </c>
      <c r="D20" s="10">
        <f t="shared" si="8"/>
        <v>-9.81</v>
      </c>
      <c r="E20" s="10">
        <f t="shared" si="0"/>
        <v>-9.81</v>
      </c>
      <c r="F20" s="10">
        <f t="shared" si="1"/>
        <v>-9.81</v>
      </c>
      <c r="G20" s="10">
        <f t="shared" si="2"/>
        <v>-9.81</v>
      </c>
      <c r="H20" s="9">
        <f t="shared" si="3"/>
        <v>-46.695599999999999</v>
      </c>
      <c r="I20" s="8">
        <f t="shared" si="9"/>
        <v>38871.554687999997</v>
      </c>
      <c r="J20" s="9">
        <f t="shared" si="10"/>
        <v>-43.948799999999999</v>
      </c>
      <c r="K20" s="9">
        <f t="shared" si="11"/>
        <v>-46.695599999999999</v>
      </c>
      <c r="L20" s="8">
        <f t="shared" si="4"/>
        <v>38858.864471999994</v>
      </c>
      <c r="N20" s="16">
        <f t="shared" si="6"/>
        <v>0</v>
      </c>
    </row>
    <row r="21" spans="2:14" x14ac:dyDescent="0.25">
      <c r="B21" s="7">
        <f t="shared" si="5"/>
        <v>4.7600000000000025</v>
      </c>
      <c r="C21" s="9">
        <f t="shared" si="7"/>
        <v>-46.695599999999999</v>
      </c>
      <c r="D21" s="10">
        <f t="shared" si="8"/>
        <v>-9.81</v>
      </c>
      <c r="E21" s="10">
        <f t="shared" si="0"/>
        <v>-9.81</v>
      </c>
      <c r="F21" s="10">
        <f t="shared" si="1"/>
        <v>-9.81</v>
      </c>
      <c r="G21" s="10">
        <f t="shared" si="2"/>
        <v>-9.81</v>
      </c>
      <c r="H21" s="9">
        <f t="shared" si="3"/>
        <v>-49.442399999999999</v>
      </c>
      <c r="I21" s="8">
        <f t="shared" si="9"/>
        <v>38858.864471999994</v>
      </c>
      <c r="J21" s="9">
        <f t="shared" si="10"/>
        <v>-46.695599999999999</v>
      </c>
      <c r="K21" s="9">
        <f t="shared" si="11"/>
        <v>-49.442399999999999</v>
      </c>
      <c r="L21" s="8">
        <f t="shared" si="4"/>
        <v>38845.405151999992</v>
      </c>
      <c r="N21" s="16">
        <f t="shared" si="6"/>
        <v>0</v>
      </c>
    </row>
    <row r="22" spans="2:14" x14ac:dyDescent="0.25">
      <c r="B22" s="7">
        <f t="shared" si="5"/>
        <v>5.0400000000000027</v>
      </c>
      <c r="C22" s="9">
        <f t="shared" si="7"/>
        <v>-49.442399999999999</v>
      </c>
      <c r="D22" s="10">
        <f t="shared" si="8"/>
        <v>-9.81</v>
      </c>
      <c r="E22" s="10">
        <f t="shared" si="0"/>
        <v>-9.81</v>
      </c>
      <c r="F22" s="10">
        <f t="shared" si="1"/>
        <v>-9.81</v>
      </c>
      <c r="G22" s="10">
        <f t="shared" si="2"/>
        <v>-9.81</v>
      </c>
      <c r="H22" s="9">
        <f t="shared" si="3"/>
        <v>-52.1892</v>
      </c>
      <c r="I22" s="8">
        <f t="shared" si="9"/>
        <v>38845.405151999992</v>
      </c>
      <c r="J22" s="9">
        <f t="shared" si="10"/>
        <v>-49.442399999999999</v>
      </c>
      <c r="K22" s="9">
        <f t="shared" si="11"/>
        <v>-52.1892</v>
      </c>
      <c r="L22" s="8">
        <f t="shared" si="4"/>
        <v>38831.176727999991</v>
      </c>
      <c r="N22" s="16">
        <f t="shared" si="6"/>
        <v>0</v>
      </c>
    </row>
    <row r="23" spans="2:14" x14ac:dyDescent="0.25">
      <c r="B23" s="7">
        <f t="shared" si="5"/>
        <v>5.3200000000000029</v>
      </c>
      <c r="C23" s="9">
        <f t="shared" si="7"/>
        <v>-52.1892</v>
      </c>
      <c r="D23" s="10">
        <f t="shared" si="8"/>
        <v>-9.81</v>
      </c>
      <c r="E23" s="10">
        <f t="shared" si="0"/>
        <v>-9.81</v>
      </c>
      <c r="F23" s="10">
        <f t="shared" si="1"/>
        <v>-9.81</v>
      </c>
      <c r="G23" s="10">
        <f t="shared" si="2"/>
        <v>-9.81</v>
      </c>
      <c r="H23" s="9">
        <f t="shared" si="3"/>
        <v>-54.936</v>
      </c>
      <c r="I23" s="8">
        <f t="shared" si="9"/>
        <v>38831.176727999991</v>
      </c>
      <c r="J23" s="9">
        <f t="shared" si="10"/>
        <v>-52.1892</v>
      </c>
      <c r="K23" s="9">
        <f t="shared" si="11"/>
        <v>-54.936</v>
      </c>
      <c r="L23" s="8">
        <f t="shared" si="4"/>
        <v>38816.179199999991</v>
      </c>
      <c r="N23" s="16">
        <f t="shared" si="6"/>
        <v>0</v>
      </c>
    </row>
    <row r="24" spans="2:14" x14ac:dyDescent="0.25">
      <c r="B24" s="7">
        <f t="shared" si="5"/>
        <v>5.6000000000000032</v>
      </c>
      <c r="C24" s="9">
        <f t="shared" si="7"/>
        <v>-54.936</v>
      </c>
      <c r="D24" s="10">
        <f t="shared" si="8"/>
        <v>-9.81</v>
      </c>
      <c r="E24" s="10">
        <f t="shared" si="0"/>
        <v>-9.81</v>
      </c>
      <c r="F24" s="10">
        <f t="shared" si="1"/>
        <v>-9.81</v>
      </c>
      <c r="G24" s="10">
        <f t="shared" si="2"/>
        <v>-9.81</v>
      </c>
      <c r="H24" s="9">
        <f t="shared" si="3"/>
        <v>-57.6828</v>
      </c>
      <c r="I24" s="8">
        <f t="shared" si="9"/>
        <v>38816.179199999991</v>
      </c>
      <c r="J24" s="9">
        <f t="shared" si="10"/>
        <v>-54.936</v>
      </c>
      <c r="K24" s="9">
        <f t="shared" si="11"/>
        <v>-57.6828</v>
      </c>
      <c r="L24" s="8">
        <f t="shared" si="4"/>
        <v>38800.412567999992</v>
      </c>
      <c r="N24" s="16">
        <f t="shared" si="6"/>
        <v>0</v>
      </c>
    </row>
    <row r="25" spans="2:14" x14ac:dyDescent="0.25">
      <c r="B25" s="7">
        <f t="shared" si="5"/>
        <v>5.8800000000000034</v>
      </c>
      <c r="C25" s="9">
        <f t="shared" si="7"/>
        <v>-57.6828</v>
      </c>
      <c r="D25" s="10">
        <f t="shared" si="8"/>
        <v>-9.81</v>
      </c>
      <c r="E25" s="10">
        <f t="shared" si="0"/>
        <v>-9.81</v>
      </c>
      <c r="F25" s="10">
        <f t="shared" si="1"/>
        <v>-9.81</v>
      </c>
      <c r="G25" s="10">
        <f t="shared" si="2"/>
        <v>-9.81</v>
      </c>
      <c r="H25" s="9">
        <f t="shared" si="3"/>
        <v>-60.429600000000001</v>
      </c>
      <c r="I25" s="8">
        <f t="shared" si="9"/>
        <v>38800.412567999992</v>
      </c>
      <c r="J25" s="9">
        <f t="shared" si="10"/>
        <v>-57.6828</v>
      </c>
      <c r="K25" s="9">
        <f t="shared" si="11"/>
        <v>-60.429600000000001</v>
      </c>
      <c r="L25" s="8">
        <f t="shared" si="4"/>
        <v>38783.876831999994</v>
      </c>
      <c r="N25" s="16">
        <f t="shared" si="6"/>
        <v>0</v>
      </c>
    </row>
    <row r="26" spans="2:14" x14ac:dyDescent="0.25">
      <c r="B26" s="7">
        <f t="shared" si="5"/>
        <v>6.1600000000000037</v>
      </c>
      <c r="C26" s="9">
        <f t="shared" si="7"/>
        <v>-60.429600000000001</v>
      </c>
      <c r="D26" s="10">
        <f t="shared" si="8"/>
        <v>-9.81</v>
      </c>
      <c r="E26" s="10">
        <f t="shared" si="0"/>
        <v>-9.81</v>
      </c>
      <c r="F26" s="10">
        <f t="shared" si="1"/>
        <v>-9.81</v>
      </c>
      <c r="G26" s="10">
        <f t="shared" si="2"/>
        <v>-9.81</v>
      </c>
      <c r="H26" s="9">
        <f t="shared" si="3"/>
        <v>-63.176400000000001</v>
      </c>
      <c r="I26" s="8">
        <f t="shared" si="9"/>
        <v>38783.876831999994</v>
      </c>
      <c r="J26" s="9">
        <f t="shared" si="10"/>
        <v>-60.429600000000001</v>
      </c>
      <c r="K26" s="9">
        <f t="shared" si="11"/>
        <v>-63.176400000000001</v>
      </c>
      <c r="L26" s="8">
        <f t="shared" si="4"/>
        <v>38766.571991999997</v>
      </c>
      <c r="N26" s="16">
        <f t="shared" si="6"/>
        <v>0</v>
      </c>
    </row>
    <row r="27" spans="2:14" x14ac:dyDescent="0.25">
      <c r="B27" s="7">
        <f t="shared" si="5"/>
        <v>6.4400000000000039</v>
      </c>
      <c r="C27" s="9">
        <f t="shared" si="7"/>
        <v>-63.176400000000001</v>
      </c>
      <c r="D27" s="10">
        <f t="shared" si="8"/>
        <v>-9.81</v>
      </c>
      <c r="E27" s="10">
        <f t="shared" si="0"/>
        <v>-9.81</v>
      </c>
      <c r="F27" s="10">
        <f t="shared" si="1"/>
        <v>-9.81</v>
      </c>
      <c r="G27" s="10">
        <f t="shared" si="2"/>
        <v>-9.81</v>
      </c>
      <c r="H27" s="9">
        <f t="shared" si="3"/>
        <v>-65.923199999999994</v>
      </c>
      <c r="I27" s="8">
        <f t="shared" si="9"/>
        <v>38766.571991999997</v>
      </c>
      <c r="J27" s="9">
        <f t="shared" si="10"/>
        <v>-63.176400000000001</v>
      </c>
      <c r="K27" s="9">
        <f t="shared" si="11"/>
        <v>-65.923199999999994</v>
      </c>
      <c r="L27" s="8">
        <f t="shared" si="4"/>
        <v>38748.498047999994</v>
      </c>
      <c r="N27" s="16">
        <f t="shared" si="6"/>
        <v>0</v>
      </c>
    </row>
    <row r="28" spans="2:14" x14ac:dyDescent="0.25">
      <c r="B28" s="7">
        <f t="shared" si="5"/>
        <v>6.7200000000000042</v>
      </c>
      <c r="C28" s="9">
        <f t="shared" si="7"/>
        <v>-65.923199999999994</v>
      </c>
      <c r="D28" s="10">
        <f t="shared" si="8"/>
        <v>-9.81</v>
      </c>
      <c r="E28" s="10">
        <f t="shared" si="0"/>
        <v>-9.81</v>
      </c>
      <c r="F28" s="10">
        <f t="shared" si="1"/>
        <v>-9.81</v>
      </c>
      <c r="G28" s="10">
        <f t="shared" si="2"/>
        <v>-9.81</v>
      </c>
      <c r="H28" s="9">
        <f t="shared" si="3"/>
        <v>-68.669999999999987</v>
      </c>
      <c r="I28" s="8">
        <f t="shared" si="9"/>
        <v>38748.498047999994</v>
      </c>
      <c r="J28" s="9">
        <f t="shared" si="10"/>
        <v>-65.923199999999994</v>
      </c>
      <c r="K28" s="9">
        <f t="shared" si="11"/>
        <v>-68.669999999999987</v>
      </c>
      <c r="L28" s="8">
        <f t="shared" si="4"/>
        <v>38729.654999999992</v>
      </c>
      <c r="N28" s="16">
        <f t="shared" si="6"/>
        <v>0</v>
      </c>
    </row>
    <row r="29" spans="2:14" x14ac:dyDescent="0.25">
      <c r="B29" s="7">
        <f t="shared" si="5"/>
        <v>7.0000000000000044</v>
      </c>
      <c r="C29" s="9">
        <f t="shared" si="7"/>
        <v>-68.669999999999987</v>
      </c>
      <c r="D29" s="10">
        <f t="shared" si="8"/>
        <v>-9.81</v>
      </c>
      <c r="E29" s="10">
        <f t="shared" si="0"/>
        <v>-9.81</v>
      </c>
      <c r="F29" s="10">
        <f t="shared" si="1"/>
        <v>-9.81</v>
      </c>
      <c r="G29" s="10">
        <f t="shared" si="2"/>
        <v>-9.81</v>
      </c>
      <c r="H29" s="9">
        <f t="shared" si="3"/>
        <v>-71.416799999999981</v>
      </c>
      <c r="I29" s="8">
        <f t="shared" si="9"/>
        <v>38729.654999999992</v>
      </c>
      <c r="J29" s="9">
        <f t="shared" si="10"/>
        <v>-68.669999999999987</v>
      </c>
      <c r="K29" s="9">
        <f t="shared" si="11"/>
        <v>-71.416799999999981</v>
      </c>
      <c r="L29" s="8">
        <f t="shared" si="4"/>
        <v>38710.04284799999</v>
      </c>
      <c r="N29" s="16">
        <f t="shared" si="6"/>
        <v>0</v>
      </c>
    </row>
    <row r="30" spans="2:14" x14ac:dyDescent="0.25">
      <c r="B30" s="7">
        <f t="shared" si="5"/>
        <v>7.2800000000000047</v>
      </c>
      <c r="C30" s="9">
        <f t="shared" si="7"/>
        <v>-71.416799999999981</v>
      </c>
      <c r="D30" s="10">
        <f t="shared" si="8"/>
        <v>-9.81</v>
      </c>
      <c r="E30" s="10">
        <f t="shared" si="0"/>
        <v>-9.81</v>
      </c>
      <c r="F30" s="10">
        <f t="shared" si="1"/>
        <v>-9.81</v>
      </c>
      <c r="G30" s="10">
        <f t="shared" si="2"/>
        <v>-9.81</v>
      </c>
      <c r="H30" s="9">
        <f t="shared" si="3"/>
        <v>-74.163599999999974</v>
      </c>
      <c r="I30" s="8">
        <f t="shared" si="9"/>
        <v>38710.04284799999</v>
      </c>
      <c r="J30" s="9">
        <f t="shared" si="10"/>
        <v>-71.416799999999981</v>
      </c>
      <c r="K30" s="9">
        <f t="shared" si="11"/>
        <v>-74.163599999999974</v>
      </c>
      <c r="L30" s="8">
        <f t="shared" si="4"/>
        <v>38689.661591999989</v>
      </c>
      <c r="N30" s="16">
        <f t="shared" si="6"/>
        <v>0</v>
      </c>
    </row>
    <row r="31" spans="2:14" x14ac:dyDescent="0.25">
      <c r="B31" s="7">
        <f t="shared" si="5"/>
        <v>7.5600000000000049</v>
      </c>
      <c r="C31" s="9">
        <f t="shared" si="7"/>
        <v>-74.163599999999974</v>
      </c>
      <c r="D31" s="10">
        <f t="shared" si="8"/>
        <v>-9.81</v>
      </c>
      <c r="E31" s="10">
        <f t="shared" si="0"/>
        <v>-9.81</v>
      </c>
      <c r="F31" s="10">
        <f t="shared" si="1"/>
        <v>-9.81</v>
      </c>
      <c r="G31" s="10">
        <f t="shared" si="2"/>
        <v>-9.81</v>
      </c>
      <c r="H31" s="9">
        <f t="shared" si="3"/>
        <v>-76.910399999999967</v>
      </c>
      <c r="I31" s="8">
        <f t="shared" si="9"/>
        <v>38689.661591999989</v>
      </c>
      <c r="J31" s="9">
        <f t="shared" si="10"/>
        <v>-74.163599999999974</v>
      </c>
      <c r="K31" s="9">
        <f t="shared" si="11"/>
        <v>-76.910399999999967</v>
      </c>
      <c r="L31" s="8">
        <f t="shared" si="4"/>
        <v>38668.51123199999</v>
      </c>
      <c r="N31" s="16">
        <f t="shared" si="6"/>
        <v>0</v>
      </c>
    </row>
    <row r="32" spans="2:14" x14ac:dyDescent="0.25">
      <c r="B32" s="7">
        <f t="shared" si="5"/>
        <v>7.8400000000000052</v>
      </c>
      <c r="C32" s="9">
        <f t="shared" si="7"/>
        <v>-76.910399999999967</v>
      </c>
      <c r="D32" s="10">
        <f t="shared" si="8"/>
        <v>-9.81</v>
      </c>
      <c r="E32" s="10">
        <f t="shared" si="0"/>
        <v>-9.81</v>
      </c>
      <c r="F32" s="10">
        <f t="shared" si="1"/>
        <v>-9.81</v>
      </c>
      <c r="G32" s="10">
        <f t="shared" si="2"/>
        <v>-9.81</v>
      </c>
      <c r="H32" s="9">
        <f t="shared" si="3"/>
        <v>-79.65719999999996</v>
      </c>
      <c r="I32" s="8">
        <f t="shared" si="9"/>
        <v>38668.51123199999</v>
      </c>
      <c r="J32" s="9">
        <f t="shared" si="10"/>
        <v>-76.910399999999967</v>
      </c>
      <c r="K32" s="9">
        <f t="shared" si="11"/>
        <v>-79.65719999999996</v>
      </c>
      <c r="L32" s="8">
        <f t="shared" si="4"/>
        <v>38646.591767999991</v>
      </c>
      <c r="N32" s="16">
        <f t="shared" si="6"/>
        <v>0</v>
      </c>
    </row>
    <row r="33" spans="2:14" x14ac:dyDescent="0.25">
      <c r="B33" s="7">
        <f t="shared" si="5"/>
        <v>8.1200000000000045</v>
      </c>
      <c r="C33" s="9">
        <f t="shared" si="7"/>
        <v>-79.65719999999996</v>
      </c>
      <c r="D33" s="10">
        <f t="shared" si="8"/>
        <v>-9.81</v>
      </c>
      <c r="E33" s="10">
        <f t="shared" si="0"/>
        <v>-9.81</v>
      </c>
      <c r="F33" s="10">
        <f t="shared" si="1"/>
        <v>-9.81</v>
      </c>
      <c r="G33" s="10">
        <f t="shared" si="2"/>
        <v>-9.81</v>
      </c>
      <c r="H33" s="9">
        <f t="shared" si="3"/>
        <v>-82.403999999999954</v>
      </c>
      <c r="I33" s="8">
        <f t="shared" si="9"/>
        <v>38646.591767999991</v>
      </c>
      <c r="J33" s="9">
        <f t="shared" si="10"/>
        <v>-79.65719999999996</v>
      </c>
      <c r="K33" s="9">
        <f t="shared" si="11"/>
        <v>-82.403999999999954</v>
      </c>
      <c r="L33" s="8">
        <f t="shared" si="4"/>
        <v>38623.903199999993</v>
      </c>
      <c r="N33" s="16">
        <f t="shared" si="6"/>
        <v>0</v>
      </c>
    </row>
    <row r="34" spans="2:14" x14ac:dyDescent="0.25">
      <c r="B34" s="7">
        <f t="shared" si="5"/>
        <v>8.4000000000000039</v>
      </c>
      <c r="C34" s="9">
        <f t="shared" si="7"/>
        <v>-82.403999999999954</v>
      </c>
      <c r="D34" s="10">
        <f t="shared" si="8"/>
        <v>-9.81</v>
      </c>
      <c r="E34" s="10">
        <f t="shared" si="0"/>
        <v>-9.81</v>
      </c>
      <c r="F34" s="10">
        <f t="shared" si="1"/>
        <v>-9.81</v>
      </c>
      <c r="G34" s="10">
        <f t="shared" si="2"/>
        <v>-9.81</v>
      </c>
      <c r="H34" s="9">
        <f t="shared" si="3"/>
        <v>-85.150799999999947</v>
      </c>
      <c r="I34" s="8">
        <f t="shared" si="9"/>
        <v>38623.903199999993</v>
      </c>
      <c r="J34" s="9">
        <f t="shared" si="10"/>
        <v>-82.403999999999954</v>
      </c>
      <c r="K34" s="9">
        <f t="shared" si="11"/>
        <v>-85.150799999999947</v>
      </c>
      <c r="L34" s="8">
        <f t="shared" si="4"/>
        <v>38600.445527999997</v>
      </c>
      <c r="N34" s="16">
        <f t="shared" si="6"/>
        <v>0</v>
      </c>
    </row>
    <row r="35" spans="2:14" x14ac:dyDescent="0.25">
      <c r="B35" s="7">
        <f t="shared" si="5"/>
        <v>8.6800000000000033</v>
      </c>
      <c r="C35" s="9">
        <f t="shared" si="7"/>
        <v>-85.150799999999947</v>
      </c>
      <c r="D35" s="10">
        <f t="shared" si="8"/>
        <v>-9.81</v>
      </c>
      <c r="E35" s="10">
        <f t="shared" si="0"/>
        <v>-9.81</v>
      </c>
      <c r="F35" s="10">
        <f t="shared" si="1"/>
        <v>-9.81</v>
      </c>
      <c r="G35" s="10">
        <f t="shared" si="2"/>
        <v>-9.81</v>
      </c>
      <c r="H35" s="9">
        <f t="shared" si="3"/>
        <v>-87.89759999999994</v>
      </c>
      <c r="I35" s="8">
        <f t="shared" si="9"/>
        <v>38600.445527999997</v>
      </c>
      <c r="J35" s="9">
        <f t="shared" si="10"/>
        <v>-85.150799999999947</v>
      </c>
      <c r="K35" s="9">
        <f t="shared" si="11"/>
        <v>-87.89759999999994</v>
      </c>
      <c r="L35" s="8">
        <f t="shared" si="4"/>
        <v>38576.218751999993</v>
      </c>
      <c r="N35" s="16">
        <f t="shared" si="6"/>
        <v>0</v>
      </c>
    </row>
    <row r="36" spans="2:14" x14ac:dyDescent="0.25">
      <c r="B36" s="7">
        <f t="shared" si="5"/>
        <v>8.9600000000000026</v>
      </c>
      <c r="C36" s="9">
        <f t="shared" si="7"/>
        <v>-87.89759999999994</v>
      </c>
      <c r="D36" s="10">
        <f t="shared" si="8"/>
        <v>-9.81</v>
      </c>
      <c r="E36" s="10">
        <f t="shared" si="0"/>
        <v>-9.81</v>
      </c>
      <c r="F36" s="10">
        <f t="shared" si="1"/>
        <v>-9.81</v>
      </c>
      <c r="G36" s="10">
        <f t="shared" si="2"/>
        <v>-9.81</v>
      </c>
      <c r="H36" s="9">
        <f t="shared" si="3"/>
        <v>-90.644399999999933</v>
      </c>
      <c r="I36" s="8">
        <f t="shared" si="9"/>
        <v>38576.218751999993</v>
      </c>
      <c r="J36" s="9">
        <f t="shared" si="10"/>
        <v>-87.89759999999994</v>
      </c>
      <c r="K36" s="9">
        <f t="shared" si="11"/>
        <v>-90.644399999999933</v>
      </c>
      <c r="L36" s="8">
        <f t="shared" si="4"/>
        <v>38551.222871999991</v>
      </c>
      <c r="N36" s="16">
        <f t="shared" si="6"/>
        <v>0</v>
      </c>
    </row>
    <row r="37" spans="2:14" x14ac:dyDescent="0.25">
      <c r="B37" s="7">
        <f t="shared" si="5"/>
        <v>9.240000000000002</v>
      </c>
      <c r="C37" s="9">
        <f t="shared" si="7"/>
        <v>-90.644399999999933</v>
      </c>
      <c r="D37" s="10">
        <f t="shared" si="8"/>
        <v>-9.81</v>
      </c>
      <c r="E37" s="10">
        <f t="shared" si="0"/>
        <v>-9.81</v>
      </c>
      <c r="F37" s="10">
        <f t="shared" si="1"/>
        <v>-9.81</v>
      </c>
      <c r="G37" s="10">
        <f t="shared" si="2"/>
        <v>-9.81</v>
      </c>
      <c r="H37" s="9">
        <f t="shared" si="3"/>
        <v>-93.391199999999927</v>
      </c>
      <c r="I37" s="8">
        <f t="shared" si="9"/>
        <v>38551.222871999991</v>
      </c>
      <c r="J37" s="9">
        <f t="shared" si="10"/>
        <v>-90.644399999999933</v>
      </c>
      <c r="K37" s="9">
        <f t="shared" si="11"/>
        <v>-93.391199999999927</v>
      </c>
      <c r="L37" s="8">
        <f t="shared" si="4"/>
        <v>38525.45788799999</v>
      </c>
      <c r="N37" s="16">
        <f t="shared" si="6"/>
        <v>0</v>
      </c>
    </row>
    <row r="38" spans="2:14" x14ac:dyDescent="0.25">
      <c r="B38" s="7">
        <f t="shared" si="5"/>
        <v>9.5200000000000014</v>
      </c>
      <c r="C38" s="9">
        <f t="shared" si="7"/>
        <v>-93.391199999999927</v>
      </c>
      <c r="D38" s="10">
        <f t="shared" si="8"/>
        <v>-9.81</v>
      </c>
      <c r="E38" s="10">
        <f t="shared" si="0"/>
        <v>-9.81</v>
      </c>
      <c r="F38" s="10">
        <f t="shared" si="1"/>
        <v>-9.81</v>
      </c>
      <c r="G38" s="10">
        <f t="shared" si="2"/>
        <v>-9.81</v>
      </c>
      <c r="H38" s="9">
        <f t="shared" si="3"/>
        <v>-96.13799999999992</v>
      </c>
      <c r="I38" s="8">
        <f t="shared" si="9"/>
        <v>38525.45788799999</v>
      </c>
      <c r="J38" s="9">
        <f t="shared" si="10"/>
        <v>-93.391199999999927</v>
      </c>
      <c r="K38" s="9">
        <f t="shared" si="11"/>
        <v>-96.13799999999992</v>
      </c>
      <c r="L38" s="8">
        <f t="shared" si="4"/>
        <v>38498.92379999999</v>
      </c>
      <c r="N38" s="16">
        <f t="shared" si="6"/>
        <v>0</v>
      </c>
    </row>
    <row r="39" spans="2:14" x14ac:dyDescent="0.25">
      <c r="B39" s="7">
        <f t="shared" si="5"/>
        <v>9.8000000000000007</v>
      </c>
      <c r="C39" s="9">
        <f t="shared" si="7"/>
        <v>-96.13799999999992</v>
      </c>
      <c r="D39" s="10">
        <f t="shared" si="8"/>
        <v>-9.81</v>
      </c>
      <c r="E39" s="10">
        <f t="shared" si="0"/>
        <v>-9.81</v>
      </c>
      <c r="F39" s="10">
        <f t="shared" si="1"/>
        <v>-9.81</v>
      </c>
      <c r="G39" s="10">
        <f t="shared" si="2"/>
        <v>-9.81</v>
      </c>
      <c r="H39" s="9">
        <f t="shared" si="3"/>
        <v>-98.884799999999913</v>
      </c>
      <c r="I39" s="8">
        <f t="shared" si="9"/>
        <v>38498.92379999999</v>
      </c>
      <c r="J39" s="9">
        <f t="shared" si="10"/>
        <v>-96.13799999999992</v>
      </c>
      <c r="K39" s="9">
        <f t="shared" si="11"/>
        <v>-98.884799999999913</v>
      </c>
      <c r="L39" s="8">
        <f t="shared" si="4"/>
        <v>38471.62060799999</v>
      </c>
      <c r="N39" s="16">
        <f t="shared" si="6"/>
        <v>0</v>
      </c>
    </row>
    <row r="40" spans="2:14" x14ac:dyDescent="0.25">
      <c r="B40" s="7">
        <f t="shared" si="5"/>
        <v>10.08</v>
      </c>
      <c r="C40" s="9">
        <f t="shared" si="7"/>
        <v>-98.884799999999913</v>
      </c>
      <c r="D40" s="10">
        <f t="shared" si="8"/>
        <v>-9.81</v>
      </c>
      <c r="E40" s="10">
        <f t="shared" si="0"/>
        <v>-9.81</v>
      </c>
      <c r="F40" s="10">
        <f t="shared" si="1"/>
        <v>-9.81</v>
      </c>
      <c r="G40" s="10">
        <f t="shared" si="2"/>
        <v>-9.81</v>
      </c>
      <c r="H40" s="9">
        <f t="shared" si="3"/>
        <v>-101.63159999999991</v>
      </c>
      <c r="I40" s="8">
        <f t="shared" si="9"/>
        <v>38471.62060799999</v>
      </c>
      <c r="J40" s="9">
        <f t="shared" si="10"/>
        <v>-98.884799999999913</v>
      </c>
      <c r="K40" s="9">
        <f t="shared" si="11"/>
        <v>-101.63159999999991</v>
      </c>
      <c r="L40" s="8">
        <f t="shared" si="4"/>
        <v>38443.548311999992</v>
      </c>
      <c r="N40" s="16">
        <f t="shared" si="6"/>
        <v>0</v>
      </c>
    </row>
    <row r="41" spans="2:14" x14ac:dyDescent="0.25">
      <c r="B41" s="7">
        <f t="shared" si="5"/>
        <v>10.36</v>
      </c>
      <c r="C41" s="9">
        <f t="shared" si="7"/>
        <v>-101.63159999999991</v>
      </c>
      <c r="D41" s="10">
        <f t="shared" si="8"/>
        <v>-9.81</v>
      </c>
      <c r="E41" s="10">
        <f t="shared" si="0"/>
        <v>-9.81</v>
      </c>
      <c r="F41" s="10">
        <f t="shared" si="1"/>
        <v>-9.81</v>
      </c>
      <c r="G41" s="10">
        <f t="shared" si="2"/>
        <v>-9.81</v>
      </c>
      <c r="H41" s="9">
        <f t="shared" si="3"/>
        <v>-104.3783999999999</v>
      </c>
      <c r="I41" s="8">
        <f t="shared" si="9"/>
        <v>38443.548311999992</v>
      </c>
      <c r="J41" s="9">
        <f t="shared" si="10"/>
        <v>-101.63159999999991</v>
      </c>
      <c r="K41" s="9">
        <f t="shared" si="11"/>
        <v>-104.3783999999999</v>
      </c>
      <c r="L41" s="8">
        <f t="shared" si="4"/>
        <v>38414.706911999994</v>
      </c>
      <c r="N41" s="16">
        <f t="shared" si="6"/>
        <v>0</v>
      </c>
    </row>
    <row r="42" spans="2:14" x14ac:dyDescent="0.25">
      <c r="B42" s="7">
        <f t="shared" si="5"/>
        <v>10.639999999999999</v>
      </c>
      <c r="C42" s="9">
        <f t="shared" si="7"/>
        <v>-104.3783999999999</v>
      </c>
      <c r="D42" s="10">
        <f t="shared" si="8"/>
        <v>-9.81</v>
      </c>
      <c r="E42" s="10">
        <f t="shared" si="0"/>
        <v>-9.81</v>
      </c>
      <c r="F42" s="10">
        <f t="shared" si="1"/>
        <v>-9.81</v>
      </c>
      <c r="G42" s="10">
        <f t="shared" si="2"/>
        <v>-9.81</v>
      </c>
      <c r="H42" s="9">
        <f t="shared" si="3"/>
        <v>-107.12519999999989</v>
      </c>
      <c r="I42" s="8">
        <f t="shared" si="9"/>
        <v>38414.706911999994</v>
      </c>
      <c r="J42" s="9">
        <f t="shared" si="10"/>
        <v>-104.3783999999999</v>
      </c>
      <c r="K42" s="9">
        <f t="shared" si="11"/>
        <v>-107.12519999999989</v>
      </c>
      <c r="L42" s="8">
        <f t="shared" si="4"/>
        <v>38385.096407999998</v>
      </c>
      <c r="N42" s="16">
        <f t="shared" si="6"/>
        <v>0</v>
      </c>
    </row>
    <row r="43" spans="2:14" x14ac:dyDescent="0.25">
      <c r="B43" s="7">
        <f t="shared" si="5"/>
        <v>10.919999999999998</v>
      </c>
      <c r="C43" s="9">
        <f t="shared" si="7"/>
        <v>-107.12519999999989</v>
      </c>
      <c r="D43" s="10">
        <f t="shared" si="8"/>
        <v>-9.81</v>
      </c>
      <c r="E43" s="10">
        <f t="shared" si="0"/>
        <v>-9.81</v>
      </c>
      <c r="F43" s="10">
        <f t="shared" si="1"/>
        <v>-9.81</v>
      </c>
      <c r="G43" s="10">
        <f t="shared" si="2"/>
        <v>-9.81</v>
      </c>
      <c r="H43" s="9">
        <f t="shared" si="3"/>
        <v>-109.87199999999989</v>
      </c>
      <c r="I43" s="8">
        <f t="shared" si="9"/>
        <v>38385.096407999998</v>
      </c>
      <c r="J43" s="9">
        <f t="shared" si="10"/>
        <v>-107.12519999999989</v>
      </c>
      <c r="K43" s="9">
        <f t="shared" si="11"/>
        <v>-109.87199999999989</v>
      </c>
      <c r="L43" s="8">
        <f t="shared" si="4"/>
        <v>38354.716799999995</v>
      </c>
      <c r="N43" s="16">
        <f t="shared" si="6"/>
        <v>0</v>
      </c>
    </row>
    <row r="44" spans="2:14" x14ac:dyDescent="0.25">
      <c r="B44" s="7">
        <f t="shared" si="5"/>
        <v>11.199999999999998</v>
      </c>
      <c r="C44" s="9">
        <f t="shared" si="7"/>
        <v>-109.87199999999989</v>
      </c>
      <c r="D44" s="10">
        <f t="shared" si="8"/>
        <v>-9.81</v>
      </c>
      <c r="E44" s="10">
        <f t="shared" si="0"/>
        <v>-9.81</v>
      </c>
      <c r="F44" s="10">
        <f t="shared" si="1"/>
        <v>-9.81</v>
      </c>
      <c r="G44" s="10">
        <f t="shared" si="2"/>
        <v>-9.81</v>
      </c>
      <c r="H44" s="9">
        <f t="shared" si="3"/>
        <v>-112.61879999999988</v>
      </c>
      <c r="I44" s="8">
        <f t="shared" si="9"/>
        <v>38354.716799999995</v>
      </c>
      <c r="J44" s="9">
        <f t="shared" si="10"/>
        <v>-109.87199999999989</v>
      </c>
      <c r="K44" s="9">
        <f t="shared" si="11"/>
        <v>-112.61879999999988</v>
      </c>
      <c r="L44" s="8">
        <f t="shared" si="4"/>
        <v>38323.568087999993</v>
      </c>
      <c r="N44" s="16">
        <f t="shared" si="6"/>
        <v>0</v>
      </c>
    </row>
    <row r="45" spans="2:14" x14ac:dyDescent="0.25">
      <c r="B45" s="7">
        <f t="shared" si="5"/>
        <v>11.479999999999997</v>
      </c>
      <c r="C45" s="9">
        <f t="shared" si="7"/>
        <v>-112.61879999999988</v>
      </c>
      <c r="D45" s="10">
        <f t="shared" si="8"/>
        <v>-9.81</v>
      </c>
      <c r="E45" s="10">
        <f t="shared" si="0"/>
        <v>-9.81</v>
      </c>
      <c r="F45" s="10">
        <f t="shared" si="1"/>
        <v>-9.81</v>
      </c>
      <c r="G45" s="10">
        <f t="shared" si="2"/>
        <v>-9.81</v>
      </c>
      <c r="H45" s="9">
        <f t="shared" si="3"/>
        <v>-115.36559999999987</v>
      </c>
      <c r="I45" s="8">
        <f t="shared" si="9"/>
        <v>38323.568087999993</v>
      </c>
      <c r="J45" s="9">
        <f t="shared" si="10"/>
        <v>-112.61879999999988</v>
      </c>
      <c r="K45" s="9">
        <f t="shared" si="11"/>
        <v>-115.36559999999987</v>
      </c>
      <c r="L45" s="8">
        <f t="shared" si="4"/>
        <v>38291.650271999992</v>
      </c>
      <c r="N45" s="16">
        <f t="shared" si="6"/>
        <v>0</v>
      </c>
    </row>
    <row r="46" spans="2:14" x14ac:dyDescent="0.25">
      <c r="B46" s="7">
        <f t="shared" si="5"/>
        <v>11.759999999999996</v>
      </c>
      <c r="C46" s="9">
        <f t="shared" si="7"/>
        <v>-115.36559999999987</v>
      </c>
      <c r="D46" s="10">
        <f t="shared" si="8"/>
        <v>-9.81</v>
      </c>
      <c r="E46" s="10">
        <f t="shared" si="0"/>
        <v>-9.81</v>
      </c>
      <c r="F46" s="10">
        <f t="shared" si="1"/>
        <v>-9.81</v>
      </c>
      <c r="G46" s="10">
        <f t="shared" si="2"/>
        <v>-9.81</v>
      </c>
      <c r="H46" s="9">
        <f t="shared" si="3"/>
        <v>-118.11239999999987</v>
      </c>
      <c r="I46" s="8">
        <f t="shared" si="9"/>
        <v>38291.650271999992</v>
      </c>
      <c r="J46" s="9">
        <f t="shared" si="10"/>
        <v>-115.36559999999987</v>
      </c>
      <c r="K46" s="9">
        <f t="shared" si="11"/>
        <v>-118.11239999999987</v>
      </c>
      <c r="L46" s="8">
        <f t="shared" si="4"/>
        <v>38258.963351999992</v>
      </c>
      <c r="N46" s="16">
        <f t="shared" si="6"/>
        <v>0</v>
      </c>
    </row>
    <row r="47" spans="2:14" x14ac:dyDescent="0.25">
      <c r="B47" s="7">
        <f t="shared" si="5"/>
        <v>12.039999999999996</v>
      </c>
      <c r="C47" s="9">
        <f t="shared" si="7"/>
        <v>-118.11239999999987</v>
      </c>
      <c r="D47" s="10">
        <f t="shared" si="8"/>
        <v>-9.81</v>
      </c>
      <c r="E47" s="10">
        <f t="shared" si="0"/>
        <v>-9.81</v>
      </c>
      <c r="F47" s="10">
        <f t="shared" si="1"/>
        <v>-9.81</v>
      </c>
      <c r="G47" s="10">
        <f t="shared" si="2"/>
        <v>-9.81</v>
      </c>
      <c r="H47" s="9">
        <f t="shared" si="3"/>
        <v>-120.85919999999986</v>
      </c>
      <c r="I47" s="8">
        <f t="shared" si="9"/>
        <v>38258.963351999992</v>
      </c>
      <c r="J47" s="9">
        <f t="shared" si="10"/>
        <v>-118.11239999999987</v>
      </c>
      <c r="K47" s="9">
        <f t="shared" si="11"/>
        <v>-120.85919999999986</v>
      </c>
      <c r="L47" s="8">
        <f t="shared" si="4"/>
        <v>38225.507327999992</v>
      </c>
      <c r="N47" s="16">
        <f t="shared" si="6"/>
        <v>0</v>
      </c>
    </row>
    <row r="48" spans="2:14" x14ac:dyDescent="0.25">
      <c r="B48" s="7">
        <f t="shared" si="5"/>
        <v>12.319999999999995</v>
      </c>
      <c r="C48" s="9">
        <f t="shared" si="7"/>
        <v>-120.85919999999986</v>
      </c>
      <c r="D48" s="10">
        <f t="shared" si="8"/>
        <v>-9.81</v>
      </c>
      <c r="E48" s="10">
        <f t="shared" si="0"/>
        <v>-9.81</v>
      </c>
      <c r="F48" s="10">
        <f t="shared" si="1"/>
        <v>-9.81</v>
      </c>
      <c r="G48" s="10">
        <f t="shared" si="2"/>
        <v>-9.81</v>
      </c>
      <c r="H48" s="9">
        <f t="shared" si="3"/>
        <v>-123.60599999999985</v>
      </c>
      <c r="I48" s="8">
        <f t="shared" si="9"/>
        <v>38225.507327999992</v>
      </c>
      <c r="J48" s="9">
        <f t="shared" si="10"/>
        <v>-120.85919999999986</v>
      </c>
      <c r="K48" s="9">
        <f t="shared" si="11"/>
        <v>-123.60599999999985</v>
      </c>
      <c r="L48" s="8">
        <f t="shared" si="4"/>
        <v>38191.282199999994</v>
      </c>
      <c r="N48" s="16">
        <f t="shared" si="6"/>
        <v>0</v>
      </c>
    </row>
    <row r="49" spans="2:14" x14ac:dyDescent="0.25">
      <c r="B49" s="7">
        <f t="shared" si="5"/>
        <v>12.599999999999994</v>
      </c>
      <c r="C49" s="9">
        <f t="shared" si="7"/>
        <v>-123.60599999999985</v>
      </c>
      <c r="D49" s="10">
        <f t="shared" si="8"/>
        <v>-9.81</v>
      </c>
      <c r="E49" s="10">
        <f t="shared" si="0"/>
        <v>-9.81</v>
      </c>
      <c r="F49" s="10">
        <f t="shared" si="1"/>
        <v>-9.81</v>
      </c>
      <c r="G49" s="10">
        <f t="shared" si="2"/>
        <v>-9.81</v>
      </c>
      <c r="H49" s="9">
        <f t="shared" si="3"/>
        <v>-126.35279999999985</v>
      </c>
      <c r="I49" s="8">
        <f t="shared" si="9"/>
        <v>38191.282199999994</v>
      </c>
      <c r="J49" s="9">
        <f t="shared" si="10"/>
        <v>-123.60599999999985</v>
      </c>
      <c r="K49" s="9">
        <f t="shared" si="11"/>
        <v>-126.35279999999985</v>
      </c>
      <c r="L49" s="8">
        <f t="shared" si="4"/>
        <v>38156.287967999997</v>
      </c>
      <c r="N49" s="16">
        <f t="shared" si="6"/>
        <v>0</v>
      </c>
    </row>
    <row r="50" spans="2:14" x14ac:dyDescent="0.25">
      <c r="B50" s="7">
        <f t="shared" si="5"/>
        <v>12.879999999999994</v>
      </c>
      <c r="C50" s="9">
        <f t="shared" si="7"/>
        <v>-126.35279999999985</v>
      </c>
      <c r="D50" s="10">
        <f t="shared" si="8"/>
        <v>-9.81</v>
      </c>
      <c r="E50" s="10">
        <f t="shared" si="0"/>
        <v>-9.81</v>
      </c>
      <c r="F50" s="10">
        <f t="shared" si="1"/>
        <v>-9.81</v>
      </c>
      <c r="G50" s="10">
        <f t="shared" si="2"/>
        <v>-9.81</v>
      </c>
      <c r="H50" s="9">
        <f t="shared" si="3"/>
        <v>-129.09959999999984</v>
      </c>
      <c r="I50" s="8">
        <f t="shared" si="9"/>
        <v>38156.287967999997</v>
      </c>
      <c r="J50" s="9">
        <f t="shared" si="10"/>
        <v>-126.35279999999985</v>
      </c>
      <c r="K50" s="9">
        <f t="shared" si="11"/>
        <v>-129.09959999999984</v>
      </c>
      <c r="L50" s="8">
        <f t="shared" si="4"/>
        <v>38120.524632000001</v>
      </c>
      <c r="N50" s="16">
        <f t="shared" si="6"/>
        <v>0</v>
      </c>
    </row>
    <row r="51" spans="2:14" x14ac:dyDescent="0.25">
      <c r="B51" s="7">
        <f t="shared" si="5"/>
        <v>13.159999999999993</v>
      </c>
      <c r="C51" s="9">
        <f t="shared" si="7"/>
        <v>-129.09959999999984</v>
      </c>
      <c r="D51" s="10">
        <f t="shared" si="8"/>
        <v>-9.81</v>
      </c>
      <c r="E51" s="10">
        <f t="shared" si="0"/>
        <v>-9.81</v>
      </c>
      <c r="F51" s="10">
        <f t="shared" si="1"/>
        <v>-9.81</v>
      </c>
      <c r="G51" s="10">
        <f t="shared" si="2"/>
        <v>-9.81</v>
      </c>
      <c r="H51" s="9">
        <f t="shared" si="3"/>
        <v>-131.84639999999985</v>
      </c>
      <c r="I51" s="8">
        <f t="shared" si="9"/>
        <v>38120.524632000001</v>
      </c>
      <c r="J51" s="9">
        <f t="shared" si="10"/>
        <v>-129.09959999999984</v>
      </c>
      <c r="K51" s="9">
        <f t="shared" si="11"/>
        <v>-131.84639999999985</v>
      </c>
      <c r="L51" s="8">
        <f t="shared" si="4"/>
        <v>38083.992191999998</v>
      </c>
      <c r="N51" s="16">
        <f t="shared" si="6"/>
        <v>0</v>
      </c>
    </row>
    <row r="52" spans="2:14" x14ac:dyDescent="0.25">
      <c r="B52" s="7">
        <f t="shared" si="5"/>
        <v>13.439999999999992</v>
      </c>
      <c r="C52" s="9">
        <f t="shared" si="7"/>
        <v>-131.84639999999985</v>
      </c>
      <c r="D52" s="10">
        <f t="shared" si="8"/>
        <v>-9.81</v>
      </c>
      <c r="E52" s="10">
        <f t="shared" si="0"/>
        <v>-9.81</v>
      </c>
      <c r="F52" s="10">
        <f t="shared" si="1"/>
        <v>-9.81</v>
      </c>
      <c r="G52" s="10">
        <f t="shared" si="2"/>
        <v>-9.81</v>
      </c>
      <c r="H52" s="9">
        <f t="shared" si="3"/>
        <v>-134.59319999999985</v>
      </c>
      <c r="I52" s="8">
        <f t="shared" si="9"/>
        <v>38083.992191999998</v>
      </c>
      <c r="J52" s="9">
        <f t="shared" si="10"/>
        <v>-131.84639999999985</v>
      </c>
      <c r="K52" s="9">
        <f t="shared" si="11"/>
        <v>-134.59319999999985</v>
      </c>
      <c r="L52" s="8">
        <f t="shared" si="4"/>
        <v>38046.690647999996</v>
      </c>
      <c r="N52" s="16">
        <f t="shared" si="6"/>
        <v>0</v>
      </c>
    </row>
    <row r="53" spans="2:14" x14ac:dyDescent="0.25">
      <c r="B53" s="7">
        <f t="shared" si="5"/>
        <v>13.719999999999992</v>
      </c>
      <c r="C53" s="9">
        <f t="shared" si="7"/>
        <v>-134.59319999999985</v>
      </c>
      <c r="D53" s="10">
        <f t="shared" si="8"/>
        <v>-9.81</v>
      </c>
      <c r="E53" s="10">
        <f t="shared" si="0"/>
        <v>-9.81</v>
      </c>
      <c r="F53" s="10">
        <f t="shared" si="1"/>
        <v>-9.81</v>
      </c>
      <c r="G53" s="10">
        <f t="shared" si="2"/>
        <v>-9.81</v>
      </c>
      <c r="H53" s="9">
        <f t="shared" si="3"/>
        <v>-137.33999999999986</v>
      </c>
      <c r="I53" s="8">
        <f t="shared" si="9"/>
        <v>38046.690647999996</v>
      </c>
      <c r="J53" s="9">
        <f t="shared" si="10"/>
        <v>-134.59319999999985</v>
      </c>
      <c r="K53" s="9">
        <f t="shared" si="11"/>
        <v>-137.33999999999986</v>
      </c>
      <c r="L53" s="8">
        <f t="shared" si="4"/>
        <v>38008.619999999995</v>
      </c>
      <c r="N53" s="16">
        <f t="shared" si="6"/>
        <v>0</v>
      </c>
    </row>
    <row r="54" spans="2:14" x14ac:dyDescent="0.25">
      <c r="B54" s="7">
        <f t="shared" si="5"/>
        <v>13.999999999999991</v>
      </c>
      <c r="C54" s="9">
        <f t="shared" si="7"/>
        <v>-137.33999999999986</v>
      </c>
      <c r="D54" s="10">
        <f t="shared" si="8"/>
        <v>-9.81</v>
      </c>
      <c r="E54" s="10">
        <f t="shared" si="0"/>
        <v>-9.81</v>
      </c>
      <c r="F54" s="10">
        <f t="shared" si="1"/>
        <v>-9.81</v>
      </c>
      <c r="G54" s="10">
        <f t="shared" si="2"/>
        <v>-9.81</v>
      </c>
      <c r="H54" s="9">
        <f t="shared" si="3"/>
        <v>-140.08679999999987</v>
      </c>
      <c r="I54" s="8">
        <f t="shared" si="9"/>
        <v>38008.619999999995</v>
      </c>
      <c r="J54" s="9">
        <f t="shared" si="10"/>
        <v>-137.33999999999986</v>
      </c>
      <c r="K54" s="9">
        <f t="shared" si="11"/>
        <v>-140.08679999999987</v>
      </c>
      <c r="L54" s="8">
        <f t="shared" si="4"/>
        <v>37969.780247999995</v>
      </c>
      <c r="N54" s="16">
        <f t="shared" si="6"/>
        <v>0</v>
      </c>
    </row>
    <row r="55" spans="2:14" x14ac:dyDescent="0.25">
      <c r="B55" s="7">
        <f t="shared" si="5"/>
        <v>14.27999999999999</v>
      </c>
      <c r="C55" s="9">
        <f t="shared" si="7"/>
        <v>-140.08679999999987</v>
      </c>
      <c r="D55" s="10">
        <f t="shared" si="8"/>
        <v>-9.81</v>
      </c>
      <c r="E55" s="10">
        <f t="shared" si="0"/>
        <v>-9.81</v>
      </c>
      <c r="F55" s="10">
        <f t="shared" si="1"/>
        <v>-9.81</v>
      </c>
      <c r="G55" s="10">
        <f t="shared" si="2"/>
        <v>-9.81</v>
      </c>
      <c r="H55" s="9">
        <f t="shared" si="3"/>
        <v>-142.83359999999988</v>
      </c>
      <c r="I55" s="8">
        <f t="shared" si="9"/>
        <v>37969.780247999995</v>
      </c>
      <c r="J55" s="9">
        <f t="shared" si="10"/>
        <v>-140.08679999999987</v>
      </c>
      <c r="K55" s="9">
        <f t="shared" si="11"/>
        <v>-142.83359999999988</v>
      </c>
      <c r="L55" s="8">
        <f t="shared" si="4"/>
        <v>37930.171391999997</v>
      </c>
      <c r="N55" s="16">
        <f t="shared" si="6"/>
        <v>0</v>
      </c>
    </row>
    <row r="56" spans="2:14" x14ac:dyDescent="0.25">
      <c r="B56" s="7">
        <f t="shared" si="5"/>
        <v>14.55999999999999</v>
      </c>
      <c r="C56" s="9">
        <f t="shared" si="7"/>
        <v>-142.83359999999988</v>
      </c>
      <c r="D56" s="10">
        <f t="shared" si="8"/>
        <v>-9.81</v>
      </c>
      <c r="E56" s="10">
        <f t="shared" si="0"/>
        <v>-9.81</v>
      </c>
      <c r="F56" s="10">
        <f t="shared" si="1"/>
        <v>-9.81</v>
      </c>
      <c r="G56" s="10">
        <f t="shared" si="2"/>
        <v>-9.81</v>
      </c>
      <c r="H56" s="9">
        <f t="shared" si="3"/>
        <v>-145.58039999999988</v>
      </c>
      <c r="I56" s="8">
        <f t="shared" si="9"/>
        <v>37930.171391999997</v>
      </c>
      <c r="J56" s="9">
        <f t="shared" si="10"/>
        <v>-142.83359999999988</v>
      </c>
      <c r="K56" s="9">
        <f t="shared" si="11"/>
        <v>-145.58039999999988</v>
      </c>
      <c r="L56" s="8">
        <f t="shared" si="4"/>
        <v>37889.793431999999</v>
      </c>
      <c r="N56" s="16">
        <f t="shared" si="6"/>
        <v>0</v>
      </c>
    </row>
    <row r="57" spans="2:14" x14ac:dyDescent="0.25">
      <c r="B57" s="7">
        <f t="shared" si="5"/>
        <v>14.839999999999989</v>
      </c>
      <c r="C57" s="9">
        <f t="shared" si="7"/>
        <v>-145.58039999999988</v>
      </c>
      <c r="D57" s="10">
        <f t="shared" si="8"/>
        <v>-9.81</v>
      </c>
      <c r="E57" s="10">
        <f t="shared" si="0"/>
        <v>-9.81</v>
      </c>
      <c r="F57" s="10">
        <f t="shared" si="1"/>
        <v>-9.81</v>
      </c>
      <c r="G57" s="10">
        <f t="shared" si="2"/>
        <v>-9.81</v>
      </c>
      <c r="H57" s="9">
        <f t="shared" si="3"/>
        <v>-148.32719999999989</v>
      </c>
      <c r="I57" s="8">
        <f t="shared" si="9"/>
        <v>37889.793431999999</v>
      </c>
      <c r="J57" s="9">
        <f t="shared" si="10"/>
        <v>-145.58039999999988</v>
      </c>
      <c r="K57" s="9">
        <f t="shared" si="11"/>
        <v>-148.32719999999989</v>
      </c>
      <c r="L57" s="8">
        <f t="shared" si="4"/>
        <v>37848.646368000002</v>
      </c>
      <c r="N57" s="16">
        <f t="shared" si="6"/>
        <v>0</v>
      </c>
    </row>
    <row r="58" spans="2:14" x14ac:dyDescent="0.25">
      <c r="B58" s="7">
        <f t="shared" si="5"/>
        <v>15.119999999999989</v>
      </c>
      <c r="C58" s="9">
        <f t="shared" si="7"/>
        <v>-148.32719999999989</v>
      </c>
      <c r="D58" s="10">
        <f t="shared" si="8"/>
        <v>-9.81</v>
      </c>
      <c r="E58" s="10">
        <f t="shared" si="0"/>
        <v>-9.81</v>
      </c>
      <c r="F58" s="10">
        <f t="shared" si="1"/>
        <v>-9.81</v>
      </c>
      <c r="G58" s="10">
        <f t="shared" si="2"/>
        <v>-9.81</v>
      </c>
      <c r="H58" s="9">
        <f t="shared" si="3"/>
        <v>-151.0739999999999</v>
      </c>
      <c r="I58" s="8">
        <f t="shared" si="9"/>
        <v>37848.646368000002</v>
      </c>
      <c r="J58" s="9">
        <f t="shared" si="10"/>
        <v>-148.32719999999989</v>
      </c>
      <c r="K58" s="9">
        <f t="shared" si="11"/>
        <v>-151.0739999999999</v>
      </c>
      <c r="L58" s="8">
        <f t="shared" si="4"/>
        <v>37806.730199999998</v>
      </c>
      <c r="N58" s="16">
        <f t="shared" si="6"/>
        <v>0</v>
      </c>
    </row>
    <row r="59" spans="2:14" x14ac:dyDescent="0.25">
      <c r="B59" s="7">
        <f t="shared" si="5"/>
        <v>15.399999999999988</v>
      </c>
      <c r="C59" s="9">
        <f t="shared" si="7"/>
        <v>-151.0739999999999</v>
      </c>
      <c r="D59" s="10">
        <f t="shared" si="8"/>
        <v>-9.81</v>
      </c>
      <c r="E59" s="10">
        <f t="shared" si="0"/>
        <v>-9.81</v>
      </c>
      <c r="F59" s="10">
        <f t="shared" si="1"/>
        <v>-9.81</v>
      </c>
      <c r="G59" s="10">
        <f t="shared" si="2"/>
        <v>-9.81</v>
      </c>
      <c r="H59" s="9">
        <f t="shared" si="3"/>
        <v>-153.82079999999991</v>
      </c>
      <c r="I59" s="8">
        <f t="shared" si="9"/>
        <v>37806.730199999998</v>
      </c>
      <c r="J59" s="9">
        <f t="shared" si="10"/>
        <v>-151.0739999999999</v>
      </c>
      <c r="K59" s="9">
        <f t="shared" si="11"/>
        <v>-153.82079999999991</v>
      </c>
      <c r="L59" s="8">
        <f t="shared" si="4"/>
        <v>37764.044927999996</v>
      </c>
      <c r="N59" s="16">
        <f t="shared" si="6"/>
        <v>0</v>
      </c>
    </row>
    <row r="60" spans="2:14" x14ac:dyDescent="0.25">
      <c r="B60" s="7">
        <f t="shared" si="5"/>
        <v>15.679999999999987</v>
      </c>
      <c r="C60" s="9">
        <f t="shared" si="7"/>
        <v>-153.82079999999991</v>
      </c>
      <c r="D60" s="10">
        <f t="shared" si="8"/>
        <v>-9.81</v>
      </c>
      <c r="E60" s="10">
        <f t="shared" si="0"/>
        <v>-9.81</v>
      </c>
      <c r="F60" s="10">
        <f t="shared" si="1"/>
        <v>-9.81</v>
      </c>
      <c r="G60" s="10">
        <f t="shared" si="2"/>
        <v>-9.81</v>
      </c>
      <c r="H60" s="9">
        <f t="shared" si="3"/>
        <v>-156.56759999999991</v>
      </c>
      <c r="I60" s="8">
        <f t="shared" si="9"/>
        <v>37764.044927999996</v>
      </c>
      <c r="J60" s="9">
        <f t="shared" si="10"/>
        <v>-153.82079999999991</v>
      </c>
      <c r="K60" s="9">
        <f t="shared" si="11"/>
        <v>-156.56759999999991</v>
      </c>
      <c r="L60" s="8">
        <f t="shared" si="4"/>
        <v>37720.590551999994</v>
      </c>
      <c r="N60" s="16">
        <f t="shared" si="6"/>
        <v>0</v>
      </c>
    </row>
    <row r="61" spans="2:14" x14ac:dyDescent="0.25">
      <c r="B61" s="7">
        <f t="shared" si="5"/>
        <v>15.959999999999987</v>
      </c>
      <c r="C61" s="9">
        <f t="shared" si="7"/>
        <v>-156.56759999999991</v>
      </c>
      <c r="D61" s="10">
        <f t="shared" si="8"/>
        <v>-9.81</v>
      </c>
      <c r="E61" s="10">
        <f t="shared" si="0"/>
        <v>-9.81</v>
      </c>
      <c r="F61" s="10">
        <f t="shared" si="1"/>
        <v>-9.81</v>
      </c>
      <c r="G61" s="10">
        <f t="shared" si="2"/>
        <v>-9.81</v>
      </c>
      <c r="H61" s="9">
        <f t="shared" si="3"/>
        <v>-159.31439999999992</v>
      </c>
      <c r="I61" s="8">
        <f t="shared" si="9"/>
        <v>37720.590551999994</v>
      </c>
      <c r="J61" s="9">
        <f t="shared" si="10"/>
        <v>-156.56759999999991</v>
      </c>
      <c r="K61" s="9">
        <f t="shared" si="11"/>
        <v>-159.31439999999992</v>
      </c>
      <c r="L61" s="8">
        <f t="shared" si="4"/>
        <v>37676.367071999994</v>
      </c>
      <c r="N61" s="16">
        <f t="shared" si="6"/>
        <v>0</v>
      </c>
    </row>
    <row r="62" spans="2:14" x14ac:dyDescent="0.25">
      <c r="B62" s="7">
        <f t="shared" si="5"/>
        <v>16.239999999999988</v>
      </c>
      <c r="C62" s="9">
        <f t="shared" si="7"/>
        <v>-159.31439999999992</v>
      </c>
      <c r="D62" s="10">
        <f t="shared" si="8"/>
        <v>-9.81</v>
      </c>
      <c r="E62" s="10">
        <f t="shared" si="0"/>
        <v>-9.81</v>
      </c>
      <c r="F62" s="10">
        <f t="shared" si="1"/>
        <v>-9.81</v>
      </c>
      <c r="G62" s="10">
        <f t="shared" si="2"/>
        <v>-9.81</v>
      </c>
      <c r="H62" s="9">
        <f t="shared" si="3"/>
        <v>-162.06119999999993</v>
      </c>
      <c r="I62" s="8">
        <f t="shared" si="9"/>
        <v>37676.367071999994</v>
      </c>
      <c r="J62" s="9">
        <f t="shared" si="10"/>
        <v>-159.31439999999992</v>
      </c>
      <c r="K62" s="9">
        <f t="shared" si="11"/>
        <v>-162.06119999999993</v>
      </c>
      <c r="L62" s="8">
        <f t="shared" si="4"/>
        <v>37631.374487999994</v>
      </c>
      <c r="N62" s="16">
        <f t="shared" si="6"/>
        <v>0</v>
      </c>
    </row>
    <row r="63" spans="2:14" x14ac:dyDescent="0.25">
      <c r="B63" s="7">
        <f t="shared" si="5"/>
        <v>16.519999999999989</v>
      </c>
      <c r="C63" s="9">
        <f t="shared" si="7"/>
        <v>-162.06119999999993</v>
      </c>
      <c r="D63" s="10">
        <f t="shared" si="8"/>
        <v>-9.81</v>
      </c>
      <c r="E63" s="10">
        <f t="shared" si="0"/>
        <v>-9.81</v>
      </c>
      <c r="F63" s="10">
        <f t="shared" si="1"/>
        <v>-9.81</v>
      </c>
      <c r="G63" s="10">
        <f t="shared" si="2"/>
        <v>-9.81</v>
      </c>
      <c r="H63" s="9">
        <f t="shared" si="3"/>
        <v>-164.80799999999994</v>
      </c>
      <c r="I63" s="8">
        <f t="shared" si="9"/>
        <v>37631.374487999994</v>
      </c>
      <c r="J63" s="9">
        <f t="shared" si="10"/>
        <v>-162.06119999999993</v>
      </c>
      <c r="K63" s="9">
        <f t="shared" si="11"/>
        <v>-164.80799999999994</v>
      </c>
      <c r="L63" s="8">
        <f t="shared" si="4"/>
        <v>37585.612799999995</v>
      </c>
      <c r="N63" s="16">
        <f t="shared" si="6"/>
        <v>0</v>
      </c>
    </row>
    <row r="64" spans="2:14" x14ac:dyDescent="0.25">
      <c r="B64" s="7">
        <f t="shared" si="5"/>
        <v>16.79999999999999</v>
      </c>
      <c r="C64" s="9">
        <f t="shared" si="7"/>
        <v>-164.80799999999994</v>
      </c>
      <c r="D64" s="10">
        <f t="shared" si="8"/>
        <v>-9.81</v>
      </c>
      <c r="E64" s="10">
        <f t="shared" si="0"/>
        <v>-9.81</v>
      </c>
      <c r="F64" s="10">
        <f t="shared" si="1"/>
        <v>-9.81</v>
      </c>
      <c r="G64" s="10">
        <f t="shared" si="2"/>
        <v>-9.81</v>
      </c>
      <c r="H64" s="9">
        <f t="shared" si="3"/>
        <v>-167.55479999999994</v>
      </c>
      <c r="I64" s="8">
        <f t="shared" si="9"/>
        <v>37585.612799999995</v>
      </c>
      <c r="J64" s="9">
        <f t="shared" si="10"/>
        <v>-164.80799999999994</v>
      </c>
      <c r="K64" s="9">
        <f t="shared" si="11"/>
        <v>-167.55479999999994</v>
      </c>
      <c r="L64" s="8">
        <f t="shared" si="4"/>
        <v>37539.082007999998</v>
      </c>
      <c r="N64" s="16">
        <f t="shared" si="6"/>
        <v>0</v>
      </c>
    </row>
    <row r="65" spans="2:14" x14ac:dyDescent="0.25">
      <c r="B65" s="7">
        <f t="shared" si="5"/>
        <v>17.079999999999991</v>
      </c>
      <c r="C65" s="9">
        <f t="shared" si="7"/>
        <v>-167.55479999999994</v>
      </c>
      <c r="D65" s="10">
        <f t="shared" si="8"/>
        <v>-9.81</v>
      </c>
      <c r="E65" s="10">
        <f t="shared" si="0"/>
        <v>-9.81</v>
      </c>
      <c r="F65" s="10">
        <f t="shared" si="1"/>
        <v>-9.81</v>
      </c>
      <c r="G65" s="10">
        <f t="shared" si="2"/>
        <v>-9.81</v>
      </c>
      <c r="H65" s="9">
        <f t="shared" si="3"/>
        <v>-170.30159999999995</v>
      </c>
      <c r="I65" s="8">
        <f t="shared" si="9"/>
        <v>37539.082007999998</v>
      </c>
      <c r="J65" s="9">
        <f t="shared" si="10"/>
        <v>-167.55479999999994</v>
      </c>
      <c r="K65" s="9">
        <f t="shared" si="11"/>
        <v>-170.30159999999995</v>
      </c>
      <c r="L65" s="8">
        <f t="shared" si="4"/>
        <v>37491.782112000001</v>
      </c>
      <c r="N65" s="16">
        <f t="shared" si="6"/>
        <v>0</v>
      </c>
    </row>
    <row r="66" spans="2:14" x14ac:dyDescent="0.25">
      <c r="B66" s="7">
        <f t="shared" si="5"/>
        <v>17.359999999999992</v>
      </c>
      <c r="C66" s="9">
        <f t="shared" si="7"/>
        <v>-170.30159999999995</v>
      </c>
      <c r="D66" s="10">
        <f t="shared" si="8"/>
        <v>-9.81</v>
      </c>
      <c r="E66" s="10">
        <f t="shared" si="0"/>
        <v>-9.81</v>
      </c>
      <c r="F66" s="10">
        <f t="shared" si="1"/>
        <v>-9.81</v>
      </c>
      <c r="G66" s="10">
        <f t="shared" si="2"/>
        <v>-9.81</v>
      </c>
      <c r="H66" s="9">
        <f t="shared" si="3"/>
        <v>-173.04839999999996</v>
      </c>
      <c r="I66" s="8">
        <f t="shared" si="9"/>
        <v>37491.782112000001</v>
      </c>
      <c r="J66" s="9">
        <f t="shared" si="10"/>
        <v>-170.30159999999995</v>
      </c>
      <c r="K66" s="9">
        <f t="shared" si="11"/>
        <v>-173.04839999999996</v>
      </c>
      <c r="L66" s="8">
        <f t="shared" si="4"/>
        <v>37443.713111999998</v>
      </c>
      <c r="N66" s="16">
        <f t="shared" si="6"/>
        <v>0</v>
      </c>
    </row>
    <row r="67" spans="2:14" x14ac:dyDescent="0.25">
      <c r="B67" s="7">
        <f t="shared" si="5"/>
        <v>17.639999999999993</v>
      </c>
      <c r="C67" s="9">
        <f t="shared" si="7"/>
        <v>-173.04839999999996</v>
      </c>
      <c r="D67" s="10">
        <f t="shared" si="8"/>
        <v>-9.81</v>
      </c>
      <c r="E67" s="10">
        <f t="shared" si="0"/>
        <v>-9.81</v>
      </c>
      <c r="F67" s="10">
        <f t="shared" si="1"/>
        <v>-9.81</v>
      </c>
      <c r="G67" s="10">
        <f t="shared" si="2"/>
        <v>-9.81</v>
      </c>
      <c r="H67" s="9">
        <f t="shared" si="3"/>
        <v>-175.79519999999997</v>
      </c>
      <c r="I67" s="8">
        <f t="shared" si="9"/>
        <v>37443.713111999998</v>
      </c>
      <c r="J67" s="9">
        <f t="shared" si="10"/>
        <v>-173.04839999999996</v>
      </c>
      <c r="K67" s="9">
        <f t="shared" si="11"/>
        <v>-175.79519999999997</v>
      </c>
      <c r="L67" s="8">
        <f t="shared" si="4"/>
        <v>37394.875007999995</v>
      </c>
      <c r="N67" s="16">
        <f t="shared" si="6"/>
        <v>0</v>
      </c>
    </row>
    <row r="68" spans="2:14" x14ac:dyDescent="0.25">
      <c r="B68" s="7">
        <f t="shared" si="5"/>
        <v>17.919999999999995</v>
      </c>
      <c r="C68" s="9">
        <f t="shared" si="7"/>
        <v>-175.79519999999997</v>
      </c>
      <c r="D68" s="10">
        <f t="shared" si="8"/>
        <v>-9.81</v>
      </c>
      <c r="E68" s="10">
        <f t="shared" ref="E68:E131" si="12">dvdt($C68+h/2*D68,$I68+(h/2)/2*(2*C68+D68*h/2))</f>
        <v>-9.81</v>
      </c>
      <c r="F68" s="10">
        <f t="shared" ref="F68:F131" si="13">dvdt($C68+h/2*E68,$I68+(h/2)/2*(2*$C68+E68*h/2))</f>
        <v>-9.81</v>
      </c>
      <c r="G68" s="10">
        <f t="shared" ref="G68:G131" si="14">dvdt($C68+h*F68,$I68+h/2*(2*$C68+F68*h))</f>
        <v>-9.81</v>
      </c>
      <c r="H68" s="9">
        <f t="shared" ref="H68:H131" si="15">C68+h/6*(D68+2*E68+2*F68+G68)</f>
        <v>-178.54199999999997</v>
      </c>
      <c r="I68" s="8">
        <f t="shared" si="9"/>
        <v>37394.875007999995</v>
      </c>
      <c r="J68" s="9">
        <f t="shared" si="10"/>
        <v>-175.79519999999997</v>
      </c>
      <c r="K68" s="9">
        <f t="shared" si="11"/>
        <v>-178.54199999999997</v>
      </c>
      <c r="L68" s="8">
        <f t="shared" ref="L68:L131" si="16">I68+h/2*(J68+K68)</f>
        <v>37345.267799999994</v>
      </c>
      <c r="N68" s="16">
        <f t="shared" si="6"/>
        <v>0</v>
      </c>
    </row>
    <row r="69" spans="2:14" x14ac:dyDescent="0.25">
      <c r="B69" s="7">
        <f t="shared" ref="B69:B132" si="17">B68+h</f>
        <v>18.199999999999996</v>
      </c>
      <c r="C69" s="9">
        <f t="shared" si="7"/>
        <v>-178.54199999999997</v>
      </c>
      <c r="D69" s="10">
        <f t="shared" si="8"/>
        <v>-9.81</v>
      </c>
      <c r="E69" s="10">
        <f t="shared" si="12"/>
        <v>-9.81</v>
      </c>
      <c r="F69" s="10">
        <f t="shared" si="13"/>
        <v>-9.81</v>
      </c>
      <c r="G69" s="10">
        <f t="shared" si="14"/>
        <v>-9.81</v>
      </c>
      <c r="H69" s="9">
        <f t="shared" si="15"/>
        <v>-181.28879999999998</v>
      </c>
      <c r="I69" s="8">
        <f t="shared" si="9"/>
        <v>37345.267799999994</v>
      </c>
      <c r="J69" s="9">
        <f t="shared" si="10"/>
        <v>-178.54199999999997</v>
      </c>
      <c r="K69" s="9">
        <f t="shared" si="11"/>
        <v>-181.28879999999998</v>
      </c>
      <c r="L69" s="8">
        <f t="shared" si="16"/>
        <v>37294.891487999994</v>
      </c>
      <c r="N69" s="16">
        <f t="shared" ref="N69:N132" si="18">C_y(I69)</f>
        <v>0</v>
      </c>
    </row>
    <row r="70" spans="2:14" x14ac:dyDescent="0.25">
      <c r="B70" s="7">
        <f t="shared" si="17"/>
        <v>18.479999999999997</v>
      </c>
      <c r="C70" s="9">
        <f t="shared" ref="C70:C80" si="19">H69</f>
        <v>-181.28879999999998</v>
      </c>
      <c r="D70" s="10">
        <f t="shared" ref="D70:D133" si="20">dvdt($C70,$I70)</f>
        <v>-9.81</v>
      </c>
      <c r="E70" s="10">
        <f t="shared" si="12"/>
        <v>-9.81</v>
      </c>
      <c r="F70" s="10">
        <f t="shared" si="13"/>
        <v>-9.81</v>
      </c>
      <c r="G70" s="10">
        <f t="shared" si="14"/>
        <v>-9.81</v>
      </c>
      <c r="H70" s="9">
        <f t="shared" si="15"/>
        <v>-184.03559999999999</v>
      </c>
      <c r="I70" s="8">
        <f t="shared" ref="I70:I80" si="21">L69</f>
        <v>37294.891487999994</v>
      </c>
      <c r="J70" s="9">
        <f t="shared" ref="J70:J80" si="22">C70</f>
        <v>-181.28879999999998</v>
      </c>
      <c r="K70" s="9">
        <f t="shared" ref="K70:K80" si="23">H70</f>
        <v>-184.03559999999999</v>
      </c>
      <c r="L70" s="8">
        <f t="shared" si="16"/>
        <v>37243.746071999994</v>
      </c>
      <c r="N70" s="16">
        <f t="shared" si="18"/>
        <v>0</v>
      </c>
    </row>
    <row r="71" spans="2:14" x14ac:dyDescent="0.25">
      <c r="B71" s="7">
        <f t="shared" si="17"/>
        <v>18.759999999999998</v>
      </c>
      <c r="C71" s="9">
        <f t="shared" si="19"/>
        <v>-184.03559999999999</v>
      </c>
      <c r="D71" s="10">
        <f t="shared" si="20"/>
        <v>-9.81</v>
      </c>
      <c r="E71" s="10">
        <f t="shared" si="12"/>
        <v>-9.81</v>
      </c>
      <c r="F71" s="10">
        <f t="shared" si="13"/>
        <v>-9.81</v>
      </c>
      <c r="G71" s="10">
        <f t="shared" si="14"/>
        <v>-9.81</v>
      </c>
      <c r="H71" s="9">
        <f t="shared" si="15"/>
        <v>-186.7824</v>
      </c>
      <c r="I71" s="8">
        <f t="shared" si="21"/>
        <v>37243.746071999994</v>
      </c>
      <c r="J71" s="9">
        <f t="shared" si="22"/>
        <v>-184.03559999999999</v>
      </c>
      <c r="K71" s="9">
        <f t="shared" si="23"/>
        <v>-186.7824</v>
      </c>
      <c r="L71" s="8">
        <f t="shared" si="16"/>
        <v>37191.831551999996</v>
      </c>
      <c r="N71" s="16">
        <f t="shared" si="18"/>
        <v>0</v>
      </c>
    </row>
    <row r="72" spans="2:14" x14ac:dyDescent="0.25">
      <c r="B72" s="7">
        <f t="shared" si="17"/>
        <v>19.04</v>
      </c>
      <c r="C72" s="9">
        <f t="shared" si="19"/>
        <v>-186.7824</v>
      </c>
      <c r="D72" s="10">
        <f t="shared" si="20"/>
        <v>-9.81</v>
      </c>
      <c r="E72" s="10">
        <f t="shared" si="12"/>
        <v>-9.81</v>
      </c>
      <c r="F72" s="10">
        <f t="shared" si="13"/>
        <v>-9.81</v>
      </c>
      <c r="G72" s="10">
        <f t="shared" si="14"/>
        <v>-9.81</v>
      </c>
      <c r="H72" s="9">
        <f t="shared" si="15"/>
        <v>-189.5292</v>
      </c>
      <c r="I72" s="8">
        <f t="shared" si="21"/>
        <v>37191.831551999996</v>
      </c>
      <c r="J72" s="9">
        <f t="shared" si="22"/>
        <v>-186.7824</v>
      </c>
      <c r="K72" s="9">
        <f t="shared" si="23"/>
        <v>-189.5292</v>
      </c>
      <c r="L72" s="8">
        <f t="shared" si="16"/>
        <v>37139.147927999999</v>
      </c>
      <c r="N72" s="16">
        <f t="shared" si="18"/>
        <v>0</v>
      </c>
    </row>
    <row r="73" spans="2:14" x14ac:dyDescent="0.25">
      <c r="B73" s="7">
        <f t="shared" si="17"/>
        <v>19.32</v>
      </c>
      <c r="C73" s="9">
        <f t="shared" si="19"/>
        <v>-189.5292</v>
      </c>
      <c r="D73" s="10">
        <f t="shared" si="20"/>
        <v>-9.81</v>
      </c>
      <c r="E73" s="10">
        <f t="shared" si="12"/>
        <v>-9.81</v>
      </c>
      <c r="F73" s="10">
        <f t="shared" si="13"/>
        <v>-9.81</v>
      </c>
      <c r="G73" s="10">
        <f t="shared" si="14"/>
        <v>-9.81</v>
      </c>
      <c r="H73" s="9">
        <f t="shared" si="15"/>
        <v>-192.27600000000001</v>
      </c>
      <c r="I73" s="8">
        <f t="shared" si="21"/>
        <v>37139.147927999999</v>
      </c>
      <c r="J73" s="9">
        <f t="shared" si="22"/>
        <v>-189.5292</v>
      </c>
      <c r="K73" s="9">
        <f t="shared" si="23"/>
        <v>-192.27600000000001</v>
      </c>
      <c r="L73" s="8">
        <f t="shared" si="16"/>
        <v>37085.695200000002</v>
      </c>
      <c r="N73" s="16">
        <f t="shared" si="18"/>
        <v>0</v>
      </c>
    </row>
    <row r="74" spans="2:14" x14ac:dyDescent="0.25">
      <c r="B74" s="7">
        <f t="shared" si="17"/>
        <v>19.600000000000001</v>
      </c>
      <c r="C74" s="9">
        <f t="shared" si="19"/>
        <v>-192.27600000000001</v>
      </c>
      <c r="D74" s="10">
        <f t="shared" si="20"/>
        <v>-9.81</v>
      </c>
      <c r="E74" s="10">
        <f t="shared" si="12"/>
        <v>-9.81</v>
      </c>
      <c r="F74" s="10">
        <f t="shared" si="13"/>
        <v>-9.81</v>
      </c>
      <c r="G74" s="10">
        <f t="shared" si="14"/>
        <v>-9.81</v>
      </c>
      <c r="H74" s="9">
        <f t="shared" si="15"/>
        <v>-195.02280000000002</v>
      </c>
      <c r="I74" s="8">
        <f t="shared" si="21"/>
        <v>37085.695200000002</v>
      </c>
      <c r="J74" s="9">
        <f t="shared" si="22"/>
        <v>-192.27600000000001</v>
      </c>
      <c r="K74" s="9">
        <f t="shared" si="23"/>
        <v>-195.02280000000002</v>
      </c>
      <c r="L74" s="8">
        <f t="shared" si="16"/>
        <v>37031.473367999999</v>
      </c>
      <c r="N74" s="16">
        <f t="shared" si="18"/>
        <v>0</v>
      </c>
    </row>
    <row r="75" spans="2:14" x14ac:dyDescent="0.25">
      <c r="B75" s="7">
        <f t="shared" si="17"/>
        <v>19.880000000000003</v>
      </c>
      <c r="C75" s="9">
        <f t="shared" si="19"/>
        <v>-195.02280000000002</v>
      </c>
      <c r="D75" s="10">
        <f t="shared" si="20"/>
        <v>-9.81</v>
      </c>
      <c r="E75" s="10">
        <f t="shared" si="12"/>
        <v>-9.81</v>
      </c>
      <c r="F75" s="10">
        <f t="shared" si="13"/>
        <v>-9.81</v>
      </c>
      <c r="G75" s="10">
        <f t="shared" si="14"/>
        <v>-9.81</v>
      </c>
      <c r="H75" s="9">
        <f t="shared" si="15"/>
        <v>-197.76960000000003</v>
      </c>
      <c r="I75" s="8">
        <f t="shared" si="21"/>
        <v>37031.473367999999</v>
      </c>
      <c r="J75" s="9">
        <f t="shared" si="22"/>
        <v>-195.02280000000002</v>
      </c>
      <c r="K75" s="9">
        <f t="shared" si="23"/>
        <v>-197.76960000000003</v>
      </c>
      <c r="L75" s="8">
        <f t="shared" si="16"/>
        <v>36976.482431999997</v>
      </c>
      <c r="N75" s="16">
        <f t="shared" si="18"/>
        <v>0</v>
      </c>
    </row>
    <row r="76" spans="2:14" x14ac:dyDescent="0.25">
      <c r="B76" s="7">
        <f t="shared" si="17"/>
        <v>20.160000000000004</v>
      </c>
      <c r="C76" s="9">
        <f t="shared" si="19"/>
        <v>-197.76960000000003</v>
      </c>
      <c r="D76" s="10">
        <f t="shared" si="20"/>
        <v>-9.81</v>
      </c>
      <c r="E76" s="10">
        <f t="shared" si="12"/>
        <v>-9.81</v>
      </c>
      <c r="F76" s="10">
        <f t="shared" si="13"/>
        <v>-9.81</v>
      </c>
      <c r="G76" s="10">
        <f t="shared" si="14"/>
        <v>-9.81</v>
      </c>
      <c r="H76" s="9">
        <f t="shared" si="15"/>
        <v>-200.51640000000003</v>
      </c>
      <c r="I76" s="8">
        <f t="shared" si="21"/>
        <v>36976.482431999997</v>
      </c>
      <c r="J76" s="9">
        <f t="shared" si="22"/>
        <v>-197.76960000000003</v>
      </c>
      <c r="K76" s="9">
        <f t="shared" si="23"/>
        <v>-200.51640000000003</v>
      </c>
      <c r="L76" s="8">
        <f t="shared" si="16"/>
        <v>36920.722391999996</v>
      </c>
      <c r="N76" s="16">
        <f t="shared" si="18"/>
        <v>0</v>
      </c>
    </row>
    <row r="77" spans="2:14" x14ac:dyDescent="0.25">
      <c r="B77" s="7">
        <f t="shared" si="17"/>
        <v>20.440000000000005</v>
      </c>
      <c r="C77" s="9">
        <f t="shared" si="19"/>
        <v>-200.51640000000003</v>
      </c>
      <c r="D77" s="10">
        <f t="shared" si="20"/>
        <v>-9.81</v>
      </c>
      <c r="E77" s="10">
        <f t="shared" si="12"/>
        <v>-9.81</v>
      </c>
      <c r="F77" s="10">
        <f t="shared" si="13"/>
        <v>-9.81</v>
      </c>
      <c r="G77" s="10">
        <f t="shared" si="14"/>
        <v>-9.81</v>
      </c>
      <c r="H77" s="9">
        <f t="shared" si="15"/>
        <v>-203.26320000000004</v>
      </c>
      <c r="I77" s="8">
        <f t="shared" si="21"/>
        <v>36920.722391999996</v>
      </c>
      <c r="J77" s="9">
        <f t="shared" si="22"/>
        <v>-200.51640000000003</v>
      </c>
      <c r="K77" s="9">
        <f t="shared" si="23"/>
        <v>-203.26320000000004</v>
      </c>
      <c r="L77" s="8">
        <f t="shared" si="16"/>
        <v>36864.193247999996</v>
      </c>
      <c r="N77" s="16">
        <f t="shared" si="18"/>
        <v>0</v>
      </c>
    </row>
    <row r="78" spans="2:14" x14ac:dyDescent="0.25">
      <c r="B78" s="7">
        <f t="shared" si="17"/>
        <v>20.720000000000006</v>
      </c>
      <c r="C78" s="9">
        <f t="shared" si="19"/>
        <v>-203.26320000000004</v>
      </c>
      <c r="D78" s="10">
        <f t="shared" si="20"/>
        <v>-9.81</v>
      </c>
      <c r="E78" s="10">
        <f t="shared" si="12"/>
        <v>-9.81</v>
      </c>
      <c r="F78" s="10">
        <f t="shared" si="13"/>
        <v>-9.81</v>
      </c>
      <c r="G78" s="10">
        <f t="shared" si="14"/>
        <v>-9.81</v>
      </c>
      <c r="H78" s="9">
        <f t="shared" si="15"/>
        <v>-206.01000000000005</v>
      </c>
      <c r="I78" s="8">
        <f t="shared" si="21"/>
        <v>36864.193247999996</v>
      </c>
      <c r="J78" s="9">
        <f t="shared" si="22"/>
        <v>-203.26320000000004</v>
      </c>
      <c r="K78" s="9">
        <f t="shared" si="23"/>
        <v>-206.01000000000005</v>
      </c>
      <c r="L78" s="8">
        <f t="shared" si="16"/>
        <v>36806.894999999997</v>
      </c>
      <c r="N78" s="16">
        <f t="shared" si="18"/>
        <v>0</v>
      </c>
    </row>
    <row r="79" spans="2:14" x14ac:dyDescent="0.25">
      <c r="B79" s="7">
        <f t="shared" si="17"/>
        <v>21.000000000000007</v>
      </c>
      <c r="C79" s="9">
        <f t="shared" si="19"/>
        <v>-206.01000000000005</v>
      </c>
      <c r="D79" s="10">
        <f t="shared" si="20"/>
        <v>-9.81</v>
      </c>
      <c r="E79" s="10">
        <f t="shared" si="12"/>
        <v>-9.81</v>
      </c>
      <c r="F79" s="10">
        <f t="shared" si="13"/>
        <v>-9.81</v>
      </c>
      <c r="G79" s="10">
        <f t="shared" si="14"/>
        <v>-9.81</v>
      </c>
      <c r="H79" s="9">
        <f t="shared" si="15"/>
        <v>-208.75680000000006</v>
      </c>
      <c r="I79" s="8">
        <f t="shared" si="21"/>
        <v>36806.894999999997</v>
      </c>
      <c r="J79" s="9">
        <f t="shared" si="22"/>
        <v>-206.01000000000005</v>
      </c>
      <c r="K79" s="9">
        <f t="shared" si="23"/>
        <v>-208.75680000000006</v>
      </c>
      <c r="L79" s="8">
        <f t="shared" si="16"/>
        <v>36748.827647999999</v>
      </c>
      <c r="N79" s="16">
        <f t="shared" si="18"/>
        <v>0</v>
      </c>
    </row>
    <row r="80" spans="2:14" x14ac:dyDescent="0.25">
      <c r="B80" s="7">
        <f t="shared" si="17"/>
        <v>21.280000000000008</v>
      </c>
      <c r="C80" s="9">
        <f t="shared" si="19"/>
        <v>-208.75680000000006</v>
      </c>
      <c r="D80" s="10">
        <f t="shared" si="20"/>
        <v>-9.81</v>
      </c>
      <c r="E80" s="10">
        <f t="shared" si="12"/>
        <v>-9.81</v>
      </c>
      <c r="F80" s="10">
        <f t="shared" si="13"/>
        <v>-9.81</v>
      </c>
      <c r="G80" s="10">
        <f t="shared" si="14"/>
        <v>-9.81</v>
      </c>
      <c r="H80" s="9">
        <f t="shared" si="15"/>
        <v>-211.50360000000006</v>
      </c>
      <c r="I80" s="8">
        <f t="shared" si="21"/>
        <v>36748.827647999999</v>
      </c>
      <c r="J80" s="9">
        <f t="shared" si="22"/>
        <v>-208.75680000000006</v>
      </c>
      <c r="K80" s="9">
        <f t="shared" si="23"/>
        <v>-211.50360000000006</v>
      </c>
      <c r="L80" s="8">
        <f t="shared" si="16"/>
        <v>36689.991192000001</v>
      </c>
      <c r="N80" s="16">
        <f t="shared" si="18"/>
        <v>0</v>
      </c>
    </row>
    <row r="81" spans="2:14" x14ac:dyDescent="0.25">
      <c r="B81" s="7">
        <f t="shared" si="17"/>
        <v>21.560000000000009</v>
      </c>
      <c r="C81" s="9">
        <f t="shared" ref="C81:C110" si="24">H80</f>
        <v>-211.50360000000006</v>
      </c>
      <c r="D81" s="10">
        <f t="shared" si="20"/>
        <v>-9.81</v>
      </c>
      <c r="E81" s="10">
        <f t="shared" si="12"/>
        <v>-9.81</v>
      </c>
      <c r="F81" s="10">
        <f t="shared" si="13"/>
        <v>-9.81</v>
      </c>
      <c r="G81" s="10">
        <f t="shared" si="14"/>
        <v>-9.81</v>
      </c>
      <c r="H81" s="9">
        <f t="shared" si="15"/>
        <v>-214.25040000000007</v>
      </c>
      <c r="I81" s="8">
        <f t="shared" ref="I81:I110" si="25">L80</f>
        <v>36689.991192000001</v>
      </c>
      <c r="J81" s="9">
        <f t="shared" ref="J81:J110" si="26">C81</f>
        <v>-211.50360000000006</v>
      </c>
      <c r="K81" s="9">
        <f t="shared" ref="K81:K110" si="27">H81</f>
        <v>-214.25040000000007</v>
      </c>
      <c r="L81" s="8">
        <f t="shared" si="16"/>
        <v>36630.385631999998</v>
      </c>
      <c r="N81" s="16">
        <f t="shared" si="18"/>
        <v>0</v>
      </c>
    </row>
    <row r="82" spans="2:14" x14ac:dyDescent="0.25">
      <c r="B82" s="7">
        <f t="shared" si="17"/>
        <v>21.840000000000011</v>
      </c>
      <c r="C82" s="9">
        <f t="shared" si="24"/>
        <v>-214.25040000000007</v>
      </c>
      <c r="D82" s="10">
        <f t="shared" si="20"/>
        <v>-9.81</v>
      </c>
      <c r="E82" s="10">
        <f t="shared" si="12"/>
        <v>-9.81</v>
      </c>
      <c r="F82" s="10">
        <f t="shared" si="13"/>
        <v>-9.81</v>
      </c>
      <c r="G82" s="10">
        <f t="shared" si="14"/>
        <v>-9.81</v>
      </c>
      <c r="H82" s="9">
        <f t="shared" si="15"/>
        <v>-216.99720000000008</v>
      </c>
      <c r="I82" s="8">
        <f t="shared" si="25"/>
        <v>36630.385631999998</v>
      </c>
      <c r="J82" s="9">
        <f t="shared" si="26"/>
        <v>-214.25040000000007</v>
      </c>
      <c r="K82" s="9">
        <f t="shared" si="27"/>
        <v>-216.99720000000008</v>
      </c>
      <c r="L82" s="8">
        <f t="shared" si="16"/>
        <v>36570.010967999995</v>
      </c>
      <c r="N82" s="16">
        <f t="shared" si="18"/>
        <v>0</v>
      </c>
    </row>
    <row r="83" spans="2:14" x14ac:dyDescent="0.25">
      <c r="B83" s="7">
        <f t="shared" si="17"/>
        <v>22.120000000000012</v>
      </c>
      <c r="C83" s="9">
        <f t="shared" si="24"/>
        <v>-216.99720000000008</v>
      </c>
      <c r="D83" s="10">
        <f t="shared" si="20"/>
        <v>-9.81</v>
      </c>
      <c r="E83" s="10">
        <f t="shared" si="12"/>
        <v>-9.81</v>
      </c>
      <c r="F83" s="10">
        <f t="shared" si="13"/>
        <v>-9.81</v>
      </c>
      <c r="G83" s="10">
        <f t="shared" si="14"/>
        <v>-9.81</v>
      </c>
      <c r="H83" s="9">
        <f t="shared" si="15"/>
        <v>-219.74400000000009</v>
      </c>
      <c r="I83" s="8">
        <f t="shared" si="25"/>
        <v>36570.010967999995</v>
      </c>
      <c r="J83" s="9">
        <f t="shared" si="26"/>
        <v>-216.99720000000008</v>
      </c>
      <c r="K83" s="9">
        <f t="shared" si="27"/>
        <v>-219.74400000000009</v>
      </c>
      <c r="L83" s="8">
        <f t="shared" si="16"/>
        <v>36508.867199999993</v>
      </c>
      <c r="N83" s="16">
        <f t="shared" si="18"/>
        <v>0</v>
      </c>
    </row>
    <row r="84" spans="2:14" x14ac:dyDescent="0.25">
      <c r="B84" s="7">
        <f t="shared" si="17"/>
        <v>22.400000000000013</v>
      </c>
      <c r="C84" s="9">
        <f t="shared" si="24"/>
        <v>-219.74400000000009</v>
      </c>
      <c r="D84" s="10">
        <f t="shared" si="20"/>
        <v>-9.81</v>
      </c>
      <c r="E84" s="10">
        <f t="shared" si="12"/>
        <v>-9.81</v>
      </c>
      <c r="F84" s="10">
        <f t="shared" si="13"/>
        <v>-9.81</v>
      </c>
      <c r="G84" s="10">
        <f t="shared" si="14"/>
        <v>-9.81</v>
      </c>
      <c r="H84" s="9">
        <f t="shared" si="15"/>
        <v>-222.49080000000009</v>
      </c>
      <c r="I84" s="8">
        <f t="shared" si="25"/>
        <v>36508.867199999993</v>
      </c>
      <c r="J84" s="9">
        <f t="shared" si="26"/>
        <v>-219.74400000000009</v>
      </c>
      <c r="K84" s="9">
        <f t="shared" si="27"/>
        <v>-222.49080000000009</v>
      </c>
      <c r="L84" s="8">
        <f t="shared" si="16"/>
        <v>36446.954327999993</v>
      </c>
      <c r="N84" s="16">
        <f t="shared" si="18"/>
        <v>0</v>
      </c>
    </row>
    <row r="85" spans="2:14" x14ac:dyDescent="0.25">
      <c r="B85" s="7">
        <f t="shared" si="17"/>
        <v>22.680000000000014</v>
      </c>
      <c r="C85" s="9">
        <f t="shared" si="24"/>
        <v>-222.49080000000009</v>
      </c>
      <c r="D85" s="10">
        <f t="shared" si="20"/>
        <v>-9.81</v>
      </c>
      <c r="E85" s="10">
        <f t="shared" si="12"/>
        <v>-9.81</v>
      </c>
      <c r="F85" s="10">
        <f t="shared" si="13"/>
        <v>-9.81</v>
      </c>
      <c r="G85" s="10">
        <f t="shared" si="14"/>
        <v>-9.81</v>
      </c>
      <c r="H85" s="9">
        <f t="shared" si="15"/>
        <v>-225.2376000000001</v>
      </c>
      <c r="I85" s="8">
        <f t="shared" si="25"/>
        <v>36446.954327999993</v>
      </c>
      <c r="J85" s="9">
        <f t="shared" si="26"/>
        <v>-222.49080000000009</v>
      </c>
      <c r="K85" s="9">
        <f t="shared" si="27"/>
        <v>-225.2376000000001</v>
      </c>
      <c r="L85" s="8">
        <f t="shared" si="16"/>
        <v>36384.272351999993</v>
      </c>
      <c r="N85" s="16">
        <f t="shared" si="18"/>
        <v>0</v>
      </c>
    </row>
    <row r="86" spans="2:14" x14ac:dyDescent="0.25">
      <c r="B86" s="7">
        <f t="shared" si="17"/>
        <v>22.960000000000015</v>
      </c>
      <c r="C86" s="9">
        <f t="shared" si="24"/>
        <v>-225.2376000000001</v>
      </c>
      <c r="D86" s="10">
        <f t="shared" si="20"/>
        <v>-9.81</v>
      </c>
      <c r="E86" s="10">
        <f t="shared" si="12"/>
        <v>-9.81</v>
      </c>
      <c r="F86" s="10">
        <f t="shared" si="13"/>
        <v>-9.81</v>
      </c>
      <c r="G86" s="10">
        <f t="shared" si="14"/>
        <v>-9.81</v>
      </c>
      <c r="H86" s="9">
        <f t="shared" si="15"/>
        <v>-227.98440000000011</v>
      </c>
      <c r="I86" s="8">
        <f t="shared" si="25"/>
        <v>36384.272351999993</v>
      </c>
      <c r="J86" s="9">
        <f t="shared" si="26"/>
        <v>-225.2376000000001</v>
      </c>
      <c r="K86" s="9">
        <f t="shared" si="27"/>
        <v>-227.98440000000011</v>
      </c>
      <c r="L86" s="8">
        <f t="shared" si="16"/>
        <v>36320.821271999994</v>
      </c>
      <c r="N86" s="16">
        <f t="shared" si="18"/>
        <v>0</v>
      </c>
    </row>
    <row r="87" spans="2:14" x14ac:dyDescent="0.25">
      <c r="B87" s="7">
        <f t="shared" si="17"/>
        <v>23.240000000000016</v>
      </c>
      <c r="C87" s="9">
        <f t="shared" si="24"/>
        <v>-227.98440000000011</v>
      </c>
      <c r="D87" s="10">
        <f t="shared" si="20"/>
        <v>-9.81</v>
      </c>
      <c r="E87" s="10">
        <f t="shared" si="12"/>
        <v>-9.81</v>
      </c>
      <c r="F87" s="10">
        <f t="shared" si="13"/>
        <v>-9.81</v>
      </c>
      <c r="G87" s="10">
        <f t="shared" si="14"/>
        <v>-9.81</v>
      </c>
      <c r="H87" s="9">
        <f t="shared" si="15"/>
        <v>-230.73120000000011</v>
      </c>
      <c r="I87" s="8">
        <f t="shared" si="25"/>
        <v>36320.821271999994</v>
      </c>
      <c r="J87" s="9">
        <f t="shared" si="26"/>
        <v>-227.98440000000011</v>
      </c>
      <c r="K87" s="9">
        <f t="shared" si="27"/>
        <v>-230.73120000000011</v>
      </c>
      <c r="L87" s="8">
        <f t="shared" si="16"/>
        <v>36256.601087999996</v>
      </c>
      <c r="N87" s="16">
        <f t="shared" si="18"/>
        <v>0</v>
      </c>
    </row>
    <row r="88" spans="2:14" x14ac:dyDescent="0.25">
      <c r="B88" s="7">
        <f t="shared" si="17"/>
        <v>23.520000000000017</v>
      </c>
      <c r="C88" s="9">
        <f t="shared" si="24"/>
        <v>-230.73120000000011</v>
      </c>
      <c r="D88" s="10">
        <f t="shared" si="20"/>
        <v>-9.81</v>
      </c>
      <c r="E88" s="10">
        <f t="shared" si="12"/>
        <v>-9.81</v>
      </c>
      <c r="F88" s="10">
        <f t="shared" si="13"/>
        <v>-9.81</v>
      </c>
      <c r="G88" s="10">
        <f t="shared" si="14"/>
        <v>-9.81</v>
      </c>
      <c r="H88" s="9">
        <f t="shared" si="15"/>
        <v>-233.47800000000012</v>
      </c>
      <c r="I88" s="8">
        <f t="shared" si="25"/>
        <v>36256.601087999996</v>
      </c>
      <c r="J88" s="9">
        <f t="shared" si="26"/>
        <v>-230.73120000000011</v>
      </c>
      <c r="K88" s="9">
        <f t="shared" si="27"/>
        <v>-233.47800000000012</v>
      </c>
      <c r="L88" s="8">
        <f t="shared" si="16"/>
        <v>36191.611799999999</v>
      </c>
      <c r="N88" s="16">
        <f t="shared" si="18"/>
        <v>0</v>
      </c>
    </row>
    <row r="89" spans="2:14" x14ac:dyDescent="0.25">
      <c r="B89" s="7">
        <f t="shared" si="17"/>
        <v>23.800000000000018</v>
      </c>
      <c r="C89" s="9">
        <f t="shared" si="24"/>
        <v>-233.47800000000012</v>
      </c>
      <c r="D89" s="10">
        <f t="shared" si="20"/>
        <v>-9.81</v>
      </c>
      <c r="E89" s="10">
        <f t="shared" si="12"/>
        <v>-9.81</v>
      </c>
      <c r="F89" s="10">
        <f t="shared" si="13"/>
        <v>-9.81</v>
      </c>
      <c r="G89" s="10">
        <f t="shared" si="14"/>
        <v>-9.81</v>
      </c>
      <c r="H89" s="9">
        <f t="shared" si="15"/>
        <v>-236.22480000000013</v>
      </c>
      <c r="I89" s="8">
        <f t="shared" si="25"/>
        <v>36191.611799999999</v>
      </c>
      <c r="J89" s="9">
        <f t="shared" si="26"/>
        <v>-233.47800000000012</v>
      </c>
      <c r="K89" s="9">
        <f t="shared" si="27"/>
        <v>-236.22480000000013</v>
      </c>
      <c r="L89" s="8">
        <f t="shared" si="16"/>
        <v>36125.853407999995</v>
      </c>
      <c r="N89" s="16">
        <f t="shared" si="18"/>
        <v>0</v>
      </c>
    </row>
    <row r="90" spans="2:14" x14ac:dyDescent="0.25">
      <c r="B90" s="7">
        <f t="shared" si="17"/>
        <v>24.08000000000002</v>
      </c>
      <c r="C90" s="9">
        <f t="shared" si="24"/>
        <v>-236.22480000000013</v>
      </c>
      <c r="D90" s="10">
        <f t="shared" si="20"/>
        <v>-9.81</v>
      </c>
      <c r="E90" s="10">
        <f t="shared" si="12"/>
        <v>-9.81</v>
      </c>
      <c r="F90" s="10">
        <f t="shared" si="13"/>
        <v>-9.81</v>
      </c>
      <c r="G90" s="10">
        <f t="shared" si="14"/>
        <v>-9.81</v>
      </c>
      <c r="H90" s="9">
        <f t="shared" si="15"/>
        <v>-238.97160000000014</v>
      </c>
      <c r="I90" s="8">
        <f t="shared" si="25"/>
        <v>36125.853407999995</v>
      </c>
      <c r="J90" s="9">
        <f t="shared" si="26"/>
        <v>-236.22480000000013</v>
      </c>
      <c r="K90" s="9">
        <f t="shared" si="27"/>
        <v>-238.97160000000014</v>
      </c>
      <c r="L90" s="8">
        <f t="shared" si="16"/>
        <v>36059.325911999993</v>
      </c>
      <c r="N90" s="16">
        <f t="shared" si="18"/>
        <v>0</v>
      </c>
    </row>
    <row r="91" spans="2:14" x14ac:dyDescent="0.25">
      <c r="B91" s="7">
        <f t="shared" si="17"/>
        <v>24.360000000000021</v>
      </c>
      <c r="C91" s="9">
        <f t="shared" si="24"/>
        <v>-238.97160000000014</v>
      </c>
      <c r="D91" s="10">
        <f t="shared" si="20"/>
        <v>-9.81</v>
      </c>
      <c r="E91" s="10">
        <f t="shared" si="12"/>
        <v>-9.81</v>
      </c>
      <c r="F91" s="10">
        <f t="shared" si="13"/>
        <v>-9.81</v>
      </c>
      <c r="G91" s="10">
        <f t="shared" si="14"/>
        <v>-9.81</v>
      </c>
      <c r="H91" s="9">
        <f t="shared" si="15"/>
        <v>-241.71840000000014</v>
      </c>
      <c r="I91" s="8">
        <f t="shared" si="25"/>
        <v>36059.325911999993</v>
      </c>
      <c r="J91" s="9">
        <f t="shared" si="26"/>
        <v>-238.97160000000014</v>
      </c>
      <c r="K91" s="9">
        <f t="shared" si="27"/>
        <v>-241.71840000000014</v>
      </c>
      <c r="L91" s="8">
        <f t="shared" si="16"/>
        <v>35992.029311999991</v>
      </c>
      <c r="N91" s="16">
        <f t="shared" si="18"/>
        <v>0</v>
      </c>
    </row>
    <row r="92" spans="2:14" x14ac:dyDescent="0.25">
      <c r="B92" s="7">
        <f t="shared" si="17"/>
        <v>24.640000000000022</v>
      </c>
      <c r="C92" s="9">
        <f t="shared" si="24"/>
        <v>-241.71840000000014</v>
      </c>
      <c r="D92" s="10">
        <f t="shared" si="20"/>
        <v>-9.81</v>
      </c>
      <c r="E92" s="10">
        <f t="shared" si="12"/>
        <v>-9.81</v>
      </c>
      <c r="F92" s="10">
        <f t="shared" si="13"/>
        <v>-9.81</v>
      </c>
      <c r="G92" s="10">
        <f t="shared" si="14"/>
        <v>-9.81</v>
      </c>
      <c r="H92" s="9">
        <f t="shared" si="15"/>
        <v>-244.46520000000015</v>
      </c>
      <c r="I92" s="8">
        <f t="shared" si="25"/>
        <v>35992.029311999991</v>
      </c>
      <c r="J92" s="9">
        <f t="shared" si="26"/>
        <v>-241.71840000000014</v>
      </c>
      <c r="K92" s="9">
        <f t="shared" si="27"/>
        <v>-244.46520000000015</v>
      </c>
      <c r="L92" s="8">
        <f t="shared" si="16"/>
        <v>35923.963607999991</v>
      </c>
      <c r="N92" s="16">
        <f t="shared" si="18"/>
        <v>0</v>
      </c>
    </row>
    <row r="93" spans="2:14" x14ac:dyDescent="0.25">
      <c r="B93" s="7">
        <f t="shared" si="17"/>
        <v>24.920000000000023</v>
      </c>
      <c r="C93" s="9">
        <f t="shared" si="24"/>
        <v>-244.46520000000015</v>
      </c>
      <c r="D93" s="10">
        <f t="shared" si="20"/>
        <v>-9.81</v>
      </c>
      <c r="E93" s="10">
        <f t="shared" si="12"/>
        <v>-9.81</v>
      </c>
      <c r="F93" s="10">
        <f t="shared" si="13"/>
        <v>-9.81</v>
      </c>
      <c r="G93" s="10">
        <f t="shared" si="14"/>
        <v>-9.81</v>
      </c>
      <c r="H93" s="9">
        <f t="shared" si="15"/>
        <v>-247.21200000000016</v>
      </c>
      <c r="I93" s="8">
        <f t="shared" si="25"/>
        <v>35923.963607999991</v>
      </c>
      <c r="J93" s="9">
        <f t="shared" si="26"/>
        <v>-244.46520000000015</v>
      </c>
      <c r="K93" s="9">
        <f t="shared" si="27"/>
        <v>-247.21200000000016</v>
      </c>
      <c r="L93" s="8">
        <f t="shared" si="16"/>
        <v>35855.128799999991</v>
      </c>
      <c r="N93" s="16">
        <f t="shared" si="18"/>
        <v>0</v>
      </c>
    </row>
    <row r="94" spans="2:14" x14ac:dyDescent="0.25">
      <c r="B94" s="7">
        <f t="shared" si="17"/>
        <v>25.200000000000024</v>
      </c>
      <c r="C94" s="9">
        <f t="shared" si="24"/>
        <v>-247.21200000000016</v>
      </c>
      <c r="D94" s="10">
        <f t="shared" si="20"/>
        <v>-9.81</v>
      </c>
      <c r="E94" s="10">
        <f t="shared" si="12"/>
        <v>-9.81</v>
      </c>
      <c r="F94" s="10">
        <f t="shared" si="13"/>
        <v>-9.81</v>
      </c>
      <c r="G94" s="10">
        <f t="shared" si="14"/>
        <v>-9.81</v>
      </c>
      <c r="H94" s="9">
        <f t="shared" si="15"/>
        <v>-249.95880000000017</v>
      </c>
      <c r="I94" s="8">
        <f t="shared" si="25"/>
        <v>35855.128799999991</v>
      </c>
      <c r="J94" s="9">
        <f t="shared" si="26"/>
        <v>-247.21200000000016</v>
      </c>
      <c r="K94" s="9">
        <f t="shared" si="27"/>
        <v>-249.95880000000017</v>
      </c>
      <c r="L94" s="8">
        <f t="shared" si="16"/>
        <v>35785.524887999993</v>
      </c>
      <c r="N94" s="16">
        <f t="shared" si="18"/>
        <v>0</v>
      </c>
    </row>
    <row r="95" spans="2:14" x14ac:dyDescent="0.25">
      <c r="B95" s="7">
        <f t="shared" si="17"/>
        <v>25.480000000000025</v>
      </c>
      <c r="C95" s="9">
        <f t="shared" si="24"/>
        <v>-249.95880000000017</v>
      </c>
      <c r="D95" s="10">
        <f t="shared" si="20"/>
        <v>-9.81</v>
      </c>
      <c r="E95" s="10">
        <f t="shared" si="12"/>
        <v>-9.81</v>
      </c>
      <c r="F95" s="10">
        <f t="shared" si="13"/>
        <v>-9.81</v>
      </c>
      <c r="G95" s="10">
        <f t="shared" si="14"/>
        <v>-9.81</v>
      </c>
      <c r="H95" s="9">
        <f t="shared" si="15"/>
        <v>-252.70560000000017</v>
      </c>
      <c r="I95" s="8">
        <f t="shared" si="25"/>
        <v>35785.524887999993</v>
      </c>
      <c r="J95" s="9">
        <f t="shared" si="26"/>
        <v>-249.95880000000017</v>
      </c>
      <c r="K95" s="9">
        <f t="shared" si="27"/>
        <v>-252.70560000000017</v>
      </c>
      <c r="L95" s="8">
        <f t="shared" si="16"/>
        <v>35715.151871999995</v>
      </c>
      <c r="N95" s="16">
        <f t="shared" si="18"/>
        <v>0</v>
      </c>
    </row>
    <row r="96" spans="2:14" x14ac:dyDescent="0.25">
      <c r="B96" s="7">
        <f t="shared" si="17"/>
        <v>25.760000000000026</v>
      </c>
      <c r="C96" s="9">
        <f t="shared" si="24"/>
        <v>-252.70560000000017</v>
      </c>
      <c r="D96" s="10">
        <f t="shared" si="20"/>
        <v>-9.81</v>
      </c>
      <c r="E96" s="10">
        <f t="shared" si="12"/>
        <v>-9.81</v>
      </c>
      <c r="F96" s="10">
        <f t="shared" si="13"/>
        <v>-9.81</v>
      </c>
      <c r="G96" s="10">
        <f t="shared" si="14"/>
        <v>-9.81</v>
      </c>
      <c r="H96" s="9">
        <f t="shared" si="15"/>
        <v>-255.45240000000018</v>
      </c>
      <c r="I96" s="8">
        <f t="shared" si="25"/>
        <v>35715.151871999995</v>
      </c>
      <c r="J96" s="9">
        <f t="shared" si="26"/>
        <v>-252.70560000000017</v>
      </c>
      <c r="K96" s="9">
        <f t="shared" si="27"/>
        <v>-255.45240000000018</v>
      </c>
      <c r="L96" s="8">
        <f t="shared" si="16"/>
        <v>35644.009751999998</v>
      </c>
      <c r="N96" s="16">
        <f t="shared" si="18"/>
        <v>0</v>
      </c>
    </row>
    <row r="97" spans="2:14" x14ac:dyDescent="0.25">
      <c r="B97" s="7">
        <f t="shared" si="17"/>
        <v>26.040000000000028</v>
      </c>
      <c r="C97" s="9">
        <f t="shared" si="24"/>
        <v>-255.45240000000018</v>
      </c>
      <c r="D97" s="10">
        <f t="shared" si="20"/>
        <v>-9.81</v>
      </c>
      <c r="E97" s="10">
        <f t="shared" si="12"/>
        <v>-9.81</v>
      </c>
      <c r="F97" s="10">
        <f t="shared" si="13"/>
        <v>-9.81</v>
      </c>
      <c r="G97" s="10">
        <f t="shared" si="14"/>
        <v>-9.81</v>
      </c>
      <c r="H97" s="9">
        <f t="shared" si="15"/>
        <v>-258.19920000000019</v>
      </c>
      <c r="I97" s="8">
        <f t="shared" si="25"/>
        <v>35644.009751999998</v>
      </c>
      <c r="J97" s="9">
        <f t="shared" si="26"/>
        <v>-255.45240000000018</v>
      </c>
      <c r="K97" s="9">
        <f t="shared" si="27"/>
        <v>-258.19920000000019</v>
      </c>
      <c r="L97" s="8">
        <f t="shared" si="16"/>
        <v>35572.098527999995</v>
      </c>
      <c r="N97" s="16">
        <f t="shared" si="18"/>
        <v>0</v>
      </c>
    </row>
    <row r="98" spans="2:14" x14ac:dyDescent="0.25">
      <c r="B98" s="7">
        <f t="shared" si="17"/>
        <v>26.320000000000029</v>
      </c>
      <c r="C98" s="9">
        <f t="shared" si="24"/>
        <v>-258.19920000000019</v>
      </c>
      <c r="D98" s="10">
        <f t="shared" si="20"/>
        <v>-9.81</v>
      </c>
      <c r="E98" s="10">
        <f t="shared" si="12"/>
        <v>-9.81</v>
      </c>
      <c r="F98" s="10">
        <f t="shared" si="13"/>
        <v>-9.81</v>
      </c>
      <c r="G98" s="10">
        <f t="shared" si="14"/>
        <v>-9.81</v>
      </c>
      <c r="H98" s="9">
        <f t="shared" si="15"/>
        <v>-260.9460000000002</v>
      </c>
      <c r="I98" s="8">
        <f t="shared" si="25"/>
        <v>35572.098527999995</v>
      </c>
      <c r="J98" s="9">
        <f t="shared" si="26"/>
        <v>-258.19920000000019</v>
      </c>
      <c r="K98" s="9">
        <f t="shared" si="27"/>
        <v>-260.9460000000002</v>
      </c>
      <c r="L98" s="8">
        <f t="shared" si="16"/>
        <v>35499.418199999993</v>
      </c>
      <c r="N98" s="16">
        <f t="shared" si="18"/>
        <v>0</v>
      </c>
    </row>
    <row r="99" spans="2:14" x14ac:dyDescent="0.25">
      <c r="B99" s="7">
        <f t="shared" si="17"/>
        <v>26.60000000000003</v>
      </c>
      <c r="C99" s="9">
        <f t="shared" si="24"/>
        <v>-260.9460000000002</v>
      </c>
      <c r="D99" s="10">
        <f t="shared" si="20"/>
        <v>-9.81</v>
      </c>
      <c r="E99" s="10">
        <f t="shared" si="12"/>
        <v>-9.81</v>
      </c>
      <c r="F99" s="10">
        <f t="shared" si="13"/>
        <v>-9.81</v>
      </c>
      <c r="G99" s="10">
        <f t="shared" si="14"/>
        <v>-9.81</v>
      </c>
      <c r="H99" s="9">
        <f t="shared" si="15"/>
        <v>-263.6928000000002</v>
      </c>
      <c r="I99" s="8">
        <f t="shared" si="25"/>
        <v>35499.418199999993</v>
      </c>
      <c r="J99" s="9">
        <f t="shared" si="26"/>
        <v>-260.9460000000002</v>
      </c>
      <c r="K99" s="9">
        <f t="shared" si="27"/>
        <v>-263.6928000000002</v>
      </c>
      <c r="L99" s="8">
        <f t="shared" si="16"/>
        <v>35425.968767999992</v>
      </c>
      <c r="N99" s="16">
        <f t="shared" si="18"/>
        <v>0</v>
      </c>
    </row>
    <row r="100" spans="2:14" x14ac:dyDescent="0.25">
      <c r="B100" s="7">
        <f t="shared" si="17"/>
        <v>26.880000000000031</v>
      </c>
      <c r="C100" s="9">
        <f t="shared" si="24"/>
        <v>-263.6928000000002</v>
      </c>
      <c r="D100" s="10">
        <f t="shared" si="20"/>
        <v>-9.81</v>
      </c>
      <c r="E100" s="10">
        <f t="shared" si="12"/>
        <v>-9.81</v>
      </c>
      <c r="F100" s="10">
        <f t="shared" si="13"/>
        <v>-9.81</v>
      </c>
      <c r="G100" s="10">
        <f t="shared" si="14"/>
        <v>-9.81</v>
      </c>
      <c r="H100" s="9">
        <f t="shared" si="15"/>
        <v>-266.43960000000021</v>
      </c>
      <c r="I100" s="8">
        <f t="shared" si="25"/>
        <v>35425.968767999992</v>
      </c>
      <c r="J100" s="9">
        <f t="shared" si="26"/>
        <v>-263.6928000000002</v>
      </c>
      <c r="K100" s="9">
        <f t="shared" si="27"/>
        <v>-266.43960000000021</v>
      </c>
      <c r="L100" s="8">
        <f t="shared" si="16"/>
        <v>35351.750231999991</v>
      </c>
      <c r="N100" s="16">
        <f t="shared" si="18"/>
        <v>0</v>
      </c>
    </row>
    <row r="101" spans="2:14" x14ac:dyDescent="0.25">
      <c r="B101" s="7">
        <f t="shared" si="17"/>
        <v>27.160000000000032</v>
      </c>
      <c r="C101" s="9">
        <f t="shared" si="24"/>
        <v>-266.43960000000021</v>
      </c>
      <c r="D101" s="10">
        <f t="shared" si="20"/>
        <v>-9.81</v>
      </c>
      <c r="E101" s="10">
        <f t="shared" si="12"/>
        <v>-9.81</v>
      </c>
      <c r="F101" s="10">
        <f t="shared" si="13"/>
        <v>-9.81</v>
      </c>
      <c r="G101" s="10">
        <f t="shared" si="14"/>
        <v>-9.81</v>
      </c>
      <c r="H101" s="9">
        <f t="shared" si="15"/>
        <v>-269.18640000000022</v>
      </c>
      <c r="I101" s="8">
        <f t="shared" si="25"/>
        <v>35351.750231999991</v>
      </c>
      <c r="J101" s="9">
        <f t="shared" si="26"/>
        <v>-266.43960000000021</v>
      </c>
      <c r="K101" s="9">
        <f t="shared" si="27"/>
        <v>-269.18640000000022</v>
      </c>
      <c r="L101" s="8">
        <f t="shared" si="16"/>
        <v>35276.762591999992</v>
      </c>
      <c r="N101" s="16">
        <f t="shared" si="18"/>
        <v>0</v>
      </c>
    </row>
    <row r="102" spans="2:14" x14ac:dyDescent="0.25">
      <c r="B102" s="7">
        <f t="shared" si="17"/>
        <v>27.440000000000033</v>
      </c>
      <c r="C102" s="9">
        <f t="shared" si="24"/>
        <v>-269.18640000000022</v>
      </c>
      <c r="D102" s="10">
        <f t="shared" si="20"/>
        <v>-9.81</v>
      </c>
      <c r="E102" s="10">
        <f t="shared" si="12"/>
        <v>-9.81</v>
      </c>
      <c r="F102" s="10">
        <f t="shared" si="13"/>
        <v>-9.81</v>
      </c>
      <c r="G102" s="10">
        <f t="shared" si="14"/>
        <v>-9.81</v>
      </c>
      <c r="H102" s="9">
        <f t="shared" si="15"/>
        <v>-271.93320000000023</v>
      </c>
      <c r="I102" s="8">
        <f t="shared" si="25"/>
        <v>35276.762591999992</v>
      </c>
      <c r="J102" s="9">
        <f t="shared" si="26"/>
        <v>-269.18640000000022</v>
      </c>
      <c r="K102" s="9">
        <f t="shared" si="27"/>
        <v>-271.93320000000023</v>
      </c>
      <c r="L102" s="8">
        <f t="shared" si="16"/>
        <v>35201.005847999993</v>
      </c>
      <c r="N102" s="16">
        <f t="shared" si="18"/>
        <v>0</v>
      </c>
    </row>
    <row r="103" spans="2:14" x14ac:dyDescent="0.25">
      <c r="B103" s="7">
        <f t="shared" si="17"/>
        <v>27.720000000000034</v>
      </c>
      <c r="C103" s="9">
        <f t="shared" si="24"/>
        <v>-271.93320000000023</v>
      </c>
      <c r="D103" s="10">
        <f t="shared" si="20"/>
        <v>-9.81</v>
      </c>
      <c r="E103" s="10">
        <f t="shared" si="12"/>
        <v>-9.81</v>
      </c>
      <c r="F103" s="10">
        <f t="shared" si="13"/>
        <v>-9.81</v>
      </c>
      <c r="G103" s="10">
        <f t="shared" si="14"/>
        <v>-9.81</v>
      </c>
      <c r="H103" s="9">
        <f t="shared" si="15"/>
        <v>-274.68000000000023</v>
      </c>
      <c r="I103" s="8">
        <f t="shared" si="25"/>
        <v>35201.005847999993</v>
      </c>
      <c r="J103" s="9">
        <f t="shared" si="26"/>
        <v>-271.93320000000023</v>
      </c>
      <c r="K103" s="9">
        <f t="shared" si="27"/>
        <v>-274.68000000000023</v>
      </c>
      <c r="L103" s="8">
        <f t="shared" si="16"/>
        <v>35124.479999999996</v>
      </c>
      <c r="N103" s="16">
        <f t="shared" si="18"/>
        <v>0</v>
      </c>
    </row>
    <row r="104" spans="2:14" x14ac:dyDescent="0.25">
      <c r="B104" s="7">
        <f t="shared" si="17"/>
        <v>28.000000000000036</v>
      </c>
      <c r="C104" s="9">
        <f t="shared" si="24"/>
        <v>-274.68000000000023</v>
      </c>
      <c r="D104" s="10">
        <f t="shared" si="20"/>
        <v>-9.81</v>
      </c>
      <c r="E104" s="10">
        <f t="shared" si="12"/>
        <v>-9.81</v>
      </c>
      <c r="F104" s="10">
        <f t="shared" si="13"/>
        <v>-9.81</v>
      </c>
      <c r="G104" s="10">
        <f t="shared" si="14"/>
        <v>-9.81</v>
      </c>
      <c r="H104" s="9">
        <f t="shared" si="15"/>
        <v>-277.42680000000024</v>
      </c>
      <c r="I104" s="8">
        <f t="shared" si="25"/>
        <v>35124.479999999996</v>
      </c>
      <c r="J104" s="9">
        <f t="shared" si="26"/>
        <v>-274.68000000000023</v>
      </c>
      <c r="K104" s="9">
        <f t="shared" si="27"/>
        <v>-277.42680000000024</v>
      </c>
      <c r="L104" s="8">
        <f t="shared" si="16"/>
        <v>35047.185047999999</v>
      </c>
      <c r="N104" s="16">
        <f t="shared" si="18"/>
        <v>0</v>
      </c>
    </row>
    <row r="105" spans="2:14" x14ac:dyDescent="0.25">
      <c r="B105" s="7">
        <f t="shared" si="17"/>
        <v>28.280000000000037</v>
      </c>
      <c r="C105" s="9">
        <f t="shared" si="24"/>
        <v>-277.42680000000024</v>
      </c>
      <c r="D105" s="10">
        <f t="shared" si="20"/>
        <v>-9.81</v>
      </c>
      <c r="E105" s="10">
        <f t="shared" si="12"/>
        <v>-9.81</v>
      </c>
      <c r="F105" s="10">
        <f t="shared" si="13"/>
        <v>-9.81</v>
      </c>
      <c r="G105" s="10">
        <f t="shared" si="14"/>
        <v>-9.81</v>
      </c>
      <c r="H105" s="9">
        <f t="shared" si="15"/>
        <v>-280.17360000000025</v>
      </c>
      <c r="I105" s="8">
        <f t="shared" si="25"/>
        <v>35047.185047999999</v>
      </c>
      <c r="J105" s="9">
        <f t="shared" si="26"/>
        <v>-277.42680000000024</v>
      </c>
      <c r="K105" s="9">
        <f t="shared" si="27"/>
        <v>-280.17360000000025</v>
      </c>
      <c r="L105" s="8">
        <f t="shared" si="16"/>
        <v>34969.120991999996</v>
      </c>
      <c r="N105" s="16">
        <f t="shared" si="18"/>
        <v>0</v>
      </c>
    </row>
    <row r="106" spans="2:14" x14ac:dyDescent="0.25">
      <c r="B106" s="7">
        <f t="shared" si="17"/>
        <v>28.560000000000038</v>
      </c>
      <c r="C106" s="9">
        <f t="shared" si="24"/>
        <v>-280.17360000000025</v>
      </c>
      <c r="D106" s="10">
        <f t="shared" si="20"/>
        <v>-9.81</v>
      </c>
      <c r="E106" s="10">
        <f t="shared" si="12"/>
        <v>-9.81</v>
      </c>
      <c r="F106" s="10">
        <f t="shared" si="13"/>
        <v>-9.81</v>
      </c>
      <c r="G106" s="10">
        <f t="shared" si="14"/>
        <v>-9.81</v>
      </c>
      <c r="H106" s="9">
        <f t="shared" si="15"/>
        <v>-282.92040000000026</v>
      </c>
      <c r="I106" s="8">
        <f t="shared" si="25"/>
        <v>34969.120991999996</v>
      </c>
      <c r="J106" s="9">
        <f t="shared" si="26"/>
        <v>-280.17360000000025</v>
      </c>
      <c r="K106" s="9">
        <f t="shared" si="27"/>
        <v>-282.92040000000026</v>
      </c>
      <c r="L106" s="8">
        <f t="shared" si="16"/>
        <v>34890.287831999995</v>
      </c>
      <c r="N106" s="16">
        <f t="shared" si="18"/>
        <v>0</v>
      </c>
    </row>
    <row r="107" spans="2:14" x14ac:dyDescent="0.25">
      <c r="B107" s="7">
        <f t="shared" si="17"/>
        <v>28.840000000000039</v>
      </c>
      <c r="C107" s="9">
        <f t="shared" si="24"/>
        <v>-282.92040000000026</v>
      </c>
      <c r="D107" s="10">
        <f t="shared" si="20"/>
        <v>-9.81</v>
      </c>
      <c r="E107" s="10">
        <f t="shared" si="12"/>
        <v>-9.81</v>
      </c>
      <c r="F107" s="10">
        <f t="shared" si="13"/>
        <v>-9.81</v>
      </c>
      <c r="G107" s="10">
        <f t="shared" si="14"/>
        <v>-9.81</v>
      </c>
      <c r="H107" s="9">
        <f t="shared" si="15"/>
        <v>-285.66720000000026</v>
      </c>
      <c r="I107" s="8">
        <f t="shared" si="25"/>
        <v>34890.287831999995</v>
      </c>
      <c r="J107" s="9">
        <f t="shared" si="26"/>
        <v>-282.92040000000026</v>
      </c>
      <c r="K107" s="9">
        <f t="shared" si="27"/>
        <v>-285.66720000000026</v>
      </c>
      <c r="L107" s="8">
        <f t="shared" si="16"/>
        <v>34810.685567999994</v>
      </c>
      <c r="N107" s="16">
        <f t="shared" si="18"/>
        <v>0</v>
      </c>
    </row>
    <row r="108" spans="2:14" x14ac:dyDescent="0.25">
      <c r="B108" s="7">
        <f t="shared" si="17"/>
        <v>29.12000000000004</v>
      </c>
      <c r="C108" s="9">
        <f t="shared" si="24"/>
        <v>-285.66720000000026</v>
      </c>
      <c r="D108" s="10">
        <f t="shared" si="20"/>
        <v>-9.81</v>
      </c>
      <c r="E108" s="10">
        <f t="shared" si="12"/>
        <v>-9.81</v>
      </c>
      <c r="F108" s="10">
        <f t="shared" si="13"/>
        <v>-9.81</v>
      </c>
      <c r="G108" s="10">
        <f t="shared" si="14"/>
        <v>-9.81</v>
      </c>
      <c r="H108" s="9">
        <f t="shared" si="15"/>
        <v>-288.41400000000027</v>
      </c>
      <c r="I108" s="8">
        <f t="shared" si="25"/>
        <v>34810.685567999994</v>
      </c>
      <c r="J108" s="9">
        <f t="shared" si="26"/>
        <v>-285.66720000000026</v>
      </c>
      <c r="K108" s="9">
        <f t="shared" si="27"/>
        <v>-288.41400000000027</v>
      </c>
      <c r="L108" s="8">
        <f t="shared" si="16"/>
        <v>34730.314199999993</v>
      </c>
      <c r="N108" s="16">
        <f t="shared" si="18"/>
        <v>0</v>
      </c>
    </row>
    <row r="109" spans="2:14" x14ac:dyDescent="0.25">
      <c r="B109" s="7">
        <f t="shared" si="17"/>
        <v>29.400000000000041</v>
      </c>
      <c r="C109" s="9">
        <f t="shared" si="24"/>
        <v>-288.41400000000027</v>
      </c>
      <c r="D109" s="10">
        <f t="shared" si="20"/>
        <v>-9.81</v>
      </c>
      <c r="E109" s="10">
        <f t="shared" si="12"/>
        <v>-9.81</v>
      </c>
      <c r="F109" s="10">
        <f t="shared" si="13"/>
        <v>-9.81</v>
      </c>
      <c r="G109" s="10">
        <f t="shared" si="14"/>
        <v>-9.81</v>
      </c>
      <c r="H109" s="9">
        <f t="shared" si="15"/>
        <v>-291.16080000000028</v>
      </c>
      <c r="I109" s="8">
        <f t="shared" si="25"/>
        <v>34730.314199999993</v>
      </c>
      <c r="J109" s="9">
        <f t="shared" si="26"/>
        <v>-288.41400000000027</v>
      </c>
      <c r="K109" s="9">
        <f t="shared" si="27"/>
        <v>-291.16080000000028</v>
      </c>
      <c r="L109" s="8">
        <f t="shared" si="16"/>
        <v>34649.173727999994</v>
      </c>
      <c r="N109" s="16">
        <f t="shared" si="18"/>
        <v>0</v>
      </c>
    </row>
    <row r="110" spans="2:14" x14ac:dyDescent="0.25">
      <c r="B110" s="7">
        <f t="shared" si="17"/>
        <v>29.680000000000042</v>
      </c>
      <c r="C110" s="9">
        <f t="shared" si="24"/>
        <v>-291.16080000000028</v>
      </c>
      <c r="D110" s="10">
        <f t="shared" si="20"/>
        <v>-9.81</v>
      </c>
      <c r="E110" s="10">
        <f t="shared" si="12"/>
        <v>-9.81</v>
      </c>
      <c r="F110" s="10">
        <f t="shared" si="13"/>
        <v>-9.81</v>
      </c>
      <c r="G110" s="10">
        <f t="shared" si="14"/>
        <v>-9.81</v>
      </c>
      <c r="H110" s="9">
        <f t="shared" si="15"/>
        <v>-293.90760000000029</v>
      </c>
      <c r="I110" s="8">
        <f t="shared" si="25"/>
        <v>34649.173727999994</v>
      </c>
      <c r="J110" s="9">
        <f t="shared" si="26"/>
        <v>-291.16080000000028</v>
      </c>
      <c r="K110" s="9">
        <f t="shared" si="27"/>
        <v>-293.90760000000029</v>
      </c>
      <c r="L110" s="8">
        <f t="shared" si="16"/>
        <v>34567.264151999996</v>
      </c>
      <c r="N110" s="16">
        <f t="shared" si="18"/>
        <v>0</v>
      </c>
    </row>
    <row r="111" spans="2:14" x14ac:dyDescent="0.25">
      <c r="B111" s="7">
        <f t="shared" si="17"/>
        <v>29.960000000000043</v>
      </c>
      <c r="C111" s="9">
        <f t="shared" ref="C111:C174" si="28">H110</f>
        <v>-293.90760000000029</v>
      </c>
      <c r="D111" s="10">
        <f t="shared" si="20"/>
        <v>-9.81</v>
      </c>
      <c r="E111" s="10">
        <f t="shared" si="12"/>
        <v>-9.81</v>
      </c>
      <c r="F111" s="10">
        <f t="shared" si="13"/>
        <v>-9.81</v>
      </c>
      <c r="G111" s="10">
        <f t="shared" si="14"/>
        <v>-9.81</v>
      </c>
      <c r="H111" s="9">
        <f t="shared" si="15"/>
        <v>-296.65440000000029</v>
      </c>
      <c r="I111" s="8">
        <f t="shared" ref="I111:I174" si="29">L110</f>
        <v>34567.264151999996</v>
      </c>
      <c r="J111" s="9">
        <f t="shared" ref="J111:J174" si="30">C111</f>
        <v>-293.90760000000029</v>
      </c>
      <c r="K111" s="9">
        <f t="shared" ref="K111:K174" si="31">H111</f>
        <v>-296.65440000000029</v>
      </c>
      <c r="L111" s="8">
        <f t="shared" si="16"/>
        <v>34484.585471999999</v>
      </c>
      <c r="N111" s="16">
        <f t="shared" si="18"/>
        <v>0</v>
      </c>
    </row>
    <row r="112" spans="2:14" x14ac:dyDescent="0.25">
      <c r="B112" s="7">
        <f t="shared" si="17"/>
        <v>30.240000000000045</v>
      </c>
      <c r="C112" s="9">
        <f t="shared" si="28"/>
        <v>-296.65440000000029</v>
      </c>
      <c r="D112" s="10">
        <f t="shared" si="20"/>
        <v>-9.81</v>
      </c>
      <c r="E112" s="10">
        <f t="shared" si="12"/>
        <v>-9.81</v>
      </c>
      <c r="F112" s="10">
        <f t="shared" si="13"/>
        <v>-9.81</v>
      </c>
      <c r="G112" s="10">
        <f t="shared" si="14"/>
        <v>-9.81</v>
      </c>
      <c r="H112" s="9">
        <f t="shared" si="15"/>
        <v>-299.4012000000003</v>
      </c>
      <c r="I112" s="8">
        <f t="shared" si="29"/>
        <v>34484.585471999999</v>
      </c>
      <c r="J112" s="9">
        <f t="shared" si="30"/>
        <v>-296.65440000000029</v>
      </c>
      <c r="K112" s="9">
        <f t="shared" si="31"/>
        <v>-299.4012000000003</v>
      </c>
      <c r="L112" s="8">
        <f t="shared" si="16"/>
        <v>34401.137687999995</v>
      </c>
      <c r="N112" s="16">
        <f t="shared" si="18"/>
        <v>0</v>
      </c>
    </row>
    <row r="113" spans="2:14" x14ac:dyDescent="0.25">
      <c r="B113" s="7">
        <f t="shared" si="17"/>
        <v>30.520000000000046</v>
      </c>
      <c r="C113" s="9">
        <f t="shared" si="28"/>
        <v>-299.4012000000003</v>
      </c>
      <c r="D113" s="10">
        <f t="shared" si="20"/>
        <v>-9.81</v>
      </c>
      <c r="E113" s="10">
        <f t="shared" si="12"/>
        <v>-9.81</v>
      </c>
      <c r="F113" s="10">
        <f t="shared" si="13"/>
        <v>-9.81</v>
      </c>
      <c r="G113" s="10">
        <f t="shared" si="14"/>
        <v>-9.81</v>
      </c>
      <c r="H113" s="9">
        <f t="shared" si="15"/>
        <v>-302.14800000000031</v>
      </c>
      <c r="I113" s="8">
        <f t="shared" si="29"/>
        <v>34401.137687999995</v>
      </c>
      <c r="J113" s="9">
        <f t="shared" si="30"/>
        <v>-299.4012000000003</v>
      </c>
      <c r="K113" s="9">
        <f t="shared" si="31"/>
        <v>-302.14800000000031</v>
      </c>
      <c r="L113" s="8">
        <f t="shared" si="16"/>
        <v>34316.920799999993</v>
      </c>
      <c r="N113" s="16">
        <f t="shared" si="18"/>
        <v>0</v>
      </c>
    </row>
    <row r="114" spans="2:14" x14ac:dyDescent="0.25">
      <c r="B114" s="7">
        <f t="shared" si="17"/>
        <v>30.800000000000047</v>
      </c>
      <c r="C114" s="9">
        <f t="shared" si="28"/>
        <v>-302.14800000000031</v>
      </c>
      <c r="D114" s="10">
        <f t="shared" si="20"/>
        <v>-9.81</v>
      </c>
      <c r="E114" s="10">
        <f t="shared" si="12"/>
        <v>-9.81</v>
      </c>
      <c r="F114" s="10">
        <f t="shared" si="13"/>
        <v>-9.81</v>
      </c>
      <c r="G114" s="10">
        <f t="shared" si="14"/>
        <v>-9.81</v>
      </c>
      <c r="H114" s="9">
        <f t="shared" si="15"/>
        <v>-304.89480000000032</v>
      </c>
      <c r="I114" s="8">
        <f t="shared" si="29"/>
        <v>34316.920799999993</v>
      </c>
      <c r="J114" s="9">
        <f t="shared" si="30"/>
        <v>-302.14800000000031</v>
      </c>
      <c r="K114" s="9">
        <f t="shared" si="31"/>
        <v>-304.89480000000032</v>
      </c>
      <c r="L114" s="8">
        <f t="shared" si="16"/>
        <v>34231.934807999991</v>
      </c>
      <c r="N114" s="16">
        <f t="shared" si="18"/>
        <v>0</v>
      </c>
    </row>
    <row r="115" spans="2:14" x14ac:dyDescent="0.25">
      <c r="B115" s="7">
        <f t="shared" si="17"/>
        <v>31.080000000000048</v>
      </c>
      <c r="C115" s="9">
        <f t="shared" si="28"/>
        <v>-304.89480000000032</v>
      </c>
      <c r="D115" s="10">
        <f t="shared" si="20"/>
        <v>-9.81</v>
      </c>
      <c r="E115" s="10">
        <f t="shared" si="12"/>
        <v>-9.81</v>
      </c>
      <c r="F115" s="10">
        <f t="shared" si="13"/>
        <v>-9.81</v>
      </c>
      <c r="G115" s="10">
        <f t="shared" si="14"/>
        <v>-9.81</v>
      </c>
      <c r="H115" s="9">
        <f t="shared" si="15"/>
        <v>-307.64160000000032</v>
      </c>
      <c r="I115" s="8">
        <f t="shared" si="29"/>
        <v>34231.934807999991</v>
      </c>
      <c r="J115" s="9">
        <f t="shared" si="30"/>
        <v>-304.89480000000032</v>
      </c>
      <c r="K115" s="9">
        <f t="shared" si="31"/>
        <v>-307.64160000000032</v>
      </c>
      <c r="L115" s="8">
        <f t="shared" si="16"/>
        <v>34146.17971199999</v>
      </c>
      <c r="N115" s="16">
        <f t="shared" si="18"/>
        <v>0</v>
      </c>
    </row>
    <row r="116" spans="2:14" x14ac:dyDescent="0.25">
      <c r="B116" s="7">
        <f t="shared" si="17"/>
        <v>31.360000000000049</v>
      </c>
      <c r="C116" s="9">
        <f t="shared" si="28"/>
        <v>-307.64160000000032</v>
      </c>
      <c r="D116" s="10">
        <f t="shared" si="20"/>
        <v>-9.81</v>
      </c>
      <c r="E116" s="10">
        <f t="shared" si="12"/>
        <v>-9.81</v>
      </c>
      <c r="F116" s="10">
        <f t="shared" si="13"/>
        <v>-9.81</v>
      </c>
      <c r="G116" s="10">
        <f t="shared" si="14"/>
        <v>-9.81</v>
      </c>
      <c r="H116" s="9">
        <f t="shared" si="15"/>
        <v>-310.38840000000033</v>
      </c>
      <c r="I116" s="8">
        <f t="shared" si="29"/>
        <v>34146.17971199999</v>
      </c>
      <c r="J116" s="9">
        <f t="shared" si="30"/>
        <v>-307.64160000000032</v>
      </c>
      <c r="K116" s="9">
        <f t="shared" si="31"/>
        <v>-310.38840000000033</v>
      </c>
      <c r="L116" s="8">
        <f t="shared" si="16"/>
        <v>34059.65551199999</v>
      </c>
      <c r="N116" s="16">
        <f t="shared" si="18"/>
        <v>0</v>
      </c>
    </row>
    <row r="117" spans="2:14" x14ac:dyDescent="0.25">
      <c r="B117" s="7">
        <f t="shared" si="17"/>
        <v>31.64000000000005</v>
      </c>
      <c r="C117" s="9">
        <f t="shared" si="28"/>
        <v>-310.38840000000033</v>
      </c>
      <c r="D117" s="10">
        <f t="shared" si="20"/>
        <v>-9.81</v>
      </c>
      <c r="E117" s="10">
        <f t="shared" si="12"/>
        <v>-9.81</v>
      </c>
      <c r="F117" s="10">
        <f t="shared" si="13"/>
        <v>-9.81</v>
      </c>
      <c r="G117" s="10">
        <f t="shared" si="14"/>
        <v>-9.81</v>
      </c>
      <c r="H117" s="9">
        <f t="shared" si="15"/>
        <v>-313.13520000000034</v>
      </c>
      <c r="I117" s="8">
        <f t="shared" si="29"/>
        <v>34059.65551199999</v>
      </c>
      <c r="J117" s="9">
        <f t="shared" si="30"/>
        <v>-310.38840000000033</v>
      </c>
      <c r="K117" s="9">
        <f t="shared" si="31"/>
        <v>-313.13520000000034</v>
      </c>
      <c r="L117" s="8">
        <f t="shared" si="16"/>
        <v>33972.362207999991</v>
      </c>
      <c r="N117" s="16">
        <f t="shared" si="18"/>
        <v>0</v>
      </c>
    </row>
    <row r="118" spans="2:14" x14ac:dyDescent="0.25">
      <c r="B118" s="7">
        <f t="shared" si="17"/>
        <v>31.920000000000051</v>
      </c>
      <c r="C118" s="9">
        <f t="shared" si="28"/>
        <v>-313.13520000000034</v>
      </c>
      <c r="D118" s="10">
        <f t="shared" si="20"/>
        <v>-9.81</v>
      </c>
      <c r="E118" s="10">
        <f t="shared" si="12"/>
        <v>-9.81</v>
      </c>
      <c r="F118" s="10">
        <f t="shared" si="13"/>
        <v>-9.81</v>
      </c>
      <c r="G118" s="10">
        <f t="shared" si="14"/>
        <v>-9.81</v>
      </c>
      <c r="H118" s="9">
        <f t="shared" si="15"/>
        <v>-315.88200000000035</v>
      </c>
      <c r="I118" s="8">
        <f t="shared" si="29"/>
        <v>33972.362207999991</v>
      </c>
      <c r="J118" s="9">
        <f t="shared" si="30"/>
        <v>-313.13520000000034</v>
      </c>
      <c r="K118" s="9">
        <f t="shared" si="31"/>
        <v>-315.88200000000035</v>
      </c>
      <c r="L118" s="8">
        <f t="shared" si="16"/>
        <v>33884.299799999993</v>
      </c>
      <c r="N118" s="16">
        <f t="shared" si="18"/>
        <v>0</v>
      </c>
    </row>
    <row r="119" spans="2:14" x14ac:dyDescent="0.25">
      <c r="B119" s="7">
        <f t="shared" si="17"/>
        <v>32.200000000000053</v>
      </c>
      <c r="C119" s="9">
        <f t="shared" si="28"/>
        <v>-315.88200000000035</v>
      </c>
      <c r="D119" s="10">
        <f t="shared" si="20"/>
        <v>-9.81</v>
      </c>
      <c r="E119" s="10">
        <f t="shared" si="12"/>
        <v>-9.81</v>
      </c>
      <c r="F119" s="10">
        <f t="shared" si="13"/>
        <v>-9.81</v>
      </c>
      <c r="G119" s="10">
        <f t="shared" si="14"/>
        <v>-9.81</v>
      </c>
      <c r="H119" s="9">
        <f t="shared" si="15"/>
        <v>-318.62880000000035</v>
      </c>
      <c r="I119" s="8">
        <f t="shared" si="29"/>
        <v>33884.299799999993</v>
      </c>
      <c r="J119" s="9">
        <f t="shared" si="30"/>
        <v>-315.88200000000035</v>
      </c>
      <c r="K119" s="9">
        <f t="shared" si="31"/>
        <v>-318.62880000000035</v>
      </c>
      <c r="L119" s="8">
        <f t="shared" si="16"/>
        <v>33795.468287999996</v>
      </c>
      <c r="N119" s="16">
        <f t="shared" si="18"/>
        <v>0</v>
      </c>
    </row>
    <row r="120" spans="2:14" x14ac:dyDescent="0.25">
      <c r="B120" s="7">
        <f t="shared" si="17"/>
        <v>32.480000000000054</v>
      </c>
      <c r="C120" s="9">
        <f t="shared" si="28"/>
        <v>-318.62880000000035</v>
      </c>
      <c r="D120" s="10">
        <f t="shared" si="20"/>
        <v>-9.81</v>
      </c>
      <c r="E120" s="10">
        <f t="shared" si="12"/>
        <v>-9.81</v>
      </c>
      <c r="F120" s="10">
        <f t="shared" si="13"/>
        <v>-9.81</v>
      </c>
      <c r="G120" s="10">
        <f t="shared" si="14"/>
        <v>-9.81</v>
      </c>
      <c r="H120" s="9">
        <f t="shared" si="15"/>
        <v>-321.37560000000036</v>
      </c>
      <c r="I120" s="8">
        <f t="shared" si="29"/>
        <v>33795.468287999996</v>
      </c>
      <c r="J120" s="9">
        <f t="shared" si="30"/>
        <v>-318.62880000000035</v>
      </c>
      <c r="K120" s="9">
        <f t="shared" si="31"/>
        <v>-321.37560000000036</v>
      </c>
      <c r="L120" s="8">
        <f t="shared" si="16"/>
        <v>33705.867671999993</v>
      </c>
      <c r="N120" s="16">
        <f t="shared" si="18"/>
        <v>0</v>
      </c>
    </row>
    <row r="121" spans="2:14" x14ac:dyDescent="0.25">
      <c r="B121" s="7">
        <f t="shared" si="17"/>
        <v>32.760000000000055</v>
      </c>
      <c r="C121" s="9">
        <f t="shared" si="28"/>
        <v>-321.37560000000036</v>
      </c>
      <c r="D121" s="10">
        <f t="shared" si="20"/>
        <v>-9.81</v>
      </c>
      <c r="E121" s="10">
        <f t="shared" si="12"/>
        <v>-9.81</v>
      </c>
      <c r="F121" s="10">
        <f t="shared" si="13"/>
        <v>-9.81</v>
      </c>
      <c r="G121" s="10">
        <f t="shared" si="14"/>
        <v>-9.81</v>
      </c>
      <c r="H121" s="9">
        <f t="shared" si="15"/>
        <v>-324.12240000000037</v>
      </c>
      <c r="I121" s="8">
        <f t="shared" si="29"/>
        <v>33705.867671999993</v>
      </c>
      <c r="J121" s="9">
        <f t="shared" si="30"/>
        <v>-321.37560000000036</v>
      </c>
      <c r="K121" s="9">
        <f t="shared" si="31"/>
        <v>-324.12240000000037</v>
      </c>
      <c r="L121" s="8">
        <f t="shared" si="16"/>
        <v>33615.497951999991</v>
      </c>
      <c r="N121" s="16">
        <f t="shared" si="18"/>
        <v>0</v>
      </c>
    </row>
    <row r="122" spans="2:14" x14ac:dyDescent="0.25">
      <c r="B122" s="7">
        <f t="shared" si="17"/>
        <v>33.040000000000056</v>
      </c>
      <c r="C122" s="9">
        <f t="shared" si="28"/>
        <v>-324.12240000000037</v>
      </c>
      <c r="D122" s="10">
        <f t="shared" si="20"/>
        <v>-9.81</v>
      </c>
      <c r="E122" s="10">
        <f t="shared" si="12"/>
        <v>-9.81</v>
      </c>
      <c r="F122" s="10">
        <f t="shared" si="13"/>
        <v>-9.81</v>
      </c>
      <c r="G122" s="10">
        <f t="shared" si="14"/>
        <v>-9.81</v>
      </c>
      <c r="H122" s="9">
        <f t="shared" si="15"/>
        <v>-326.86920000000038</v>
      </c>
      <c r="I122" s="8">
        <f t="shared" si="29"/>
        <v>33615.497951999991</v>
      </c>
      <c r="J122" s="9">
        <f t="shared" si="30"/>
        <v>-324.12240000000037</v>
      </c>
      <c r="K122" s="9">
        <f t="shared" si="31"/>
        <v>-326.86920000000038</v>
      </c>
      <c r="L122" s="8">
        <f t="shared" si="16"/>
        <v>33524.359127999989</v>
      </c>
      <c r="N122" s="16">
        <f t="shared" si="18"/>
        <v>0</v>
      </c>
    </row>
    <row r="123" spans="2:14" x14ac:dyDescent="0.25">
      <c r="B123" s="7">
        <f t="shared" si="17"/>
        <v>33.320000000000057</v>
      </c>
      <c r="C123" s="9">
        <f t="shared" si="28"/>
        <v>-326.86920000000038</v>
      </c>
      <c r="D123" s="10">
        <f t="shared" si="20"/>
        <v>-9.81</v>
      </c>
      <c r="E123" s="10">
        <f t="shared" si="12"/>
        <v>-9.81</v>
      </c>
      <c r="F123" s="10">
        <f t="shared" si="13"/>
        <v>-9.81</v>
      </c>
      <c r="G123" s="10">
        <f t="shared" si="14"/>
        <v>-9.81</v>
      </c>
      <c r="H123" s="9">
        <f t="shared" si="15"/>
        <v>-329.61600000000038</v>
      </c>
      <c r="I123" s="8">
        <f t="shared" si="29"/>
        <v>33524.359127999989</v>
      </c>
      <c r="J123" s="9">
        <f t="shared" si="30"/>
        <v>-326.86920000000038</v>
      </c>
      <c r="K123" s="9">
        <f t="shared" si="31"/>
        <v>-329.61600000000038</v>
      </c>
      <c r="L123" s="8">
        <f t="shared" si="16"/>
        <v>33432.451199999989</v>
      </c>
      <c r="N123" s="16">
        <f t="shared" si="18"/>
        <v>0</v>
      </c>
    </row>
    <row r="124" spans="2:14" x14ac:dyDescent="0.25">
      <c r="B124" s="7">
        <f t="shared" si="17"/>
        <v>33.600000000000058</v>
      </c>
      <c r="C124" s="9">
        <f t="shared" si="28"/>
        <v>-329.61600000000038</v>
      </c>
      <c r="D124" s="10">
        <f t="shared" si="20"/>
        <v>-9.81</v>
      </c>
      <c r="E124" s="10">
        <f t="shared" si="12"/>
        <v>-9.81</v>
      </c>
      <c r="F124" s="10">
        <f t="shared" si="13"/>
        <v>-9.81</v>
      </c>
      <c r="G124" s="10">
        <f t="shared" si="14"/>
        <v>-9.81</v>
      </c>
      <c r="H124" s="9">
        <f t="shared" si="15"/>
        <v>-332.36280000000039</v>
      </c>
      <c r="I124" s="8">
        <f t="shared" si="29"/>
        <v>33432.451199999989</v>
      </c>
      <c r="J124" s="9">
        <f t="shared" si="30"/>
        <v>-329.61600000000038</v>
      </c>
      <c r="K124" s="9">
        <f t="shared" si="31"/>
        <v>-332.36280000000039</v>
      </c>
      <c r="L124" s="8">
        <f t="shared" si="16"/>
        <v>33339.774167999989</v>
      </c>
      <c r="N124" s="16">
        <f t="shared" si="18"/>
        <v>0</v>
      </c>
    </row>
    <row r="125" spans="2:14" x14ac:dyDescent="0.25">
      <c r="B125" s="7">
        <f t="shared" si="17"/>
        <v>33.880000000000059</v>
      </c>
      <c r="C125" s="9">
        <f t="shared" si="28"/>
        <v>-332.36280000000039</v>
      </c>
      <c r="D125" s="10">
        <f t="shared" si="20"/>
        <v>-9.81</v>
      </c>
      <c r="E125" s="10">
        <f t="shared" si="12"/>
        <v>-9.81</v>
      </c>
      <c r="F125" s="10">
        <f t="shared" si="13"/>
        <v>-9.81</v>
      </c>
      <c r="G125" s="10">
        <f t="shared" si="14"/>
        <v>-9.81</v>
      </c>
      <c r="H125" s="9">
        <f t="shared" si="15"/>
        <v>-335.1096000000004</v>
      </c>
      <c r="I125" s="8">
        <f t="shared" si="29"/>
        <v>33339.774167999989</v>
      </c>
      <c r="J125" s="9">
        <f t="shared" si="30"/>
        <v>-332.36280000000039</v>
      </c>
      <c r="K125" s="9">
        <f t="shared" si="31"/>
        <v>-335.1096000000004</v>
      </c>
      <c r="L125" s="8">
        <f t="shared" si="16"/>
        <v>33246.32803199999</v>
      </c>
      <c r="N125" s="16">
        <f t="shared" si="18"/>
        <v>0</v>
      </c>
    </row>
    <row r="126" spans="2:14" x14ac:dyDescent="0.25">
      <c r="B126" s="7">
        <f t="shared" si="17"/>
        <v>34.160000000000061</v>
      </c>
      <c r="C126" s="9">
        <f t="shared" si="28"/>
        <v>-335.1096000000004</v>
      </c>
      <c r="D126" s="10">
        <f t="shared" si="20"/>
        <v>-9.81</v>
      </c>
      <c r="E126" s="10">
        <f t="shared" si="12"/>
        <v>-9.81</v>
      </c>
      <c r="F126" s="10">
        <f t="shared" si="13"/>
        <v>-9.81</v>
      </c>
      <c r="G126" s="10">
        <f t="shared" si="14"/>
        <v>-9.81</v>
      </c>
      <c r="H126" s="9">
        <f t="shared" si="15"/>
        <v>-337.85640000000041</v>
      </c>
      <c r="I126" s="8">
        <f t="shared" si="29"/>
        <v>33246.32803199999</v>
      </c>
      <c r="J126" s="9">
        <f t="shared" si="30"/>
        <v>-335.1096000000004</v>
      </c>
      <c r="K126" s="9">
        <f t="shared" si="31"/>
        <v>-337.85640000000041</v>
      </c>
      <c r="L126" s="8">
        <f t="shared" si="16"/>
        <v>33152.112791999993</v>
      </c>
      <c r="N126" s="16">
        <f t="shared" si="18"/>
        <v>0</v>
      </c>
    </row>
    <row r="127" spans="2:14" x14ac:dyDescent="0.25">
      <c r="B127" s="7">
        <f t="shared" si="17"/>
        <v>34.440000000000062</v>
      </c>
      <c r="C127" s="9">
        <f t="shared" si="28"/>
        <v>-337.85640000000041</v>
      </c>
      <c r="D127" s="10">
        <f t="shared" si="20"/>
        <v>-9.81</v>
      </c>
      <c r="E127" s="10">
        <f t="shared" si="12"/>
        <v>-9.81</v>
      </c>
      <c r="F127" s="10">
        <f t="shared" si="13"/>
        <v>-9.81</v>
      </c>
      <c r="G127" s="10">
        <f t="shared" si="14"/>
        <v>-9.81</v>
      </c>
      <c r="H127" s="9">
        <f t="shared" si="15"/>
        <v>-340.60320000000041</v>
      </c>
      <c r="I127" s="8">
        <f t="shared" si="29"/>
        <v>33152.112791999993</v>
      </c>
      <c r="J127" s="9">
        <f t="shared" si="30"/>
        <v>-337.85640000000041</v>
      </c>
      <c r="K127" s="9">
        <f t="shared" si="31"/>
        <v>-340.60320000000041</v>
      </c>
      <c r="L127" s="8">
        <f t="shared" si="16"/>
        <v>33057.128447999996</v>
      </c>
      <c r="N127" s="16">
        <f t="shared" si="18"/>
        <v>0</v>
      </c>
    </row>
    <row r="128" spans="2:14" x14ac:dyDescent="0.25">
      <c r="B128" s="7">
        <f t="shared" si="17"/>
        <v>34.720000000000063</v>
      </c>
      <c r="C128" s="9">
        <f t="shared" si="28"/>
        <v>-340.60320000000041</v>
      </c>
      <c r="D128" s="10">
        <f t="shared" si="20"/>
        <v>-9.81</v>
      </c>
      <c r="E128" s="10">
        <f t="shared" si="12"/>
        <v>-9.81</v>
      </c>
      <c r="F128" s="10">
        <f t="shared" si="13"/>
        <v>-9.81</v>
      </c>
      <c r="G128" s="10">
        <f t="shared" si="14"/>
        <v>-9.81</v>
      </c>
      <c r="H128" s="9">
        <f t="shared" si="15"/>
        <v>-343.35000000000042</v>
      </c>
      <c r="I128" s="8">
        <f t="shared" si="29"/>
        <v>33057.128447999996</v>
      </c>
      <c r="J128" s="9">
        <f t="shared" si="30"/>
        <v>-340.60320000000041</v>
      </c>
      <c r="K128" s="9">
        <f t="shared" si="31"/>
        <v>-343.35000000000042</v>
      </c>
      <c r="L128" s="8">
        <f t="shared" si="16"/>
        <v>32961.374999999993</v>
      </c>
      <c r="N128" s="16">
        <f t="shared" si="18"/>
        <v>0</v>
      </c>
    </row>
    <row r="129" spans="2:14" x14ac:dyDescent="0.25">
      <c r="B129" s="7">
        <f t="shared" si="17"/>
        <v>35.000000000000064</v>
      </c>
      <c r="C129" s="9">
        <f t="shared" si="28"/>
        <v>-343.35000000000042</v>
      </c>
      <c r="D129" s="10">
        <f t="shared" si="20"/>
        <v>-9.81</v>
      </c>
      <c r="E129" s="10">
        <f t="shared" si="12"/>
        <v>-9.81</v>
      </c>
      <c r="F129" s="10">
        <f t="shared" si="13"/>
        <v>-9.81</v>
      </c>
      <c r="G129" s="10">
        <f t="shared" si="14"/>
        <v>-9.81</v>
      </c>
      <c r="H129" s="9">
        <f t="shared" si="15"/>
        <v>-346.09680000000043</v>
      </c>
      <c r="I129" s="8">
        <f t="shared" si="29"/>
        <v>32961.374999999993</v>
      </c>
      <c r="J129" s="9">
        <f t="shared" si="30"/>
        <v>-343.35000000000042</v>
      </c>
      <c r="K129" s="9">
        <f t="shared" si="31"/>
        <v>-346.09680000000043</v>
      </c>
      <c r="L129" s="8">
        <f t="shared" si="16"/>
        <v>32864.852447999991</v>
      </c>
      <c r="N129" s="16">
        <f t="shared" si="18"/>
        <v>0</v>
      </c>
    </row>
    <row r="130" spans="2:14" x14ac:dyDescent="0.25">
      <c r="B130" s="7">
        <f t="shared" si="17"/>
        <v>35.280000000000065</v>
      </c>
      <c r="C130" s="9">
        <f t="shared" si="28"/>
        <v>-346.09680000000043</v>
      </c>
      <c r="D130" s="10">
        <f t="shared" si="20"/>
        <v>-9.81</v>
      </c>
      <c r="E130" s="10">
        <f t="shared" si="12"/>
        <v>-9.81</v>
      </c>
      <c r="F130" s="10">
        <f t="shared" si="13"/>
        <v>-9.81</v>
      </c>
      <c r="G130" s="10">
        <f t="shared" si="14"/>
        <v>-9.81</v>
      </c>
      <c r="H130" s="9">
        <f t="shared" si="15"/>
        <v>-348.84360000000044</v>
      </c>
      <c r="I130" s="8">
        <f t="shared" si="29"/>
        <v>32864.852447999991</v>
      </c>
      <c r="J130" s="9">
        <f t="shared" si="30"/>
        <v>-346.09680000000043</v>
      </c>
      <c r="K130" s="9">
        <f t="shared" si="31"/>
        <v>-348.84360000000044</v>
      </c>
      <c r="L130" s="8">
        <f t="shared" si="16"/>
        <v>32767.560791999989</v>
      </c>
      <c r="N130" s="16">
        <f t="shared" si="18"/>
        <v>0</v>
      </c>
    </row>
    <row r="131" spans="2:14" x14ac:dyDescent="0.25">
      <c r="B131" s="7">
        <f t="shared" si="17"/>
        <v>35.560000000000066</v>
      </c>
      <c r="C131" s="9">
        <f t="shared" si="28"/>
        <v>-348.84360000000044</v>
      </c>
      <c r="D131" s="10">
        <f t="shared" si="20"/>
        <v>-9.81</v>
      </c>
      <c r="E131" s="10">
        <f t="shared" si="12"/>
        <v>-9.81</v>
      </c>
      <c r="F131" s="10">
        <f t="shared" si="13"/>
        <v>-9.81</v>
      </c>
      <c r="G131" s="10">
        <f t="shared" si="14"/>
        <v>-9.81</v>
      </c>
      <c r="H131" s="9">
        <f t="shared" si="15"/>
        <v>-351.59040000000044</v>
      </c>
      <c r="I131" s="8">
        <f t="shared" si="29"/>
        <v>32767.560791999989</v>
      </c>
      <c r="J131" s="9">
        <f t="shared" si="30"/>
        <v>-348.84360000000044</v>
      </c>
      <c r="K131" s="9">
        <f t="shared" si="31"/>
        <v>-351.59040000000044</v>
      </c>
      <c r="L131" s="8">
        <f t="shared" si="16"/>
        <v>32669.500031999989</v>
      </c>
      <c r="N131" s="16">
        <f t="shared" si="18"/>
        <v>0</v>
      </c>
    </row>
    <row r="132" spans="2:14" x14ac:dyDescent="0.25">
      <c r="B132" s="7">
        <f t="shared" si="17"/>
        <v>35.840000000000067</v>
      </c>
      <c r="C132" s="9">
        <f t="shared" si="28"/>
        <v>-351.59040000000044</v>
      </c>
      <c r="D132" s="10">
        <f t="shared" si="20"/>
        <v>-9.81</v>
      </c>
      <c r="E132" s="10">
        <f t="shared" ref="E132:E195" si="32">dvdt($C132+h/2*D132,$I132+(h/2)/2*(2*C132+D132*h/2))</f>
        <v>-9.81</v>
      </c>
      <c r="F132" s="10">
        <f t="shared" ref="F132:F195" si="33">dvdt($C132+h/2*E132,$I132+(h/2)/2*(2*$C132+E132*h/2))</f>
        <v>-9.81</v>
      </c>
      <c r="G132" s="10">
        <f t="shared" ref="G132:G195" si="34">dvdt($C132+h*F132,$I132+h/2*(2*$C132+F132*h))</f>
        <v>-9.81</v>
      </c>
      <c r="H132" s="9">
        <f t="shared" ref="H132:H195" si="35">C132+h/6*(D132+2*E132+2*F132+G132)</f>
        <v>-354.33720000000045</v>
      </c>
      <c r="I132" s="8">
        <f t="shared" si="29"/>
        <v>32669.500031999989</v>
      </c>
      <c r="J132" s="9">
        <f t="shared" si="30"/>
        <v>-351.59040000000044</v>
      </c>
      <c r="K132" s="9">
        <f t="shared" si="31"/>
        <v>-354.33720000000045</v>
      </c>
      <c r="L132" s="8">
        <f t="shared" ref="L132:L195" si="36">I132+h/2*(J132+K132)</f>
        <v>32570.67016799999</v>
      </c>
      <c r="N132" s="16">
        <f t="shared" si="18"/>
        <v>0</v>
      </c>
    </row>
    <row r="133" spans="2:14" x14ac:dyDescent="0.25">
      <c r="B133" s="7">
        <f t="shared" ref="B133:B196" si="37">B132+h</f>
        <v>36.120000000000068</v>
      </c>
      <c r="C133" s="9">
        <f t="shared" si="28"/>
        <v>-354.33720000000045</v>
      </c>
      <c r="D133" s="10">
        <f t="shared" si="20"/>
        <v>-9.81</v>
      </c>
      <c r="E133" s="10">
        <f t="shared" si="32"/>
        <v>-9.81</v>
      </c>
      <c r="F133" s="10">
        <f t="shared" si="33"/>
        <v>-9.81</v>
      </c>
      <c r="G133" s="10">
        <f t="shared" si="34"/>
        <v>-9.81</v>
      </c>
      <c r="H133" s="9">
        <f t="shared" si="35"/>
        <v>-357.08400000000046</v>
      </c>
      <c r="I133" s="8">
        <f t="shared" si="29"/>
        <v>32570.67016799999</v>
      </c>
      <c r="J133" s="9">
        <f t="shared" si="30"/>
        <v>-354.33720000000045</v>
      </c>
      <c r="K133" s="9">
        <f t="shared" si="31"/>
        <v>-357.08400000000046</v>
      </c>
      <c r="L133" s="8">
        <f t="shared" si="36"/>
        <v>32471.071199999991</v>
      </c>
      <c r="N133" s="16">
        <f t="shared" ref="N133:N196" si="38">C_y(I133)</f>
        <v>0</v>
      </c>
    </row>
    <row r="134" spans="2:14" x14ac:dyDescent="0.25">
      <c r="B134" s="7">
        <f t="shared" si="37"/>
        <v>36.40000000000007</v>
      </c>
      <c r="C134" s="9">
        <f t="shared" si="28"/>
        <v>-357.08400000000046</v>
      </c>
      <c r="D134" s="10">
        <f t="shared" ref="D134:D197" si="39">dvdt($C134,$I134)</f>
        <v>-9.81</v>
      </c>
      <c r="E134" s="10">
        <f t="shared" si="32"/>
        <v>-9.81</v>
      </c>
      <c r="F134" s="10">
        <f t="shared" si="33"/>
        <v>-9.81</v>
      </c>
      <c r="G134" s="10">
        <f t="shared" si="34"/>
        <v>-9.81</v>
      </c>
      <c r="H134" s="9">
        <f t="shared" si="35"/>
        <v>-359.83080000000047</v>
      </c>
      <c r="I134" s="8">
        <f t="shared" si="29"/>
        <v>32471.071199999991</v>
      </c>
      <c r="J134" s="9">
        <f t="shared" si="30"/>
        <v>-357.08400000000046</v>
      </c>
      <c r="K134" s="9">
        <f t="shared" si="31"/>
        <v>-359.83080000000047</v>
      </c>
      <c r="L134" s="8">
        <f t="shared" si="36"/>
        <v>32370.70312799999</v>
      </c>
      <c r="N134" s="16">
        <f t="shared" si="38"/>
        <v>0</v>
      </c>
    </row>
    <row r="135" spans="2:14" x14ac:dyDescent="0.25">
      <c r="B135" s="7">
        <f t="shared" si="37"/>
        <v>36.680000000000071</v>
      </c>
      <c r="C135" s="9">
        <f t="shared" si="28"/>
        <v>-359.83080000000047</v>
      </c>
      <c r="D135" s="10">
        <f t="shared" si="39"/>
        <v>-9.81</v>
      </c>
      <c r="E135" s="10">
        <f t="shared" si="32"/>
        <v>-9.81</v>
      </c>
      <c r="F135" s="10">
        <f t="shared" si="33"/>
        <v>-9.81</v>
      </c>
      <c r="G135" s="10">
        <f t="shared" si="34"/>
        <v>-9.81</v>
      </c>
      <c r="H135" s="9">
        <f t="shared" si="35"/>
        <v>-362.57760000000047</v>
      </c>
      <c r="I135" s="8">
        <f t="shared" si="29"/>
        <v>32370.70312799999</v>
      </c>
      <c r="J135" s="9">
        <f t="shared" si="30"/>
        <v>-359.83080000000047</v>
      </c>
      <c r="K135" s="9">
        <f t="shared" si="31"/>
        <v>-362.57760000000047</v>
      </c>
      <c r="L135" s="8">
        <f t="shared" si="36"/>
        <v>32269.56595199999</v>
      </c>
      <c r="N135" s="16">
        <f t="shared" si="38"/>
        <v>0</v>
      </c>
    </row>
    <row r="136" spans="2:14" x14ac:dyDescent="0.25">
      <c r="B136" s="7">
        <f t="shared" si="37"/>
        <v>36.960000000000072</v>
      </c>
      <c r="C136" s="9">
        <f t="shared" si="28"/>
        <v>-362.57760000000047</v>
      </c>
      <c r="D136" s="10">
        <f t="shared" si="39"/>
        <v>-9.81</v>
      </c>
      <c r="E136" s="10">
        <f t="shared" si="32"/>
        <v>-9.81</v>
      </c>
      <c r="F136" s="10">
        <f t="shared" si="33"/>
        <v>-9.81</v>
      </c>
      <c r="G136" s="10">
        <f t="shared" si="34"/>
        <v>-9.81</v>
      </c>
      <c r="H136" s="9">
        <f t="shared" si="35"/>
        <v>-365.32440000000048</v>
      </c>
      <c r="I136" s="8">
        <f t="shared" si="29"/>
        <v>32269.56595199999</v>
      </c>
      <c r="J136" s="9">
        <f t="shared" si="30"/>
        <v>-362.57760000000047</v>
      </c>
      <c r="K136" s="9">
        <f t="shared" si="31"/>
        <v>-365.32440000000048</v>
      </c>
      <c r="L136" s="8">
        <f t="shared" si="36"/>
        <v>32167.659671999991</v>
      </c>
      <c r="N136" s="16">
        <f t="shared" si="38"/>
        <v>0</v>
      </c>
    </row>
    <row r="137" spans="2:14" x14ac:dyDescent="0.25">
      <c r="B137" s="7">
        <f t="shared" si="37"/>
        <v>37.240000000000073</v>
      </c>
      <c r="C137" s="9">
        <f t="shared" si="28"/>
        <v>-365.32440000000048</v>
      </c>
      <c r="D137" s="10">
        <f t="shared" si="39"/>
        <v>-9.81</v>
      </c>
      <c r="E137" s="10">
        <f t="shared" si="32"/>
        <v>-9.81</v>
      </c>
      <c r="F137" s="10">
        <f t="shared" si="33"/>
        <v>-9.81</v>
      </c>
      <c r="G137" s="10">
        <f t="shared" si="34"/>
        <v>-9.81</v>
      </c>
      <c r="H137" s="9">
        <f t="shared" si="35"/>
        <v>-368.07120000000049</v>
      </c>
      <c r="I137" s="8">
        <f t="shared" si="29"/>
        <v>32167.659671999991</v>
      </c>
      <c r="J137" s="9">
        <f t="shared" si="30"/>
        <v>-365.32440000000048</v>
      </c>
      <c r="K137" s="9">
        <f t="shared" si="31"/>
        <v>-368.07120000000049</v>
      </c>
      <c r="L137" s="8">
        <f t="shared" si="36"/>
        <v>32064.984287999989</v>
      </c>
      <c r="N137" s="16">
        <f t="shared" si="38"/>
        <v>0</v>
      </c>
    </row>
    <row r="138" spans="2:14" x14ac:dyDescent="0.25">
      <c r="B138" s="7">
        <f t="shared" si="37"/>
        <v>37.520000000000074</v>
      </c>
      <c r="C138" s="9">
        <f t="shared" si="28"/>
        <v>-368.07120000000049</v>
      </c>
      <c r="D138" s="10">
        <f t="shared" si="39"/>
        <v>-9.81</v>
      </c>
      <c r="E138" s="10">
        <f t="shared" si="32"/>
        <v>-9.81</v>
      </c>
      <c r="F138" s="10">
        <f t="shared" si="33"/>
        <v>-9.81</v>
      </c>
      <c r="G138" s="10">
        <f t="shared" si="34"/>
        <v>-9.81</v>
      </c>
      <c r="H138" s="9">
        <f t="shared" si="35"/>
        <v>-370.8180000000005</v>
      </c>
      <c r="I138" s="8">
        <f t="shared" si="29"/>
        <v>32064.984287999989</v>
      </c>
      <c r="J138" s="9">
        <f t="shared" si="30"/>
        <v>-368.07120000000049</v>
      </c>
      <c r="K138" s="9">
        <f t="shared" si="31"/>
        <v>-370.8180000000005</v>
      </c>
      <c r="L138" s="8">
        <f t="shared" si="36"/>
        <v>31961.539799999988</v>
      </c>
      <c r="N138" s="16">
        <f t="shared" si="38"/>
        <v>0</v>
      </c>
    </row>
    <row r="139" spans="2:14" x14ac:dyDescent="0.25">
      <c r="B139" s="7">
        <f t="shared" si="37"/>
        <v>37.800000000000075</v>
      </c>
      <c r="C139" s="9">
        <f t="shared" si="28"/>
        <v>-370.8180000000005</v>
      </c>
      <c r="D139" s="10">
        <f t="shared" si="39"/>
        <v>-9.81</v>
      </c>
      <c r="E139" s="10">
        <f t="shared" si="32"/>
        <v>-9.81</v>
      </c>
      <c r="F139" s="10">
        <f t="shared" si="33"/>
        <v>-9.81</v>
      </c>
      <c r="G139" s="10">
        <f t="shared" si="34"/>
        <v>-9.81</v>
      </c>
      <c r="H139" s="9">
        <f t="shared" si="35"/>
        <v>-373.5648000000005</v>
      </c>
      <c r="I139" s="8">
        <f t="shared" si="29"/>
        <v>31961.539799999988</v>
      </c>
      <c r="J139" s="9">
        <f t="shared" si="30"/>
        <v>-370.8180000000005</v>
      </c>
      <c r="K139" s="9">
        <f t="shared" si="31"/>
        <v>-373.5648000000005</v>
      </c>
      <c r="L139" s="8">
        <f t="shared" si="36"/>
        <v>31857.326207999988</v>
      </c>
      <c r="N139" s="16">
        <f t="shared" si="38"/>
        <v>0</v>
      </c>
    </row>
    <row r="140" spans="2:14" x14ac:dyDescent="0.25">
      <c r="B140" s="7">
        <f t="shared" si="37"/>
        <v>38.080000000000076</v>
      </c>
      <c r="C140" s="9">
        <f t="shared" si="28"/>
        <v>-373.5648000000005</v>
      </c>
      <c r="D140" s="10">
        <f t="shared" si="39"/>
        <v>-9.81</v>
      </c>
      <c r="E140" s="10">
        <f t="shared" si="32"/>
        <v>-9.81</v>
      </c>
      <c r="F140" s="10">
        <f t="shared" si="33"/>
        <v>-9.81</v>
      </c>
      <c r="G140" s="10">
        <f t="shared" si="34"/>
        <v>-9.81</v>
      </c>
      <c r="H140" s="9">
        <f t="shared" si="35"/>
        <v>-376.31160000000051</v>
      </c>
      <c r="I140" s="8">
        <f t="shared" si="29"/>
        <v>31857.326207999988</v>
      </c>
      <c r="J140" s="9">
        <f t="shared" si="30"/>
        <v>-373.5648000000005</v>
      </c>
      <c r="K140" s="9">
        <f t="shared" si="31"/>
        <v>-376.31160000000051</v>
      </c>
      <c r="L140" s="8">
        <f t="shared" si="36"/>
        <v>31752.343511999989</v>
      </c>
      <c r="N140" s="16">
        <f t="shared" si="38"/>
        <v>0</v>
      </c>
    </row>
    <row r="141" spans="2:14" x14ac:dyDescent="0.25">
      <c r="B141" s="7">
        <f t="shared" si="37"/>
        <v>38.360000000000078</v>
      </c>
      <c r="C141" s="9">
        <f t="shared" si="28"/>
        <v>-376.31160000000051</v>
      </c>
      <c r="D141" s="10">
        <f t="shared" si="39"/>
        <v>-9.81</v>
      </c>
      <c r="E141" s="10">
        <f t="shared" si="32"/>
        <v>-9.81</v>
      </c>
      <c r="F141" s="10">
        <f t="shared" si="33"/>
        <v>-9.81</v>
      </c>
      <c r="G141" s="10">
        <f t="shared" si="34"/>
        <v>-9.81</v>
      </c>
      <c r="H141" s="9">
        <f t="shared" si="35"/>
        <v>-379.05840000000052</v>
      </c>
      <c r="I141" s="8">
        <f t="shared" si="29"/>
        <v>31752.343511999989</v>
      </c>
      <c r="J141" s="9">
        <f t="shared" si="30"/>
        <v>-376.31160000000051</v>
      </c>
      <c r="K141" s="9">
        <f t="shared" si="31"/>
        <v>-379.05840000000052</v>
      </c>
      <c r="L141" s="8">
        <f t="shared" si="36"/>
        <v>31646.591711999987</v>
      </c>
      <c r="N141" s="16">
        <f t="shared" si="38"/>
        <v>0</v>
      </c>
    </row>
    <row r="142" spans="2:14" x14ac:dyDescent="0.25">
      <c r="B142" s="7">
        <f t="shared" si="37"/>
        <v>38.640000000000079</v>
      </c>
      <c r="C142" s="9">
        <f t="shared" si="28"/>
        <v>-379.05840000000052</v>
      </c>
      <c r="D142" s="10">
        <f t="shared" si="39"/>
        <v>-9.81</v>
      </c>
      <c r="E142" s="10">
        <f t="shared" si="32"/>
        <v>-9.81</v>
      </c>
      <c r="F142" s="10">
        <f t="shared" si="33"/>
        <v>-9.81</v>
      </c>
      <c r="G142" s="10">
        <f t="shared" si="34"/>
        <v>-9.81</v>
      </c>
      <c r="H142" s="9">
        <f t="shared" si="35"/>
        <v>-381.80520000000053</v>
      </c>
      <c r="I142" s="8">
        <f t="shared" si="29"/>
        <v>31646.591711999987</v>
      </c>
      <c r="J142" s="9">
        <f t="shared" si="30"/>
        <v>-379.05840000000052</v>
      </c>
      <c r="K142" s="9">
        <f t="shared" si="31"/>
        <v>-381.80520000000053</v>
      </c>
      <c r="L142" s="8">
        <f t="shared" si="36"/>
        <v>31540.070807999986</v>
      </c>
      <c r="N142" s="16">
        <f t="shared" si="38"/>
        <v>0</v>
      </c>
    </row>
    <row r="143" spans="2:14" x14ac:dyDescent="0.25">
      <c r="B143" s="7">
        <f t="shared" si="37"/>
        <v>38.92000000000008</v>
      </c>
      <c r="C143" s="9">
        <f t="shared" si="28"/>
        <v>-381.80520000000053</v>
      </c>
      <c r="D143" s="10">
        <f t="shared" si="39"/>
        <v>-9.81</v>
      </c>
      <c r="E143" s="10">
        <f t="shared" si="32"/>
        <v>-9.81</v>
      </c>
      <c r="F143" s="10">
        <f t="shared" si="33"/>
        <v>-9.81</v>
      </c>
      <c r="G143" s="10">
        <f t="shared" si="34"/>
        <v>-9.81</v>
      </c>
      <c r="H143" s="9">
        <f t="shared" si="35"/>
        <v>-384.55200000000053</v>
      </c>
      <c r="I143" s="8">
        <f t="shared" si="29"/>
        <v>31540.070807999986</v>
      </c>
      <c r="J143" s="9">
        <f t="shared" si="30"/>
        <v>-381.80520000000053</v>
      </c>
      <c r="K143" s="9">
        <f t="shared" si="31"/>
        <v>-384.55200000000053</v>
      </c>
      <c r="L143" s="8">
        <f t="shared" si="36"/>
        <v>31432.780799999986</v>
      </c>
      <c r="N143" s="16">
        <f t="shared" si="38"/>
        <v>0</v>
      </c>
    </row>
    <row r="144" spans="2:14" x14ac:dyDescent="0.25">
      <c r="B144" s="7">
        <f t="shared" si="37"/>
        <v>39.200000000000081</v>
      </c>
      <c r="C144" s="9">
        <f t="shared" si="28"/>
        <v>-384.55200000000053</v>
      </c>
      <c r="D144" s="10">
        <f t="shared" si="39"/>
        <v>-9.81</v>
      </c>
      <c r="E144" s="10">
        <f t="shared" si="32"/>
        <v>-9.81</v>
      </c>
      <c r="F144" s="10">
        <f t="shared" si="33"/>
        <v>-9.81</v>
      </c>
      <c r="G144" s="10">
        <f t="shared" si="34"/>
        <v>-9.81</v>
      </c>
      <c r="H144" s="9">
        <f t="shared" si="35"/>
        <v>-387.29880000000054</v>
      </c>
      <c r="I144" s="8">
        <f t="shared" si="29"/>
        <v>31432.780799999986</v>
      </c>
      <c r="J144" s="9">
        <f t="shared" si="30"/>
        <v>-384.55200000000053</v>
      </c>
      <c r="K144" s="9">
        <f t="shared" si="31"/>
        <v>-387.29880000000054</v>
      </c>
      <c r="L144" s="8">
        <f t="shared" si="36"/>
        <v>31324.721687999987</v>
      </c>
      <c r="N144" s="16">
        <f t="shared" si="38"/>
        <v>0</v>
      </c>
    </row>
    <row r="145" spans="2:14" x14ac:dyDescent="0.25">
      <c r="B145" s="7">
        <f t="shared" si="37"/>
        <v>39.480000000000082</v>
      </c>
      <c r="C145" s="9">
        <f t="shared" si="28"/>
        <v>-387.29880000000054</v>
      </c>
      <c r="D145" s="10">
        <f t="shared" si="39"/>
        <v>-9.81</v>
      </c>
      <c r="E145" s="10">
        <f t="shared" si="32"/>
        <v>-9.81</v>
      </c>
      <c r="F145" s="10">
        <f t="shared" si="33"/>
        <v>-9.81</v>
      </c>
      <c r="G145" s="10">
        <f t="shared" si="34"/>
        <v>-9.81</v>
      </c>
      <c r="H145" s="9">
        <f t="shared" si="35"/>
        <v>-390.04560000000055</v>
      </c>
      <c r="I145" s="8">
        <f t="shared" si="29"/>
        <v>31324.721687999987</v>
      </c>
      <c r="J145" s="9">
        <f t="shared" si="30"/>
        <v>-387.29880000000054</v>
      </c>
      <c r="K145" s="9">
        <f t="shared" si="31"/>
        <v>-390.04560000000055</v>
      </c>
      <c r="L145" s="8">
        <f t="shared" si="36"/>
        <v>31215.893471999985</v>
      </c>
      <c r="N145" s="16">
        <f t="shared" si="38"/>
        <v>0</v>
      </c>
    </row>
    <row r="146" spans="2:14" x14ac:dyDescent="0.25">
      <c r="B146" s="7">
        <f t="shared" si="37"/>
        <v>39.760000000000083</v>
      </c>
      <c r="C146" s="9">
        <f t="shared" si="28"/>
        <v>-390.04560000000055</v>
      </c>
      <c r="D146" s="10">
        <f t="shared" si="39"/>
        <v>-9.81</v>
      </c>
      <c r="E146" s="10">
        <f t="shared" si="32"/>
        <v>-9.81</v>
      </c>
      <c r="F146" s="10">
        <f t="shared" si="33"/>
        <v>-9.81</v>
      </c>
      <c r="G146" s="10">
        <f t="shared" si="34"/>
        <v>-9.81</v>
      </c>
      <c r="H146" s="9">
        <f t="shared" si="35"/>
        <v>-392.79240000000055</v>
      </c>
      <c r="I146" s="8">
        <f t="shared" si="29"/>
        <v>31215.893471999985</v>
      </c>
      <c r="J146" s="9">
        <f t="shared" si="30"/>
        <v>-390.04560000000055</v>
      </c>
      <c r="K146" s="9">
        <f t="shared" si="31"/>
        <v>-392.79240000000055</v>
      </c>
      <c r="L146" s="8">
        <f t="shared" si="36"/>
        <v>31106.296151999984</v>
      </c>
      <c r="N146" s="16">
        <f t="shared" si="38"/>
        <v>0</v>
      </c>
    </row>
    <row r="147" spans="2:14" x14ac:dyDescent="0.25">
      <c r="B147" s="7">
        <f t="shared" si="37"/>
        <v>40.040000000000084</v>
      </c>
      <c r="C147" s="9">
        <f t="shared" si="28"/>
        <v>-392.79240000000055</v>
      </c>
      <c r="D147" s="10">
        <f t="shared" si="39"/>
        <v>-9.81</v>
      </c>
      <c r="E147" s="10">
        <f t="shared" si="32"/>
        <v>-9.81</v>
      </c>
      <c r="F147" s="10">
        <f t="shared" si="33"/>
        <v>-9.81</v>
      </c>
      <c r="G147" s="10">
        <f t="shared" si="34"/>
        <v>-9.81</v>
      </c>
      <c r="H147" s="9">
        <f t="shared" si="35"/>
        <v>-395.53920000000056</v>
      </c>
      <c r="I147" s="8">
        <f t="shared" si="29"/>
        <v>31106.296151999984</v>
      </c>
      <c r="J147" s="9">
        <f t="shared" si="30"/>
        <v>-392.79240000000055</v>
      </c>
      <c r="K147" s="9">
        <f t="shared" si="31"/>
        <v>-395.53920000000056</v>
      </c>
      <c r="L147" s="8">
        <f t="shared" si="36"/>
        <v>30995.929727999985</v>
      </c>
      <c r="N147" s="16">
        <f t="shared" si="38"/>
        <v>0</v>
      </c>
    </row>
    <row r="148" spans="2:14" x14ac:dyDescent="0.25">
      <c r="B148" s="7">
        <f t="shared" si="37"/>
        <v>40.320000000000086</v>
      </c>
      <c r="C148" s="9">
        <f t="shared" si="28"/>
        <v>-395.53920000000056</v>
      </c>
      <c r="D148" s="10">
        <f t="shared" si="39"/>
        <v>-9.81</v>
      </c>
      <c r="E148" s="10">
        <f t="shared" si="32"/>
        <v>-9.81</v>
      </c>
      <c r="F148" s="10">
        <f t="shared" si="33"/>
        <v>-9.81</v>
      </c>
      <c r="G148" s="10">
        <f t="shared" si="34"/>
        <v>-9.81</v>
      </c>
      <c r="H148" s="9">
        <f t="shared" si="35"/>
        <v>-398.28600000000057</v>
      </c>
      <c r="I148" s="8">
        <f t="shared" si="29"/>
        <v>30995.929727999985</v>
      </c>
      <c r="J148" s="9">
        <f t="shared" si="30"/>
        <v>-395.53920000000056</v>
      </c>
      <c r="K148" s="9">
        <f t="shared" si="31"/>
        <v>-398.28600000000057</v>
      </c>
      <c r="L148" s="8">
        <f t="shared" si="36"/>
        <v>30884.794199999986</v>
      </c>
      <c r="N148" s="16">
        <f t="shared" si="38"/>
        <v>0</v>
      </c>
    </row>
    <row r="149" spans="2:14" x14ac:dyDescent="0.25">
      <c r="B149" s="7">
        <f t="shared" si="37"/>
        <v>40.600000000000087</v>
      </c>
      <c r="C149" s="9">
        <f t="shared" si="28"/>
        <v>-398.28600000000057</v>
      </c>
      <c r="D149" s="10">
        <f t="shared" si="39"/>
        <v>-9.81</v>
      </c>
      <c r="E149" s="10">
        <f t="shared" si="32"/>
        <v>-9.81</v>
      </c>
      <c r="F149" s="10">
        <f t="shared" si="33"/>
        <v>-9.81</v>
      </c>
      <c r="G149" s="10">
        <f t="shared" si="34"/>
        <v>-9.81</v>
      </c>
      <c r="H149" s="9">
        <f t="shared" si="35"/>
        <v>-401.03280000000058</v>
      </c>
      <c r="I149" s="8">
        <f t="shared" si="29"/>
        <v>30884.794199999986</v>
      </c>
      <c r="J149" s="9">
        <f t="shared" si="30"/>
        <v>-398.28600000000057</v>
      </c>
      <c r="K149" s="9">
        <f t="shared" si="31"/>
        <v>-401.03280000000058</v>
      </c>
      <c r="L149" s="8">
        <f t="shared" si="36"/>
        <v>30772.889567999984</v>
      </c>
      <c r="N149" s="16">
        <f t="shared" si="38"/>
        <v>0</v>
      </c>
    </row>
    <row r="150" spans="2:14" x14ac:dyDescent="0.25">
      <c r="B150" s="7">
        <f t="shared" si="37"/>
        <v>40.880000000000088</v>
      </c>
      <c r="C150" s="9">
        <f t="shared" si="28"/>
        <v>-401.03280000000058</v>
      </c>
      <c r="D150" s="10">
        <f t="shared" si="39"/>
        <v>-9.81</v>
      </c>
      <c r="E150" s="10">
        <f t="shared" si="32"/>
        <v>-9.81</v>
      </c>
      <c r="F150" s="10">
        <f t="shared" si="33"/>
        <v>-9.81</v>
      </c>
      <c r="G150" s="10">
        <f t="shared" si="34"/>
        <v>-9.81</v>
      </c>
      <c r="H150" s="9">
        <f t="shared" si="35"/>
        <v>-403.77960000000058</v>
      </c>
      <c r="I150" s="8">
        <f t="shared" si="29"/>
        <v>30772.889567999984</v>
      </c>
      <c r="J150" s="9">
        <f t="shared" si="30"/>
        <v>-401.03280000000058</v>
      </c>
      <c r="K150" s="9">
        <f t="shared" si="31"/>
        <v>-403.77960000000058</v>
      </c>
      <c r="L150" s="8">
        <f t="shared" si="36"/>
        <v>30660.215831999983</v>
      </c>
      <c r="N150" s="16">
        <f t="shared" si="38"/>
        <v>0</v>
      </c>
    </row>
    <row r="151" spans="2:14" x14ac:dyDescent="0.25">
      <c r="B151" s="7">
        <f t="shared" si="37"/>
        <v>41.160000000000089</v>
      </c>
      <c r="C151" s="9">
        <f t="shared" si="28"/>
        <v>-403.77960000000058</v>
      </c>
      <c r="D151" s="10">
        <f t="shared" si="39"/>
        <v>-9.81</v>
      </c>
      <c r="E151" s="10">
        <f t="shared" si="32"/>
        <v>-9.81</v>
      </c>
      <c r="F151" s="10">
        <f t="shared" si="33"/>
        <v>-9.81</v>
      </c>
      <c r="G151" s="10">
        <f t="shared" si="34"/>
        <v>-9.81</v>
      </c>
      <c r="H151" s="9">
        <f t="shared" si="35"/>
        <v>-406.52640000000059</v>
      </c>
      <c r="I151" s="8">
        <f t="shared" si="29"/>
        <v>30660.215831999983</v>
      </c>
      <c r="J151" s="9">
        <f t="shared" si="30"/>
        <v>-403.77960000000058</v>
      </c>
      <c r="K151" s="9">
        <f t="shared" si="31"/>
        <v>-406.52640000000059</v>
      </c>
      <c r="L151" s="8">
        <f t="shared" si="36"/>
        <v>30546.772991999984</v>
      </c>
      <c r="N151" s="16">
        <f t="shared" si="38"/>
        <v>0</v>
      </c>
    </row>
    <row r="152" spans="2:14" x14ac:dyDescent="0.25">
      <c r="B152" s="7">
        <f t="shared" si="37"/>
        <v>41.44000000000009</v>
      </c>
      <c r="C152" s="9">
        <f t="shared" si="28"/>
        <v>-406.52640000000059</v>
      </c>
      <c r="D152" s="10">
        <f t="shared" si="39"/>
        <v>-9.81</v>
      </c>
      <c r="E152" s="10">
        <f t="shared" si="32"/>
        <v>-9.81</v>
      </c>
      <c r="F152" s="10">
        <f t="shared" si="33"/>
        <v>-9.81</v>
      </c>
      <c r="G152" s="10">
        <f t="shared" si="34"/>
        <v>-9.81</v>
      </c>
      <c r="H152" s="9">
        <f t="shared" si="35"/>
        <v>-409.2732000000006</v>
      </c>
      <c r="I152" s="8">
        <f t="shared" si="29"/>
        <v>30546.772991999984</v>
      </c>
      <c r="J152" s="9">
        <f t="shared" si="30"/>
        <v>-406.52640000000059</v>
      </c>
      <c r="K152" s="9">
        <f t="shared" si="31"/>
        <v>-409.2732000000006</v>
      </c>
      <c r="L152" s="8">
        <f t="shared" si="36"/>
        <v>30432.561047999985</v>
      </c>
      <c r="N152" s="16">
        <f t="shared" si="38"/>
        <v>0</v>
      </c>
    </row>
    <row r="153" spans="2:14" x14ac:dyDescent="0.25">
      <c r="B153" s="7">
        <f t="shared" si="37"/>
        <v>41.720000000000091</v>
      </c>
      <c r="C153" s="9">
        <f t="shared" si="28"/>
        <v>-409.2732000000006</v>
      </c>
      <c r="D153" s="10">
        <f t="shared" si="39"/>
        <v>-9.81</v>
      </c>
      <c r="E153" s="10">
        <f t="shared" si="32"/>
        <v>-9.81</v>
      </c>
      <c r="F153" s="10">
        <f t="shared" si="33"/>
        <v>-9.81</v>
      </c>
      <c r="G153" s="10">
        <f t="shared" si="34"/>
        <v>-9.81</v>
      </c>
      <c r="H153" s="9">
        <f t="shared" si="35"/>
        <v>-412.02000000000061</v>
      </c>
      <c r="I153" s="8">
        <f t="shared" si="29"/>
        <v>30432.561047999985</v>
      </c>
      <c r="J153" s="9">
        <f t="shared" si="30"/>
        <v>-409.2732000000006</v>
      </c>
      <c r="K153" s="9">
        <f t="shared" si="31"/>
        <v>-412.02000000000061</v>
      </c>
      <c r="L153" s="8">
        <f t="shared" si="36"/>
        <v>30317.579999999984</v>
      </c>
      <c r="N153" s="16">
        <f t="shared" si="38"/>
        <v>0</v>
      </c>
    </row>
    <row r="154" spans="2:14" x14ac:dyDescent="0.25">
      <c r="B154" s="7">
        <f t="shared" si="37"/>
        <v>42.000000000000092</v>
      </c>
      <c r="C154" s="9">
        <f t="shared" si="28"/>
        <v>-412.02000000000061</v>
      </c>
      <c r="D154" s="10">
        <f t="shared" si="39"/>
        <v>-9.81</v>
      </c>
      <c r="E154" s="10">
        <f t="shared" si="32"/>
        <v>-9.81</v>
      </c>
      <c r="F154" s="10">
        <f t="shared" si="33"/>
        <v>-9.81</v>
      </c>
      <c r="G154" s="10">
        <f t="shared" si="34"/>
        <v>-9.81</v>
      </c>
      <c r="H154" s="9">
        <f t="shared" si="35"/>
        <v>-414.76680000000061</v>
      </c>
      <c r="I154" s="8">
        <f t="shared" si="29"/>
        <v>30317.579999999984</v>
      </c>
      <c r="J154" s="9">
        <f t="shared" si="30"/>
        <v>-412.02000000000061</v>
      </c>
      <c r="K154" s="9">
        <f t="shared" si="31"/>
        <v>-414.76680000000061</v>
      </c>
      <c r="L154" s="8">
        <f t="shared" si="36"/>
        <v>30201.829847999983</v>
      </c>
      <c r="N154" s="16">
        <f t="shared" si="38"/>
        <v>0</v>
      </c>
    </row>
    <row r="155" spans="2:14" x14ac:dyDescent="0.25">
      <c r="B155" s="7">
        <f t="shared" si="37"/>
        <v>42.280000000000094</v>
      </c>
      <c r="C155" s="9">
        <f t="shared" si="28"/>
        <v>-414.76680000000061</v>
      </c>
      <c r="D155" s="10">
        <f t="shared" si="39"/>
        <v>-9.81</v>
      </c>
      <c r="E155" s="10">
        <f t="shared" si="32"/>
        <v>-9.81</v>
      </c>
      <c r="F155" s="10">
        <f t="shared" si="33"/>
        <v>-9.81</v>
      </c>
      <c r="G155" s="10">
        <f t="shared" si="34"/>
        <v>-9.81</v>
      </c>
      <c r="H155" s="9">
        <f t="shared" si="35"/>
        <v>-417.51360000000062</v>
      </c>
      <c r="I155" s="8">
        <f t="shared" si="29"/>
        <v>30201.829847999983</v>
      </c>
      <c r="J155" s="9">
        <f t="shared" si="30"/>
        <v>-414.76680000000061</v>
      </c>
      <c r="K155" s="9">
        <f t="shared" si="31"/>
        <v>-417.51360000000062</v>
      </c>
      <c r="L155" s="8">
        <f t="shared" si="36"/>
        <v>30085.310591999983</v>
      </c>
      <c r="N155" s="16">
        <f t="shared" si="38"/>
        <v>0</v>
      </c>
    </row>
    <row r="156" spans="2:14" x14ac:dyDescent="0.25">
      <c r="B156" s="7">
        <f t="shared" si="37"/>
        <v>42.560000000000095</v>
      </c>
      <c r="C156" s="9">
        <f t="shared" si="28"/>
        <v>-417.51360000000062</v>
      </c>
      <c r="D156" s="10">
        <f t="shared" si="39"/>
        <v>-9.81</v>
      </c>
      <c r="E156" s="10">
        <f t="shared" si="32"/>
        <v>-9.81</v>
      </c>
      <c r="F156" s="10">
        <f t="shared" si="33"/>
        <v>-9.81</v>
      </c>
      <c r="G156" s="10">
        <f t="shared" si="34"/>
        <v>-9.8082966892583379</v>
      </c>
      <c r="H156" s="9">
        <f t="shared" si="35"/>
        <v>-420.260320512166</v>
      </c>
      <c r="I156" s="8">
        <f t="shared" si="29"/>
        <v>30085.310591999983</v>
      </c>
      <c r="J156" s="9">
        <f t="shared" si="30"/>
        <v>-417.51360000000062</v>
      </c>
      <c r="K156" s="9">
        <f t="shared" si="31"/>
        <v>-420.260320512166</v>
      </c>
      <c r="L156" s="8">
        <f t="shared" si="36"/>
        <v>29968.022243128282</v>
      </c>
      <c r="N156" s="16">
        <f t="shared" si="38"/>
        <v>0</v>
      </c>
    </row>
    <row r="157" spans="2:14" x14ac:dyDescent="0.25">
      <c r="B157" s="7">
        <f t="shared" si="37"/>
        <v>42.840000000000096</v>
      </c>
      <c r="C157" s="9">
        <f t="shared" si="28"/>
        <v>-420.260320512166</v>
      </c>
      <c r="D157" s="10">
        <f t="shared" si="39"/>
        <v>-9.8082966910876692</v>
      </c>
      <c r="E157" s="10">
        <f t="shared" si="32"/>
        <v>-9.7961634624494636</v>
      </c>
      <c r="F157" s="10">
        <f t="shared" si="33"/>
        <v>-9.7961636100907068</v>
      </c>
      <c r="G157" s="10">
        <f t="shared" si="34"/>
        <v>-9.7721238529175185</v>
      </c>
      <c r="H157" s="9">
        <f t="shared" si="35"/>
        <v>-423.00269066432332</v>
      </c>
      <c r="I157" s="8">
        <f t="shared" si="29"/>
        <v>29968.022243128282</v>
      </c>
      <c r="J157" s="9">
        <f t="shared" si="30"/>
        <v>-420.260320512166</v>
      </c>
      <c r="K157" s="9">
        <f t="shared" si="31"/>
        <v>-423.00269066432332</v>
      </c>
      <c r="L157" s="8">
        <f t="shared" si="36"/>
        <v>29849.965421563575</v>
      </c>
      <c r="N157" s="16">
        <f t="shared" si="38"/>
        <v>2.270580444281578E-5</v>
      </c>
    </row>
    <row r="158" spans="2:14" x14ac:dyDescent="0.25">
      <c r="B158" s="7">
        <f t="shared" si="37"/>
        <v>43.120000000000097</v>
      </c>
      <c r="C158" s="9">
        <f t="shared" si="28"/>
        <v>-423.00269066432332</v>
      </c>
      <c r="D158" s="10">
        <f t="shared" si="39"/>
        <v>-9.7721239916301581</v>
      </c>
      <c r="E158" s="10">
        <f t="shared" si="32"/>
        <v>-9.7358866771670129</v>
      </c>
      <c r="F158" s="10">
        <f t="shared" si="33"/>
        <v>-9.7358886999412952</v>
      </c>
      <c r="G158" s="10">
        <f t="shared" si="34"/>
        <v>-9.687164725508012</v>
      </c>
      <c r="H158" s="9">
        <f t="shared" si="35"/>
        <v>-425.72815650631986</v>
      </c>
      <c r="I158" s="8">
        <f t="shared" si="29"/>
        <v>29849.965421563575</v>
      </c>
      <c r="J158" s="9">
        <f t="shared" si="30"/>
        <v>-423.00269066432332</v>
      </c>
      <c r="K158" s="9">
        <f t="shared" si="31"/>
        <v>-425.72815650631986</v>
      </c>
      <c r="L158" s="8">
        <f t="shared" si="36"/>
        <v>29731.143102959686</v>
      </c>
      <c r="N158" s="16">
        <f t="shared" si="38"/>
        <v>4.9837723144517069E-4</v>
      </c>
    </row>
    <row r="159" spans="2:14" x14ac:dyDescent="0.25">
      <c r="B159" s="7">
        <f t="shared" si="37"/>
        <v>43.400000000000098</v>
      </c>
      <c r="C159" s="9">
        <f t="shared" si="28"/>
        <v>-425.72815650631986</v>
      </c>
      <c r="D159" s="10">
        <f t="shared" si="39"/>
        <v>-9.6871651362603739</v>
      </c>
      <c r="E159" s="10">
        <f t="shared" si="32"/>
        <v>-9.6256641100265341</v>
      </c>
      <c r="F159" s="10">
        <f t="shared" si="33"/>
        <v>-9.6256722159911199</v>
      </c>
      <c r="G159" s="10">
        <f t="shared" si="34"/>
        <v>-9.5511121455886592</v>
      </c>
      <c r="H159" s="9">
        <f t="shared" si="35"/>
        <v>-428.4227341699011</v>
      </c>
      <c r="I159" s="8">
        <f t="shared" si="29"/>
        <v>29731.143102959686</v>
      </c>
      <c r="J159" s="9">
        <f t="shared" si="30"/>
        <v>-425.72815650631986</v>
      </c>
      <c r="K159" s="9">
        <f t="shared" si="31"/>
        <v>-428.4227341699011</v>
      </c>
      <c r="L159" s="8">
        <f t="shared" si="36"/>
        <v>29611.561978265014</v>
      </c>
      <c r="N159" s="16">
        <f t="shared" si="38"/>
        <v>1.5956482091372924E-3</v>
      </c>
    </row>
    <row r="160" spans="2:14" x14ac:dyDescent="0.25">
      <c r="B160" s="7">
        <f t="shared" si="37"/>
        <v>43.680000000000099</v>
      </c>
      <c r="C160" s="9">
        <f t="shared" si="28"/>
        <v>-428.4227341699011</v>
      </c>
      <c r="D160" s="10">
        <f t="shared" si="39"/>
        <v>-9.5511129968706783</v>
      </c>
      <c r="E160" s="10">
        <f t="shared" si="32"/>
        <v>-9.4632084994506087</v>
      </c>
      <c r="F160" s="10">
        <f t="shared" si="33"/>
        <v>-9.4632296852933848</v>
      </c>
      <c r="G160" s="10">
        <f t="shared" si="34"/>
        <v>-9.3617131892649681</v>
      </c>
      <c r="H160" s="9">
        <f t="shared" si="35"/>
        <v>-431.07180028916355</v>
      </c>
      <c r="I160" s="8">
        <f t="shared" si="29"/>
        <v>29611.561978265014</v>
      </c>
      <c r="J160" s="9">
        <f t="shared" si="30"/>
        <v>-428.4227341699011</v>
      </c>
      <c r="K160" s="9">
        <f t="shared" si="31"/>
        <v>-431.07180028916355</v>
      </c>
      <c r="L160" s="8">
        <f t="shared" si="36"/>
        <v>29491.232743440745</v>
      </c>
      <c r="N160" s="16">
        <f t="shared" si="38"/>
        <v>3.3208211028599409E-3</v>
      </c>
    </row>
    <row r="161" spans="2:14" x14ac:dyDescent="0.25">
      <c r="B161" s="7">
        <f t="shared" si="37"/>
        <v>43.9600000000001</v>
      </c>
      <c r="C161" s="9">
        <f t="shared" si="28"/>
        <v>-431.07180028916355</v>
      </c>
      <c r="D161" s="10">
        <f t="shared" si="39"/>
        <v>-9.3617146730695477</v>
      </c>
      <c r="E161" s="10">
        <f t="shared" si="32"/>
        <v>-9.2463106753744384</v>
      </c>
      <c r="F161" s="10">
        <f t="shared" si="33"/>
        <v>-9.2463550244788362</v>
      </c>
      <c r="G161" s="10">
        <f t="shared" si="34"/>
        <v>-9.1168184074736409</v>
      </c>
      <c r="H161" s="9">
        <f t="shared" si="35"/>
        <v>-433.66011396490853</v>
      </c>
      <c r="I161" s="8">
        <f t="shared" si="29"/>
        <v>29491.232743440745</v>
      </c>
      <c r="J161" s="9">
        <f t="shared" si="30"/>
        <v>-431.07180028916355</v>
      </c>
      <c r="K161" s="9">
        <f t="shared" si="31"/>
        <v>-433.66011396490853</v>
      </c>
      <c r="L161" s="8">
        <f t="shared" si="36"/>
        <v>29370.170275445176</v>
      </c>
      <c r="N161" s="16">
        <f t="shared" si="38"/>
        <v>5.679832737185613E-3</v>
      </c>
    </row>
    <row r="162" spans="2:14" x14ac:dyDescent="0.25">
      <c r="B162" s="7">
        <f t="shared" si="37"/>
        <v>44.240000000000101</v>
      </c>
      <c r="C162" s="9">
        <f t="shared" si="28"/>
        <v>-433.66011396490853</v>
      </c>
      <c r="D162" s="10">
        <f t="shared" si="39"/>
        <v>-9.1168207392703469</v>
      </c>
      <c r="E162" s="10">
        <f t="shared" si="32"/>
        <v>-8.9728912327504258</v>
      </c>
      <c r="F162" s="10">
        <f t="shared" si="33"/>
        <v>-8.9729721849765554</v>
      </c>
      <c r="G162" s="10">
        <f t="shared" si="34"/>
        <v>-8.8144358185267855</v>
      </c>
      <c r="H162" s="9">
        <f t="shared" si="35"/>
        <v>-436.17185318992694</v>
      </c>
      <c r="I162" s="8">
        <f t="shared" si="29"/>
        <v>29370.170275445176</v>
      </c>
      <c r="J162" s="9">
        <f t="shared" si="30"/>
        <v>-433.66011396490853</v>
      </c>
      <c r="K162" s="9">
        <f t="shared" si="31"/>
        <v>-436.17185318992694</v>
      </c>
      <c r="L162" s="8">
        <f t="shared" si="36"/>
        <v>29248.393800043501</v>
      </c>
      <c r="N162" s="16">
        <f t="shared" si="38"/>
        <v>8.6781439631968826E-3</v>
      </c>
    </row>
    <row r="163" spans="2:14" x14ac:dyDescent="0.25">
      <c r="B163" s="7">
        <f t="shared" si="37"/>
        <v>44.520000000000103</v>
      </c>
      <c r="C163" s="9">
        <f t="shared" si="28"/>
        <v>-436.17185318992694</v>
      </c>
      <c r="D163" s="10">
        <f t="shared" si="39"/>
        <v>-8.814439236596284</v>
      </c>
      <c r="E163" s="10">
        <f t="shared" si="32"/>
        <v>-8.641056772018759</v>
      </c>
      <c r="F163" s="10">
        <f t="shared" si="33"/>
        <v>-8.6411913448511051</v>
      </c>
      <c r="G163" s="10">
        <f t="shared" si="34"/>
        <v>-8.4527892081501985</v>
      </c>
      <c r="H163" s="9">
        <f t="shared" si="35"/>
        <v>-438.59066700825628</v>
      </c>
      <c r="I163" s="8">
        <f t="shared" si="29"/>
        <v>29248.393800043501</v>
      </c>
      <c r="J163" s="9">
        <f t="shared" si="30"/>
        <v>-436.17185318992694</v>
      </c>
      <c r="K163" s="9">
        <f t="shared" si="31"/>
        <v>-438.59066700825628</v>
      </c>
      <c r="L163" s="8">
        <f t="shared" si="36"/>
        <v>29125.927047215755</v>
      </c>
      <c r="N163" s="16">
        <f t="shared" si="38"/>
        <v>1.2320625253003105E-2</v>
      </c>
    </row>
    <row r="164" spans="2:14" x14ac:dyDescent="0.25">
      <c r="B164" s="7">
        <f t="shared" si="37"/>
        <v>44.800000000000104</v>
      </c>
      <c r="C164" s="9">
        <f t="shared" si="28"/>
        <v>-438.59066700825628</v>
      </c>
      <c r="D164" s="10">
        <f t="shared" si="39"/>
        <v>-8.4527939721721186</v>
      </c>
      <c r="E164" s="10">
        <f t="shared" si="32"/>
        <v>-8.2491601438655877</v>
      </c>
      <c r="F164" s="10">
        <f t="shared" si="33"/>
        <v>-8.2493690820825716</v>
      </c>
      <c r="G164" s="10">
        <f t="shared" si="34"/>
        <v>-8.0303800392661788</v>
      </c>
      <c r="H164" s="9">
        <f t="shared" si="35"/>
        <v>-440.89974452321189</v>
      </c>
      <c r="I164" s="8">
        <f t="shared" si="29"/>
        <v>29125.927047215755</v>
      </c>
      <c r="J164" s="9">
        <f t="shared" si="30"/>
        <v>-438.59066700825628</v>
      </c>
      <c r="K164" s="9">
        <f t="shared" si="31"/>
        <v>-440.89974452321189</v>
      </c>
      <c r="L164" s="8">
        <f t="shared" si="36"/>
        <v>29002.79838960135</v>
      </c>
      <c r="N164" s="16">
        <f t="shared" si="38"/>
        <v>1.6611439055595659E-2</v>
      </c>
    </row>
    <row r="165" spans="2:14" x14ac:dyDescent="0.25">
      <c r="B165" s="7">
        <f t="shared" si="37"/>
        <v>45.080000000000105</v>
      </c>
      <c r="C165" s="9">
        <f t="shared" si="28"/>
        <v>-440.89974452321189</v>
      </c>
      <c r="D165" s="10">
        <f t="shared" si="39"/>
        <v>-8.0303864280561044</v>
      </c>
      <c r="E165" s="10">
        <f t="shared" si="32"/>
        <v>-7.7958638610542907</v>
      </c>
      <c r="F165" s="10">
        <f t="shared" si="33"/>
        <v>-7.7961716902615406</v>
      </c>
      <c r="G165" s="10">
        <f t="shared" si="34"/>
        <v>-7.5460519875529819</v>
      </c>
      <c r="H165" s="9">
        <f t="shared" si="35"/>
        <v>-443.08190163406312</v>
      </c>
      <c r="I165" s="8">
        <f t="shared" si="29"/>
        <v>29002.79838960135</v>
      </c>
      <c r="J165" s="9">
        <f t="shared" si="30"/>
        <v>-440.89974452321189</v>
      </c>
      <c r="K165" s="9">
        <f t="shared" si="31"/>
        <v>-443.08190163406312</v>
      </c>
      <c r="L165" s="8">
        <f t="shared" si="36"/>
        <v>28879.040959139333</v>
      </c>
      <c r="N165" s="16">
        <f t="shared" si="38"/>
        <v>2.1553919866882525E-2</v>
      </c>
    </row>
    <row r="166" spans="2:14" x14ac:dyDescent="0.25">
      <c r="B166" s="7">
        <f t="shared" si="37"/>
        <v>45.360000000000106</v>
      </c>
      <c r="C166" s="9">
        <f t="shared" si="28"/>
        <v>-443.08190163406312</v>
      </c>
      <c r="D166" s="10">
        <f t="shared" si="39"/>
        <v>-7.5460602958452254</v>
      </c>
      <c r="E166" s="10">
        <f t="shared" si="32"/>
        <v>-7.2802055436605384</v>
      </c>
      <c r="F166" s="10">
        <f t="shared" si="33"/>
        <v>-7.2806405022476843</v>
      </c>
      <c r="G166" s="10">
        <f t="shared" si="34"/>
        <v>-6.9990568159511604</v>
      </c>
      <c r="H166" s="9">
        <f t="shared" si="35"/>
        <v>-445.11968606356504</v>
      </c>
      <c r="I166" s="8">
        <f t="shared" si="29"/>
        <v>28879.040959139333</v>
      </c>
      <c r="J166" s="9">
        <f t="shared" si="30"/>
        <v>-443.08190163406312</v>
      </c>
      <c r="K166" s="9">
        <f t="shared" si="31"/>
        <v>-445.11968606356504</v>
      </c>
      <c r="L166" s="8">
        <f t="shared" si="36"/>
        <v>28754.692736861663</v>
      </c>
      <c r="N166" s="16">
        <f t="shared" si="38"/>
        <v>2.715045319383496E-2</v>
      </c>
    </row>
    <row r="167" spans="2:14" x14ac:dyDescent="0.25">
      <c r="B167" s="7">
        <f t="shared" si="37"/>
        <v>45.640000000000107</v>
      </c>
      <c r="C167" s="9">
        <f t="shared" si="28"/>
        <v>-445.11968606356504</v>
      </c>
      <c r="D167" s="10">
        <f t="shared" si="39"/>
        <v>-6.9990673501278415</v>
      </c>
      <c r="E167" s="10">
        <f t="shared" si="32"/>
        <v>-6.7016639567940466</v>
      </c>
      <c r="F167" s="10">
        <f t="shared" si="33"/>
        <v>-6.7022577814989788</v>
      </c>
      <c r="G167" s="10">
        <f t="shared" si="34"/>
        <v>-6.3891199947747896</v>
      </c>
      <c r="H167" s="9">
        <f t="shared" si="35"/>
        <v>-446.99550083523451</v>
      </c>
      <c r="I167" s="8">
        <f t="shared" si="29"/>
        <v>28754.692736861663</v>
      </c>
      <c r="J167" s="9">
        <f t="shared" si="30"/>
        <v>-445.11968606356504</v>
      </c>
      <c r="K167" s="9">
        <f t="shared" si="31"/>
        <v>-446.99550083523451</v>
      </c>
      <c r="L167" s="8">
        <f t="shared" si="36"/>
        <v>28629.79661069583</v>
      </c>
      <c r="N167" s="16">
        <f t="shared" si="38"/>
        <v>3.340235482194636E-2</v>
      </c>
    </row>
    <row r="168" spans="2:14" x14ac:dyDescent="0.25">
      <c r="B168" s="7">
        <f t="shared" si="37"/>
        <v>45.920000000000108</v>
      </c>
      <c r="C168" s="9">
        <f t="shared" si="28"/>
        <v>-446.99550083523451</v>
      </c>
      <c r="D168" s="10">
        <f t="shared" si="39"/>
        <v>-6.3891330674653677</v>
      </c>
      <c r="E168" s="10">
        <f t="shared" si="32"/>
        <v>-6.0602238967609106</v>
      </c>
      <c r="F168" s="10">
        <f t="shared" si="33"/>
        <v>-6.0610114394064292</v>
      </c>
      <c r="G168" s="10">
        <f t="shared" si="34"/>
        <v>-5.7165041807470116</v>
      </c>
      <c r="H168" s="9">
        <f t="shared" si="35"/>
        <v>-448.69174587152668</v>
      </c>
      <c r="I168" s="8">
        <f t="shared" si="29"/>
        <v>28629.79661069583</v>
      </c>
      <c r="J168" s="9">
        <f t="shared" si="30"/>
        <v>-446.99550083523451</v>
      </c>
      <c r="K168" s="9">
        <f t="shared" si="31"/>
        <v>-448.69174587152668</v>
      </c>
      <c r="L168" s="8">
        <f t="shared" si="36"/>
        <v>28504.400396156885</v>
      </c>
      <c r="N168" s="16">
        <f t="shared" si="38"/>
        <v>4.0309752019061534E-2</v>
      </c>
    </row>
    <row r="169" spans="2:14" x14ac:dyDescent="0.25">
      <c r="B169" s="7">
        <f t="shared" si="37"/>
        <v>46.200000000000109</v>
      </c>
      <c r="C169" s="9">
        <f t="shared" si="28"/>
        <v>-448.69174587152668</v>
      </c>
      <c r="D169" s="10">
        <f t="shared" si="39"/>
        <v>-5.7165201042232576</v>
      </c>
      <c r="E169" s="10">
        <f t="shared" si="32"/>
        <v>-5.35643790119253</v>
      </c>
      <c r="F169" s="10">
        <f t="shared" si="33"/>
        <v>-5.3574565585804299</v>
      </c>
      <c r="G169" s="10">
        <f t="shared" si="34"/>
        <v>-4.982068408215361</v>
      </c>
      <c r="H169" s="9">
        <f t="shared" si="35"/>
        <v>-450.19097681835262</v>
      </c>
      <c r="I169" s="8">
        <f t="shared" si="29"/>
        <v>28504.400396156885</v>
      </c>
      <c r="J169" s="9">
        <f t="shared" si="30"/>
        <v>-448.69174587152668</v>
      </c>
      <c r="K169" s="9">
        <f t="shared" si="31"/>
        <v>-450.19097681835262</v>
      </c>
      <c r="L169" s="8">
        <f t="shared" si="36"/>
        <v>28378.5568149803</v>
      </c>
      <c r="N169" s="16">
        <f t="shared" si="38"/>
        <v>4.7871468518068942E-2</v>
      </c>
    </row>
    <row r="170" spans="2:14" x14ac:dyDescent="0.25">
      <c r="B170" s="7">
        <f t="shared" si="37"/>
        <v>46.480000000000111</v>
      </c>
      <c r="C170" s="9">
        <f t="shared" si="28"/>
        <v>-450.19097681835262</v>
      </c>
      <c r="D170" s="10">
        <f t="shared" si="39"/>
        <v>-4.9820874865499478</v>
      </c>
      <c r="E170" s="10">
        <f t="shared" si="32"/>
        <v>-4.591482522590514</v>
      </c>
      <c r="F170" s="10">
        <f t="shared" si="33"/>
        <v>-4.5927714682190155</v>
      </c>
      <c r="G170" s="10">
        <f t="shared" si="34"/>
        <v>-4.1873206418867248</v>
      </c>
      <c r="H170" s="9">
        <f t="shared" si="35"/>
        <v>-451.47607957015521</v>
      </c>
      <c r="I170" s="8">
        <f t="shared" si="29"/>
        <v>28378.5568149803</v>
      </c>
      <c r="J170" s="9">
        <f t="shared" si="30"/>
        <v>-450.19097681835262</v>
      </c>
      <c r="K170" s="9">
        <f t="shared" si="31"/>
        <v>-451.47607957015521</v>
      </c>
      <c r="L170" s="8">
        <f t="shared" si="36"/>
        <v>28252.32342708591</v>
      </c>
      <c r="N170" s="16">
        <f t="shared" si="38"/>
        <v>5.6084915305260816E-2</v>
      </c>
    </row>
    <row r="171" spans="2:14" x14ac:dyDescent="0.25">
      <c r="B171" s="7">
        <f t="shared" si="37"/>
        <v>46.760000000000112</v>
      </c>
      <c r="C171" s="9">
        <f t="shared" si="28"/>
        <v>-451.47607957015521</v>
      </c>
      <c r="D171" s="10">
        <f t="shared" si="39"/>
        <v>-4.1873431618637973</v>
      </c>
      <c r="E171" s="10">
        <f t="shared" si="32"/>
        <v>-3.7672067367564153</v>
      </c>
      <c r="F171" s="10">
        <f t="shared" si="33"/>
        <v>-3.7688059519709407</v>
      </c>
      <c r="G171" s="10">
        <f t="shared" si="34"/>
        <v>-3.3344612166640237</v>
      </c>
      <c r="H171" s="9">
        <f t="shared" si="35"/>
        <v>-452.53045829210106</v>
      </c>
      <c r="I171" s="8">
        <f t="shared" si="29"/>
        <v>28252.32342708591</v>
      </c>
      <c r="J171" s="9">
        <f t="shared" si="30"/>
        <v>-451.47607957015521</v>
      </c>
      <c r="K171" s="9">
        <f t="shared" si="31"/>
        <v>-452.53045829210106</v>
      </c>
      <c r="L171" s="8">
        <f t="shared" si="36"/>
        <v>28125.762511785193</v>
      </c>
      <c r="N171" s="16">
        <f t="shared" si="38"/>
        <v>6.4945989389566125E-2</v>
      </c>
    </row>
    <row r="172" spans="2:14" x14ac:dyDescent="0.25">
      <c r="B172" s="7">
        <f t="shared" si="37"/>
        <v>47.040000000000113</v>
      </c>
      <c r="C172" s="9">
        <f t="shared" si="28"/>
        <v>-452.53045829210106</v>
      </c>
      <c r="D172" s="10">
        <f t="shared" si="39"/>
        <v>-3.3344874374857163</v>
      </c>
      <c r="E172" s="10">
        <f t="shared" si="32"/>
        <v>-2.886169981834438</v>
      </c>
      <c r="F172" s="10">
        <f t="shared" si="33"/>
        <v>-2.8881190950888449</v>
      </c>
      <c r="G172" s="10">
        <f t="shared" si="34"/>
        <v>-2.4264146702095593</v>
      </c>
      <c r="H172" s="9">
        <f t="shared" si="35"/>
        <v>-453.33823403763967</v>
      </c>
      <c r="I172" s="8">
        <f t="shared" si="29"/>
        <v>28125.762511785193</v>
      </c>
      <c r="J172" s="9">
        <f t="shared" si="30"/>
        <v>-452.53045829210106</v>
      </c>
      <c r="K172" s="9">
        <f t="shared" si="31"/>
        <v>-453.33823403763967</v>
      </c>
      <c r="L172" s="8">
        <f t="shared" si="36"/>
        <v>27998.940894859028</v>
      </c>
      <c r="N172" s="16">
        <f t="shared" si="38"/>
        <v>7.4448982828086444E-2</v>
      </c>
    </row>
    <row r="173" spans="2:14" x14ac:dyDescent="0.25">
      <c r="B173" s="7">
        <f t="shared" si="37"/>
        <v>47.320000000000114</v>
      </c>
      <c r="C173" s="9">
        <f t="shared" si="28"/>
        <v>-453.33823403763967</v>
      </c>
      <c r="D173" s="10">
        <f t="shared" si="39"/>
        <v>-2.4264448120964826</v>
      </c>
      <c r="E173" s="10">
        <f t="shared" si="32"/>
        <v>-1.9516673629020918</v>
      </c>
      <c r="F173" s="10">
        <f t="shared" si="33"/>
        <v>-1.9540043185485374</v>
      </c>
      <c r="G173" s="10">
        <f t="shared" si="34"/>
        <v>-1.4668475785248527</v>
      </c>
      <c r="H173" s="9">
        <f t="shared" si="35"/>
        <v>-453.88445037280405</v>
      </c>
      <c r="I173" s="8">
        <f t="shared" si="29"/>
        <v>27998.940894859028</v>
      </c>
      <c r="J173" s="9">
        <f t="shared" si="30"/>
        <v>-453.33823403763967</v>
      </c>
      <c r="K173" s="9">
        <f t="shared" si="31"/>
        <v>-453.88445037280405</v>
      </c>
      <c r="L173" s="8">
        <f t="shared" si="36"/>
        <v>27871.929719041567</v>
      </c>
      <c r="N173" s="16">
        <f t="shared" si="38"/>
        <v>8.4586504324393103E-2</v>
      </c>
    </row>
    <row r="174" spans="2:14" x14ac:dyDescent="0.25">
      <c r="B174" s="7">
        <f t="shared" si="37"/>
        <v>47.600000000000115</v>
      </c>
      <c r="C174" s="9">
        <f t="shared" si="28"/>
        <v>-453.88445037280405</v>
      </c>
      <c r="D174" s="10">
        <f t="shared" si="39"/>
        <v>-1.466881810384487</v>
      </c>
      <c r="E174" s="10">
        <f t="shared" si="32"/>
        <v>-0.96773972981591772</v>
      </c>
      <c r="F174" s="10">
        <f t="shared" si="33"/>
        <v>-0.97049932161725672</v>
      </c>
      <c r="G174" s="10">
        <f t="shared" si="34"/>
        <v>-0.46017024976066512</v>
      </c>
      <c r="H174" s="9">
        <f t="shared" si="35"/>
        <v>-454.15528178041126</v>
      </c>
      <c r="I174" s="8">
        <f t="shared" si="29"/>
        <v>27871.929719041567</v>
      </c>
      <c r="J174" s="9">
        <f t="shared" si="30"/>
        <v>-453.88445037280405</v>
      </c>
      <c r="K174" s="9">
        <f t="shared" si="31"/>
        <v>-454.15528178041126</v>
      </c>
      <c r="L174" s="8">
        <f t="shared" si="36"/>
        <v>27744.804156540118</v>
      </c>
      <c r="N174" s="16">
        <f t="shared" si="38"/>
        <v>9.5349415687090266E-2</v>
      </c>
    </row>
    <row r="175" spans="2:14" x14ac:dyDescent="0.25">
      <c r="B175" s="7">
        <f t="shared" si="37"/>
        <v>47.880000000000116</v>
      </c>
      <c r="C175" s="9">
        <f t="shared" ref="C175:C215" si="40">H174</f>
        <v>-454.15528178041126</v>
      </c>
      <c r="D175" s="10">
        <f t="shared" si="39"/>
        <v>-0.46020867617772715</v>
      </c>
      <c r="E175" s="10">
        <f t="shared" si="32"/>
        <v>6.0833345394732861E-2</v>
      </c>
      <c r="F175" s="10">
        <f t="shared" si="33"/>
        <v>5.7621027006813541E-2</v>
      </c>
      <c r="G175" s="10">
        <f t="shared" si="34"/>
        <v>0.58847947551269253</v>
      </c>
      <c r="H175" s="9">
        <f t="shared" si="35"/>
        <v>-454.13824006835148</v>
      </c>
      <c r="I175" s="8">
        <f t="shared" ref="I175:I215" si="41">L174</f>
        <v>27744.804156540118</v>
      </c>
      <c r="J175" s="9">
        <f t="shared" ref="J175:J215" si="42">C175</f>
        <v>-454.15528178041126</v>
      </c>
      <c r="K175" s="9">
        <f t="shared" ref="K175:K215" si="43">H175</f>
        <v>-454.13824006835148</v>
      </c>
      <c r="L175" s="8">
        <f t="shared" si="36"/>
        <v>27617.64306348129</v>
      </c>
      <c r="N175" s="16">
        <f t="shared" si="38"/>
        <v>0.10672678532886258</v>
      </c>
    </row>
    <row r="176" spans="2:14" x14ac:dyDescent="0.25">
      <c r="B176" s="7">
        <f t="shared" si="37"/>
        <v>48.160000000000117</v>
      </c>
      <c r="C176" s="9">
        <f t="shared" si="40"/>
        <v>-454.13824006835148</v>
      </c>
      <c r="D176" s="10">
        <f t="shared" si="39"/>
        <v>0.58843682760473204</v>
      </c>
      <c r="E176" s="10">
        <f t="shared" si="32"/>
        <v>1.1285591978319405</v>
      </c>
      <c r="F176" s="10">
        <f t="shared" si="33"/>
        <v>1.1248703429375404</v>
      </c>
      <c r="G176" s="10">
        <f t="shared" si="34"/>
        <v>1.6732715304719981</v>
      </c>
      <c r="H176" s="9">
        <f t="shared" si="35"/>
        <v>-453.82237358783607</v>
      </c>
      <c r="I176" s="8">
        <f t="shared" si="41"/>
        <v>27617.64306348129</v>
      </c>
      <c r="J176" s="9">
        <f t="shared" si="42"/>
        <v>-454.13824006835148</v>
      </c>
      <c r="K176" s="9">
        <f t="shared" si="43"/>
        <v>-453.82237358783607</v>
      </c>
      <c r="L176" s="8">
        <f t="shared" si="36"/>
        <v>27490.528577569425</v>
      </c>
      <c r="N176" s="16">
        <f t="shared" si="38"/>
        <v>0.11870586079429352</v>
      </c>
    </row>
    <row r="177" spans="2:14" x14ac:dyDescent="0.25">
      <c r="B177" s="7">
        <f t="shared" si="37"/>
        <v>48.440000000000119</v>
      </c>
      <c r="C177" s="9">
        <f t="shared" si="40"/>
        <v>-453.82237358783607</v>
      </c>
      <c r="D177" s="10">
        <f t="shared" si="39"/>
        <v>1.6732247249798673</v>
      </c>
      <c r="E177" s="10">
        <f t="shared" si="32"/>
        <v>2.2292772034318364</v>
      </c>
      <c r="F177" s="10">
        <f t="shared" si="33"/>
        <v>2.2250958119742861</v>
      </c>
      <c r="G177" s="10">
        <f t="shared" si="34"/>
        <v>2.7877385767858485</v>
      </c>
      <c r="H177" s="9">
        <f t="shared" si="35"/>
        <v>-453.19845381898244</v>
      </c>
      <c r="I177" s="8">
        <f t="shared" si="41"/>
        <v>27490.528577569425</v>
      </c>
      <c r="J177" s="9">
        <f t="shared" si="42"/>
        <v>-453.82237358783607</v>
      </c>
      <c r="K177" s="9">
        <f t="shared" si="43"/>
        <v>-453.19845381898244</v>
      </c>
      <c r="L177" s="8">
        <f t="shared" si="36"/>
        <v>27363.545661732471</v>
      </c>
      <c r="N177" s="16">
        <f t="shared" si="38"/>
        <v>0.13127206202646988</v>
      </c>
    </row>
    <row r="178" spans="2:14" x14ac:dyDescent="0.25">
      <c r="B178" s="7">
        <f t="shared" si="37"/>
        <v>48.72000000000012</v>
      </c>
      <c r="C178" s="9">
        <f t="shared" si="40"/>
        <v>-453.19845381898244</v>
      </c>
      <c r="D178" s="10">
        <f t="shared" si="39"/>
        <v>2.7876877809421456</v>
      </c>
      <c r="E178" s="10">
        <f t="shared" si="32"/>
        <v>3.3562235854250484</v>
      </c>
      <c r="F178" s="10">
        <f t="shared" si="33"/>
        <v>3.3515428695903462</v>
      </c>
      <c r="G178" s="10">
        <f t="shared" si="34"/>
        <v>3.9248503738807701</v>
      </c>
      <c r="H178" s="9">
        <f t="shared" si="35"/>
        <v>-452.25914383595591</v>
      </c>
      <c r="I178" s="8">
        <f t="shared" si="41"/>
        <v>27363.545661732471</v>
      </c>
      <c r="J178" s="9">
        <f t="shared" si="42"/>
        <v>-453.19845381898244</v>
      </c>
      <c r="K178" s="9">
        <f t="shared" si="43"/>
        <v>-452.25914383595591</v>
      </c>
      <c r="L178" s="8">
        <f t="shared" si="36"/>
        <v>27236.781598060781</v>
      </c>
      <c r="N178" s="16">
        <f t="shared" si="38"/>
        <v>0.14440899671920718</v>
      </c>
    </row>
    <row r="179" spans="2:14" x14ac:dyDescent="0.25">
      <c r="B179" s="7">
        <f t="shared" si="37"/>
        <v>49.000000000000121</v>
      </c>
      <c r="C179" s="9">
        <f t="shared" si="40"/>
        <v>-452.25914383595591</v>
      </c>
      <c r="D179" s="10">
        <f t="shared" si="39"/>
        <v>3.924795869366402</v>
      </c>
      <c r="E179" s="10">
        <f t="shared" si="32"/>
        <v>4.5021152443482286</v>
      </c>
      <c r="F179" s="10">
        <f t="shared" si="33"/>
        <v>4.4969388226527922</v>
      </c>
      <c r="G179" s="10">
        <f t="shared" si="34"/>
        <v>5.0771064854200549</v>
      </c>
      <c r="H179" s="9">
        <f t="shared" si="35"/>
        <v>-450.99914334647912</v>
      </c>
      <c r="I179" s="8">
        <f t="shared" si="41"/>
        <v>27236.781598060781</v>
      </c>
      <c r="J179" s="9">
        <f t="shared" si="42"/>
        <v>-452.25914383595591</v>
      </c>
      <c r="K179" s="9">
        <f t="shared" si="43"/>
        <v>-450.99914334647912</v>
      </c>
      <c r="L179" s="8">
        <f t="shared" si="36"/>
        <v>27110.325437855241</v>
      </c>
      <c r="N179" s="16">
        <f t="shared" si="38"/>
        <v>0.15809849866072576</v>
      </c>
    </row>
    <row r="180" spans="2:14" x14ac:dyDescent="0.25">
      <c r="B180" s="7">
        <f t="shared" si="37"/>
        <v>49.280000000000122</v>
      </c>
      <c r="C180" s="9">
        <f t="shared" si="40"/>
        <v>-450.99914334647912</v>
      </c>
      <c r="D180" s="10">
        <f t="shared" si="39"/>
        <v>5.0770486773976451</v>
      </c>
      <c r="E180" s="10">
        <f t="shared" si="32"/>
        <v>5.6592511005202555</v>
      </c>
      <c r="F180" s="10">
        <f t="shared" si="33"/>
        <v>5.6535939056520226</v>
      </c>
      <c r="G180" s="10">
        <f t="shared" si="34"/>
        <v>6.2366453838005276</v>
      </c>
      <c r="H180" s="9">
        <f t="shared" si="35"/>
        <v>-449.41530542304713</v>
      </c>
      <c r="I180" s="8">
        <f t="shared" si="41"/>
        <v>27110.325437855241</v>
      </c>
      <c r="J180" s="9">
        <f t="shared" si="42"/>
        <v>-450.99914334647912</v>
      </c>
      <c r="K180" s="9">
        <f t="shared" si="43"/>
        <v>-449.41530542304713</v>
      </c>
      <c r="L180" s="8">
        <f t="shared" si="36"/>
        <v>26984.267415027509</v>
      </c>
      <c r="N180" s="16">
        <f t="shared" si="38"/>
        <v>0.17232068946755241</v>
      </c>
    </row>
    <row r="181" spans="2:14" x14ac:dyDescent="0.25">
      <c r="B181" s="7">
        <f t="shared" si="37"/>
        <v>49.560000000000123</v>
      </c>
      <c r="C181" s="9">
        <f t="shared" si="40"/>
        <v>-449.41530542304713</v>
      </c>
      <c r="D181" s="10">
        <f t="shared" si="39"/>
        <v>6.2365848070940517</v>
      </c>
      <c r="E181" s="10">
        <f t="shared" si="32"/>
        <v>6.8196285842288145</v>
      </c>
      <c r="F181" s="10">
        <f t="shared" si="33"/>
        <v>6.8135174159496987</v>
      </c>
      <c r="G181" s="10">
        <f t="shared" si="34"/>
        <v>7.3953671881248146</v>
      </c>
      <c r="H181" s="9">
        <f t="shared" si="35"/>
        <v>-447.50672070325356</v>
      </c>
      <c r="I181" s="8">
        <f t="shared" si="41"/>
        <v>26984.267415027509</v>
      </c>
      <c r="J181" s="9">
        <f t="shared" si="42"/>
        <v>-449.41530542304713</v>
      </c>
      <c r="K181" s="9">
        <f t="shared" si="43"/>
        <v>-447.50672070325356</v>
      </c>
      <c r="L181" s="8">
        <f t="shared" si="36"/>
        <v>26858.698331369826</v>
      </c>
      <c r="N181" s="16">
        <f t="shared" si="38"/>
        <v>0.18705406355047002</v>
      </c>
    </row>
    <row r="182" spans="2:14" x14ac:dyDescent="0.25">
      <c r="B182" s="7">
        <f t="shared" si="37"/>
        <v>49.840000000000124</v>
      </c>
      <c r="C182" s="9">
        <f t="shared" si="40"/>
        <v>-447.50672070325356</v>
      </c>
      <c r="D182" s="10">
        <f t="shared" si="39"/>
        <v>7.3953045097989314</v>
      </c>
      <c r="E182" s="10">
        <f t="shared" si="32"/>
        <v>7.9750721205766233</v>
      </c>
      <c r="F182" s="10">
        <f t="shared" si="33"/>
        <v>7.9685457900190588</v>
      </c>
      <c r="G182" s="10">
        <f t="shared" si="34"/>
        <v>8.545066539754945</v>
      </c>
      <c r="H182" s="9">
        <f t="shared" si="35"/>
        <v>-445.27476571595213</v>
      </c>
      <c r="I182" s="8">
        <f t="shared" si="41"/>
        <v>26858.698331369826</v>
      </c>
      <c r="J182" s="9">
        <f t="shared" si="42"/>
        <v>-447.50672070325356</v>
      </c>
      <c r="K182" s="9">
        <f t="shared" si="43"/>
        <v>-445.27476571595213</v>
      </c>
      <c r="L182" s="8">
        <f t="shared" si="36"/>
        <v>26733.708923271137</v>
      </c>
      <c r="N182" s="16">
        <f t="shared" si="38"/>
        <v>0.20227559556856572</v>
      </c>
    </row>
    <row r="183" spans="2:14" x14ac:dyDescent="0.25">
      <c r="B183" s="7">
        <f t="shared" si="37"/>
        <v>50.120000000000125</v>
      </c>
      <c r="C183" s="9">
        <f t="shared" si="40"/>
        <v>-445.27476571595213</v>
      </c>
      <c r="D183" s="10">
        <f t="shared" si="39"/>
        <v>8.5450025574234107</v>
      </c>
      <c r="E183" s="10">
        <f t="shared" si="32"/>
        <v>9.1173697900193638</v>
      </c>
      <c r="F183" s="10">
        <f t="shared" si="33"/>
        <v>9.1104788217488224</v>
      </c>
      <c r="G183" s="10">
        <f t="shared" si="34"/>
        <v>9.6775715367407447</v>
      </c>
      <c r="H183" s="9">
        <f t="shared" si="35"/>
        <v>-442.72311305445942</v>
      </c>
      <c r="I183" s="8">
        <f t="shared" si="41"/>
        <v>26733.708923271137</v>
      </c>
      <c r="J183" s="9">
        <f t="shared" si="42"/>
        <v>-445.27476571595213</v>
      </c>
      <c r="K183" s="9">
        <f t="shared" si="43"/>
        <v>-442.72311305445942</v>
      </c>
      <c r="L183" s="8">
        <f t="shared" si="36"/>
        <v>26609.38922024328</v>
      </c>
      <c r="N183" s="16">
        <f t="shared" si="38"/>
        <v>0.21796086903631176</v>
      </c>
    </row>
    <row r="184" spans="2:14" x14ac:dyDescent="0.25">
      <c r="B184" s="7">
        <f t="shared" si="37"/>
        <v>50.400000000000126</v>
      </c>
      <c r="C184" s="9">
        <f t="shared" si="40"/>
        <v>-442.72311305445942</v>
      </c>
      <c r="D184" s="10">
        <f t="shared" si="39"/>
        <v>9.6775071720809578</v>
      </c>
      <c r="E184" s="10">
        <f t="shared" si="32"/>
        <v>10.238413853408971</v>
      </c>
      <c r="F184" s="10">
        <f t="shared" si="33"/>
        <v>10.231219735360488</v>
      </c>
      <c r="G184" s="10">
        <f t="shared" si="34"/>
        <v>10.784884260449461</v>
      </c>
      <c r="H184" s="9">
        <f t="shared" si="35"/>
        <v>-439.85770231932287</v>
      </c>
      <c r="I184" s="8">
        <f t="shared" si="41"/>
        <v>26609.38922024328</v>
      </c>
      <c r="J184" s="9">
        <f t="shared" si="42"/>
        <v>-442.72311305445942</v>
      </c>
      <c r="K184" s="9">
        <f t="shared" si="43"/>
        <v>-439.85770231932287</v>
      </c>
      <c r="L184" s="8">
        <f t="shared" si="36"/>
        <v>26485.827906090952</v>
      </c>
      <c r="N184" s="16">
        <f t="shared" si="38"/>
        <v>0.23408422417787711</v>
      </c>
    </row>
    <row r="185" spans="2:14" x14ac:dyDescent="0.25">
      <c r="B185" s="7">
        <f t="shared" si="37"/>
        <v>50.680000000000128</v>
      </c>
      <c r="C185" s="9">
        <f t="shared" si="40"/>
        <v>-439.85770231932287</v>
      </c>
      <c r="D185" s="10">
        <f t="shared" si="39"/>
        <v>10.784820547603687</v>
      </c>
      <c r="E185" s="10">
        <f t="shared" si="32"/>
        <v>11.330340552332778</v>
      </c>
      <c r="F185" s="10">
        <f t="shared" si="33"/>
        <v>11.322914549424492</v>
      </c>
      <c r="G185" s="10">
        <f t="shared" si="34"/>
        <v>11.859318267714761</v>
      </c>
      <c r="H185" s="9">
        <f t="shared" si="35"/>
        <v>-436.68667203177733</v>
      </c>
      <c r="I185" s="8">
        <f t="shared" si="41"/>
        <v>26485.827906090952</v>
      </c>
      <c r="J185" s="9">
        <f t="shared" si="42"/>
        <v>-439.85770231932287</v>
      </c>
      <c r="K185" s="9">
        <f t="shared" si="43"/>
        <v>-436.68667203177733</v>
      </c>
      <c r="L185" s="8">
        <f t="shared" si="36"/>
        <v>26363.111693681796</v>
      </c>
      <c r="N185" s="16">
        <f t="shared" si="38"/>
        <v>0.25061892259833424</v>
      </c>
    </row>
    <row r="186" spans="2:14" x14ac:dyDescent="0.25">
      <c r="B186" s="7">
        <f t="shared" si="37"/>
        <v>50.960000000000129</v>
      </c>
      <c r="C186" s="9">
        <f t="shared" si="40"/>
        <v>-436.68667203177733</v>
      </c>
      <c r="D186" s="10">
        <f t="shared" si="39"/>
        <v>11.859256336530819</v>
      </c>
      <c r="E186" s="10">
        <f t="shared" si="32"/>
        <v>12.385664556947907</v>
      </c>
      <c r="F186" s="10">
        <f t="shared" si="33"/>
        <v>12.378086129748091</v>
      </c>
      <c r="G186" s="10">
        <f t="shared" si="34"/>
        <v>12.893628506148719</v>
      </c>
      <c r="H186" s="9">
        <f t="shared" si="35"/>
        <v>-433.22025400836066</v>
      </c>
      <c r="I186" s="8">
        <f t="shared" si="41"/>
        <v>26363.111693681796</v>
      </c>
      <c r="J186" s="9">
        <f t="shared" si="42"/>
        <v>-436.68667203177733</v>
      </c>
      <c r="K186" s="9">
        <f t="shared" si="43"/>
        <v>-433.22025400836066</v>
      </c>
      <c r="L186" s="8">
        <f t="shared" si="36"/>
        <v>26241.324724036178</v>
      </c>
      <c r="N186" s="16">
        <f t="shared" si="38"/>
        <v>0.26753732588735235</v>
      </c>
    </row>
    <row r="187" spans="2:14" x14ac:dyDescent="0.25">
      <c r="B187" s="7">
        <f t="shared" si="37"/>
        <v>51.24000000000013</v>
      </c>
      <c r="C187" s="9">
        <f t="shared" si="40"/>
        <v>-433.22025400836066</v>
      </c>
      <c r="D187" s="10">
        <f t="shared" si="39"/>
        <v>12.89356956051685</v>
      </c>
      <c r="E187" s="10">
        <f t="shared" si="32"/>
        <v>13.39740364140189</v>
      </c>
      <c r="F187" s="10">
        <f t="shared" si="33"/>
        <v>13.389758534587548</v>
      </c>
      <c r="G187" s="10">
        <f t="shared" si="34"/>
        <v>13.881129436336343</v>
      </c>
      <c r="H187" s="9">
        <f t="shared" si="35"/>
        <v>-429.47063291874849</v>
      </c>
      <c r="I187" s="8">
        <f t="shared" si="41"/>
        <v>26241.324724036178</v>
      </c>
      <c r="J187" s="9">
        <f t="shared" si="42"/>
        <v>-433.22025400836066</v>
      </c>
      <c r="K187" s="9">
        <f t="shared" si="43"/>
        <v>-429.47063291874849</v>
      </c>
      <c r="L187" s="8">
        <f t="shared" si="36"/>
        <v>26120.547999866383</v>
      </c>
      <c r="N187" s="16">
        <f t="shared" si="38"/>
        <v>0.28481108490860829</v>
      </c>
    </row>
    <row r="188" spans="2:14" x14ac:dyDescent="0.25">
      <c r="B188" s="7">
        <f t="shared" si="37"/>
        <v>51.520000000000131</v>
      </c>
      <c r="C188" s="9">
        <f t="shared" si="40"/>
        <v>-429.47063291874849</v>
      </c>
      <c r="D188" s="10">
        <f t="shared" si="39"/>
        <v>13.881074728202538</v>
      </c>
      <c r="E188" s="10">
        <f t="shared" si="32"/>
        <v>14.359189609108734</v>
      </c>
      <c r="F188" s="10">
        <f t="shared" si="33"/>
        <v>14.351567693633543</v>
      </c>
      <c r="G188" s="10">
        <f t="shared" si="34"/>
        <v>14.815797691068148</v>
      </c>
      <c r="H188" s="9">
        <f t="shared" si="35"/>
        <v>-425.45177485759325</v>
      </c>
      <c r="I188" s="8">
        <f t="shared" si="41"/>
        <v>26120.547999866383</v>
      </c>
      <c r="J188" s="9">
        <f t="shared" si="42"/>
        <v>-429.47063291874849</v>
      </c>
      <c r="K188" s="9">
        <f t="shared" si="43"/>
        <v>-425.45177485759325</v>
      </c>
      <c r="L188" s="8">
        <f t="shared" si="36"/>
        <v>26000.858862777695</v>
      </c>
      <c r="N188" s="16">
        <f t="shared" si="38"/>
        <v>0.30241133627378153</v>
      </c>
    </row>
    <row r="189" spans="2:14" x14ac:dyDescent="0.25">
      <c r="B189" s="7">
        <f t="shared" si="37"/>
        <v>51.800000000000132</v>
      </c>
      <c r="C189" s="9">
        <f t="shared" si="40"/>
        <v>-425.45177485759325</v>
      </c>
      <c r="D189" s="10">
        <f t="shared" si="39"/>
        <v>14.81574849101508</v>
      </c>
      <c r="E189" s="10">
        <f t="shared" si="32"/>
        <v>15.265362136156252</v>
      </c>
      <c r="F189" s="10">
        <f t="shared" si="33"/>
        <v>15.257855102488925</v>
      </c>
      <c r="G189" s="10">
        <f t="shared" si="34"/>
        <v>15.692356330223669</v>
      </c>
      <c r="H189" s="9">
        <f t="shared" si="35"/>
        <v>-421.17922969032855</v>
      </c>
      <c r="I189" s="8">
        <f t="shared" si="41"/>
        <v>26000.858862777695</v>
      </c>
      <c r="J189" s="9">
        <f t="shared" si="42"/>
        <v>-425.45177485759325</v>
      </c>
      <c r="K189" s="9">
        <f t="shared" si="43"/>
        <v>-421.17922969032855</v>
      </c>
      <c r="L189" s="8">
        <f t="shared" si="36"/>
        <v>25882.330522140986</v>
      </c>
      <c r="N189" s="16">
        <f t="shared" si="38"/>
        <v>0.32030890236452819</v>
      </c>
    </row>
    <row r="190" spans="2:14" x14ac:dyDescent="0.25">
      <c r="B190" s="7">
        <f t="shared" si="37"/>
        <v>52.080000000000133</v>
      </c>
      <c r="C190" s="9">
        <f t="shared" si="40"/>
        <v>-421.17922969032855</v>
      </c>
      <c r="D190" s="10">
        <f t="shared" si="39"/>
        <v>15.69231389577693</v>
      </c>
      <c r="E190" s="10">
        <f t="shared" si="32"/>
        <v>16.11104300526284</v>
      </c>
      <c r="F190" s="10">
        <f t="shared" si="33"/>
        <v>16.103742011755422</v>
      </c>
      <c r="G190" s="10">
        <f t="shared" si="34"/>
        <v>16.506338608969511</v>
      </c>
      <c r="H190" s="9">
        <f t="shared" si="35"/>
        <v>-416.66991263851867</v>
      </c>
      <c r="I190" s="8">
        <f t="shared" si="41"/>
        <v>25882.330522140986</v>
      </c>
      <c r="J190" s="9">
        <f t="shared" si="42"/>
        <v>-421.17922969032855</v>
      </c>
      <c r="K190" s="9">
        <f t="shared" si="43"/>
        <v>-416.66991263851867</v>
      </c>
      <c r="L190" s="8">
        <f t="shared" si="36"/>
        <v>25765.031642214948</v>
      </c>
      <c r="N190" s="16">
        <f t="shared" si="38"/>
        <v>0.33847449125325407</v>
      </c>
    </row>
    <row r="191" spans="2:14" x14ac:dyDescent="0.25">
      <c r="B191" s="7">
        <f t="shared" si="37"/>
        <v>52.360000000000134</v>
      </c>
      <c r="C191" s="9">
        <f t="shared" si="40"/>
        <v>-416.66991263851867</v>
      </c>
      <c r="D191" s="10">
        <f t="shared" si="39"/>
        <v>16.506304151979577</v>
      </c>
      <c r="E191" s="10">
        <f t="shared" si="32"/>
        <v>16.892189108458513</v>
      </c>
      <c r="F191" s="10">
        <f t="shared" si="33"/>
        <v>16.885182488511912</v>
      </c>
      <c r="G191" s="10">
        <f t="shared" si="34"/>
        <v>17.25413010705973</v>
      </c>
      <c r="H191" s="9">
        <f t="shared" si="35"/>
        <v>-411.94187102404624</v>
      </c>
      <c r="I191" s="8">
        <f t="shared" si="41"/>
        <v>25765.031642214948</v>
      </c>
      <c r="J191" s="9">
        <f t="shared" si="42"/>
        <v>-416.66991263851867</v>
      </c>
      <c r="K191" s="9">
        <f t="shared" si="43"/>
        <v>-411.94187102404624</v>
      </c>
      <c r="L191" s="8">
        <f t="shared" si="36"/>
        <v>25649.025992502189</v>
      </c>
      <c r="N191" s="16">
        <f t="shared" si="38"/>
        <v>0.35687889298152692</v>
      </c>
    </row>
    <row r="192" spans="2:14" x14ac:dyDescent="0.25">
      <c r="B192" s="7">
        <f t="shared" si="37"/>
        <v>52.640000000000136</v>
      </c>
      <c r="C192" s="9">
        <f t="shared" si="40"/>
        <v>-411.94187102404624</v>
      </c>
      <c r="D192" s="10">
        <f t="shared" si="39"/>
        <v>17.254104761620468</v>
      </c>
      <c r="E192" s="10">
        <f t="shared" si="32"/>
        <v>17.605623542325709</v>
      </c>
      <c r="F192" s="10">
        <f t="shared" si="33"/>
        <v>17.59899466685652</v>
      </c>
      <c r="G192" s="10">
        <f t="shared" si="34"/>
        <v>17.932989006372306</v>
      </c>
      <c r="H192" s="9">
        <f t="shared" si="35"/>
        <v>-407.01404228201625</v>
      </c>
      <c r="I192" s="8">
        <f t="shared" si="41"/>
        <v>25649.025992502189</v>
      </c>
      <c r="J192" s="9">
        <f t="shared" si="42"/>
        <v>-411.94187102404624</v>
      </c>
      <c r="K192" s="9">
        <f t="shared" si="43"/>
        <v>-407.01404228201625</v>
      </c>
      <c r="L192" s="8">
        <f t="shared" si="36"/>
        <v>25534.372164639339</v>
      </c>
      <c r="N192" s="16">
        <f t="shared" si="38"/>
        <v>0.37549316887480455</v>
      </c>
    </row>
    <row r="193" spans="2:14" x14ac:dyDescent="0.25">
      <c r="B193" s="7">
        <f t="shared" si="37"/>
        <v>52.920000000000137</v>
      </c>
      <c r="C193" s="9">
        <f t="shared" si="40"/>
        <v>-407.01404228201625</v>
      </c>
      <c r="D193" s="10">
        <f t="shared" si="39"/>
        <v>17.932973798732675</v>
      </c>
      <c r="E193" s="10">
        <f t="shared" si="32"/>
        <v>18.249045043974178</v>
      </c>
      <c r="F193" s="10">
        <f t="shared" si="33"/>
        <v>18.242870422672731</v>
      </c>
      <c r="G193" s="10">
        <f t="shared" si="34"/>
        <v>18.54104519371581</v>
      </c>
      <c r="H193" s="9">
        <f t="shared" si="35"/>
        <v>-401.90600928548162</v>
      </c>
      <c r="I193" s="8">
        <f t="shared" si="41"/>
        <v>25534.372164639339</v>
      </c>
      <c r="J193" s="9">
        <f t="shared" si="42"/>
        <v>-407.01404228201625</v>
      </c>
      <c r="K193" s="9">
        <f t="shared" si="43"/>
        <v>-401.90600928548162</v>
      </c>
      <c r="L193" s="8">
        <f t="shared" si="36"/>
        <v>25421.123357419889</v>
      </c>
      <c r="N193" s="16">
        <f t="shared" si="38"/>
        <v>0.39428883088947903</v>
      </c>
    </row>
    <row r="194" spans="2:14" x14ac:dyDescent="0.25">
      <c r="B194" s="7">
        <f t="shared" si="37"/>
        <v>53.200000000000138</v>
      </c>
      <c r="C194" s="9">
        <f t="shared" si="40"/>
        <v>-401.90600928548162</v>
      </c>
      <c r="D194" s="10">
        <f t="shared" si="39"/>
        <v>18.54104101553926</v>
      </c>
      <c r="E194" s="10">
        <f t="shared" si="32"/>
        <v>18.821016863577732</v>
      </c>
      <c r="F194" s="10">
        <f t="shared" si="33"/>
        <v>18.815364550973932</v>
      </c>
      <c r="G194" s="10">
        <f t="shared" si="34"/>
        <v>19.077279655843352</v>
      </c>
      <c r="H194" s="9">
        <f t="shared" si="35"/>
        <v>-396.63775872212562</v>
      </c>
      <c r="I194" s="8">
        <f t="shared" si="41"/>
        <v>25421.123357419889</v>
      </c>
      <c r="J194" s="9">
        <f t="shared" si="42"/>
        <v>-401.90600928548162</v>
      </c>
      <c r="K194" s="9">
        <f t="shared" si="43"/>
        <v>-396.63775872212562</v>
      </c>
      <c r="L194" s="8">
        <f t="shared" si="36"/>
        <v>25309.327229898823</v>
      </c>
      <c r="N194" s="16">
        <f t="shared" si="38"/>
        <v>0.41323800838480501</v>
      </c>
    </row>
    <row r="195" spans="2:14" x14ac:dyDescent="0.25">
      <c r="B195" s="7">
        <f t="shared" si="37"/>
        <v>53.480000000000139</v>
      </c>
      <c r="C195" s="9">
        <f t="shared" si="40"/>
        <v>-396.63775872212562</v>
      </c>
      <c r="D195" s="10">
        <f t="shared" si="39"/>
        <v>19.077287241970602</v>
      </c>
      <c r="E195" s="10">
        <f t="shared" si="32"/>
        <v>19.320936895094938</v>
      </c>
      <c r="F195" s="10">
        <f t="shared" si="33"/>
        <v>19.315865247181993</v>
      </c>
      <c r="G195" s="10">
        <f t="shared" si="34"/>
        <v>19.541486284691452</v>
      </c>
      <c r="H195" s="9">
        <f t="shared" si="35"/>
        <v>-391.2294477576022</v>
      </c>
      <c r="I195" s="8">
        <f t="shared" si="41"/>
        <v>25309.327229898823</v>
      </c>
      <c r="J195" s="9">
        <f t="shared" si="42"/>
        <v>-396.63775872212562</v>
      </c>
      <c r="K195" s="9">
        <f t="shared" si="43"/>
        <v>-391.2294477576022</v>
      </c>
      <c r="L195" s="8">
        <f t="shared" si="36"/>
        <v>25199.025820991661</v>
      </c>
      <c r="N195" s="16">
        <f t="shared" si="38"/>
        <v>0.43231360016646153</v>
      </c>
    </row>
    <row r="196" spans="2:14" x14ac:dyDescent="0.25">
      <c r="B196" s="7">
        <f t="shared" si="37"/>
        <v>53.76000000000014</v>
      </c>
      <c r="C196" s="9">
        <f t="shared" si="40"/>
        <v>-391.2294477576022</v>
      </c>
      <c r="D196" s="10">
        <f t="shared" si="39"/>
        <v>19.54150619628837</v>
      </c>
      <c r="E196" s="10">
        <f t="shared" ref="E196:E259" si="44">dvdt($C196+h/2*D196,$I196+(h/2)/2*(2*C196+D196*h/2))</f>
        <v>19.748991458598621</v>
      </c>
      <c r="F196" s="10">
        <f t="shared" ref="F196:F259" si="45">dvdt($C196+h/2*E196,$I196+(h/2)/2*(2*$C196+E196*h/2))</f>
        <v>19.744548264450835</v>
      </c>
      <c r="G196" s="10">
        <f t="shared" ref="G196:G259" si="46">dvdt($C196+h*F196,$I196+h/2*(2*$C196+F196*h))</f>
        <v>19.9342186980811</v>
      </c>
      <c r="H196" s="9">
        <f t="shared" ref="H196:H259" si="47">C196+h/6*(D196+2*E196+2*F196+G196)</f>
        <v>-385.70118355504701</v>
      </c>
      <c r="I196" s="8">
        <f t="shared" si="41"/>
        <v>25199.025820991661</v>
      </c>
      <c r="J196" s="9">
        <f t="shared" si="42"/>
        <v>-391.2294477576022</v>
      </c>
      <c r="K196" s="9">
        <f t="shared" si="43"/>
        <v>-385.70118355504701</v>
      </c>
      <c r="L196" s="8">
        <f t="shared" ref="L196:L259" si="48">I196+h/2*(J196+K196)</f>
        <v>25090.255532607891</v>
      </c>
      <c r="N196" s="16">
        <f t="shared" si="38"/>
        <v>0.45148941013798849</v>
      </c>
    </row>
    <row r="197" spans="2:14" x14ac:dyDescent="0.25">
      <c r="B197" s="7">
        <f t="shared" ref="B197:B260" si="49">B196+h</f>
        <v>54.040000000000141</v>
      </c>
      <c r="C197" s="9">
        <f t="shared" si="40"/>
        <v>-385.70118355504701</v>
      </c>
      <c r="D197" s="10">
        <f t="shared" si="39"/>
        <v>19.934251311729394</v>
      </c>
      <c r="E197" s="10">
        <f t="shared" si="44"/>
        <v>20.106095527683589</v>
      </c>
      <c r="F197" s="10">
        <f t="shared" si="45"/>
        <v>20.102317519810384</v>
      </c>
      <c r="G197" s="10">
        <f t="shared" si="46"/>
        <v>20.256724993787738</v>
      </c>
      <c r="H197" s="9">
        <f t="shared" si="47"/>
        <v>-380.07281944302343</v>
      </c>
      <c r="I197" s="8">
        <f t="shared" si="41"/>
        <v>25090.255532607891</v>
      </c>
      <c r="J197" s="9">
        <f t="shared" si="42"/>
        <v>-385.70118355504701</v>
      </c>
      <c r="K197" s="9">
        <f t="shared" si="43"/>
        <v>-380.07281944302343</v>
      </c>
      <c r="L197" s="8">
        <f t="shared" si="48"/>
        <v>24983.047172188162</v>
      </c>
      <c r="N197" s="16">
        <f t="shared" ref="N197:N215" si="50">C_y(I197)</f>
        <v>0.47074026539846575</v>
      </c>
    </row>
    <row r="198" spans="2:14" x14ac:dyDescent="0.25">
      <c r="B198" s="7">
        <f t="shared" si="49"/>
        <v>54.320000000000142</v>
      </c>
      <c r="C198" s="9">
        <f t="shared" si="40"/>
        <v>-380.07281944302343</v>
      </c>
      <c r="D198" s="10">
        <f t="shared" ref="D198:D261" si="51">dvdt($C198,$I198)</f>
        <v>20.256770496729885</v>
      </c>
      <c r="E198" s="10">
        <f t="shared" si="44"/>
        <v>20.393822420023163</v>
      </c>
      <c r="F198" s="10">
        <f t="shared" si="45"/>
        <v>20.390735148517248</v>
      </c>
      <c r="G198" s="10">
        <f t="shared" si="46"/>
        <v>20.510873495679643</v>
      </c>
      <c r="H198" s="9">
        <f t="shared" si="47"/>
        <v>-374.3637706836472</v>
      </c>
      <c r="I198" s="8">
        <f t="shared" si="41"/>
        <v>24983.047172188162</v>
      </c>
      <c r="J198" s="9">
        <f t="shared" si="42"/>
        <v>-380.07281944302343</v>
      </c>
      <c r="K198" s="9">
        <f t="shared" si="43"/>
        <v>-374.3637706836472</v>
      </c>
      <c r="L198" s="8">
        <f t="shared" si="48"/>
        <v>24877.426049570429</v>
      </c>
      <c r="N198" s="16">
        <f t="shared" si="50"/>
        <v>0.49004211611886223</v>
      </c>
    </row>
    <row r="199" spans="2:14" x14ac:dyDescent="0.25">
      <c r="B199" s="7">
        <f t="shared" si="49"/>
        <v>54.600000000000144</v>
      </c>
      <c r="C199" s="9">
        <f t="shared" si="40"/>
        <v>-374.3637706836472</v>
      </c>
      <c r="D199" s="10">
        <f t="shared" si="51"/>
        <v>20.510931887097005</v>
      </c>
      <c r="E199" s="10">
        <f t="shared" si="44"/>
        <v>20.614326027142759</v>
      </c>
      <c r="F199" s="10">
        <f t="shared" si="45"/>
        <v>20.611944067064531</v>
      </c>
      <c r="G199" s="10">
        <f t="shared" si="46"/>
        <v>20.699072533579358</v>
      </c>
      <c r="H199" s="9">
        <f t="shared" si="47"/>
        <v>-368.59285193522294</v>
      </c>
      <c r="I199" s="8">
        <f t="shared" si="41"/>
        <v>24877.426049570429</v>
      </c>
      <c r="J199" s="9">
        <f t="shared" si="42"/>
        <v>-374.3637706836472</v>
      </c>
      <c r="K199" s="9">
        <f t="shared" si="43"/>
        <v>-368.59285193522294</v>
      </c>
      <c r="L199" s="8">
        <f t="shared" si="48"/>
        <v>24773.412122403788</v>
      </c>
      <c r="N199" s="16">
        <f t="shared" si="50"/>
        <v>0.50937211699709362</v>
      </c>
    </row>
    <row r="200" spans="2:14" x14ac:dyDescent="0.25">
      <c r="B200" s="7">
        <f t="shared" si="49"/>
        <v>54.880000000000145</v>
      </c>
      <c r="C200" s="9">
        <f t="shared" si="40"/>
        <v>-368.59285193522294</v>
      </c>
      <c r="D200" s="10">
        <f t="shared" si="51"/>
        <v>20.699143631479654</v>
      </c>
      <c r="E200" s="10">
        <f t="shared" si="44"/>
        <v>20.770258569732402</v>
      </c>
      <c r="F200" s="10">
        <f t="shared" si="45"/>
        <v>20.768586019280981</v>
      </c>
      <c r="G200" s="10">
        <f t="shared" si="46"/>
        <v>20.824187146146453</v>
      </c>
      <c r="H200" s="9">
        <f t="shared" si="47"/>
        <v>-362.77813767062582</v>
      </c>
      <c r="I200" s="8">
        <f t="shared" si="41"/>
        <v>24773.412122403788</v>
      </c>
      <c r="J200" s="9">
        <f t="shared" si="42"/>
        <v>-368.59285193522294</v>
      </c>
      <c r="K200" s="9">
        <f t="shared" si="43"/>
        <v>-362.77813767062582</v>
      </c>
      <c r="L200" s="8">
        <f t="shared" si="48"/>
        <v>24671.020183858971</v>
      </c>
      <c r="N200" s="16">
        <f t="shared" si="50"/>
        <v>0.52870869051817426</v>
      </c>
    </row>
    <row r="201" spans="2:14" x14ac:dyDescent="0.25">
      <c r="B201" s="7">
        <f t="shared" si="49"/>
        <v>55.160000000000146</v>
      </c>
      <c r="C201" s="9">
        <f t="shared" si="40"/>
        <v>-362.77813767062582</v>
      </c>
      <c r="D201" s="10">
        <f t="shared" si="51"/>
        <v>20.824270599187191</v>
      </c>
      <c r="E201" s="10">
        <f t="shared" si="44"/>
        <v>20.864686653167297</v>
      </c>
      <c r="F201" s="10">
        <f t="shared" si="45"/>
        <v>20.863717872269845</v>
      </c>
      <c r="G201" s="10">
        <f t="shared" si="46"/>
        <v>20.889455336402545</v>
      </c>
      <c r="H201" s="9">
        <f t="shared" si="47"/>
        <v>-356.93684603792417</v>
      </c>
      <c r="I201" s="8">
        <f t="shared" si="41"/>
        <v>24671.020183858971</v>
      </c>
      <c r="J201" s="9">
        <f t="shared" si="42"/>
        <v>-362.77813767062582</v>
      </c>
      <c r="K201" s="9">
        <f t="shared" si="43"/>
        <v>-356.93684603792417</v>
      </c>
      <c r="L201" s="8">
        <f t="shared" si="48"/>
        <v>24570.260086139773</v>
      </c>
      <c r="N201" s="16">
        <f t="shared" si="50"/>
        <v>0.5480315726195859</v>
      </c>
    </row>
    <row r="202" spans="2:14" x14ac:dyDescent="0.25">
      <c r="B202" s="7">
        <f t="shared" si="49"/>
        <v>55.440000000000147</v>
      </c>
      <c r="C202" s="9">
        <f t="shared" si="40"/>
        <v>-356.93684603792417</v>
      </c>
      <c r="D202" s="10">
        <f t="shared" si="51"/>
        <v>20.889550639798834</v>
      </c>
      <c r="E202" s="10">
        <f t="shared" si="44"/>
        <v>20.901008094047725</v>
      </c>
      <c r="F202" s="10">
        <f t="shared" si="45"/>
        <v>20.900728628974658</v>
      </c>
      <c r="G202" s="10">
        <f t="shared" si="46"/>
        <v>20.898406172866292</v>
      </c>
      <c r="H202" s="9">
        <f t="shared" si="47"/>
        <v>-351.08524595918436</v>
      </c>
      <c r="I202" s="8">
        <f t="shared" si="41"/>
        <v>24570.260086139773</v>
      </c>
      <c r="J202" s="9">
        <f t="shared" si="42"/>
        <v>-356.93684603792417</v>
      </c>
      <c r="K202" s="9">
        <f t="shared" si="43"/>
        <v>-351.08524595918436</v>
      </c>
      <c r="L202" s="8">
        <f t="shared" si="48"/>
        <v>24471.136993260177</v>
      </c>
      <c r="N202" s="16">
        <f t="shared" si="50"/>
        <v>0.56732184167615107</v>
      </c>
    </row>
    <row r="203" spans="2:14" x14ac:dyDescent="0.25">
      <c r="B203" s="7">
        <f t="shared" si="49"/>
        <v>55.720000000000148</v>
      </c>
      <c r="C203" s="9">
        <f t="shared" si="40"/>
        <v>-351.08524595918436</v>
      </c>
      <c r="D203" s="10">
        <f t="shared" si="51"/>
        <v>20.898512687419419</v>
      </c>
      <c r="E203" s="10">
        <f t="shared" si="44"/>
        <v>20.882871623130999</v>
      </c>
      <c r="F203" s="10">
        <f t="shared" si="45"/>
        <v>20.883259262224623</v>
      </c>
      <c r="G203" s="10">
        <f t="shared" si="46"/>
        <v>20.854781645666844</v>
      </c>
      <c r="H203" s="9">
        <f t="shared" si="47"/>
        <v>-345.23858667434047</v>
      </c>
      <c r="I203" s="8">
        <f t="shared" si="41"/>
        <v>24471.136993260177</v>
      </c>
      <c r="J203" s="9">
        <f t="shared" si="42"/>
        <v>-351.08524595918436</v>
      </c>
      <c r="K203" s="9">
        <f t="shared" si="43"/>
        <v>-345.23858667434047</v>
      </c>
      <c r="L203" s="8">
        <f t="shared" si="48"/>
        <v>24373.651656691483</v>
      </c>
      <c r="N203" s="16">
        <f t="shared" si="50"/>
        <v>0.58656193196939665</v>
      </c>
    </row>
    <row r="204" spans="2:14" x14ac:dyDescent="0.25">
      <c r="B204" s="7">
        <f t="shared" si="49"/>
        <v>56.000000000000149</v>
      </c>
      <c r="C204" s="9">
        <f t="shared" si="40"/>
        <v>-345.23858667434047</v>
      </c>
      <c r="D204" s="10">
        <f t="shared" si="51"/>
        <v>20.854898618911303</v>
      </c>
      <c r="E204" s="10">
        <f t="shared" si="44"/>
        <v>20.814101172131135</v>
      </c>
      <c r="F204" s="10">
        <f t="shared" si="45"/>
        <v>20.815127080167411</v>
      </c>
      <c r="G204" s="10">
        <f t="shared" si="46"/>
        <v>20.762463784044083</v>
      </c>
      <c r="H204" s="9">
        <f t="shared" si="47"/>
        <v>-339.4110484586547</v>
      </c>
      <c r="I204" s="8">
        <f t="shared" si="41"/>
        <v>24373.651656691483</v>
      </c>
      <c r="J204" s="9">
        <f t="shared" si="42"/>
        <v>-345.23858667434047</v>
      </c>
      <c r="K204" s="9">
        <f t="shared" si="43"/>
        <v>-339.4110484586547</v>
      </c>
      <c r="L204" s="8">
        <f t="shared" si="48"/>
        <v>24277.800707772865</v>
      </c>
      <c r="N204" s="16">
        <f t="shared" si="50"/>
        <v>0.60573563299365185</v>
      </c>
    </row>
    <row r="205" spans="2:14" x14ac:dyDescent="0.25">
      <c r="B205" s="7">
        <f t="shared" si="49"/>
        <v>56.28000000000015</v>
      </c>
      <c r="C205" s="9">
        <f t="shared" si="40"/>
        <v>-339.4110484586547</v>
      </c>
      <c r="D205" s="10">
        <f t="shared" si="51"/>
        <v>20.762590372533364</v>
      </c>
      <c r="E205" s="10">
        <f t="shared" si="44"/>
        <v>20.698626047298784</v>
      </c>
      <c r="F205" s="10">
        <f t="shared" si="45"/>
        <v>20.700255930703619</v>
      </c>
      <c r="G205" s="10">
        <f t="shared" si="46"/>
        <v>20.625408142947279</v>
      </c>
      <c r="H205" s="9">
        <f t="shared" si="47"/>
        <v>-333.61571287665203</v>
      </c>
      <c r="I205" s="8">
        <f t="shared" si="41"/>
        <v>24277.800707772865</v>
      </c>
      <c r="J205" s="9">
        <f t="shared" si="42"/>
        <v>-339.4110484586547</v>
      </c>
      <c r="K205" s="9">
        <f t="shared" si="43"/>
        <v>-333.61571287665203</v>
      </c>
      <c r="L205" s="8">
        <f t="shared" si="48"/>
        <v>24183.576961185921</v>
      </c>
      <c r="N205" s="16">
        <f t="shared" si="50"/>
        <v>0.62482807607738289</v>
      </c>
    </row>
    <row r="206" spans="2:14" x14ac:dyDescent="0.25">
      <c r="B206" s="7">
        <f t="shared" si="49"/>
        <v>56.560000000000151</v>
      </c>
      <c r="C206" s="9">
        <f t="shared" si="40"/>
        <v>-333.61571287665203</v>
      </c>
      <c r="D206" s="10">
        <f t="shared" si="51"/>
        <v>20.625543434771679</v>
      </c>
      <c r="E206" s="10">
        <f t="shared" si="44"/>
        <v>20.540417902786707</v>
      </c>
      <c r="F206" s="10">
        <f t="shared" si="45"/>
        <v>20.542613164196503</v>
      </c>
      <c r="G206" s="10">
        <f t="shared" si="46"/>
        <v>20.447584390830315</v>
      </c>
      <c r="H206" s="9">
        <f t="shared" si="47"/>
        <v>-327.86455067853882</v>
      </c>
      <c r="I206" s="8">
        <f t="shared" si="41"/>
        <v>24183.576961185921</v>
      </c>
      <c r="J206" s="9">
        <f t="shared" si="42"/>
        <v>-333.61571287665203</v>
      </c>
      <c r="K206" s="9">
        <f t="shared" si="43"/>
        <v>-327.86455067853882</v>
      </c>
      <c r="L206" s="8">
        <f t="shared" si="48"/>
        <v>24090.969724288196</v>
      </c>
      <c r="N206" s="16">
        <f t="shared" si="50"/>
        <v>0.64382570986829479</v>
      </c>
    </row>
    <row r="207" spans="2:14" x14ac:dyDescent="0.25">
      <c r="B207" s="7">
        <f t="shared" si="49"/>
        <v>56.840000000000153</v>
      </c>
      <c r="C207" s="9">
        <f t="shared" si="40"/>
        <v>-327.86455067853882</v>
      </c>
      <c r="D207" s="10">
        <f t="shared" si="51"/>
        <v>20.447727427573771</v>
      </c>
      <c r="E207" s="10">
        <f t="shared" si="44"/>
        <v>20.343435067784732</v>
      </c>
      <c r="F207" s="10">
        <f t="shared" si="45"/>
        <v>20.346153915614735</v>
      </c>
      <c r="G207" s="10">
        <f t="shared" si="46"/>
        <v>20.232924391951254</v>
      </c>
      <c r="H207" s="9">
        <f t="shared" si="47"/>
        <v>-322.16842528851038</v>
      </c>
      <c r="I207" s="8">
        <f t="shared" si="41"/>
        <v>24090.969724288196</v>
      </c>
      <c r="J207" s="9">
        <f t="shared" si="42"/>
        <v>-327.86455067853882</v>
      </c>
      <c r="K207" s="9">
        <f t="shared" si="43"/>
        <v>-322.16842528851038</v>
      </c>
      <c r="L207" s="8">
        <f t="shared" si="48"/>
        <v>23999.96510765281</v>
      </c>
      <c r="N207" s="16">
        <f t="shared" si="50"/>
        <v>0.66271626625088365</v>
      </c>
    </row>
    <row r="208" spans="2:14" x14ac:dyDescent="0.25">
      <c r="B208" s="7">
        <f t="shared" si="49"/>
        <v>57.120000000000154</v>
      </c>
      <c r="C208" s="9">
        <f t="shared" si="40"/>
        <v>-322.16842528851038</v>
      </c>
      <c r="D208" s="10">
        <f t="shared" si="51"/>
        <v>20.233074189430329</v>
      </c>
      <c r="E208" s="10">
        <f t="shared" si="44"/>
        <v>20.111574464506646</v>
      </c>
      <c r="F208" s="10">
        <f t="shared" si="45"/>
        <v>20.114772950671597</v>
      </c>
      <c r="G208" s="10">
        <f t="shared" si="46"/>
        <v>19.985277883344452</v>
      </c>
      <c r="H208" s="9">
        <f t="shared" si="47"/>
        <v>-316.53710976636427</v>
      </c>
      <c r="I208" s="8">
        <f t="shared" si="41"/>
        <v>23999.96510765281</v>
      </c>
      <c r="J208" s="9">
        <f t="shared" si="42"/>
        <v>-322.16842528851038</v>
      </c>
      <c r="K208" s="9">
        <f t="shared" si="43"/>
        <v>-316.53710976636427</v>
      </c>
      <c r="L208" s="8">
        <f t="shared" si="48"/>
        <v>23910.546332745129</v>
      </c>
      <c r="N208" s="16">
        <f t="shared" si="50"/>
        <v>0.6814887182425825</v>
      </c>
    </row>
    <row r="209" spans="2:14" x14ac:dyDescent="0.25">
      <c r="B209" s="7">
        <f t="shared" si="49"/>
        <v>57.400000000000155</v>
      </c>
      <c r="C209" s="9">
        <f t="shared" si="40"/>
        <v>-316.53710976636427</v>
      </c>
      <c r="D209" s="10">
        <f t="shared" si="51"/>
        <v>19.985433450620725</v>
      </c>
      <c r="E209" s="10">
        <f t="shared" si="44"/>
        <v>19.848631085800868</v>
      </c>
      <c r="F209" s="10">
        <f t="shared" si="45"/>
        <v>19.852264052048241</v>
      </c>
      <c r="G209" s="10">
        <f t="shared" si="46"/>
        <v>19.708375603587612</v>
      </c>
      <c r="H209" s="9">
        <f t="shared" si="47"/>
        <v>-310.97931513096864</v>
      </c>
      <c r="I209" s="8">
        <f t="shared" si="41"/>
        <v>23910.546332745129</v>
      </c>
      <c r="J209" s="9">
        <f t="shared" si="42"/>
        <v>-316.53710976636427</v>
      </c>
      <c r="K209" s="9">
        <f t="shared" si="43"/>
        <v>-310.97931513096864</v>
      </c>
      <c r="L209" s="8">
        <f t="shared" si="48"/>
        <v>23822.694033259504</v>
      </c>
      <c r="N209" s="16">
        <f t="shared" si="50"/>
        <v>0.70013323135717542</v>
      </c>
    </row>
    <row r="210" spans="2:14" x14ac:dyDescent="0.25">
      <c r="B210" s="7">
        <f t="shared" si="49"/>
        <v>57.680000000000156</v>
      </c>
      <c r="C210" s="9">
        <f t="shared" si="40"/>
        <v>-310.97931513096864</v>
      </c>
      <c r="D210" s="10">
        <f t="shared" si="51"/>
        <v>19.70853595989178</v>
      </c>
      <c r="E210" s="10">
        <f t="shared" si="44"/>
        <v>19.558264783911778</v>
      </c>
      <c r="F210" s="10">
        <f t="shared" si="45"/>
        <v>19.562286704010933</v>
      </c>
      <c r="G210" s="10">
        <f t="shared" si="46"/>
        <v>19.405799538307569</v>
      </c>
      <c r="H210" s="9">
        <f t="shared" si="47"/>
        <v>-305.50272800217988</v>
      </c>
      <c r="I210" s="8">
        <f t="shared" si="41"/>
        <v>23822.694033259504</v>
      </c>
      <c r="J210" s="9">
        <f t="shared" si="42"/>
        <v>-310.97931513096864</v>
      </c>
      <c r="K210" s="9">
        <f t="shared" si="43"/>
        <v>-305.50272800217988</v>
      </c>
      <c r="L210" s="8">
        <f t="shared" si="48"/>
        <v>23736.386547220864</v>
      </c>
      <c r="N210" s="16">
        <f t="shared" si="50"/>
        <v>0.71864110983933649</v>
      </c>
    </row>
    <row r="211" spans="2:14" x14ac:dyDescent="0.25">
      <c r="B211" s="7">
        <f t="shared" si="49"/>
        <v>57.960000000000157</v>
      </c>
      <c r="C211" s="9">
        <f t="shared" si="40"/>
        <v>-305.50272800217988</v>
      </c>
      <c r="D211" s="10">
        <f t="shared" si="51"/>
        <v>19.405963727657163</v>
      </c>
      <c r="E211" s="10">
        <f t="shared" si="44"/>
        <v>19.243973954918506</v>
      </c>
      <c r="F211" s="10">
        <f t="shared" si="45"/>
        <v>19.248339665949935</v>
      </c>
      <c r="G211" s="10">
        <f t="shared" si="46"/>
        <v>19.080959803974928</v>
      </c>
      <c r="H211" s="9">
        <f t="shared" si="47"/>
        <v>-300.11405563275599</v>
      </c>
      <c r="I211" s="8">
        <f t="shared" si="41"/>
        <v>23736.386547220864</v>
      </c>
      <c r="J211" s="9">
        <f t="shared" si="42"/>
        <v>-305.50272800217988</v>
      </c>
      <c r="K211" s="9">
        <f t="shared" si="43"/>
        <v>-300.11405563275599</v>
      </c>
      <c r="L211" s="8">
        <f t="shared" si="48"/>
        <v>23651.600197511973</v>
      </c>
      <c r="N211" s="16">
        <f t="shared" si="50"/>
        <v>0.73700473906942821</v>
      </c>
    </row>
    <row r="212" spans="2:14" x14ac:dyDescent="0.25">
      <c r="B212" s="7">
        <f t="shared" si="49"/>
        <v>58.240000000000158</v>
      </c>
      <c r="C212" s="9">
        <f t="shared" si="40"/>
        <v>-300.11405563275599</v>
      </c>
      <c r="D212" s="10">
        <f t="shared" si="51"/>
        <v>19.081126907388182</v>
      </c>
      <c r="E212" s="10">
        <f t="shared" si="44"/>
        <v>18.909075583366487</v>
      </c>
      <c r="F212" s="10">
        <f t="shared" si="45"/>
        <v>18.913740904442495</v>
      </c>
      <c r="G212" s="10">
        <f t="shared" si="46"/>
        <v>18.73707759280229</v>
      </c>
      <c r="H212" s="9">
        <f t="shared" si="47"/>
        <v>-294.81907655055159</v>
      </c>
      <c r="I212" s="8">
        <f t="shared" si="41"/>
        <v>23651.600197511973</v>
      </c>
      <c r="J212" s="9">
        <f t="shared" si="42"/>
        <v>-300.11405563275599</v>
      </c>
      <c r="K212" s="9">
        <f t="shared" si="43"/>
        <v>-294.81907655055159</v>
      </c>
      <c r="L212" s="8">
        <f t="shared" si="48"/>
        <v>23568.309559006309</v>
      </c>
      <c r="N212" s="16">
        <f t="shared" si="50"/>
        <v>0.755217525319276</v>
      </c>
    </row>
    <row r="213" spans="2:14" x14ac:dyDescent="0.25">
      <c r="B213" s="7">
        <f t="shared" si="49"/>
        <v>58.520000000000159</v>
      </c>
      <c r="C213" s="9">
        <f t="shared" si="40"/>
        <v>-294.81907655055159</v>
      </c>
      <c r="D213" s="10">
        <f t="shared" si="51"/>
        <v>18.737246738118081</v>
      </c>
      <c r="E213" s="10">
        <f t="shared" si="44"/>
        <v>18.55669103367487</v>
      </c>
      <c r="F213" s="10">
        <f t="shared" si="45"/>
        <v>18.561613274533805</v>
      </c>
      <c r="G213" s="10">
        <f t="shared" si="46"/>
        <v>18.377173542039163</v>
      </c>
      <c r="H213" s="9">
        <f t="shared" si="47"/>
        <v>-289.62269520204478</v>
      </c>
      <c r="I213" s="8">
        <f t="shared" si="41"/>
        <v>23568.309559006309</v>
      </c>
      <c r="J213" s="9">
        <f t="shared" si="42"/>
        <v>-294.81907655055159</v>
      </c>
      <c r="K213" s="9">
        <f t="shared" si="43"/>
        <v>-289.62269520204478</v>
      </c>
      <c r="L213" s="8">
        <f t="shared" si="48"/>
        <v>23486.487710960944</v>
      </c>
      <c r="N213" s="16">
        <f t="shared" si="50"/>
        <v>0.77327383391405913</v>
      </c>
    </row>
    <row r="214" spans="2:14" x14ac:dyDescent="0.25">
      <c r="B214" s="7">
        <f t="shared" si="49"/>
        <v>58.800000000000161</v>
      </c>
      <c r="C214" s="9">
        <f t="shared" si="40"/>
        <v>-289.62269520204478</v>
      </c>
      <c r="D214" s="10">
        <f t="shared" si="51"/>
        <v>18.377343911439251</v>
      </c>
      <c r="E214" s="10">
        <f t="shared" si="44"/>
        <v>18.18973693319295</v>
      </c>
      <c r="F214" s="10">
        <f t="shared" si="45"/>
        <v>18.194875298262982</v>
      </c>
      <c r="G214" s="10">
        <f t="shared" si="46"/>
        <v>18.00406086457555</v>
      </c>
      <c r="H214" s="9">
        <f t="shared" si="47"/>
        <v>-284.52899917089485</v>
      </c>
      <c r="I214" s="8">
        <f t="shared" si="41"/>
        <v>23486.487710960944</v>
      </c>
      <c r="J214" s="9">
        <f t="shared" si="42"/>
        <v>-289.62269520204478</v>
      </c>
      <c r="K214" s="9">
        <f t="shared" si="43"/>
        <v>-284.52899917089485</v>
      </c>
      <c r="L214" s="8">
        <f t="shared" si="48"/>
        <v>23406.106473748732</v>
      </c>
      <c r="N214" s="16">
        <f t="shared" si="50"/>
        <v>0.79116892672691375</v>
      </c>
    </row>
    <row r="215" spans="2:14" x14ac:dyDescent="0.25">
      <c r="B215" s="7">
        <f t="shared" si="49"/>
        <v>59.080000000000162</v>
      </c>
      <c r="C215" s="9">
        <f t="shared" si="40"/>
        <v>-284.52899917089485</v>
      </c>
      <c r="D215" s="10">
        <f t="shared" si="51"/>
        <v>18.004231699967129</v>
      </c>
      <c r="E215" s="10">
        <f t="shared" si="44"/>
        <v>17.810920480018012</v>
      </c>
      <c r="F215" s="10">
        <f t="shared" si="45"/>
        <v>17.816236375819113</v>
      </c>
      <c r="G215" s="10">
        <f t="shared" si="46"/>
        <v>17.620342578259393</v>
      </c>
      <c r="H215" s="9">
        <f t="shared" si="47"/>
        <v>-279.54131773136612</v>
      </c>
      <c r="I215" s="8">
        <f t="shared" si="41"/>
        <v>23406.106473748732</v>
      </c>
      <c r="J215" s="9">
        <f t="shared" si="42"/>
        <v>-284.52899917089485</v>
      </c>
      <c r="K215" s="9">
        <f t="shared" si="43"/>
        <v>-279.54131773136612</v>
      </c>
      <c r="L215" s="8">
        <f t="shared" si="48"/>
        <v>23327.136629382414</v>
      </c>
      <c r="N215" s="16">
        <f t="shared" si="50"/>
        <v>0.80889889980595131</v>
      </c>
    </row>
    <row r="216" spans="2:14" x14ac:dyDescent="0.25">
      <c r="B216" s="7">
        <f t="shared" si="49"/>
        <v>59.360000000000163</v>
      </c>
      <c r="C216" s="9">
        <f t="shared" ref="C216:C279" si="52">H215</f>
        <v>-279.54131773136612</v>
      </c>
      <c r="D216" s="10">
        <f t="shared" si="51"/>
        <v>17.620513184721833</v>
      </c>
      <c r="E216" s="10">
        <f t="shared" si="44"/>
        <v>17.422738520727751</v>
      </c>
      <c r="F216" s="10">
        <f t="shared" si="45"/>
        <v>17.428195775955178</v>
      </c>
      <c r="G216" s="10">
        <f t="shared" si="46"/>
        <v>17.228412192706092</v>
      </c>
      <c r="H216" s="9">
        <f t="shared" si="47"/>
        <v>-274.66228067939574</v>
      </c>
      <c r="I216" s="8">
        <f t="shared" ref="I216:I279" si="53">L215</f>
        <v>23327.136629382414</v>
      </c>
      <c r="J216" s="9">
        <f t="shared" ref="J216:J279" si="54">C216</f>
        <v>-279.54131773136612</v>
      </c>
      <c r="K216" s="9">
        <f t="shared" ref="K216:K279" si="55">H216</f>
        <v>-274.66228067939574</v>
      </c>
      <c r="L216" s="8">
        <f t="shared" si="48"/>
        <v>23249.548125604906</v>
      </c>
      <c r="N216" s="16">
        <f t="shared" ref="N216:N279" si="56">C_y(I216)</f>
        <v>0.82646062181105395</v>
      </c>
    </row>
    <row r="217" spans="2:14" x14ac:dyDescent="0.25">
      <c r="B217" s="7">
        <f t="shared" si="49"/>
        <v>59.640000000000164</v>
      </c>
      <c r="C217" s="9">
        <f t="shared" si="52"/>
        <v>-274.66228067939574</v>
      </c>
      <c r="D217" s="10">
        <f t="shared" si="51"/>
        <v>17.228581940231457</v>
      </c>
      <c r="E217" s="10">
        <f t="shared" si="44"/>
        <v>17.027479773192351</v>
      </c>
      <c r="F217" s="10">
        <f t="shared" si="45"/>
        <v>17.033044781638026</v>
      </c>
      <c r="G217" s="10">
        <f t="shared" si="46"/>
        <v>16.830457249113401</v>
      </c>
      <c r="H217" s="9">
        <f t="shared" si="47"/>
        <v>-269.89387655877545</v>
      </c>
      <c r="I217" s="8">
        <f t="shared" si="53"/>
        <v>23249.548125604906</v>
      </c>
      <c r="J217" s="9">
        <f t="shared" si="54"/>
        <v>-274.66228067939574</v>
      </c>
      <c r="K217" s="9">
        <f t="shared" si="55"/>
        <v>-269.89387655877545</v>
      </c>
      <c r="L217" s="8">
        <f t="shared" si="48"/>
        <v>23173.310263591564</v>
      </c>
      <c r="N217" s="16">
        <f t="shared" si="56"/>
        <v>0.84385167382243165</v>
      </c>
    </row>
    <row r="218" spans="2:14" x14ac:dyDescent="0.25">
      <c r="B218" s="7">
        <f t="shared" si="49"/>
        <v>59.920000000000165</v>
      </c>
      <c r="C218" s="9">
        <f t="shared" si="52"/>
        <v>-269.89387655877545</v>
      </c>
      <c r="D218" s="10">
        <f t="shared" si="51"/>
        <v>16.830625572884184</v>
      </c>
      <c r="E218" s="10">
        <f t="shared" si="44"/>
        <v>16.627229612448161</v>
      </c>
      <c r="F218" s="10">
        <f t="shared" si="45"/>
        <v>16.632871409174811</v>
      </c>
      <c r="G218" s="10">
        <f t="shared" si="46"/>
        <v>16.428465155848041</v>
      </c>
      <c r="H218" s="9">
        <f t="shared" si="47"/>
        <v>-265.23750956274978</v>
      </c>
      <c r="I218" s="8">
        <f t="shared" si="53"/>
        <v>23173.310263591564</v>
      </c>
      <c r="J218" s="9">
        <f t="shared" si="54"/>
        <v>-269.89387655877545</v>
      </c>
      <c r="K218" s="9">
        <f t="shared" si="55"/>
        <v>-265.23750956274978</v>
      </c>
      <c r="L218" s="8">
        <f t="shared" si="48"/>
        <v>23098.391869534549</v>
      </c>
      <c r="N218" s="16">
        <f t="shared" si="56"/>
        <v>0.86107029097626475</v>
      </c>
    </row>
    <row r="219" spans="2:14" x14ac:dyDescent="0.25">
      <c r="B219" s="7">
        <f t="shared" si="49"/>
        <v>60.200000000000166</v>
      </c>
      <c r="C219" s="9">
        <f t="shared" si="52"/>
        <v>-265.23750956274978</v>
      </c>
      <c r="D219" s="10">
        <f t="shared" si="51"/>
        <v>16.428631555292526</v>
      </c>
      <c r="E219" s="10">
        <f t="shared" si="44"/>
        <v>16.223876888734083</v>
      </c>
      <c r="F219" s="10">
        <f t="shared" si="45"/>
        <v>16.229567169750336</v>
      </c>
      <c r="G219" s="10">
        <f t="shared" si="46"/>
        <v>16.024230816221625</v>
      </c>
      <c r="H219" s="9">
        <f t="shared" si="47"/>
        <v>-260.69405453995392</v>
      </c>
      <c r="I219" s="8">
        <f t="shared" si="53"/>
        <v>23098.391869534549</v>
      </c>
      <c r="J219" s="9">
        <f t="shared" si="54"/>
        <v>-265.23750956274978</v>
      </c>
      <c r="K219" s="9">
        <f t="shared" si="55"/>
        <v>-260.69405453995392</v>
      </c>
      <c r="L219" s="8">
        <f t="shared" si="48"/>
        <v>23024.76145056017</v>
      </c>
      <c r="N219" s="16">
        <f t="shared" si="56"/>
        <v>0.87811530628561618</v>
      </c>
    </row>
    <row r="220" spans="2:14" x14ac:dyDescent="0.25">
      <c r="B220" s="7">
        <f t="shared" si="49"/>
        <v>60.480000000000167</v>
      </c>
      <c r="C220" s="9">
        <f t="shared" si="52"/>
        <v>-260.69405453995392</v>
      </c>
      <c r="D220" s="10">
        <f t="shared" si="51"/>
        <v>16.024394853081187</v>
      </c>
      <c r="E220" s="10">
        <f t="shared" si="44"/>
        <v>15.819122302486448</v>
      </c>
      <c r="F220" s="10">
        <f t="shared" si="45"/>
        <v>15.824835397684762</v>
      </c>
      <c r="G220" s="10">
        <f t="shared" si="46"/>
        <v>15.619365601566162</v>
      </c>
      <c r="H220" s="9">
        <f t="shared" si="47"/>
        <v>-256.26390966672108</v>
      </c>
      <c r="I220" s="8">
        <f t="shared" si="53"/>
        <v>23024.76145056017</v>
      </c>
      <c r="J220" s="9">
        <f t="shared" si="54"/>
        <v>-260.69405453995392</v>
      </c>
      <c r="K220" s="9">
        <f t="shared" si="55"/>
        <v>-256.26390966672108</v>
      </c>
      <c r="L220" s="8">
        <f t="shared" si="48"/>
        <v>22952.387335571235</v>
      </c>
      <c r="N220" s="16">
        <f t="shared" si="56"/>
        <v>0.8949860969180492</v>
      </c>
    </row>
    <row r="221" spans="2:14" x14ac:dyDescent="0.25">
      <c r="B221" s="7">
        <f t="shared" si="49"/>
        <v>60.760000000000169</v>
      </c>
      <c r="C221" s="9">
        <f t="shared" si="52"/>
        <v>-256.26390966672108</v>
      </c>
      <c r="D221" s="10">
        <f t="shared" si="51"/>
        <v>15.619526897189871</v>
      </c>
      <c r="E221" s="10">
        <f t="shared" si="44"/>
        <v>15.414487918368375</v>
      </c>
      <c r="F221" s="10">
        <f t="shared" si="45"/>
        <v>15.420200726780971</v>
      </c>
      <c r="G221" s="10">
        <f t="shared" si="46"/>
        <v>15.215307279797225</v>
      </c>
      <c r="H221" s="9">
        <f t="shared" si="47"/>
        <v>-251.94704646491439</v>
      </c>
      <c r="I221" s="8">
        <f t="shared" si="53"/>
        <v>22952.387335571235</v>
      </c>
      <c r="J221" s="9">
        <f t="shared" si="54"/>
        <v>-256.26390966672108</v>
      </c>
      <c r="K221" s="9">
        <f t="shared" si="55"/>
        <v>-251.94704646491439</v>
      </c>
      <c r="L221" s="8">
        <f t="shared" si="48"/>
        <v>22881.237801712807</v>
      </c>
      <c r="N221" s="16">
        <f t="shared" si="56"/>
        <v>0.91168253312463854</v>
      </c>
    </row>
    <row r="222" spans="2:14" x14ac:dyDescent="0.25">
      <c r="B222" s="7">
        <f t="shared" si="49"/>
        <v>61.04000000000017</v>
      </c>
      <c r="C222" s="9">
        <f t="shared" si="52"/>
        <v>-251.94704646491439</v>
      </c>
      <c r="D222" s="10">
        <f t="shared" si="51"/>
        <v>15.215465511861098</v>
      </c>
      <c r="E222" s="10">
        <f t="shared" si="44"/>
        <v>15.011327456956208</v>
      </c>
      <c r="F222" s="10">
        <f t="shared" si="45"/>
        <v>15.017019352537165</v>
      </c>
      <c r="G222" s="10">
        <f t="shared" si="46"/>
        <v>14.813330565117093</v>
      </c>
      <c r="H222" s="9">
        <f t="shared" si="47"/>
        <v>-247.74305694576935</v>
      </c>
      <c r="I222" s="8">
        <f t="shared" si="53"/>
        <v>22881.237801712807</v>
      </c>
      <c r="J222" s="9">
        <f t="shared" si="54"/>
        <v>-251.94704646491439</v>
      </c>
      <c r="K222" s="9">
        <f t="shared" si="55"/>
        <v>-247.74305694576935</v>
      </c>
      <c r="L222" s="8">
        <f t="shared" si="48"/>
        <v>22811.281187235312</v>
      </c>
      <c r="N222" s="16">
        <f t="shared" si="56"/>
        <v>0.92820492994865555</v>
      </c>
    </row>
    <row r="223" spans="2:14" x14ac:dyDescent="0.25">
      <c r="B223" s="7">
        <f t="shared" si="49"/>
        <v>61.320000000000171</v>
      </c>
      <c r="C223" s="9">
        <f t="shared" si="52"/>
        <v>-247.74305694576935</v>
      </c>
      <c r="D223" s="10">
        <f t="shared" si="51"/>
        <v>14.813485463941369</v>
      </c>
      <c r="E223" s="10">
        <f t="shared" si="44"/>
        <v>14.610837056828778</v>
      </c>
      <c r="F223" s="10">
        <f t="shared" si="45"/>
        <v>14.61648977205083</v>
      </c>
      <c r="G223" s="10">
        <f t="shared" si="46"/>
        <v>14.414558006927884</v>
      </c>
      <c r="H223" s="9">
        <f t="shared" si="47"/>
        <v>-243.65119774643335</v>
      </c>
      <c r="I223" s="8">
        <f t="shared" si="53"/>
        <v>22811.281187235312</v>
      </c>
      <c r="J223" s="9">
        <f t="shared" si="54"/>
        <v>-247.74305694576935</v>
      </c>
      <c r="K223" s="9">
        <f t="shared" si="55"/>
        <v>-243.65119774643335</v>
      </c>
      <c r="L223" s="8">
        <f t="shared" si="48"/>
        <v>22742.485991578404</v>
      </c>
      <c r="N223" s="16">
        <f t="shared" si="56"/>
        <v>0.94455400178512383</v>
      </c>
    </row>
    <row r="224" spans="2:14" x14ac:dyDescent="0.25">
      <c r="B224" s="7">
        <f t="shared" si="49"/>
        <v>61.600000000000172</v>
      </c>
      <c r="C224" s="9">
        <f t="shared" si="52"/>
        <v>-243.65119774643335</v>
      </c>
      <c r="D224" s="10">
        <f t="shared" si="51"/>
        <v>14.414709351541511</v>
      </c>
      <c r="E224" s="10">
        <f t="shared" si="44"/>
        <v>14.214066250321778</v>
      </c>
      <c r="F224" s="10">
        <f t="shared" si="45"/>
        <v>14.219663743939048</v>
      </c>
      <c r="G224" s="10">
        <f t="shared" si="46"/>
        <v>14.019970984437572</v>
      </c>
      <c r="H224" s="9">
        <f t="shared" si="47"/>
        <v>-239.67043119795665</v>
      </c>
      <c r="I224" s="8">
        <f t="shared" si="53"/>
        <v>22742.485991578404</v>
      </c>
      <c r="J224" s="9">
        <f t="shared" si="54"/>
        <v>-243.65119774643335</v>
      </c>
      <c r="K224" s="9">
        <f t="shared" si="55"/>
        <v>-239.67043119795665</v>
      </c>
      <c r="L224" s="8">
        <f t="shared" si="48"/>
        <v>22674.820963526188</v>
      </c>
      <c r="N224" s="16">
        <f t="shared" si="56"/>
        <v>0.96073081981447916</v>
      </c>
    </row>
    <row r="225" spans="2:14" x14ac:dyDescent="0.25">
      <c r="B225" s="7">
        <f t="shared" si="49"/>
        <v>61.880000000000173</v>
      </c>
      <c r="C225" s="9">
        <f t="shared" si="52"/>
        <v>-239.67043119795665</v>
      </c>
      <c r="D225" s="10">
        <f t="shared" si="51"/>
        <v>14.020118598516861</v>
      </c>
      <c r="E225" s="10">
        <f t="shared" si="44"/>
        <v>13.821928942382186</v>
      </c>
      <c r="F225" s="10">
        <f t="shared" si="45"/>
        <v>13.827457256789424</v>
      </c>
      <c r="G225" s="10">
        <f t="shared" si="46"/>
        <v>13.630420617292881</v>
      </c>
      <c r="H225" s="9">
        <f t="shared" si="47"/>
        <v>-235.79946332262952</v>
      </c>
      <c r="I225" s="8">
        <f t="shared" si="53"/>
        <v>22674.820963526188</v>
      </c>
      <c r="J225" s="9">
        <f t="shared" si="54"/>
        <v>-239.67043119795665</v>
      </c>
      <c r="K225" s="9">
        <f t="shared" si="55"/>
        <v>-235.79946332262952</v>
      </c>
      <c r="L225" s="8">
        <f t="shared" si="48"/>
        <v>22608.255178293308</v>
      </c>
      <c r="N225" s="16">
        <f t="shared" si="56"/>
        <v>0.97673677229377243</v>
      </c>
    </row>
    <row r="226" spans="2:14" x14ac:dyDescent="0.25">
      <c r="B226" s="7">
        <f t="shared" si="49"/>
        <v>62.160000000000174</v>
      </c>
      <c r="C226" s="9">
        <f t="shared" si="52"/>
        <v>-235.79946332262952</v>
      </c>
      <c r="D226" s="10">
        <f t="shared" si="51"/>
        <v>13.630564365078442</v>
      </c>
      <c r="E226" s="10">
        <f t="shared" si="44"/>
        <v>13.435214223390396</v>
      </c>
      <c r="F226" s="10">
        <f t="shared" si="45"/>
        <v>13.440661336138929</v>
      </c>
      <c r="G226" s="10">
        <f t="shared" si="46"/>
        <v>13.246638441604114</v>
      </c>
      <c r="H226" s="9">
        <f t="shared" si="47"/>
        <v>-232.03677880609493</v>
      </c>
      <c r="I226" s="8">
        <f t="shared" si="53"/>
        <v>22608.255178293308</v>
      </c>
      <c r="J226" s="9">
        <f t="shared" si="54"/>
        <v>-235.79946332262952</v>
      </c>
      <c r="K226" s="9">
        <f t="shared" si="55"/>
        <v>-232.03677880609493</v>
      </c>
      <c r="L226" s="8">
        <f t="shared" si="48"/>
        <v>22542.758104395285</v>
      </c>
      <c r="N226" s="16">
        <f t="shared" si="56"/>
        <v>0.99257352765645934</v>
      </c>
    </row>
    <row r="227" spans="2:14" x14ac:dyDescent="0.25">
      <c r="B227" s="7">
        <f t="shared" si="49"/>
        <v>62.440000000000175</v>
      </c>
      <c r="C227" s="9">
        <f t="shared" si="52"/>
        <v>-232.03677880609493</v>
      </c>
      <c r="D227" s="10">
        <f t="shared" si="51"/>
        <v>13.246778223879314</v>
      </c>
      <c r="E227" s="10">
        <f t="shared" si="44"/>
        <v>13.054596883392406</v>
      </c>
      <c r="F227" s="10">
        <f t="shared" si="45"/>
        <v>13.059952556617445</v>
      </c>
      <c r="G227" s="10">
        <f t="shared" si="46"/>
        <v>12.869246734924477</v>
      </c>
      <c r="H227" s="9">
        <f t="shared" si="47"/>
        <v>-228.38067302694984</v>
      </c>
      <c r="I227" s="8">
        <f t="shared" si="53"/>
        <v>22542.758104395285</v>
      </c>
      <c r="J227" s="9">
        <f t="shared" si="54"/>
        <v>-232.03677880609493</v>
      </c>
      <c r="K227" s="9">
        <f t="shared" si="55"/>
        <v>-228.38067302694984</v>
      </c>
      <c r="L227" s="8">
        <f t="shared" si="48"/>
        <v>22478.299661138659</v>
      </c>
      <c r="N227" s="16">
        <f t="shared" si="56"/>
        <v>1.0082430003460281</v>
      </c>
    </row>
    <row r="228" spans="2:14" x14ac:dyDescent="0.25">
      <c r="B228" s="7">
        <f t="shared" si="49"/>
        <v>62.720000000000176</v>
      </c>
      <c r="C228" s="9">
        <f t="shared" si="52"/>
        <v>-228.38067302694984</v>
      </c>
      <c r="D228" s="10">
        <f t="shared" si="51"/>
        <v>12.869382485120214</v>
      </c>
      <c r="E228" s="10">
        <f t="shared" si="44"/>
        <v>12.680647526974413</v>
      </c>
      <c r="F228" s="10">
        <f t="shared" si="45"/>
        <v>12.685903157761732</v>
      </c>
      <c r="G228" s="10">
        <f t="shared" si="46"/>
        <v>12.498768403261687</v>
      </c>
      <c r="H228" s="9">
        <f t="shared" si="47"/>
        <v>-224.82928125491665</v>
      </c>
      <c r="I228" s="8">
        <f t="shared" si="53"/>
        <v>22478.299661138659</v>
      </c>
      <c r="J228" s="9">
        <f t="shared" si="54"/>
        <v>-228.38067302694984</v>
      </c>
      <c r="K228" s="9">
        <f t="shared" si="55"/>
        <v>-224.82928125491665</v>
      </c>
      <c r="L228" s="8">
        <f t="shared" si="48"/>
        <v>22414.850267539197</v>
      </c>
      <c r="N228" s="16">
        <f t="shared" si="56"/>
        <v>1.0237473192887911</v>
      </c>
    </row>
    <row r="229" spans="2:14" x14ac:dyDescent="0.25">
      <c r="B229" s="7">
        <f t="shared" si="49"/>
        <v>63.000000000000178</v>
      </c>
      <c r="C229" s="9">
        <f t="shared" si="52"/>
        <v>-224.82928125491665</v>
      </c>
      <c r="D229" s="10">
        <f t="shared" si="51"/>
        <v>12.498900083736897</v>
      </c>
      <c r="E229" s="10">
        <f t="shared" si="44"/>
        <v>12.313842215250038</v>
      </c>
      <c r="F229" s="10">
        <f t="shared" si="45"/>
        <v>12.318990689324089</v>
      </c>
      <c r="G229" s="10">
        <f t="shared" si="46"/>
        <v>12.135636368312356</v>
      </c>
      <c r="H229" s="9">
        <f t="shared" si="47"/>
        <v>-221.38060514939411</v>
      </c>
      <c r="I229" s="8">
        <f t="shared" si="53"/>
        <v>22414.850267539197</v>
      </c>
      <c r="J229" s="9">
        <f t="shared" si="54"/>
        <v>-224.82928125491665</v>
      </c>
      <c r="K229" s="9">
        <f t="shared" si="55"/>
        <v>-221.38060514939411</v>
      </c>
      <c r="L229" s="8">
        <f t="shared" si="48"/>
        <v>22352.380883442594</v>
      </c>
      <c r="N229" s="16">
        <f t="shared" si="56"/>
        <v>1.0390887988962265</v>
      </c>
    </row>
    <row r="230" spans="2:14" x14ac:dyDescent="0.25">
      <c r="B230" s="7">
        <f t="shared" si="49"/>
        <v>63.280000000000179</v>
      </c>
      <c r="C230" s="9">
        <f t="shared" si="52"/>
        <v>-221.38060514939411</v>
      </c>
      <c r="D230" s="10">
        <f t="shared" si="51"/>
        <v>12.135763966843802</v>
      </c>
      <c r="E230" s="10">
        <f t="shared" si="44"/>
        <v>11.954571584424006</v>
      </c>
      <c r="F230" s="10">
        <f t="shared" si="45"/>
        <v>11.959607134978771</v>
      </c>
      <c r="G230" s="10">
        <f t="shared" si="46"/>
        <v>11.780202414161693</v>
      </c>
      <c r="H230" s="9">
        <f t="shared" si="47"/>
        <v>-218.03253670446961</v>
      </c>
      <c r="I230" s="8">
        <f t="shared" si="53"/>
        <v>22352.380883442594</v>
      </c>
      <c r="J230" s="9">
        <f t="shared" si="54"/>
        <v>-221.38060514939411</v>
      </c>
      <c r="K230" s="9">
        <f t="shared" si="55"/>
        <v>-218.03253670446961</v>
      </c>
      <c r="L230" s="8">
        <f t="shared" si="48"/>
        <v>22290.863043583053</v>
      </c>
      <c r="N230" s="16">
        <f t="shared" si="56"/>
        <v>1.0542699124766073</v>
      </c>
    </row>
    <row r="231" spans="2:14" x14ac:dyDescent="0.25">
      <c r="B231" s="7">
        <f t="shared" si="49"/>
        <v>63.56000000000018</v>
      </c>
      <c r="C231" s="9">
        <f t="shared" si="52"/>
        <v>-218.03253670446961</v>
      </c>
      <c r="D231" s="10">
        <f t="shared" si="51"/>
        <v>11.780325940666923</v>
      </c>
      <c r="E231" s="10">
        <f t="shared" si="44"/>
        <v>11.603149409532934</v>
      </c>
      <c r="F231" s="10">
        <f t="shared" si="45"/>
        <v>11.608067482544381</v>
      </c>
      <c r="G231" s="10">
        <f t="shared" si="46"/>
        <v>11.432745470083544</v>
      </c>
      <c r="H231" s="9">
        <f t="shared" si="47"/>
        <v>-214.78287979537404</v>
      </c>
      <c r="I231" s="8">
        <f t="shared" si="53"/>
        <v>22290.863043583053</v>
      </c>
      <c r="J231" s="9">
        <f t="shared" si="54"/>
        <v>-218.03253670446961</v>
      </c>
      <c r="K231" s="9">
        <f t="shared" si="55"/>
        <v>-214.78287979537404</v>
      </c>
      <c r="L231" s="8">
        <f t="shared" si="48"/>
        <v>22230.268885273075</v>
      </c>
      <c r="N231" s="16">
        <f t="shared" si="56"/>
        <v>1.0692932679287701</v>
      </c>
    </row>
    <row r="232" spans="2:14" x14ac:dyDescent="0.25">
      <c r="B232" s="7">
        <f t="shared" si="49"/>
        <v>63.840000000000181</v>
      </c>
      <c r="C232" s="9">
        <f t="shared" si="52"/>
        <v>-214.78287979537404</v>
      </c>
      <c r="D232" s="10">
        <f t="shared" si="51"/>
        <v>11.432864953589405</v>
      </c>
      <c r="E232" s="10">
        <f t="shared" si="44"/>
        <v>11.259820597637528</v>
      </c>
      <c r="F232" s="10">
        <f t="shared" si="45"/>
        <v>11.264617724589781</v>
      </c>
      <c r="G232" s="10">
        <f t="shared" si="46"/>
        <v>11.093479320207754</v>
      </c>
      <c r="H232" s="9">
        <f t="shared" si="47"/>
        <v>-211.62936948585562</v>
      </c>
      <c r="I232" s="8">
        <f t="shared" si="53"/>
        <v>22230.268885273075</v>
      </c>
      <c r="J232" s="9">
        <f t="shared" si="54"/>
        <v>-214.78287979537404</v>
      </c>
      <c r="K232" s="9">
        <f t="shared" si="55"/>
        <v>-211.62936948585562</v>
      </c>
      <c r="L232" s="8">
        <f t="shared" si="48"/>
        <v>22170.571170373703</v>
      </c>
      <c r="N232" s="16">
        <f t="shared" si="56"/>
        <v>1.0841615855868969</v>
      </c>
    </row>
    <row r="233" spans="2:14" x14ac:dyDescent="0.25">
      <c r="B233" s="7">
        <f t="shared" si="49"/>
        <v>64.120000000000175</v>
      </c>
      <c r="C233" s="9">
        <f t="shared" si="52"/>
        <v>-211.62936948585562</v>
      </c>
      <c r="D233" s="10">
        <f t="shared" si="51"/>
        <v>11.093594806069659</v>
      </c>
      <c r="E233" s="10">
        <f t="shared" si="44"/>
        <v>10.924768607365605</v>
      </c>
      <c r="F233" s="10">
        <f t="shared" si="45"/>
        <v>10.929442285986505</v>
      </c>
      <c r="G233" s="10">
        <f t="shared" si="46"/>
        <v>10.762559742102251</v>
      </c>
      <c r="H233" s="9">
        <f t="shared" si="47"/>
        <v>-208.56968925689472</v>
      </c>
      <c r="I233" s="8">
        <f t="shared" si="53"/>
        <v>22170.571170373703</v>
      </c>
      <c r="J233" s="9">
        <f t="shared" si="54"/>
        <v>-211.62936948585562</v>
      </c>
      <c r="K233" s="9">
        <f t="shared" si="55"/>
        <v>-208.56968925689472</v>
      </c>
      <c r="L233" s="8">
        <f t="shared" si="48"/>
        <v>22111.74330214972</v>
      </c>
      <c r="N233" s="16">
        <f t="shared" si="56"/>
        <v>1.0988776780838376</v>
      </c>
    </row>
    <row r="234" spans="2:14" x14ac:dyDescent="0.25">
      <c r="B234" s="7">
        <f t="shared" si="49"/>
        <v>64.400000000000176</v>
      </c>
      <c r="C234" s="9">
        <f t="shared" si="52"/>
        <v>-208.56968925689472</v>
      </c>
      <c r="D234" s="10">
        <f t="shared" si="51"/>
        <v>10.762671289473426</v>
      </c>
      <c r="E234" s="10">
        <f t="shared" si="44"/>
        <v>10.598122301678481</v>
      </c>
      <c r="F234" s="10">
        <f t="shared" si="45"/>
        <v>10.602670885002727</v>
      </c>
      <c r="G234" s="10">
        <f t="shared" si="46"/>
        <v>10.44009108513416</v>
      </c>
      <c r="H234" s="9">
        <f t="shared" si="47"/>
        <v>-205.60148631532277</v>
      </c>
      <c r="I234" s="8">
        <f t="shared" si="53"/>
        <v>22111.74330214972</v>
      </c>
      <c r="J234" s="9">
        <f t="shared" si="54"/>
        <v>-208.56968925689472</v>
      </c>
      <c r="K234" s="9">
        <f t="shared" si="55"/>
        <v>-205.60148631532277</v>
      </c>
      <c r="L234" s="8">
        <f t="shared" si="48"/>
        <v>22053.759337569609</v>
      </c>
      <c r="N234" s="16">
        <f t="shared" si="56"/>
        <v>1.113444432101111</v>
      </c>
    </row>
    <row r="235" spans="2:14" x14ac:dyDescent="0.25">
      <c r="B235" s="7">
        <f t="shared" si="49"/>
        <v>64.680000000000177</v>
      </c>
      <c r="C235" s="9">
        <f t="shared" si="52"/>
        <v>-205.60148631532277</v>
      </c>
      <c r="D235" s="10">
        <f t="shared" si="51"/>
        <v>10.440198764678112</v>
      </c>
      <c r="E235" s="10">
        <f t="shared" si="44"/>
        <v>10.279962248425207</v>
      </c>
      <c r="F235" s="10">
        <f t="shared" si="45"/>
        <v>10.28438484228403</v>
      </c>
      <c r="G235" s="10">
        <f t="shared" si="46"/>
        <v>10.126132306183495</v>
      </c>
      <c r="H235" s="9">
        <f t="shared" si="47"/>
        <v>-202.72238513688305</v>
      </c>
      <c r="I235" s="8">
        <f t="shared" si="53"/>
        <v>22053.759337569609</v>
      </c>
      <c r="J235" s="9">
        <f t="shared" si="54"/>
        <v>-205.60148631532277</v>
      </c>
      <c r="K235" s="9">
        <f t="shared" si="55"/>
        <v>-202.72238513688305</v>
      </c>
      <c r="L235" s="8">
        <f t="shared" si="48"/>
        <v>21996.593995566302</v>
      </c>
      <c r="N235" s="16">
        <f t="shared" si="56"/>
        <v>1.1278647918759932</v>
      </c>
    </row>
    <row r="236" spans="2:14" x14ac:dyDescent="0.25">
      <c r="B236" s="7">
        <f t="shared" si="49"/>
        <v>64.960000000000178</v>
      </c>
      <c r="C236" s="9">
        <f t="shared" si="52"/>
        <v>-202.72238513688305</v>
      </c>
      <c r="D236" s="10">
        <f t="shared" si="51"/>
        <v>10.126236198021187</v>
      </c>
      <c r="E236" s="10">
        <f t="shared" si="44"/>
        <v>9.9703264890158856</v>
      </c>
      <c r="F236" s="10">
        <f t="shared" si="45"/>
        <v>9.9746228578760512</v>
      </c>
      <c r="G236" s="10">
        <f t="shared" si="46"/>
        <v>9.8207024852244373</v>
      </c>
      <c r="H236" s="9">
        <f t="shared" si="47"/>
        <v>-199.92999939262168</v>
      </c>
      <c r="I236" s="8">
        <f t="shared" si="53"/>
        <v>21996.593995566302</v>
      </c>
      <c r="J236" s="9">
        <f t="shared" si="54"/>
        <v>-202.72238513688305</v>
      </c>
      <c r="K236" s="9">
        <f t="shared" si="55"/>
        <v>-199.92999939262168</v>
      </c>
      <c r="L236" s="8">
        <f t="shared" si="48"/>
        <v>21940.222661732172</v>
      </c>
      <c r="N236" s="16">
        <f t="shared" si="56"/>
        <v>1.1421417443396584</v>
      </c>
    </row>
    <row r="237" spans="2:14" x14ac:dyDescent="0.25">
      <c r="B237" s="7">
        <f t="shared" si="49"/>
        <v>65.24000000000018</v>
      </c>
      <c r="C237" s="9">
        <f t="shared" si="52"/>
        <v>-199.92999939262168</v>
      </c>
      <c r="D237" s="10">
        <f t="shared" si="51"/>
        <v>9.8208026771029733</v>
      </c>
      <c r="E237" s="10">
        <f t="shared" si="44"/>
        <v>9.6692157996888</v>
      </c>
      <c r="F237" s="10">
        <f t="shared" si="45"/>
        <v>9.6733862806329824</v>
      </c>
      <c r="G237" s="10">
        <f t="shared" si="46"/>
        <v>9.5237858467492789</v>
      </c>
      <c r="H237" s="9">
        <f t="shared" si="47"/>
        <v>-197.22194240067853</v>
      </c>
      <c r="I237" s="8">
        <f t="shared" si="53"/>
        <v>21940.222661732172</v>
      </c>
      <c r="J237" s="9">
        <f t="shared" si="54"/>
        <v>-199.92999939262168</v>
      </c>
      <c r="K237" s="9">
        <f t="shared" si="55"/>
        <v>-197.22194240067853</v>
      </c>
      <c r="L237" s="8">
        <f t="shared" si="48"/>
        <v>21884.621389881111</v>
      </c>
      <c r="N237" s="16">
        <f t="shared" si="56"/>
        <v>1.1562783057647497</v>
      </c>
    </row>
    <row r="238" spans="2:14" x14ac:dyDescent="0.25">
      <c r="B238" s="7">
        <f t="shared" si="49"/>
        <v>65.520000000000181</v>
      </c>
      <c r="C238" s="9">
        <f t="shared" si="52"/>
        <v>-197.22194240067853</v>
      </c>
      <c r="D238" s="10">
        <f t="shared" si="51"/>
        <v>9.5238824324191125</v>
      </c>
      <c r="E238" s="10">
        <f t="shared" si="44"/>
        <v>9.3765984726585039</v>
      </c>
      <c r="F238" s="10">
        <f t="shared" si="45"/>
        <v>9.3806438971971478</v>
      </c>
      <c r="G238" s="10">
        <f t="shared" si="46"/>
        <v>9.2353363152632379</v>
      </c>
      <c r="H238" s="9">
        <f t="shared" si="47"/>
        <v>-194.5958362379335</v>
      </c>
      <c r="I238" s="8">
        <f t="shared" si="53"/>
        <v>21884.621389881111</v>
      </c>
      <c r="J238" s="9">
        <f t="shared" si="54"/>
        <v>-197.22194240067853</v>
      </c>
      <c r="K238" s="9">
        <f t="shared" si="55"/>
        <v>-194.5958362379335</v>
      </c>
      <c r="L238" s="8">
        <f t="shared" si="48"/>
        <v>21829.766900871706</v>
      </c>
      <c r="N238" s="16">
        <f t="shared" si="56"/>
        <v>1.1702775098059992</v>
      </c>
    </row>
    <row r="239" spans="2:14" x14ac:dyDescent="0.25">
      <c r="B239" s="7">
        <f t="shared" si="49"/>
        <v>65.800000000000182</v>
      </c>
      <c r="C239" s="9">
        <f t="shared" si="52"/>
        <v>-194.5958362379335</v>
      </c>
      <c r="D239" s="10">
        <f t="shared" si="51"/>
        <v>9.2354293930485483</v>
      </c>
      <c r="E239" s="10">
        <f t="shared" si="44"/>
        <v>9.0924146461484021</v>
      </c>
      <c r="F239" s="10">
        <f t="shared" si="45"/>
        <v>9.0963362694849792</v>
      </c>
      <c r="G239" s="10">
        <f t="shared" si="46"/>
        <v>8.9552816343425903</v>
      </c>
      <c r="H239" s="9">
        <f t="shared" si="47"/>
        <v>-192.04931963786279</v>
      </c>
      <c r="I239" s="8">
        <f t="shared" si="53"/>
        <v>21829.766900871706</v>
      </c>
      <c r="J239" s="9">
        <f t="shared" si="54"/>
        <v>-194.5958362379335</v>
      </c>
      <c r="K239" s="9">
        <f t="shared" si="55"/>
        <v>-192.04931963786279</v>
      </c>
      <c r="L239" s="8">
        <f t="shared" si="48"/>
        <v>21775.636579049093</v>
      </c>
      <c r="N239" s="16">
        <f t="shared" si="56"/>
        <v>1.1841423968231599</v>
      </c>
    </row>
    <row r="240" spans="2:14" x14ac:dyDescent="0.25">
      <c r="B240" s="7">
        <f t="shared" si="49"/>
        <v>66.080000000000183</v>
      </c>
      <c r="C240" s="9">
        <f t="shared" si="52"/>
        <v>-192.04931963786279</v>
      </c>
      <c r="D240" s="10">
        <f t="shared" si="51"/>
        <v>8.955371305889928</v>
      </c>
      <c r="E240" s="10">
        <f t="shared" si="44"/>
        <v>8.8165802131534701</v>
      </c>
      <c r="F240" s="10">
        <f t="shared" si="45"/>
        <v>8.8203796504762604</v>
      </c>
      <c r="G240" s="10">
        <f t="shared" si="46"/>
        <v>8.6835270792335386</v>
      </c>
      <c r="H240" s="9">
        <f t="shared" si="47"/>
        <v>-189.58005479261826</v>
      </c>
      <c r="I240" s="8">
        <f t="shared" si="53"/>
        <v>21775.636579049093</v>
      </c>
      <c r="J240" s="9">
        <f t="shared" si="54"/>
        <v>-192.04931963786279</v>
      </c>
      <c r="K240" s="9">
        <f t="shared" si="55"/>
        <v>-189.58005479261826</v>
      </c>
      <c r="L240" s="8">
        <f t="shared" si="48"/>
        <v>21722.208466628825</v>
      </c>
      <c r="N240" s="16">
        <f t="shared" si="56"/>
        <v>1.1978760043814372</v>
      </c>
    </row>
    <row r="241" spans="2:14" x14ac:dyDescent="0.25">
      <c r="B241" s="7">
        <f t="shared" si="49"/>
        <v>66.360000000000184</v>
      </c>
      <c r="C241" s="9">
        <f t="shared" si="52"/>
        <v>-189.58005479261826</v>
      </c>
      <c r="D241" s="10">
        <f t="shared" si="51"/>
        <v>8.6836134484232463</v>
      </c>
      <c r="E241" s="10">
        <f t="shared" si="44"/>
        <v>8.5489903389234829</v>
      </c>
      <c r="F241" s="10">
        <f t="shared" si="45"/>
        <v>8.5526695082694939</v>
      </c>
      <c r="G241" s="10">
        <f t="shared" si="46"/>
        <v>8.4199587928333894</v>
      </c>
      <c r="H241" s="9">
        <f t="shared" si="47"/>
        <v>-187.18573316895493</v>
      </c>
      <c r="I241" s="8">
        <f t="shared" si="53"/>
        <v>21722.208466628825</v>
      </c>
      <c r="J241" s="9">
        <f t="shared" si="54"/>
        <v>-189.58005479261826</v>
      </c>
      <c r="K241" s="9">
        <f t="shared" si="55"/>
        <v>-187.18573316895493</v>
      </c>
      <c r="L241" s="8">
        <f t="shared" si="48"/>
        <v>21669.461256314204</v>
      </c>
      <c r="N241" s="16">
        <f t="shared" si="56"/>
        <v>1.2114813588307927</v>
      </c>
    </row>
    <row r="242" spans="2:14" x14ac:dyDescent="0.25">
      <c r="B242" s="7">
        <f t="shared" si="49"/>
        <v>66.640000000000185</v>
      </c>
      <c r="C242" s="9">
        <f t="shared" si="52"/>
        <v>-187.18573316895493</v>
      </c>
      <c r="D242" s="10">
        <f t="shared" si="51"/>
        <v>8.4200419648389051</v>
      </c>
      <c r="E242" s="10">
        <f t="shared" si="44"/>
        <v>8.2895226167651384</v>
      </c>
      <c r="F242" s="10">
        <f t="shared" si="45"/>
        <v>8.2930836879881404</v>
      </c>
      <c r="G242" s="10">
        <f t="shared" si="46"/>
        <v>8.1644467742909406</v>
      </c>
      <c r="H242" s="9">
        <f t="shared" si="47"/>
        <v>-184.86408043935188</v>
      </c>
      <c r="I242" s="8">
        <f t="shared" si="53"/>
        <v>21669.461256314204</v>
      </c>
      <c r="J242" s="9">
        <f t="shared" si="54"/>
        <v>-187.18573316895493</v>
      </c>
      <c r="K242" s="9">
        <f t="shared" si="55"/>
        <v>-184.86408043935188</v>
      </c>
      <c r="L242" s="8">
        <f t="shared" si="48"/>
        <v>21617.37428240904</v>
      </c>
      <c r="N242" s="16">
        <f t="shared" si="56"/>
        <v>1.2249614678715612</v>
      </c>
    </row>
    <row r="243" spans="2:14" x14ac:dyDescent="0.25">
      <c r="B243" s="7">
        <f t="shared" si="49"/>
        <v>66.920000000000186</v>
      </c>
      <c r="C243" s="9">
        <f t="shared" si="52"/>
        <v>-184.86408043935188</v>
      </c>
      <c r="D243" s="10">
        <f t="shared" si="51"/>
        <v>8.1645268547717471</v>
      </c>
      <c r="E243" s="10">
        <f t="shared" si="44"/>
        <v>8.0380398909573163</v>
      </c>
      <c r="F243" s="10">
        <f t="shared" si="45"/>
        <v>8.0414852403312</v>
      </c>
      <c r="G243" s="10">
        <f t="shared" si="46"/>
        <v>7.9168475485019778</v>
      </c>
      <c r="H243" s="9">
        <f t="shared" si="47"/>
        <v>-182.61286062161219</v>
      </c>
      <c r="I243" s="8">
        <f t="shared" si="53"/>
        <v>21617.37428240904</v>
      </c>
      <c r="J243" s="9">
        <f t="shared" si="54"/>
        <v>-184.86408043935188</v>
      </c>
      <c r="K243" s="9">
        <f t="shared" si="55"/>
        <v>-182.61286062161219</v>
      </c>
      <c r="L243" s="8">
        <f t="shared" si="48"/>
        <v>21565.927510660506</v>
      </c>
      <c r="N243" s="16">
        <f t="shared" si="56"/>
        <v>1.2383193140200068</v>
      </c>
    </row>
    <row r="244" spans="2:14" x14ac:dyDescent="0.25">
      <c r="B244" s="7">
        <f t="shared" si="49"/>
        <v>67.200000000000188</v>
      </c>
      <c r="C244" s="9">
        <f t="shared" si="52"/>
        <v>-182.61286062161219</v>
      </c>
      <c r="D244" s="10">
        <f t="shared" si="51"/>
        <v>7.9169246429160376</v>
      </c>
      <c r="E244" s="10">
        <f t="shared" si="44"/>
        <v>7.794392774472076</v>
      </c>
      <c r="F244" s="10">
        <f t="shared" si="45"/>
        <v>7.7977249444679462</v>
      </c>
      <c r="G244" s="10">
        <f t="shared" si="46"/>
        <v>7.6770065435606041</v>
      </c>
      <c r="H244" s="9">
        <f t="shared" si="47"/>
        <v>-180.42987951247554</v>
      </c>
      <c r="I244" s="8">
        <f t="shared" si="53"/>
        <v>21565.927510660506</v>
      </c>
      <c r="J244" s="9">
        <f t="shared" si="54"/>
        <v>-182.61286062161219</v>
      </c>
      <c r="K244" s="9">
        <f t="shared" si="55"/>
        <v>-180.42987951247554</v>
      </c>
      <c r="L244" s="8">
        <f t="shared" si="48"/>
        <v>21515.101527041734</v>
      </c>
      <c r="N244" s="16">
        <f t="shared" si="56"/>
        <v>1.2515578488933146</v>
      </c>
    </row>
    <row r="245" spans="2:14" x14ac:dyDescent="0.25">
      <c r="B245" s="7">
        <f t="shared" si="49"/>
        <v>67.480000000000189</v>
      </c>
      <c r="C245" s="9">
        <f t="shared" si="52"/>
        <v>-180.42987951247554</v>
      </c>
      <c r="D245" s="10">
        <f t="shared" si="51"/>
        <v>7.6770807565839903</v>
      </c>
      <c r="E245" s="10">
        <f t="shared" si="44"/>
        <v>7.5584218878776399</v>
      </c>
      <c r="F245" s="10">
        <f t="shared" si="45"/>
        <v>7.5616435516678049</v>
      </c>
      <c r="G245" s="10">
        <f t="shared" si="46"/>
        <v>7.4447602018372772</v>
      </c>
      <c r="H245" s="9">
        <f t="shared" si="47"/>
        <v>-178.31298749339163</v>
      </c>
      <c r="I245" s="8">
        <f t="shared" si="53"/>
        <v>21515.101527041734</v>
      </c>
      <c r="J245" s="9">
        <f t="shared" si="54"/>
        <v>-180.42987951247554</v>
      </c>
      <c r="K245" s="9">
        <f t="shared" si="55"/>
        <v>-178.31298749339163</v>
      </c>
      <c r="L245" s="8">
        <f t="shared" si="48"/>
        <v>21464.877525660911</v>
      </c>
      <c r="N245" s="16">
        <f t="shared" si="56"/>
        <v>1.2646799882394102</v>
      </c>
    </row>
    <row r="246" spans="2:14" x14ac:dyDescent="0.25">
      <c r="B246" s="7">
        <f t="shared" si="49"/>
        <v>67.76000000000019</v>
      </c>
      <c r="C246" s="9">
        <f t="shared" si="52"/>
        <v>-178.31298749339163</v>
      </c>
      <c r="D246" s="10">
        <f t="shared" si="51"/>
        <v>7.4448316368787149</v>
      </c>
      <c r="E246" s="10">
        <f t="shared" si="44"/>
        <v>7.3299598443468401</v>
      </c>
      <c r="F246" s="10">
        <f t="shared" si="45"/>
        <v>7.3330737746081498</v>
      </c>
      <c r="G246" s="10">
        <f t="shared" si="46"/>
        <v>7.2199378488550234</v>
      </c>
      <c r="H246" s="9">
        <f t="shared" si="47"/>
        <v>-176.2600817796216</v>
      </c>
      <c r="I246" s="8">
        <f t="shared" si="53"/>
        <v>21464.877525660911</v>
      </c>
      <c r="J246" s="9">
        <f t="shared" si="54"/>
        <v>-178.31298749339163</v>
      </c>
      <c r="K246" s="9">
        <f t="shared" si="55"/>
        <v>-176.2600817796216</v>
      </c>
      <c r="L246" s="8">
        <f t="shared" si="48"/>
        <v>21415.237295962688</v>
      </c>
      <c r="N246" s="16">
        <f t="shared" si="56"/>
        <v>1.2776886076424325</v>
      </c>
    </row>
    <row r="247" spans="2:14" x14ac:dyDescent="0.25">
      <c r="B247" s="7">
        <f t="shared" si="49"/>
        <v>68.040000000000191</v>
      </c>
      <c r="C247" s="9">
        <f t="shared" si="52"/>
        <v>-176.2600817796216</v>
      </c>
      <c r="D247" s="10">
        <f t="shared" si="51"/>
        <v>7.2200066076544189</v>
      </c>
      <c r="E247" s="10">
        <f t="shared" si="44"/>
        <v>7.1088330041568542</v>
      </c>
      <c r="F247" s="10">
        <f t="shared" si="45"/>
        <v>7.1118420457687384</v>
      </c>
      <c r="G247" s="10">
        <f t="shared" si="46"/>
        <v>7.0023633425778664</v>
      </c>
      <c r="H247" s="9">
        <f t="shared" si="47"/>
        <v>-174.26910817728438</v>
      </c>
      <c r="I247" s="8">
        <f t="shared" si="53"/>
        <v>21415.237295962688</v>
      </c>
      <c r="J247" s="9">
        <f t="shared" si="54"/>
        <v>-176.2600817796216</v>
      </c>
      <c r="K247" s="9">
        <f t="shared" si="55"/>
        <v>-174.26910817728438</v>
      </c>
      <c r="L247" s="8">
        <f t="shared" si="48"/>
        <v>21366.163209368722</v>
      </c>
      <c r="N247" s="16">
        <f t="shared" si="56"/>
        <v>1.2905865388400897</v>
      </c>
    </row>
    <row r="248" spans="2:14" x14ac:dyDescent="0.25">
      <c r="B248" s="7">
        <f t="shared" si="49"/>
        <v>68.320000000000192</v>
      </c>
      <c r="C248" s="9">
        <f t="shared" si="52"/>
        <v>-174.26910817728438</v>
      </c>
      <c r="D248" s="10">
        <f t="shared" si="51"/>
        <v>7.0024295248786492</v>
      </c>
      <c r="E248" s="10">
        <f t="shared" si="44"/>
        <v>6.8948630204966816</v>
      </c>
      <c r="F248" s="10">
        <f t="shared" si="45"/>
        <v>6.8977700667533641</v>
      </c>
      <c r="G248" s="10">
        <f t="shared" si="46"/>
        <v>6.7918565241509237</v>
      </c>
      <c r="H248" s="9">
        <f t="shared" si="47"/>
        <v>-172.338062406853</v>
      </c>
      <c r="I248" s="8">
        <f t="shared" si="53"/>
        <v>21366.163209368722</v>
      </c>
      <c r="J248" s="9">
        <f t="shared" si="54"/>
        <v>-174.26910817728438</v>
      </c>
      <c r="K248" s="9">
        <f t="shared" si="55"/>
        <v>-172.338062406853</v>
      </c>
      <c r="L248" s="8">
        <f t="shared" si="48"/>
        <v>21317.638205486943</v>
      </c>
      <c r="N248" s="16">
        <f t="shared" si="56"/>
        <v>1.3033765665940991</v>
      </c>
    </row>
    <row r="249" spans="2:14" x14ac:dyDescent="0.25">
      <c r="B249" s="7">
        <f t="shared" si="49"/>
        <v>68.600000000000193</v>
      </c>
      <c r="C249" s="9">
        <f t="shared" si="52"/>
        <v>-172.338062406853</v>
      </c>
      <c r="D249" s="10">
        <f t="shared" si="51"/>
        <v>6.7919202274370685</v>
      </c>
      <c r="E249" s="10">
        <f t="shared" si="44"/>
        <v>6.6878681968263036</v>
      </c>
      <c r="F249" s="10">
        <f t="shared" si="45"/>
        <v>6.690676168809512</v>
      </c>
      <c r="G249" s="10">
        <f t="shared" si="46"/>
        <v>6.5882344895724332</v>
      </c>
      <c r="H249" s="9">
        <f t="shared" si="47"/>
        <v>-170.4649910459332</v>
      </c>
      <c r="I249" s="8">
        <f t="shared" si="53"/>
        <v>21317.638205486943</v>
      </c>
      <c r="J249" s="9">
        <f t="shared" si="54"/>
        <v>-172.338062406853</v>
      </c>
      <c r="K249" s="9">
        <f t="shared" si="55"/>
        <v>-170.4649910459332</v>
      </c>
      <c r="L249" s="8">
        <f t="shared" si="48"/>
        <v>21269.645778003553</v>
      </c>
      <c r="N249" s="16">
        <f t="shared" si="56"/>
        <v>1.3160614260596588</v>
      </c>
    </row>
    <row r="250" spans="2:14" x14ac:dyDescent="0.25">
      <c r="B250" s="7">
        <f t="shared" si="49"/>
        <v>68.880000000000194</v>
      </c>
      <c r="C250" s="9">
        <f t="shared" si="52"/>
        <v>-170.4649910459332</v>
      </c>
      <c r="D250" s="10">
        <f t="shared" si="51"/>
        <v>6.5882958088619361</v>
      </c>
      <c r="E250" s="10">
        <f t="shared" si="44"/>
        <v>6.4876646744883253</v>
      </c>
      <c r="F250" s="10">
        <f t="shared" si="45"/>
        <v>6.4903765032718495</v>
      </c>
      <c r="G250" s="10">
        <f t="shared" si="46"/>
        <v>6.3913127002553081</v>
      </c>
      <c r="H250" s="9">
        <f t="shared" si="47"/>
        <v>-168.64799213891678</v>
      </c>
      <c r="I250" s="8">
        <f t="shared" si="53"/>
        <v>21269.645778003553</v>
      </c>
      <c r="J250" s="9">
        <f t="shared" si="54"/>
        <v>-170.4649910459332</v>
      </c>
      <c r="K250" s="9">
        <f t="shared" si="55"/>
        <v>-168.64799213891678</v>
      </c>
      <c r="L250" s="8">
        <f t="shared" si="48"/>
        <v>21222.169960357674</v>
      </c>
      <c r="N250" s="16">
        <f t="shared" si="56"/>
        <v>1.328643800604405</v>
      </c>
    </row>
    <row r="251" spans="2:14" x14ac:dyDescent="0.25">
      <c r="B251" s="7">
        <f t="shared" si="49"/>
        <v>69.160000000000196</v>
      </c>
      <c r="C251" s="9">
        <f t="shared" si="52"/>
        <v>-168.64799213891678</v>
      </c>
      <c r="D251" s="10">
        <f t="shared" si="51"/>
        <v>6.3913717279425635</v>
      </c>
      <c r="E251" s="10">
        <f t="shared" si="44"/>
        <v>6.2940674677771788</v>
      </c>
      <c r="F251" s="10">
        <f t="shared" si="45"/>
        <v>6.2966860791616703</v>
      </c>
      <c r="G251" s="10">
        <f t="shared" si="46"/>
        <v>6.200905948970135</v>
      </c>
      <c r="H251" s="9">
        <f t="shared" si="47"/>
        <v>-166.88521551627989</v>
      </c>
      <c r="I251" s="8">
        <f t="shared" si="53"/>
        <v>21222.169960357674</v>
      </c>
      <c r="J251" s="9">
        <f t="shared" si="54"/>
        <v>-168.64799213891678</v>
      </c>
      <c r="K251" s="9">
        <f t="shared" si="55"/>
        <v>-166.88521551627989</v>
      </c>
      <c r="L251" s="8">
        <f t="shared" si="48"/>
        <v>21175.195311285948</v>
      </c>
      <c r="N251" s="16">
        <f t="shared" si="56"/>
        <v>1.3411263200314003</v>
      </c>
    </row>
    <row r="252" spans="2:14" x14ac:dyDescent="0.25">
      <c r="B252" s="7">
        <f t="shared" si="49"/>
        <v>69.440000000000197</v>
      </c>
      <c r="C252" s="9">
        <f t="shared" si="52"/>
        <v>-166.88521551627989</v>
      </c>
      <c r="D252" s="10">
        <f t="shared" si="51"/>
        <v>6.2009627747103142</v>
      </c>
      <c r="E252" s="10">
        <f t="shared" si="44"/>
        <v>6.1068913622371941</v>
      </c>
      <c r="F252" s="10">
        <f t="shared" si="45"/>
        <v>6.1094196637379801</v>
      </c>
      <c r="G252" s="10">
        <f t="shared" si="46"/>
        <v>6.0168291962617628</v>
      </c>
      <c r="H252" s="9">
        <f t="shared" si="47"/>
        <v>-165.17486286187685</v>
      </c>
      <c r="I252" s="8">
        <f t="shared" si="53"/>
        <v>21175.195311285948</v>
      </c>
      <c r="J252" s="9">
        <f t="shared" si="54"/>
        <v>-166.88521551627989</v>
      </c>
      <c r="K252" s="9">
        <f t="shared" si="55"/>
        <v>-165.17486286187685</v>
      </c>
      <c r="L252" s="8">
        <f t="shared" si="48"/>
        <v>21128.706900313005</v>
      </c>
      <c r="N252" s="16">
        <f t="shared" si="56"/>
        <v>1.35351155916465</v>
      </c>
    </row>
    <row r="253" spans="2:14" x14ac:dyDescent="0.25">
      <c r="B253" s="7">
        <f t="shared" si="49"/>
        <v>69.720000000000198</v>
      </c>
      <c r="C253" s="9">
        <f t="shared" si="52"/>
        <v>-165.17486286187685</v>
      </c>
      <c r="D253" s="10">
        <f t="shared" si="51"/>
        <v>6.0168839068916373</v>
      </c>
      <c r="E253" s="10">
        <f t="shared" si="44"/>
        <v>5.9259516905993106</v>
      </c>
      <c r="F253" s="10">
        <f t="shared" si="45"/>
        <v>5.9283925604349186</v>
      </c>
      <c r="G253" s="10">
        <f t="shared" si="46"/>
        <v>5.8388982911095351</v>
      </c>
      <c r="H253" s="9">
        <f t="shared" si="47"/>
        <v>-163.51518756254026</v>
      </c>
      <c r="I253" s="8">
        <f t="shared" si="53"/>
        <v>21128.706900313005</v>
      </c>
      <c r="J253" s="9">
        <f t="shared" si="54"/>
        <v>-165.17486286187685</v>
      </c>
      <c r="K253" s="9">
        <f t="shared" si="55"/>
        <v>-163.51518756254026</v>
      </c>
      <c r="L253" s="8">
        <f t="shared" si="48"/>
        <v>21082.690293253589</v>
      </c>
      <c r="N253" s="16">
        <f t="shared" si="56"/>
        <v>1.3658020367592365</v>
      </c>
    </row>
    <row r="254" spans="2:14" x14ac:dyDescent="0.25">
      <c r="B254" s="7">
        <f t="shared" si="49"/>
        <v>70.000000000000199</v>
      </c>
      <c r="C254" s="9">
        <f t="shared" si="52"/>
        <v>-163.51518756254026</v>
      </c>
      <c r="D254" s="10">
        <f t="shared" si="51"/>
        <v>5.838950970599103</v>
      </c>
      <c r="E254" s="10">
        <f t="shared" si="44"/>
        <v>5.7510649994837566</v>
      </c>
      <c r="F254" s="10">
        <f t="shared" si="45"/>
        <v>5.7534212773353488</v>
      </c>
      <c r="G254" s="10">
        <f t="shared" si="46"/>
        <v>5.6669305883578129</v>
      </c>
      <c r="H254" s="9">
        <f t="shared" si="47"/>
        <v>-161.90449437061915</v>
      </c>
      <c r="I254" s="8">
        <f t="shared" si="53"/>
        <v>21082.690293253589</v>
      </c>
      <c r="J254" s="9">
        <f t="shared" si="54"/>
        <v>-163.51518756254026</v>
      </c>
      <c r="K254" s="9">
        <f t="shared" si="55"/>
        <v>-161.90449437061915</v>
      </c>
      <c r="L254" s="8">
        <f t="shared" si="48"/>
        <v>21037.131537782945</v>
      </c>
      <c r="N254" s="16">
        <f t="shared" si="56"/>
        <v>1.3780002147014887</v>
      </c>
    </row>
    <row r="255" spans="2:14" x14ac:dyDescent="0.25">
      <c r="B255" s="7">
        <f t="shared" si="49"/>
        <v>70.2800000000002</v>
      </c>
      <c r="C255" s="9">
        <f t="shared" si="52"/>
        <v>-161.90449437061915</v>
      </c>
      <c r="D255" s="10">
        <f t="shared" si="51"/>
        <v>5.6669813177881556</v>
      </c>
      <c r="E255" s="10">
        <f t="shared" si="44"/>
        <v>5.5820496187950575</v>
      </c>
      <c r="F255" s="10">
        <f t="shared" si="45"/>
        <v>5.5843240981291453</v>
      </c>
      <c r="G255" s="10">
        <f t="shared" si="46"/>
        <v>5.5007454742834208</v>
      </c>
      <c r="H255" s="9">
        <f t="shared" si="47"/>
        <v>-160.34113890674288</v>
      </c>
      <c r="I255" s="8">
        <f t="shared" si="53"/>
        <v>21037.131537782945</v>
      </c>
      <c r="J255" s="9">
        <f t="shared" si="54"/>
        <v>-161.90449437061915</v>
      </c>
      <c r="K255" s="9">
        <f t="shared" si="55"/>
        <v>-160.34113890674288</v>
      </c>
      <c r="L255" s="8">
        <f t="shared" si="48"/>
        <v>20992.017149124113</v>
      </c>
      <c r="N255" s="16">
        <f t="shared" si="56"/>
        <v>1.3901084974677338</v>
      </c>
    </row>
    <row r="256" spans="2:14" x14ac:dyDescent="0.25">
      <c r="B256" s="7">
        <f t="shared" si="49"/>
        <v>70.560000000000201</v>
      </c>
      <c r="C256" s="9">
        <f t="shared" si="52"/>
        <v>-160.34113890674288</v>
      </c>
      <c r="D256" s="10">
        <f t="shared" si="51"/>
        <v>5.5007943318468016</v>
      </c>
      <c r="E256" s="10">
        <f t="shared" si="44"/>
        <v>5.4187261446174189</v>
      </c>
      <c r="F256" s="10">
        <f t="shared" si="45"/>
        <v>5.4209215663840649</v>
      </c>
      <c r="G256" s="10">
        <f t="shared" si="46"/>
        <v>5.3401648105899895</v>
      </c>
      <c r="H256" s="9">
        <f t="shared" si="47"/>
        <v>-158.82352702706902</v>
      </c>
      <c r="I256" s="8">
        <f t="shared" si="53"/>
        <v>20992.017149124113</v>
      </c>
      <c r="J256" s="9">
        <f t="shared" si="54"/>
        <v>-160.34113890674288</v>
      </c>
      <c r="K256" s="9">
        <f t="shared" si="55"/>
        <v>-158.82352702706902</v>
      </c>
      <c r="L256" s="8">
        <f t="shared" si="48"/>
        <v>20947.33409589338</v>
      </c>
      <c r="N256" s="16">
        <f t="shared" si="56"/>
        <v>1.4021292318130096</v>
      </c>
    </row>
    <row r="257" spans="2:14" x14ac:dyDescent="0.25">
      <c r="B257" s="7">
        <f t="shared" si="49"/>
        <v>70.840000000000202</v>
      </c>
      <c r="C257" s="9">
        <f t="shared" si="52"/>
        <v>-158.82352702706902</v>
      </c>
      <c r="D257" s="10">
        <f t="shared" si="51"/>
        <v>5.3402118716081111</v>
      </c>
      <c r="E257" s="10">
        <f t="shared" si="44"/>
        <v>5.2609178453834762</v>
      </c>
      <c r="F257" s="10">
        <f t="shared" si="45"/>
        <v>5.2630368929214635</v>
      </c>
      <c r="G257" s="10">
        <f t="shared" si="46"/>
        <v>5.1850133061222321</v>
      </c>
      <c r="H257" s="9">
        <f t="shared" si="47"/>
        <v>-157.35011407653315</v>
      </c>
      <c r="I257" s="8">
        <f t="shared" si="53"/>
        <v>20947.33409589338</v>
      </c>
      <c r="J257" s="9">
        <f t="shared" si="54"/>
        <v>-158.82352702706902</v>
      </c>
      <c r="K257" s="9">
        <f t="shared" si="55"/>
        <v>-157.35011407653315</v>
      </c>
      <c r="L257" s="8">
        <f t="shared" si="48"/>
        <v>20903.069786138876</v>
      </c>
      <c r="N257" s="16">
        <f t="shared" si="56"/>
        <v>1.414064706663738</v>
      </c>
    </row>
    <row r="258" spans="2:14" x14ac:dyDescent="0.25">
      <c r="B258" s="7">
        <f t="shared" si="49"/>
        <v>71.120000000000203</v>
      </c>
      <c r="C258" s="9">
        <f t="shared" si="52"/>
        <v>-157.35011407653315</v>
      </c>
      <c r="D258" s="10">
        <f t="shared" si="51"/>
        <v>5.1850586430801435</v>
      </c>
      <c r="E258" s="10">
        <f t="shared" si="44"/>
        <v>5.1084510001338179</v>
      </c>
      <c r="F258" s="10">
        <f t="shared" si="45"/>
        <v>5.1104962951309245</v>
      </c>
      <c r="G258" s="10">
        <f t="shared" si="46"/>
        <v>5.035118824677709</v>
      </c>
      <c r="H258" s="9">
        <f t="shared" si="47"/>
        <v>-155.9194040471464</v>
      </c>
      <c r="I258" s="8">
        <f t="shared" si="53"/>
        <v>20903.069786138876</v>
      </c>
      <c r="J258" s="9">
        <f t="shared" si="54"/>
        <v>-157.35011407653315</v>
      </c>
      <c r="K258" s="9">
        <f t="shared" si="55"/>
        <v>-155.9194040471464</v>
      </c>
      <c r="L258" s="8">
        <f t="shared" si="48"/>
        <v>20859.212053601561</v>
      </c>
      <c r="N258" s="16">
        <f t="shared" si="56"/>
        <v>1.4259171531908235</v>
      </c>
    </row>
    <row r="259" spans="2:14" x14ac:dyDescent="0.25">
      <c r="B259" s="7">
        <f t="shared" si="49"/>
        <v>71.400000000000205</v>
      </c>
      <c r="C259" s="9">
        <f t="shared" si="52"/>
        <v>-155.9194040471464</v>
      </c>
      <c r="D259" s="10">
        <f t="shared" si="51"/>
        <v>5.0351625072699191</v>
      </c>
      <c r="E259" s="10">
        <f t="shared" si="44"/>
        <v>4.9611551768066207</v>
      </c>
      <c r="F259" s="10">
        <f t="shared" si="45"/>
        <v>4.9631292761801573</v>
      </c>
      <c r="G259" s="10">
        <f t="shared" si="46"/>
        <v>4.8903126364514655</v>
      </c>
      <c r="H259" s="9">
        <f t="shared" si="47"/>
        <v>-154.52994865816063</v>
      </c>
      <c r="I259" s="8">
        <f t="shared" si="53"/>
        <v>20859.212053601561</v>
      </c>
      <c r="J259" s="9">
        <f t="shared" si="54"/>
        <v>-155.9194040471464</v>
      </c>
      <c r="K259" s="9">
        <f t="shared" si="55"/>
        <v>-154.52994865816063</v>
      </c>
      <c r="L259" s="8">
        <f t="shared" si="48"/>
        <v>20815.749144222817</v>
      </c>
      <c r="N259" s="16">
        <f t="shared" si="56"/>
        <v>1.437688745041765</v>
      </c>
    </row>
    <row r="260" spans="2:14" x14ac:dyDescent="0.25">
      <c r="B260" s="7">
        <f t="shared" si="49"/>
        <v>71.680000000000206</v>
      </c>
      <c r="C260" s="9">
        <f t="shared" si="52"/>
        <v>-154.52994865816063</v>
      </c>
      <c r="D260" s="10">
        <f t="shared" si="51"/>
        <v>4.8903547316384222</v>
      </c>
      <c r="E260" s="10">
        <f t="shared" ref="E260:E323" si="57">dvdt($C260+h/2*D260,$I260+(h/2)/2*(2*C260+D260*h/2))</f>
        <v>4.8188634576936051</v>
      </c>
      <c r="F260" s="10">
        <f t="shared" ref="F260:F323" si="58">dvdt($C260+h/2*E260,$I260+(h/2)/2*(2*$C260+E260*h/2))</f>
        <v>4.8207688512695217</v>
      </c>
      <c r="G260" s="10">
        <f t="shared" ref="G260:G323" si="59">dvdt($C260+h*F260,$I260+h/2*(2*$C260+F260*h))</f>
        <v>4.7504296198805465</v>
      </c>
      <c r="H260" s="9">
        <f t="shared" ref="H260:H323" si="60">C260+h/6*(D260+2*E260+2*F260+G260)</f>
        <v>-153.18034637291987</v>
      </c>
      <c r="I260" s="8">
        <f t="shared" si="53"/>
        <v>20815.749144222817</v>
      </c>
      <c r="J260" s="9">
        <f t="shared" si="54"/>
        <v>-154.52994865816063</v>
      </c>
      <c r="K260" s="9">
        <f t="shared" si="55"/>
        <v>-153.18034637291987</v>
      </c>
      <c r="L260" s="8">
        <f t="shared" ref="L260:L323" si="61">I260+h/2*(J260+K260)</f>
        <v>20772.669702918465</v>
      </c>
      <c r="N260" s="16">
        <f t="shared" si="56"/>
        <v>1.449381598712516</v>
      </c>
    </row>
    <row r="261" spans="2:14" x14ac:dyDescent="0.25">
      <c r="B261" s="7">
        <f t="shared" ref="B261:B324" si="62">B260+h</f>
        <v>71.960000000000207</v>
      </c>
      <c r="C261" s="9">
        <f t="shared" si="52"/>
        <v>-153.18034637291987</v>
      </c>
      <c r="D261" s="10">
        <f t="shared" si="51"/>
        <v>4.7504701919530605</v>
      </c>
      <c r="E261" s="10">
        <f t="shared" si="57"/>
        <v>4.6814126184633906</v>
      </c>
      <c r="F261" s="10">
        <f t="shared" si="58"/>
        <v>4.6832517273468515</v>
      </c>
      <c r="G261" s="10">
        <f t="shared" si="59"/>
        <v>4.6153084199538617</v>
      </c>
      <c r="H261" s="9">
        <f t="shared" si="60"/>
        <v>-151.86924136542191</v>
      </c>
      <c r="I261" s="8">
        <f t="shared" si="53"/>
        <v>20772.669702918465</v>
      </c>
      <c r="J261" s="9">
        <f t="shared" si="54"/>
        <v>-153.18034637291987</v>
      </c>
      <c r="K261" s="9">
        <f t="shared" si="55"/>
        <v>-151.86924136542191</v>
      </c>
      <c r="L261" s="8">
        <f t="shared" si="61"/>
        <v>20729.962760635099</v>
      </c>
      <c r="N261" s="16">
        <f t="shared" si="56"/>
        <v>1.4609977740415665</v>
      </c>
    </row>
    <row r="262" spans="2:14" x14ac:dyDescent="0.25">
      <c r="B262" s="7">
        <f t="shared" si="62"/>
        <v>72.240000000000208</v>
      </c>
      <c r="C262" s="9">
        <f t="shared" si="52"/>
        <v>-151.86924136542191</v>
      </c>
      <c r="D262" s="10">
        <f t="shared" ref="D262:D325" si="63">dvdt($C262,$I262)</f>
        <v>4.6153475306036906</v>
      </c>
      <c r="E262" s="10">
        <f t="shared" si="57"/>
        <v>4.5486432664857563</v>
      </c>
      <c r="F262" s="10">
        <f t="shared" si="58"/>
        <v>4.5504184420272962</v>
      </c>
      <c r="G262" s="10">
        <f t="shared" si="59"/>
        <v>4.4847915684145709</v>
      </c>
      <c r="H262" s="9">
        <f t="shared" si="60"/>
        <v>-150.5953224480065</v>
      </c>
      <c r="I262" s="8">
        <f t="shared" si="53"/>
        <v>20729.962760635099</v>
      </c>
      <c r="J262" s="9">
        <f t="shared" si="54"/>
        <v>-151.86924136542191</v>
      </c>
      <c r="K262" s="9">
        <f t="shared" si="55"/>
        <v>-150.5953224480065</v>
      </c>
      <c r="L262" s="8">
        <f t="shared" si="61"/>
        <v>20687.617721701219</v>
      </c>
      <c r="N262" s="16">
        <f t="shared" si="56"/>
        <v>1.4725392748105048</v>
      </c>
    </row>
    <row r="263" spans="2:14" x14ac:dyDescent="0.25">
      <c r="B263" s="7">
        <f t="shared" si="62"/>
        <v>72.520000000000209</v>
      </c>
      <c r="C263" s="9">
        <f t="shared" si="52"/>
        <v>-150.5953224480065</v>
      </c>
      <c r="D263" s="10">
        <f t="shared" si="63"/>
        <v>4.4848292768099096</v>
      </c>
      <c r="E263" s="10">
        <f t="shared" si="57"/>
        <v>4.4203999435826944</v>
      </c>
      <c r="F263" s="10">
        <f t="shared" si="58"/>
        <v>4.4221134668551381</v>
      </c>
      <c r="G263" s="10">
        <f t="shared" si="59"/>
        <v>4.3587255707044807</v>
      </c>
      <c r="H263" s="9">
        <f t="shared" si="60"/>
        <v>-149.35732197014829</v>
      </c>
      <c r="I263" s="8">
        <f t="shared" si="53"/>
        <v>20687.617721701219</v>
      </c>
      <c r="J263" s="9">
        <f t="shared" si="54"/>
        <v>-150.5953224480065</v>
      </c>
      <c r="K263" s="9">
        <f t="shared" si="55"/>
        <v>-149.35732197014829</v>
      </c>
      <c r="L263" s="8">
        <f t="shared" si="61"/>
        <v>20645.624351482678</v>
      </c>
      <c r="N263" s="16">
        <f t="shared" si="56"/>
        <v>1.4840080494368117</v>
      </c>
    </row>
    <row r="264" spans="2:14" x14ac:dyDescent="0.25">
      <c r="B264" s="7">
        <f t="shared" si="62"/>
        <v>72.80000000000021</v>
      </c>
      <c r="C264" s="9">
        <f t="shared" si="52"/>
        <v>-149.35732197014829</v>
      </c>
      <c r="D264" s="10">
        <f t="shared" si="63"/>
        <v>4.3587619335686938</v>
      </c>
      <c r="E264" s="10">
        <f t="shared" si="57"/>
        <v>4.2965311977816905</v>
      </c>
      <c r="F264" s="10">
        <f t="shared" si="58"/>
        <v>4.2981852794929498</v>
      </c>
      <c r="G264" s="10">
        <f t="shared" si="59"/>
        <v>4.236960963974731</v>
      </c>
      <c r="H264" s="9">
        <f t="shared" si="60"/>
        <v>-148.15401469705063</v>
      </c>
      <c r="I264" s="8">
        <f t="shared" si="53"/>
        <v>20645.624351482678</v>
      </c>
      <c r="J264" s="9">
        <f t="shared" si="54"/>
        <v>-149.35732197014829</v>
      </c>
      <c r="K264" s="9">
        <f t="shared" si="55"/>
        <v>-148.15401469705063</v>
      </c>
      <c r="L264" s="8">
        <f t="shared" si="61"/>
        <v>20603.97276434927</v>
      </c>
      <c r="N264" s="16">
        <f t="shared" si="56"/>
        <v>1.4954059917460722</v>
      </c>
    </row>
    <row r="265" spans="2:14" x14ac:dyDescent="0.25">
      <c r="B265" s="7">
        <f t="shared" si="62"/>
        <v>73.080000000000211</v>
      </c>
      <c r="C265" s="9">
        <f t="shared" si="52"/>
        <v>-148.15401469705063</v>
      </c>
      <c r="D265" s="10">
        <f t="shared" si="63"/>
        <v>4.2369960356674579</v>
      </c>
      <c r="E265" s="10">
        <f t="shared" si="57"/>
        <v>4.1768896281493051</v>
      </c>
      <c r="F265" s="10">
        <f t="shared" si="58"/>
        <v>4.1784864089249965</v>
      </c>
      <c r="G265" s="10">
        <f t="shared" si="59"/>
        <v>4.1193523500144282</v>
      </c>
      <c r="H265" s="9">
        <f t="shared" si="60"/>
        <v>-146.98421667559188</v>
      </c>
      <c r="I265" s="8">
        <f t="shared" si="53"/>
        <v>20603.97276434927</v>
      </c>
      <c r="J265" s="9">
        <f t="shared" si="54"/>
        <v>-148.15401469705063</v>
      </c>
      <c r="K265" s="9">
        <f t="shared" si="55"/>
        <v>-146.98421667559188</v>
      </c>
      <c r="L265" s="8">
        <f t="shared" si="61"/>
        <v>20562.653411957101</v>
      </c>
      <c r="N265" s="16">
        <f t="shared" si="56"/>
        <v>1.5067349418120661</v>
      </c>
    </row>
    <row r="266" spans="2:14" x14ac:dyDescent="0.25">
      <c r="B266" s="7">
        <f t="shared" si="62"/>
        <v>73.360000000000213</v>
      </c>
      <c r="C266" s="9">
        <f t="shared" si="52"/>
        <v>-146.98421667559188</v>
      </c>
      <c r="D266" s="10">
        <f t="shared" si="63"/>
        <v>4.1193861826139848</v>
      </c>
      <c r="E266" s="10">
        <f t="shared" si="57"/>
        <v>4.0613319063333515</v>
      </c>
      <c r="F266" s="10">
        <f t="shared" si="58"/>
        <v>4.0628734573107739</v>
      </c>
      <c r="G266" s="10">
        <f t="shared" si="59"/>
        <v>4.005758406521311</v>
      </c>
      <c r="H266" s="9">
        <f t="shared" si="60"/>
        <v>-145.84678409415878</v>
      </c>
      <c r="I266" s="8">
        <f t="shared" si="53"/>
        <v>20562.653411957101</v>
      </c>
      <c r="J266" s="9">
        <f t="shared" si="54"/>
        <v>-146.98421667559188</v>
      </c>
      <c r="K266" s="9">
        <f t="shared" si="55"/>
        <v>-145.84678409415878</v>
      </c>
      <c r="L266" s="8">
        <f t="shared" si="61"/>
        <v>20521.657071849335</v>
      </c>
      <c r="N266" s="16">
        <f t="shared" si="56"/>
        <v>1.5179966868543628</v>
      </c>
    </row>
    <row r="267" spans="2:14" x14ac:dyDescent="0.25">
      <c r="B267" s="7">
        <f t="shared" si="62"/>
        <v>73.640000000000214</v>
      </c>
      <c r="C267" s="9">
        <f t="shared" si="52"/>
        <v>-145.84678409415878</v>
      </c>
      <c r="D267" s="10">
        <f t="shared" si="63"/>
        <v>4.0057910499076517</v>
      </c>
      <c r="E267" s="10">
        <f t="shared" si="57"/>
        <v>3.9497187780373491</v>
      </c>
      <c r="F267" s="10">
        <f t="shared" si="58"/>
        <v>3.9512071017199109</v>
      </c>
      <c r="G267" s="10">
        <f t="shared" si="59"/>
        <v>3.8960418797541716</v>
      </c>
      <c r="H267" s="9">
        <f t="shared" si="60"/>
        <v>-144.74061214199722</v>
      </c>
      <c r="I267" s="8">
        <f t="shared" si="53"/>
        <v>20521.657071849335</v>
      </c>
      <c r="J267" s="9">
        <f t="shared" si="54"/>
        <v>-145.84678409415878</v>
      </c>
      <c r="K267" s="9">
        <f t="shared" si="55"/>
        <v>-144.74061214199722</v>
      </c>
      <c r="L267" s="8">
        <f t="shared" si="61"/>
        <v>20480.974836376274</v>
      </c>
      <c r="N267" s="16">
        <f t="shared" si="56"/>
        <v>1.5291929621841165</v>
      </c>
    </row>
    <row r="268" spans="2:14" x14ac:dyDescent="0.25">
      <c r="B268" s="7">
        <f t="shared" si="62"/>
        <v>73.920000000000215</v>
      </c>
      <c r="C268" s="9">
        <f t="shared" si="52"/>
        <v>-144.74061214199722</v>
      </c>
      <c r="D268" s="10">
        <f t="shared" si="63"/>
        <v>3.8960733816916986</v>
      </c>
      <c r="E268" s="10">
        <f t="shared" si="57"/>
        <v>3.8419150472859616</v>
      </c>
      <c r="F268" s="10">
        <f t="shared" si="58"/>
        <v>3.8433520786132234</v>
      </c>
      <c r="G268" s="10">
        <f t="shared" si="59"/>
        <v>3.7900695612607982</v>
      </c>
      <c r="H268" s="9">
        <f t="shared" si="60"/>
        <v>-143.66463387290884</v>
      </c>
      <c r="I268" s="8">
        <f t="shared" si="53"/>
        <v>20480.974836376274</v>
      </c>
      <c r="J268" s="9">
        <f t="shared" si="54"/>
        <v>-144.74061214199722</v>
      </c>
      <c r="K268" s="9">
        <f t="shared" si="55"/>
        <v>-143.66463387290884</v>
      </c>
      <c r="L268" s="8">
        <f t="shared" si="61"/>
        <v>20440.598101934185</v>
      </c>
      <c r="N268" s="16">
        <f t="shared" si="56"/>
        <v>1.5403254521897065</v>
      </c>
    </row>
    <row r="269" spans="2:14" x14ac:dyDescent="0.25">
      <c r="B269" s="7">
        <f t="shared" si="62"/>
        <v>74.200000000000216</v>
      </c>
      <c r="C269" s="9">
        <f t="shared" si="52"/>
        <v>-143.66463387290884</v>
      </c>
      <c r="D269" s="10">
        <f t="shared" si="63"/>
        <v>3.7900999674806157</v>
      </c>
      <c r="E269" s="10">
        <f t="shared" si="57"/>
        <v>3.7377895460137505</v>
      </c>
      <c r="F269" s="10">
        <f t="shared" si="58"/>
        <v>3.7391771536078791</v>
      </c>
      <c r="G269" s="10">
        <f t="shared" si="59"/>
        <v>3.6877122510651863</v>
      </c>
      <c r="H269" s="9">
        <f t="shared" si="60"/>
        <v>-142.61781907741201</v>
      </c>
      <c r="I269" s="8">
        <f t="shared" si="53"/>
        <v>20440.598101934185</v>
      </c>
      <c r="J269" s="9">
        <f t="shared" si="54"/>
        <v>-143.66463387290884</v>
      </c>
      <c r="K269" s="9">
        <f t="shared" si="55"/>
        <v>-142.61781907741201</v>
      </c>
      <c r="L269" s="8">
        <f t="shared" si="61"/>
        <v>20400.51855852114</v>
      </c>
      <c r="N269" s="16">
        <f t="shared" si="56"/>
        <v>1.5513957913547649</v>
      </c>
    </row>
    <row r="270" spans="2:14" x14ac:dyDescent="0.25">
      <c r="B270" s="7">
        <f t="shared" si="62"/>
        <v>74.480000000000217</v>
      </c>
      <c r="C270" s="9">
        <f t="shared" si="52"/>
        <v>-142.61781907741201</v>
      </c>
      <c r="D270" s="10">
        <f t="shared" si="63"/>
        <v>3.6877416053460852</v>
      </c>
      <c r="E270" s="10">
        <f t="shared" si="57"/>
        <v>3.6372150912150047</v>
      </c>
      <c r="F270" s="10">
        <f t="shared" si="58"/>
        <v>3.6385550787694569</v>
      </c>
      <c r="G270" s="10">
        <f t="shared" si="59"/>
        <v>3.5888447094189813</v>
      </c>
      <c r="H270" s="9">
        <f t="shared" si="60"/>
        <v>-141.59917316685775</v>
      </c>
      <c r="I270" s="8">
        <f t="shared" si="53"/>
        <v>20400.51855852114</v>
      </c>
      <c r="J270" s="9">
        <f t="shared" si="54"/>
        <v>-142.61781907741201</v>
      </c>
      <c r="K270" s="9">
        <f t="shared" si="55"/>
        <v>-141.59917316685775</v>
      </c>
      <c r="L270" s="8">
        <f t="shared" si="61"/>
        <v>20360.728179606944</v>
      </c>
      <c r="N270" s="16">
        <f t="shared" si="56"/>
        <v>1.5624055653018798</v>
      </c>
    </row>
    <row r="271" spans="2:14" x14ac:dyDescent="0.25">
      <c r="B271" s="7">
        <f t="shared" si="62"/>
        <v>74.760000000000218</v>
      </c>
      <c r="C271" s="9">
        <f t="shared" si="52"/>
        <v>-141.59917316685775</v>
      </c>
      <c r="D271" s="10">
        <f t="shared" si="63"/>
        <v>3.588873053667057</v>
      </c>
      <c r="E271" s="10">
        <f t="shared" si="57"/>
        <v>3.5400684316299933</v>
      </c>
      <c r="F271" s="10">
        <f t="shared" si="58"/>
        <v>3.54136253941097</v>
      </c>
      <c r="G271" s="10">
        <f t="shared" si="59"/>
        <v>3.4933455989737854</v>
      </c>
      <c r="H271" s="9">
        <f t="shared" si="60"/>
        <v>-140.60773607243735</v>
      </c>
      <c r="I271" s="8">
        <f t="shared" si="53"/>
        <v>20360.728179606944</v>
      </c>
      <c r="J271" s="9">
        <f t="shared" si="54"/>
        <v>-141.59917316685775</v>
      </c>
      <c r="K271" s="9">
        <f t="shared" si="55"/>
        <v>-140.60773607243735</v>
      </c>
      <c r="L271" s="8">
        <f t="shared" si="61"/>
        <v>20321.219212313441</v>
      </c>
      <c r="N271" s="16">
        <f t="shared" si="56"/>
        <v>1.5733563118560403</v>
      </c>
    </row>
    <row r="272" spans="2:14" x14ac:dyDescent="0.25">
      <c r="B272" s="7">
        <f t="shared" si="62"/>
        <v>75.040000000000219</v>
      </c>
      <c r="C272" s="9">
        <f t="shared" si="52"/>
        <v>-140.60773607243735</v>
      </c>
      <c r="D272" s="10">
        <f t="shared" si="63"/>
        <v>3.4933729733002301</v>
      </c>
      <c r="E272" s="10">
        <f t="shared" si="57"/>
        <v>3.4462301857074915</v>
      </c>
      <c r="F272" s="10">
        <f t="shared" si="58"/>
        <v>3.4474800921422175</v>
      </c>
      <c r="G272" s="10">
        <f t="shared" si="59"/>
        <v>3.4010974190075198</v>
      </c>
      <c r="H272" s="9">
        <f t="shared" si="60"/>
        <v>-139.64258116153036</v>
      </c>
      <c r="I272" s="8">
        <f t="shared" si="53"/>
        <v>20321.219212313441</v>
      </c>
      <c r="J272" s="9">
        <f t="shared" si="54"/>
        <v>-140.60773607243735</v>
      </c>
      <c r="K272" s="9">
        <f t="shared" si="55"/>
        <v>-139.64258116153036</v>
      </c>
      <c r="L272" s="8">
        <f t="shared" si="61"/>
        <v>20281.984167900686</v>
      </c>
      <c r="N272" s="16">
        <f t="shared" si="56"/>
        <v>1.5842495221225001</v>
      </c>
    </row>
    <row r="273" spans="2:14" x14ac:dyDescent="0.25">
      <c r="B273" s="7">
        <f t="shared" si="62"/>
        <v>75.320000000000221</v>
      </c>
      <c r="C273" s="9">
        <f t="shared" si="52"/>
        <v>-139.64258116153036</v>
      </c>
      <c r="D273" s="10">
        <f t="shared" si="63"/>
        <v>3.4011238618044284</v>
      </c>
      <c r="E273" s="10">
        <f t="shared" si="57"/>
        <v>3.3555847723731489</v>
      </c>
      <c r="F273" s="10">
        <f t="shared" si="58"/>
        <v>3.3567920957029234</v>
      </c>
      <c r="G273" s="10">
        <f t="shared" si="59"/>
        <v>3.311986433139785</v>
      </c>
      <c r="H273" s="9">
        <f t="shared" si="60"/>
        <v>-138.70281417341252</v>
      </c>
      <c r="I273" s="8">
        <f t="shared" si="53"/>
        <v>20281.984167900686</v>
      </c>
      <c r="J273" s="9">
        <f t="shared" si="54"/>
        <v>-139.64258116153036</v>
      </c>
      <c r="K273" s="9">
        <f t="shared" si="55"/>
        <v>-138.70281417341252</v>
      </c>
      <c r="L273" s="8">
        <f t="shared" si="61"/>
        <v>20243.015812553793</v>
      </c>
      <c r="N273" s="16">
        <f t="shared" si="56"/>
        <v>1.5950866415743166</v>
      </c>
    </row>
    <row r="274" spans="2:14" x14ac:dyDescent="0.25">
      <c r="B274" s="7">
        <f t="shared" si="62"/>
        <v>75.600000000000222</v>
      </c>
      <c r="C274" s="9">
        <f t="shared" si="52"/>
        <v>-138.70281417341252</v>
      </c>
      <c r="D274" s="10">
        <f t="shared" si="63"/>
        <v>3.3120119811537947</v>
      </c>
      <c r="E274" s="10">
        <f t="shared" si="57"/>
        <v>3.2680203359458431</v>
      </c>
      <c r="F274" s="10">
        <f t="shared" si="58"/>
        <v>3.2691866359247417</v>
      </c>
      <c r="G274" s="10">
        <f t="shared" si="59"/>
        <v>3.2259025917936937</v>
      </c>
      <c r="H274" s="9">
        <f t="shared" si="60"/>
        <v>-137.78757217596706</v>
      </c>
      <c r="I274" s="8">
        <f t="shared" si="53"/>
        <v>20243.015812553793</v>
      </c>
      <c r="J274" s="9">
        <f t="shared" si="54"/>
        <v>-138.70281417341252</v>
      </c>
      <c r="K274" s="9">
        <f t="shared" si="55"/>
        <v>-137.78757217596706</v>
      </c>
      <c r="L274" s="8">
        <f t="shared" si="61"/>
        <v>20204.307158464879</v>
      </c>
      <c r="N274" s="16">
        <f t="shared" si="56"/>
        <v>1.6058690711453867</v>
      </c>
    </row>
    <row r="275" spans="2:14" x14ac:dyDescent="0.25">
      <c r="B275" s="7">
        <f t="shared" si="62"/>
        <v>75.880000000000223</v>
      </c>
      <c r="C275" s="9">
        <f t="shared" si="52"/>
        <v>-137.78757217596706</v>
      </c>
      <c r="D275" s="10">
        <f t="shared" si="63"/>
        <v>3.2259272801973391</v>
      </c>
      <c r="E275" s="10">
        <f t="shared" si="57"/>
        <v>3.183428666376952</v>
      </c>
      <c r="F275" s="10">
        <f t="shared" si="58"/>
        <v>3.1845554459996377</v>
      </c>
      <c r="G275" s="10">
        <f t="shared" si="59"/>
        <v>3.1427394505036363</v>
      </c>
      <c r="H275" s="9">
        <f t="shared" si="60"/>
        <v>-136.89602254471254</v>
      </c>
      <c r="I275" s="8">
        <f t="shared" si="53"/>
        <v>20204.307158464879</v>
      </c>
      <c r="J275" s="9">
        <f t="shared" si="54"/>
        <v>-137.78757217596706</v>
      </c>
      <c r="K275" s="9">
        <f t="shared" si="55"/>
        <v>-136.89602254471254</v>
      </c>
      <c r="L275" s="8">
        <f t="shared" si="61"/>
        <v>20165.851455203985</v>
      </c>
      <c r="N275" s="16">
        <f t="shared" si="56"/>
        <v>1.6165981683252606</v>
      </c>
    </row>
    <row r="276" spans="2:14" x14ac:dyDescent="0.25">
      <c r="B276" s="7">
        <f t="shared" si="62"/>
        <v>76.160000000000224</v>
      </c>
      <c r="C276" s="9">
        <f t="shared" si="52"/>
        <v>-136.89602254471254</v>
      </c>
      <c r="D276" s="10">
        <f t="shared" si="63"/>
        <v>3.1427633129642194</v>
      </c>
      <c r="E276" s="10">
        <f t="shared" si="57"/>
        <v>3.1017051158383038</v>
      </c>
      <c r="F276" s="10">
        <f t="shared" si="58"/>
        <v>3.1027938230832874</v>
      </c>
      <c r="G276" s="10">
        <f t="shared" si="59"/>
        <v>3.0623940850279743</v>
      </c>
      <c r="H276" s="9">
        <f t="shared" si="60"/>
        <v>-136.02736196517355</v>
      </c>
      <c r="I276" s="8">
        <f t="shared" si="53"/>
        <v>20165.851455203985</v>
      </c>
      <c r="J276" s="9">
        <f t="shared" si="54"/>
        <v>-136.89602254471254</v>
      </c>
      <c r="K276" s="9">
        <f t="shared" si="55"/>
        <v>-136.02736196517355</v>
      </c>
      <c r="L276" s="8">
        <f t="shared" si="61"/>
        <v>20127.642181372601</v>
      </c>
      <c r="N276" s="16">
        <f t="shared" si="56"/>
        <v>1.6272752482524373</v>
      </c>
    </row>
    <row r="277" spans="2:14" x14ac:dyDescent="0.25">
      <c r="B277" s="7">
        <f t="shared" si="62"/>
        <v>76.440000000000225</v>
      </c>
      <c r="C277" s="9">
        <f t="shared" si="52"/>
        <v>-136.02736196517355</v>
      </c>
      <c r="D277" s="10">
        <f t="shared" si="63"/>
        <v>3.0624171537740956</v>
      </c>
      <c r="E277" s="10">
        <f t="shared" si="57"/>
        <v>3.0227485125531146</v>
      </c>
      <c r="F277" s="10">
        <f t="shared" si="58"/>
        <v>3.0238005421291572</v>
      </c>
      <c r="G277" s="10">
        <f t="shared" si="59"/>
        <v>2.9847670041009886</v>
      </c>
      <c r="H277" s="9">
        <f t="shared" si="60"/>
        <v>-135.18081545936903</v>
      </c>
      <c r="I277" s="8">
        <f t="shared" si="53"/>
        <v>20127.642181372601</v>
      </c>
      <c r="J277" s="9">
        <f t="shared" si="54"/>
        <v>-136.02736196517355</v>
      </c>
      <c r="K277" s="9">
        <f t="shared" si="55"/>
        <v>-135.18081545936903</v>
      </c>
      <c r="L277" s="8">
        <f t="shared" si="61"/>
        <v>20089.673036533164</v>
      </c>
      <c r="N277" s="16">
        <f t="shared" si="56"/>
        <v>1.6379015848032723</v>
      </c>
    </row>
    <row r="278" spans="2:14" x14ac:dyDescent="0.25">
      <c r="B278" s="7">
        <f t="shared" si="62"/>
        <v>76.720000000000226</v>
      </c>
      <c r="C278" s="9">
        <f t="shared" si="52"/>
        <v>-135.18081545936903</v>
      </c>
      <c r="D278" s="10">
        <f t="shared" si="63"/>
        <v>2.9847893099865557</v>
      </c>
      <c r="E278" s="10">
        <f t="shared" si="57"/>
        <v>2.9464610726455049</v>
      </c>
      <c r="F278" s="10">
        <f t="shared" si="58"/>
        <v>2.9474777677316442</v>
      </c>
      <c r="G278" s="10">
        <f t="shared" si="59"/>
        <v>2.9097620605474592</v>
      </c>
      <c r="H278" s="9">
        <f t="shared" si="60"/>
        <v>-134.35563543697558</v>
      </c>
      <c r="I278" s="8">
        <f t="shared" si="53"/>
        <v>20089.673036533164</v>
      </c>
      <c r="J278" s="9">
        <f t="shared" si="54"/>
        <v>-135.18081545936903</v>
      </c>
      <c r="K278" s="9">
        <f t="shared" si="55"/>
        <v>-134.35563543697558</v>
      </c>
      <c r="L278" s="8">
        <f t="shared" si="61"/>
        <v>20051.937933407677</v>
      </c>
      <c r="N278" s="16">
        <f t="shared" si="56"/>
        <v>1.6484784116739322</v>
      </c>
    </row>
    <row r="279" spans="2:14" x14ac:dyDescent="0.25">
      <c r="B279" s="7">
        <f t="shared" si="62"/>
        <v>77.000000000000227</v>
      </c>
      <c r="C279" s="9">
        <f t="shared" si="52"/>
        <v>-134.35563543697558</v>
      </c>
      <c r="D279" s="10">
        <f t="shared" si="63"/>
        <v>2.909783633113157</v>
      </c>
      <c r="E279" s="10">
        <f t="shared" si="57"/>
        <v>2.8727483106813336</v>
      </c>
      <c r="F279" s="10">
        <f t="shared" si="58"/>
        <v>2.8737309646516236</v>
      </c>
      <c r="G279" s="10">
        <f t="shared" si="59"/>
        <v>2.8372863613851722</v>
      </c>
      <c r="H279" s="9">
        <f t="shared" si="60"/>
        <v>-133.55110077153458</v>
      </c>
      <c r="I279" s="8">
        <f t="shared" si="53"/>
        <v>20051.937933407677</v>
      </c>
      <c r="J279" s="9">
        <f t="shared" si="54"/>
        <v>-134.35563543697558</v>
      </c>
      <c r="K279" s="9">
        <f t="shared" si="55"/>
        <v>-133.55110077153458</v>
      </c>
      <c r="L279" s="8">
        <f t="shared" si="61"/>
        <v>20014.430990338486</v>
      </c>
      <c r="N279" s="16">
        <f t="shared" si="56"/>
        <v>1.6590069234531784</v>
      </c>
    </row>
    <row r="280" spans="2:14" x14ac:dyDescent="0.25">
      <c r="B280" s="7">
        <f t="shared" si="62"/>
        <v>77.280000000000229</v>
      </c>
      <c r="C280" s="9">
        <f t="shared" ref="C280:C343" si="64">H279</f>
        <v>-133.55110077153458</v>
      </c>
      <c r="D280" s="10">
        <f t="shared" si="63"/>
        <v>2.8373072289175991</v>
      </c>
      <c r="E280" s="10">
        <f t="shared" si="57"/>
        <v>2.8015189494797355</v>
      </c>
      <c r="F280" s="10">
        <f t="shared" si="58"/>
        <v>2.8024688076061448</v>
      </c>
      <c r="G280" s="10">
        <f t="shared" si="59"/>
        <v>2.7672501774538496</v>
      </c>
      <c r="H280" s="9">
        <f t="shared" si="60"/>
        <v>-132.76651590190923</v>
      </c>
      <c r="I280" s="8">
        <f t="shared" ref="I280:I343" si="65">L279</f>
        <v>20014.430990338486</v>
      </c>
      <c r="J280" s="9">
        <f t="shared" ref="J280:J343" si="66">C280</f>
        <v>-133.55110077153458</v>
      </c>
      <c r="K280" s="9">
        <f t="shared" ref="K280:K343" si="67">H280</f>
        <v>-132.76651590190923</v>
      </c>
      <c r="L280" s="8">
        <f t="shared" si="61"/>
        <v>19977.146524004202</v>
      </c>
      <c r="N280" s="16">
        <f t="shared" ref="N280:N343" si="68">C_y(I280)</f>
        <v>1.6694882766840742</v>
      </c>
    </row>
    <row r="281" spans="2:14" x14ac:dyDescent="0.25">
      <c r="B281" s="7">
        <f t="shared" si="62"/>
        <v>77.56000000000023</v>
      </c>
      <c r="C281" s="9">
        <f t="shared" si="64"/>
        <v>-132.76651590190923</v>
      </c>
      <c r="D281" s="10">
        <f t="shared" si="63"/>
        <v>2.7672703670420509</v>
      </c>
      <c r="E281" s="10">
        <f t="shared" si="57"/>
        <v>2.7326848296936523</v>
      </c>
      <c r="F281" s="10">
        <f t="shared" si="58"/>
        <v>2.7336030908211599</v>
      </c>
      <c r="G281" s="10">
        <f t="shared" si="59"/>
        <v>2.6995668530318073</v>
      </c>
      <c r="H281" s="9">
        <f t="shared" si="60"/>
        <v>-132.00120995905775</v>
      </c>
      <c r="I281" s="8">
        <f t="shared" si="65"/>
        <v>19977.146524004202</v>
      </c>
      <c r="J281" s="9">
        <f t="shared" si="66"/>
        <v>-132.76651590190923</v>
      </c>
      <c r="K281" s="9">
        <f t="shared" si="67"/>
        <v>-132.00120995905775</v>
      </c>
      <c r="L281" s="8">
        <f t="shared" si="61"/>
        <v>19940.079042383666</v>
      </c>
      <c r="N281" s="16">
        <f t="shared" si="68"/>
        <v>1.6799235909128842</v>
      </c>
    </row>
    <row r="282" spans="2:14" x14ac:dyDescent="0.25">
      <c r="B282" s="7">
        <f t="shared" si="62"/>
        <v>77.840000000000231</v>
      </c>
      <c r="C282" s="9">
        <f t="shared" si="64"/>
        <v>-132.00120995905775</v>
      </c>
      <c r="D282" s="10">
        <f t="shared" si="63"/>
        <v>2.6995863906214992</v>
      </c>
      <c r="E282" s="10">
        <f t="shared" si="57"/>
        <v>2.6661608195855933</v>
      </c>
      <c r="F282" s="10">
        <f t="shared" si="58"/>
        <v>2.6670486377747968</v>
      </c>
      <c r="G282" s="10">
        <f t="shared" si="59"/>
        <v>2.6341527158343641</v>
      </c>
      <c r="H282" s="9">
        <f t="shared" si="60"/>
        <v>-131.25453591806951</v>
      </c>
      <c r="I282" s="8">
        <f t="shared" si="65"/>
        <v>19940.079042383666</v>
      </c>
      <c r="J282" s="9">
        <f t="shared" si="66"/>
        <v>-132.00120995905775</v>
      </c>
      <c r="K282" s="9">
        <f t="shared" si="67"/>
        <v>-131.25453591806951</v>
      </c>
      <c r="L282" s="8">
        <f t="shared" si="61"/>
        <v>19903.223237960869</v>
      </c>
      <c r="N282" s="16">
        <f t="shared" si="68"/>
        <v>1.6903139497237563</v>
      </c>
    </row>
    <row r="283" spans="2:14" x14ac:dyDescent="0.25">
      <c r="B283" s="7">
        <f t="shared" si="62"/>
        <v>78.120000000000232</v>
      </c>
      <c r="C283" s="9">
        <f t="shared" si="64"/>
        <v>-131.25453591806951</v>
      </c>
      <c r="D283" s="10">
        <f t="shared" si="63"/>
        <v>2.6341716262797892</v>
      </c>
      <c r="E283" s="10">
        <f t="shared" si="57"/>
        <v>2.6018647253608647</v>
      </c>
      <c r="F283" s="10">
        <f t="shared" si="58"/>
        <v>2.6027232114945273</v>
      </c>
      <c r="G283" s="10">
        <f t="shared" si="59"/>
        <v>2.5709269877278755</v>
      </c>
      <c r="H283" s="9">
        <f t="shared" si="60"/>
        <v>-130.5258697753093</v>
      </c>
      <c r="I283" s="8">
        <f t="shared" si="65"/>
        <v>19903.223237960869</v>
      </c>
      <c r="J283" s="9">
        <f t="shared" si="66"/>
        <v>-131.25453591806951</v>
      </c>
      <c r="K283" s="9">
        <f t="shared" si="67"/>
        <v>-130.5258697753093</v>
      </c>
      <c r="L283" s="8">
        <f t="shared" si="61"/>
        <v>19866.573981163794</v>
      </c>
      <c r="N283" s="16">
        <f t="shared" si="68"/>
        <v>1.7006604017579319</v>
      </c>
    </row>
    <row r="284" spans="2:14" x14ac:dyDescent="0.25">
      <c r="B284" s="7">
        <f t="shared" si="62"/>
        <v>78.400000000000233</v>
      </c>
      <c r="C284" s="9">
        <f t="shared" si="64"/>
        <v>-130.5258697753093</v>
      </c>
      <c r="D284" s="10">
        <f t="shared" si="63"/>
        <v>2.5709452948413629</v>
      </c>
      <c r="E284" s="10">
        <f t="shared" si="57"/>
        <v>2.5397172023648893</v>
      </c>
      <c r="F284" s="10">
        <f t="shared" si="58"/>
        <v>2.5405474257152814</v>
      </c>
      <c r="G284" s="10">
        <f t="shared" si="59"/>
        <v>2.5098116964408024</v>
      </c>
      <c r="H284" s="9">
        <f t="shared" si="60"/>
        <v>-129.81460975042864</v>
      </c>
      <c r="I284" s="8">
        <f t="shared" si="65"/>
        <v>19866.573981163794</v>
      </c>
      <c r="J284" s="9">
        <f t="shared" si="66"/>
        <v>-130.5258697753093</v>
      </c>
      <c r="K284" s="9">
        <f t="shared" si="67"/>
        <v>-129.81460975042864</v>
      </c>
      <c r="L284" s="8">
        <f t="shared" si="61"/>
        <v>19830.126314030193</v>
      </c>
      <c r="N284" s="16">
        <f t="shared" si="68"/>
        <v>1.7109639617164287</v>
      </c>
    </row>
    <row r="285" spans="2:14" x14ac:dyDescent="0.25">
      <c r="B285" s="7">
        <f t="shared" si="62"/>
        <v>78.680000000000234</v>
      </c>
      <c r="C285" s="9">
        <f t="shared" si="64"/>
        <v>-129.81460975042864</v>
      </c>
      <c r="D285" s="10">
        <f t="shared" si="63"/>
        <v>2.5098294230401001</v>
      </c>
      <c r="E285" s="10">
        <f t="shared" si="57"/>
        <v>2.4796416674017738</v>
      </c>
      <c r="F285" s="10">
        <f t="shared" si="58"/>
        <v>2.4804446571567627</v>
      </c>
      <c r="G285" s="10">
        <f t="shared" si="59"/>
        <v>2.4507315885071068</v>
      </c>
      <c r="H285" s="9">
        <f t="shared" si="60"/>
        <v>-129.12017551293098</v>
      </c>
      <c r="I285" s="8">
        <f t="shared" si="65"/>
        <v>19830.126314030193</v>
      </c>
      <c r="J285" s="9">
        <f t="shared" si="66"/>
        <v>-129.81460975042864</v>
      </c>
      <c r="K285" s="9">
        <f t="shared" si="67"/>
        <v>-129.12017551293098</v>
      </c>
      <c r="L285" s="8">
        <f t="shared" si="61"/>
        <v>19793.875444093323</v>
      </c>
      <c r="N285" s="16">
        <f t="shared" si="68"/>
        <v>1.7212256113453062</v>
      </c>
    </row>
    <row r="286" spans="2:14" x14ac:dyDescent="0.25">
      <c r="B286" s="7">
        <f t="shared" si="62"/>
        <v>78.960000000000235</v>
      </c>
      <c r="C286" s="9">
        <f t="shared" si="64"/>
        <v>-129.12017551293098</v>
      </c>
      <c r="D286" s="10">
        <f t="shared" si="63"/>
        <v>2.450748756460571</v>
      </c>
      <c r="E286" s="10">
        <f t="shared" si="57"/>
        <v>2.4215642123882075</v>
      </c>
      <c r="F286" s="10">
        <f t="shared" si="58"/>
        <v>2.4223409591343241</v>
      </c>
      <c r="G286" s="10">
        <f t="shared" si="59"/>
        <v>2.3936140436365601</v>
      </c>
      <c r="H286" s="9">
        <f t="shared" si="60"/>
        <v>-128.44200743291768</v>
      </c>
      <c r="I286" s="8">
        <f t="shared" si="65"/>
        <v>19793.875444093323</v>
      </c>
      <c r="J286" s="9">
        <f t="shared" si="66"/>
        <v>-129.12017551293098</v>
      </c>
      <c r="K286" s="9">
        <f t="shared" si="67"/>
        <v>-128.44200743291768</v>
      </c>
      <c r="L286" s="8">
        <f t="shared" si="61"/>
        <v>19757.816738480902</v>
      </c>
      <c r="N286" s="16">
        <f t="shared" si="68"/>
        <v>1.7314463004027925</v>
      </c>
    </row>
    <row r="287" spans="2:14" x14ac:dyDescent="0.25">
      <c r="B287" s="7">
        <f t="shared" si="62"/>
        <v>79.240000000000236</v>
      </c>
      <c r="C287" s="9">
        <f t="shared" si="64"/>
        <v>-128.44200743291768</v>
      </c>
      <c r="D287" s="10">
        <f t="shared" si="63"/>
        <v>2.3936306739062263</v>
      </c>
      <c r="E287" s="10">
        <f t="shared" si="57"/>
        <v>2.3654135195184742</v>
      </c>
      <c r="F287" s="10">
        <f t="shared" si="58"/>
        <v>2.3661649766799684</v>
      </c>
      <c r="G287" s="10">
        <f t="shared" si="59"/>
        <v>2.3383889906712318</v>
      </c>
      <c r="H287" s="9">
        <f t="shared" si="60"/>
        <v>-127.77956585559221</v>
      </c>
      <c r="I287" s="8">
        <f t="shared" si="65"/>
        <v>19757.816738480902</v>
      </c>
      <c r="J287" s="9">
        <f t="shared" si="66"/>
        <v>-128.44200743291768</v>
      </c>
      <c r="K287" s="9">
        <f t="shared" si="67"/>
        <v>-127.77956585559221</v>
      </c>
      <c r="L287" s="8">
        <f t="shared" si="61"/>
        <v>19721.945718220511</v>
      </c>
      <c r="N287" s="16">
        <f t="shared" si="68"/>
        <v>1.7416269476076462</v>
      </c>
    </row>
    <row r="288" spans="2:14" x14ac:dyDescent="0.25">
      <c r="B288" s="7">
        <f t="shared" si="62"/>
        <v>79.520000000000238</v>
      </c>
      <c r="C288" s="9">
        <f t="shared" si="64"/>
        <v>-127.77956585559221</v>
      </c>
      <c r="D288" s="10">
        <f t="shared" si="63"/>
        <v>2.3384051033538782</v>
      </c>
      <c r="E288" s="10">
        <f t="shared" si="57"/>
        <v>2.3111207780841498</v>
      </c>
      <c r="F288" s="10">
        <f t="shared" si="58"/>
        <v>2.3118478633171144</v>
      </c>
      <c r="G288" s="10">
        <f t="shared" si="59"/>
        <v>2.2849888252563271</v>
      </c>
      <c r="H288" s="9">
        <f t="shared" si="60"/>
        <v>-127.13233039905961</v>
      </c>
      <c r="I288" s="8">
        <f t="shared" si="65"/>
        <v>19721.945718220511</v>
      </c>
      <c r="J288" s="9">
        <f t="shared" si="66"/>
        <v>-127.77956585559221</v>
      </c>
      <c r="K288" s="9">
        <f t="shared" si="67"/>
        <v>-127.13233039905961</v>
      </c>
      <c r="L288" s="8">
        <f t="shared" si="61"/>
        <v>19686.258052744859</v>
      </c>
      <c r="N288" s="16">
        <f t="shared" si="68"/>
        <v>1.7517684415682826</v>
      </c>
    </row>
    <row r="289" spans="2:14" x14ac:dyDescent="0.25">
      <c r="B289" s="7">
        <f t="shared" si="62"/>
        <v>79.800000000000239</v>
      </c>
      <c r="C289" s="9">
        <f t="shared" si="64"/>
        <v>-127.13233039905961</v>
      </c>
      <c r="D289" s="10">
        <f t="shared" si="63"/>
        <v>2.2850044396227145</v>
      </c>
      <c r="E289" s="10">
        <f t="shared" si="57"/>
        <v>2.2586196030618666</v>
      </c>
      <c r="F289" s="10">
        <f t="shared" si="58"/>
        <v>2.2593231996035046</v>
      </c>
      <c r="G289" s="10">
        <f t="shared" si="59"/>
        <v>2.2333483293268452</v>
      </c>
      <c r="H289" s="9">
        <f t="shared" si="60"/>
        <v>-126.49979927492653</v>
      </c>
      <c r="I289" s="8">
        <f t="shared" si="65"/>
        <v>19686.258052744859</v>
      </c>
      <c r="J289" s="9">
        <f t="shared" si="66"/>
        <v>-127.13233039905961</v>
      </c>
      <c r="K289" s="9">
        <f t="shared" si="67"/>
        <v>-126.49979927492653</v>
      </c>
      <c r="L289" s="8">
        <f t="shared" si="61"/>
        <v>19650.7495545905</v>
      </c>
      <c r="N289" s="16">
        <f t="shared" si="68"/>
        <v>1.7618716416922962</v>
      </c>
    </row>
    <row r="290" spans="2:14" x14ac:dyDescent="0.25">
      <c r="B290" s="7">
        <f t="shared" si="62"/>
        <v>80.08000000000024</v>
      </c>
      <c r="C290" s="9">
        <f t="shared" si="64"/>
        <v>-126.49979927492653</v>
      </c>
      <c r="D290" s="10">
        <f t="shared" si="63"/>
        <v>2.2333634638589417</v>
      </c>
      <c r="E290" s="10">
        <f t="shared" si="57"/>
        <v>2.207845955558752</v>
      </c>
      <c r="F290" s="10">
        <f t="shared" si="58"/>
        <v>2.2085269135312995</v>
      </c>
      <c r="G290" s="10">
        <f t="shared" si="59"/>
        <v>2.1834045924875309</v>
      </c>
      <c r="H290" s="9">
        <f t="shared" si="60"/>
        <v>-125.88148863118195</v>
      </c>
      <c r="I290" s="8">
        <f t="shared" si="65"/>
        <v>19650.7495545905</v>
      </c>
      <c r="J290" s="9">
        <f t="shared" si="66"/>
        <v>-126.49979927492653</v>
      </c>
      <c r="K290" s="9">
        <f t="shared" si="67"/>
        <v>-125.88148863118195</v>
      </c>
      <c r="L290" s="8">
        <f t="shared" si="61"/>
        <v>19615.416174283644</v>
      </c>
      <c r="N290" s="16">
        <f t="shared" si="68"/>
        <v>1.7719373790760695</v>
      </c>
    </row>
    <row r="291" spans="2:14" x14ac:dyDescent="0.25">
      <c r="B291" s="7">
        <f t="shared" si="62"/>
        <v>80.360000000000241</v>
      </c>
      <c r="C291" s="9">
        <f t="shared" si="64"/>
        <v>-125.88148863118195</v>
      </c>
      <c r="D291" s="10">
        <f t="shared" si="63"/>
        <v>2.1834192649140705</v>
      </c>
      <c r="E291" s="10">
        <f t="shared" si="57"/>
        <v>2.1587380651821251</v>
      </c>
      <c r="F291" s="10">
        <f t="shared" si="58"/>
        <v>2.1593972028521509</v>
      </c>
      <c r="G291" s="10">
        <f t="shared" si="59"/>
        <v>2.1350969353437974</v>
      </c>
      <c r="H291" s="9">
        <f t="shared" si="60"/>
        <v>-125.27693191682005</v>
      </c>
      <c r="I291" s="8">
        <f t="shared" si="65"/>
        <v>19615.416174283644</v>
      </c>
      <c r="J291" s="9">
        <f t="shared" si="66"/>
        <v>-125.88148863118195</v>
      </c>
      <c r="K291" s="9">
        <f t="shared" si="67"/>
        <v>-125.27693191682005</v>
      </c>
      <c r="L291" s="8">
        <f t="shared" si="61"/>
        <v>19580.253995406925</v>
      </c>
      <c r="N291" s="16">
        <f t="shared" si="68"/>
        <v>1.7819664573743101</v>
      </c>
    </row>
    <row r="292" spans="2:14" x14ac:dyDescent="0.25">
      <c r="B292" s="7">
        <f t="shared" si="62"/>
        <v>80.640000000000242</v>
      </c>
      <c r="C292" s="9">
        <f t="shared" si="64"/>
        <v>-125.27693191682005</v>
      </c>
      <c r="D292" s="10">
        <f t="shared" si="63"/>
        <v>2.1351111626740802</v>
      </c>
      <c r="E292" s="10">
        <f t="shared" si="57"/>
        <v>2.1112363543820591</v>
      </c>
      <c r="F292" s="10">
        <f t="shared" si="58"/>
        <v>2.1118744593753256</v>
      </c>
      <c r="G292" s="10">
        <f t="shared" si="59"/>
        <v>2.0883668348233781</v>
      </c>
      <c r="H292" s="9">
        <f t="shared" si="60"/>
        <v>-124.68567926765282</v>
      </c>
      <c r="I292" s="8">
        <f t="shared" si="65"/>
        <v>19580.253995406925</v>
      </c>
      <c r="J292" s="9">
        <f t="shared" si="66"/>
        <v>-125.27693191682005</v>
      </c>
      <c r="K292" s="9">
        <f t="shared" si="67"/>
        <v>-124.68567926765282</v>
      </c>
      <c r="L292" s="8">
        <f t="shared" si="61"/>
        <v>19545.2592298411</v>
      </c>
      <c r="N292" s="16">
        <f t="shared" si="68"/>
        <v>1.7919596536493594</v>
      </c>
    </row>
    <row r="293" spans="2:14" x14ac:dyDescent="0.25">
      <c r="B293" s="7">
        <f t="shared" si="62"/>
        <v>80.920000000000243</v>
      </c>
      <c r="C293" s="9">
        <f t="shared" si="64"/>
        <v>-124.68567926765282</v>
      </c>
      <c r="D293" s="10">
        <f t="shared" si="63"/>
        <v>2.0883806333795145</v>
      </c>
      <c r="E293" s="10">
        <f t="shared" si="57"/>
        <v>2.0652833647985549</v>
      </c>
      <c r="F293" s="10">
        <f t="shared" si="58"/>
        <v>2.0659011952711861</v>
      </c>
      <c r="G293" s="10">
        <f t="shared" si="59"/>
        <v>2.0431578515135889</v>
      </c>
      <c r="H293" s="9">
        <f t="shared" si="60"/>
        <v>-124.10729691275129</v>
      </c>
      <c r="I293" s="8">
        <f t="shared" si="65"/>
        <v>19545.2592298411</v>
      </c>
      <c r="J293" s="9">
        <f t="shared" si="66"/>
        <v>-124.68567926765282</v>
      </c>
      <c r="K293" s="9">
        <f t="shared" si="67"/>
        <v>-124.10729691275129</v>
      </c>
      <c r="L293" s="8">
        <f t="shared" si="61"/>
        <v>19510.428213175845</v>
      </c>
      <c r="N293" s="16">
        <f t="shared" si="68"/>
        <v>1.8019177192002505</v>
      </c>
    </row>
    <row r="294" spans="2:14" x14ac:dyDescent="0.25">
      <c r="B294" s="7">
        <f t="shared" si="62"/>
        <v>81.200000000000244</v>
      </c>
      <c r="C294" s="9">
        <f t="shared" si="64"/>
        <v>-124.10729691275129</v>
      </c>
      <c r="D294" s="10">
        <f t="shared" si="63"/>
        <v>2.0431712369611068</v>
      </c>
      <c r="E294" s="10">
        <f t="shared" si="57"/>
        <v>2.0208236856312665</v>
      </c>
      <c r="F294" s="10">
        <f t="shared" si="58"/>
        <v>2.0214219713981025</v>
      </c>
      <c r="G294" s="10">
        <f t="shared" si="59"/>
        <v>1.9994155590257712</v>
      </c>
      <c r="H294" s="9">
        <f t="shared" si="60"/>
        <v>-123.54136660094916</v>
      </c>
      <c r="I294" s="8">
        <f t="shared" si="65"/>
        <v>19510.428213175845</v>
      </c>
      <c r="J294" s="9">
        <f t="shared" si="66"/>
        <v>-124.10729691275129</v>
      </c>
      <c r="K294" s="9">
        <f t="shared" si="67"/>
        <v>-123.54136660094916</v>
      </c>
      <c r="L294" s="8">
        <f t="shared" si="61"/>
        <v>19475.757400283928</v>
      </c>
      <c r="N294" s="16">
        <f t="shared" si="68"/>
        <v>1.8118413803714977</v>
      </c>
    </row>
    <row r="295" spans="2:14" x14ac:dyDescent="0.25">
      <c r="B295" s="7">
        <f t="shared" si="62"/>
        <v>81.480000000000246</v>
      </c>
      <c r="C295" s="9">
        <f t="shared" si="64"/>
        <v>-123.54136660094916</v>
      </c>
      <c r="D295" s="10">
        <f t="shared" si="63"/>
        <v>1.9994285464027823</v>
      </c>
      <c r="E295" s="10">
        <f t="shared" si="57"/>
        <v>1.9778038840377861</v>
      </c>
      <c r="F295" s="10">
        <f t="shared" si="58"/>
        <v>1.9783833276587695</v>
      </c>
      <c r="G295" s="10">
        <f t="shared" si="59"/>
        <v>1.9570874753878007</v>
      </c>
      <c r="H295" s="9">
        <f t="shared" si="60"/>
        <v>-122.98748504684059</v>
      </c>
      <c r="I295" s="8">
        <f t="shared" si="65"/>
        <v>19475.757400283928</v>
      </c>
      <c r="J295" s="9">
        <f t="shared" si="66"/>
        <v>-123.54136660094916</v>
      </c>
      <c r="K295" s="9">
        <f t="shared" si="67"/>
        <v>-122.98748504684059</v>
      </c>
      <c r="L295" s="8">
        <f t="shared" si="61"/>
        <v>19441.243361053239</v>
      </c>
      <c r="N295" s="16">
        <f t="shared" si="68"/>
        <v>1.8217313393416839</v>
      </c>
    </row>
    <row r="296" spans="2:14" x14ac:dyDescent="0.25">
      <c r="B296" s="7">
        <f t="shared" si="62"/>
        <v>81.760000000000247</v>
      </c>
      <c r="C296" s="9">
        <f t="shared" si="64"/>
        <v>-122.98748504684059</v>
      </c>
      <c r="D296" s="10">
        <f t="shared" si="63"/>
        <v>1.9571000791327828</v>
      </c>
      <c r="E296" s="10">
        <f t="shared" si="57"/>
        <v>1.936172437556273</v>
      </c>
      <c r="F296" s="10">
        <f t="shared" si="58"/>
        <v>1.9367337153819315</v>
      </c>
      <c r="G296" s="10">
        <f t="shared" si="59"/>
        <v>1.9161229964559101</v>
      </c>
      <c r="H296" s="9">
        <f t="shared" si="60"/>
        <v>-122.44526339570555</v>
      </c>
      <c r="I296" s="8">
        <f t="shared" si="65"/>
        <v>19441.243361053239</v>
      </c>
      <c r="J296" s="9">
        <f t="shared" si="66"/>
        <v>-122.98748504684059</v>
      </c>
      <c r="K296" s="9">
        <f t="shared" si="67"/>
        <v>-122.44526339570555</v>
      </c>
      <c r="L296" s="8">
        <f t="shared" si="61"/>
        <v>19406.882776271283</v>
      </c>
      <c r="N296" s="16">
        <f t="shared" si="68"/>
        <v>1.831588274891961</v>
      </c>
    </row>
    <row r="297" spans="2:14" x14ac:dyDescent="0.25">
      <c r="B297" s="7">
        <f t="shared" si="62"/>
        <v>82.040000000000248</v>
      </c>
      <c r="C297" s="9">
        <f t="shared" si="64"/>
        <v>-122.44526339570555</v>
      </c>
      <c r="D297" s="10">
        <f t="shared" si="63"/>
        <v>1.9161352304340904</v>
      </c>
      <c r="E297" s="10">
        <f t="shared" si="57"/>
        <v>1.8958796685394002</v>
      </c>
      <c r="F297" s="10">
        <f t="shared" si="58"/>
        <v>1.8964234317164828</v>
      </c>
      <c r="G297" s="10">
        <f t="shared" si="59"/>
        <v>1.8764733313291513</v>
      </c>
      <c r="H297" s="9">
        <f t="shared" si="60"/>
        <v>-121.91432670679939</v>
      </c>
      <c r="I297" s="8">
        <f t="shared" si="65"/>
        <v>19406.882776271283</v>
      </c>
      <c r="J297" s="9">
        <f t="shared" si="66"/>
        <v>-122.44526339570555</v>
      </c>
      <c r="K297" s="9">
        <f t="shared" si="67"/>
        <v>-121.91432670679939</v>
      </c>
      <c r="L297" s="8">
        <f t="shared" si="61"/>
        <v>19372.672433656931</v>
      </c>
      <c r="N297" s="16">
        <f t="shared" si="68"/>
        <v>1.8414128431545904</v>
      </c>
    </row>
    <row r="298" spans="2:14" x14ac:dyDescent="0.25">
      <c r="B298" s="7">
        <f t="shared" si="62"/>
        <v>82.320000000000249</v>
      </c>
      <c r="C298" s="9">
        <f t="shared" si="64"/>
        <v>-121.91432670679939</v>
      </c>
      <c r="D298" s="10">
        <f t="shared" si="63"/>
        <v>1.876485208857638</v>
      </c>
      <c r="E298" s="10">
        <f t="shared" si="57"/>
        <v>1.856877680579756</v>
      </c>
      <c r="F298" s="10">
        <f t="shared" si="58"/>
        <v>1.8574045560182009</v>
      </c>
      <c r="G298" s="10">
        <f t="shared" si="59"/>
        <v>1.8380914397432209</v>
      </c>
      <c r="H298" s="9">
        <f t="shared" si="60"/>
        <v>-121.39431345444888</v>
      </c>
      <c r="I298" s="8">
        <f t="shared" si="65"/>
        <v>19372.672433656931</v>
      </c>
      <c r="J298" s="9">
        <f t="shared" si="66"/>
        <v>-121.91432670679939</v>
      </c>
      <c r="K298" s="9">
        <f t="shared" si="67"/>
        <v>-121.39431345444888</v>
      </c>
      <c r="L298" s="8">
        <f t="shared" si="61"/>
        <v>19338.609224034357</v>
      </c>
      <c r="N298" s="16">
        <f t="shared" si="68"/>
        <v>1.8512056783417201</v>
      </c>
    </row>
    <row r="299" spans="2:14" x14ac:dyDescent="0.25">
      <c r="B299" s="7">
        <f t="shared" si="62"/>
        <v>82.60000000000025</v>
      </c>
      <c r="C299" s="9">
        <f t="shared" si="64"/>
        <v>-121.39431345444888</v>
      </c>
      <c r="D299" s="10">
        <f t="shared" si="63"/>
        <v>1.8381029736149221</v>
      </c>
      <c r="E299" s="10">
        <f t="shared" si="57"/>
        <v>1.8191202969000964</v>
      </c>
      <c r="F299" s="10">
        <f t="shared" si="58"/>
        <v>1.8196308882025782</v>
      </c>
      <c r="G299" s="10">
        <f t="shared" si="59"/>
        <v>1.8009319714149155</v>
      </c>
      <c r="H299" s="9">
        <f t="shared" si="60"/>
        <v>-120.88487504640457</v>
      </c>
      <c r="I299" s="8">
        <f t="shared" si="65"/>
        <v>19338.609224034357</v>
      </c>
      <c r="J299" s="9">
        <f t="shared" si="66"/>
        <v>-121.39431345444888</v>
      </c>
      <c r="K299" s="9">
        <f t="shared" si="67"/>
        <v>-120.88487504640457</v>
      </c>
      <c r="L299" s="8">
        <f t="shared" si="61"/>
        <v>19304.690137644237</v>
      </c>
      <c r="N299" s="16">
        <f t="shared" si="68"/>
        <v>1.8609673934545974</v>
      </c>
    </row>
    <row r="300" spans="2:14" x14ac:dyDescent="0.25">
      <c r="B300" s="7">
        <f t="shared" si="62"/>
        <v>82.880000000000251</v>
      </c>
      <c r="C300" s="9">
        <f t="shared" si="64"/>
        <v>-120.88487504640457</v>
      </c>
      <c r="D300" s="10">
        <f t="shared" si="63"/>
        <v>1.8009431739213086</v>
      </c>
      <c r="E300" s="10">
        <f t="shared" si="57"/>
        <v>1.7825630006777429</v>
      </c>
      <c r="F300" s="10">
        <f t="shared" si="58"/>
        <v>1.7830578890328388</v>
      </c>
      <c r="G300" s="10">
        <f t="shared" si="59"/>
        <v>1.7649512073038964</v>
      </c>
      <c r="H300" s="9">
        <f t="shared" si="60"/>
        <v>-120.38567535890775</v>
      </c>
      <c r="I300" s="8">
        <f t="shared" si="65"/>
        <v>19304.690137644237</v>
      </c>
      <c r="J300" s="9">
        <f t="shared" si="66"/>
        <v>-120.88487504640457</v>
      </c>
      <c r="K300" s="9">
        <f t="shared" si="67"/>
        <v>-120.38567535890775</v>
      </c>
      <c r="L300" s="8">
        <f t="shared" si="61"/>
        <v>19270.912260587495</v>
      </c>
      <c r="N300" s="16">
        <f t="shared" si="68"/>
        <v>1.8706985809734695</v>
      </c>
    </row>
    <row r="301" spans="2:14" x14ac:dyDescent="0.25">
      <c r="B301" s="7">
        <f t="shared" si="62"/>
        <v>83.160000000000252</v>
      </c>
      <c r="C301" s="9">
        <f t="shared" si="64"/>
        <v>-120.38567535890775</v>
      </c>
      <c r="D301" s="10">
        <f t="shared" si="63"/>
        <v>1.7649620902566638</v>
      </c>
      <c r="E301" s="10">
        <f t="shared" si="57"/>
        <v>1.7471628772674876</v>
      </c>
      <c r="F301" s="10">
        <f t="shared" si="58"/>
        <v>1.7476426223078492</v>
      </c>
      <c r="G301" s="10">
        <f t="shared" si="59"/>
        <v>1.730107002754611</v>
      </c>
      <c r="H301" s="9">
        <f t="shared" si="60"/>
        <v>-119.89639028794019</v>
      </c>
      <c r="I301" s="8">
        <f t="shared" si="65"/>
        <v>19270.912260587495</v>
      </c>
      <c r="J301" s="9">
        <f t="shared" si="66"/>
        <v>-120.38567535890775</v>
      </c>
      <c r="K301" s="9">
        <f t="shared" si="67"/>
        <v>-119.89639028794019</v>
      </c>
      <c r="L301" s="8">
        <f t="shared" si="61"/>
        <v>19237.272771396936</v>
      </c>
      <c r="N301" s="16">
        <f t="shared" si="68"/>
        <v>1.8803998135284279</v>
      </c>
    </row>
    <row r="302" spans="2:14" x14ac:dyDescent="0.25">
      <c r="B302" s="7">
        <f t="shared" si="62"/>
        <v>83.440000000000254</v>
      </c>
      <c r="C302" s="9">
        <f t="shared" si="64"/>
        <v>-119.89639028794019</v>
      </c>
      <c r="D302" s="10">
        <f t="shared" si="63"/>
        <v>1.7301175775062838</v>
      </c>
      <c r="E302" s="10">
        <f t="shared" si="57"/>
        <v>1.712878558284564</v>
      </c>
      <c r="F302" s="10">
        <f t="shared" si="58"/>
        <v>1.7133436989112816</v>
      </c>
      <c r="G302" s="10">
        <f t="shared" si="59"/>
        <v>1.6963587324786085</v>
      </c>
      <c r="H302" s="9">
        <f t="shared" si="60"/>
        <v>-119.41670731613596</v>
      </c>
      <c r="I302" s="8">
        <f t="shared" si="65"/>
        <v>19237.272771396936</v>
      </c>
      <c r="J302" s="9">
        <f t="shared" si="66"/>
        <v>-119.89639028794019</v>
      </c>
      <c r="K302" s="9">
        <f t="shared" si="67"/>
        <v>-119.41670731613596</v>
      </c>
      <c r="L302" s="8">
        <f t="shared" si="61"/>
        <v>19203.768937732366</v>
      </c>
      <c r="N302" s="16">
        <f t="shared" si="68"/>
        <v>1.8900716445514756</v>
      </c>
    </row>
    <row r="303" spans="2:14" x14ac:dyDescent="0.25">
      <c r="B303" s="7">
        <f t="shared" si="62"/>
        <v>83.720000000000255</v>
      </c>
      <c r="C303" s="9">
        <f t="shared" si="64"/>
        <v>-119.41670731613596</v>
      </c>
      <c r="D303" s="10">
        <f t="shared" si="63"/>
        <v>1.6963690099421731</v>
      </c>
      <c r="E303" s="10">
        <f t="shared" si="57"/>
        <v>1.6796701675066106</v>
      </c>
      <c r="F303" s="10">
        <f t="shared" si="58"/>
        <v>1.6801212226809179</v>
      </c>
      <c r="G303" s="10">
        <f t="shared" si="59"/>
        <v>1.6636672373350501</v>
      </c>
      <c r="H303" s="9">
        <f t="shared" si="60"/>
        <v>-118.94632509484552</v>
      </c>
      <c r="I303" s="8">
        <f t="shared" si="65"/>
        <v>19203.768937732366</v>
      </c>
      <c r="J303" s="9">
        <f t="shared" si="66"/>
        <v>-119.41670731613596</v>
      </c>
      <c r="K303" s="9">
        <f t="shared" si="67"/>
        <v>-118.94632509484552</v>
      </c>
      <c r="L303" s="8">
        <f t="shared" si="61"/>
        <v>19170.398113194828</v>
      </c>
      <c r="N303" s="16">
        <f t="shared" si="68"/>
        <v>1.8997146089101133</v>
      </c>
    </row>
    <row r="304" spans="2:14" x14ac:dyDescent="0.25">
      <c r="B304" s="7">
        <f t="shared" si="62"/>
        <v>84.000000000000256</v>
      </c>
      <c r="C304" s="9">
        <f t="shared" si="64"/>
        <v>-118.94632509484552</v>
      </c>
      <c r="D304" s="10">
        <f t="shared" si="63"/>
        <v>1.6636772280026475</v>
      </c>
      <c r="E304" s="10">
        <f t="shared" si="57"/>
        <v>1.6474992685514012</v>
      </c>
      <c r="F304" s="10">
        <f t="shared" si="58"/>
        <v>1.6479367380550132</v>
      </c>
      <c r="G304" s="10">
        <f t="shared" si="59"/>
        <v>1.6319947728653743</v>
      </c>
      <c r="H304" s="9">
        <f t="shared" si="60"/>
        <v>-118.48495304085507</v>
      </c>
      <c r="I304" s="8">
        <f t="shared" si="65"/>
        <v>19170.398113194828</v>
      </c>
      <c r="J304" s="9">
        <f t="shared" si="66"/>
        <v>-118.94632509484552</v>
      </c>
      <c r="K304" s="9">
        <f t="shared" si="67"/>
        <v>-118.48495304085507</v>
      </c>
      <c r="L304" s="8">
        <f t="shared" si="61"/>
        <v>19137.15773425583</v>
      </c>
      <c r="N304" s="16">
        <f t="shared" si="68"/>
        <v>1.9093292235227868</v>
      </c>
    </row>
    <row r="305" spans="2:14" x14ac:dyDescent="0.25">
      <c r="B305" s="7">
        <f t="shared" si="62"/>
        <v>84.280000000000257</v>
      </c>
      <c r="C305" s="9">
        <f t="shared" si="64"/>
        <v>-118.48495304085507</v>
      </c>
      <c r="D305" s="10">
        <f t="shared" si="63"/>
        <v>1.6320044868260695</v>
      </c>
      <c r="E305" s="10">
        <f t="shared" si="57"/>
        <v>1.6163288142859096</v>
      </c>
      <c r="F305" s="10">
        <f t="shared" si="58"/>
        <v>1.6167531794511214</v>
      </c>
      <c r="G305" s="10">
        <f t="shared" si="59"/>
        <v>1.6013049595370361</v>
      </c>
      <c r="H305" s="9">
        <f t="shared" si="60"/>
        <v>-118.032310947276</v>
      </c>
      <c r="I305" s="8">
        <f t="shared" si="65"/>
        <v>19137.15773425583</v>
      </c>
      <c r="J305" s="9">
        <f t="shared" si="66"/>
        <v>-118.48495304085507</v>
      </c>
      <c r="K305" s="9">
        <f t="shared" si="67"/>
        <v>-118.032310947276</v>
      </c>
      <c r="L305" s="8">
        <f t="shared" si="61"/>
        <v>19104.045317297492</v>
      </c>
      <c r="N305" s="16">
        <f t="shared" si="68"/>
        <v>1.9189159879564763</v>
      </c>
    </row>
    <row r="306" spans="2:14" x14ac:dyDescent="0.25">
      <c r="B306" s="7">
        <f t="shared" si="62"/>
        <v>84.560000000000258</v>
      </c>
      <c r="C306" s="9">
        <f t="shared" si="64"/>
        <v>-118.032310947276</v>
      </c>
      <c r="D306" s="10">
        <f t="shared" si="63"/>
        <v>1.6013144064937948</v>
      </c>
      <c r="E306" s="10">
        <f t="shared" si="57"/>
        <v>1.5861230979209104</v>
      </c>
      <c r="F306" s="10">
        <f t="shared" si="58"/>
        <v>1.5865348223317197</v>
      </c>
      <c r="G306" s="10">
        <f t="shared" si="59"/>
        <v>1.5715627346504719</v>
      </c>
      <c r="H306" s="9">
        <f t="shared" si="60"/>
        <v>-117.58812860813235</v>
      </c>
      <c r="I306" s="8">
        <f t="shared" si="65"/>
        <v>19104.045317297492</v>
      </c>
      <c r="J306" s="9">
        <f t="shared" si="66"/>
        <v>-118.032310947276</v>
      </c>
      <c r="K306" s="9">
        <f t="shared" si="67"/>
        <v>-117.58812860813235</v>
      </c>
      <c r="L306" s="8">
        <f t="shared" si="61"/>
        <v>19071.058455759736</v>
      </c>
      <c r="N306" s="16">
        <f t="shared" si="68"/>
        <v>1.928475385006801</v>
      </c>
    </row>
    <row r="307" spans="2:14" x14ac:dyDescent="0.25">
      <c r="B307" s="7">
        <f t="shared" si="62"/>
        <v>84.840000000000259</v>
      </c>
      <c r="C307" s="9">
        <f t="shared" si="64"/>
        <v>-117.58812860813235</v>
      </c>
      <c r="D307" s="10">
        <f t="shared" si="63"/>
        <v>1.5715719239362791</v>
      </c>
      <c r="E307" s="10">
        <f t="shared" si="57"/>
        <v>1.5568477057451193</v>
      </c>
      <c r="F307" s="10">
        <f t="shared" si="58"/>
        <v>1.5572472359103284</v>
      </c>
      <c r="G307" s="10">
        <f t="shared" si="59"/>
        <v>1.5427343058626548</v>
      </c>
      <c r="H307" s="9">
        <f t="shared" si="60"/>
        <v>-117.15214545618723</v>
      </c>
      <c r="I307" s="8">
        <f t="shared" si="65"/>
        <v>19071.058455759736</v>
      </c>
      <c r="J307" s="9">
        <f t="shared" si="66"/>
        <v>-117.58812860813235</v>
      </c>
      <c r="K307" s="9">
        <f t="shared" si="67"/>
        <v>-117.15214545618723</v>
      </c>
      <c r="L307" s="8">
        <f t="shared" si="61"/>
        <v>19038.194817390729</v>
      </c>
      <c r="N307" s="16">
        <f t="shared" si="68"/>
        <v>1.9380078812609676</v>
      </c>
    </row>
    <row r="308" spans="2:14" x14ac:dyDescent="0.25">
      <c r="B308" s="7">
        <f t="shared" si="62"/>
        <v>85.12000000000026</v>
      </c>
      <c r="C308" s="9">
        <f t="shared" si="64"/>
        <v>-117.15214545618723</v>
      </c>
      <c r="D308" s="10">
        <f t="shared" si="63"/>
        <v>1.5427432464559412</v>
      </c>
      <c r="E308" s="10">
        <f t="shared" si="57"/>
        <v>1.5284694714521445</v>
      </c>
      <c r="F308" s="10">
        <f t="shared" si="58"/>
        <v>1.5288572374518306</v>
      </c>
      <c r="G308" s="10">
        <f t="shared" si="59"/>
        <v>1.5147871062809157</v>
      </c>
      <c r="H308" s="9">
        <f t="shared" si="60"/>
        <v>-116.7241102135618</v>
      </c>
      <c r="I308" s="8">
        <f t="shared" si="65"/>
        <v>19038.194817390729</v>
      </c>
      <c r="J308" s="9">
        <f t="shared" si="66"/>
        <v>-117.15214545618723</v>
      </c>
      <c r="K308" s="9">
        <f t="shared" si="67"/>
        <v>-116.7241102135618</v>
      </c>
      <c r="L308" s="8">
        <f t="shared" si="61"/>
        <v>19005.452141596965</v>
      </c>
      <c r="N308" s="16">
        <f t="shared" si="68"/>
        <v>1.9475139276439135</v>
      </c>
    </row>
    <row r="309" spans="2:14" x14ac:dyDescent="0.25">
      <c r="B309" s="7">
        <f t="shared" si="62"/>
        <v>85.400000000000261</v>
      </c>
      <c r="C309" s="9">
        <f t="shared" si="64"/>
        <v>-116.7241102135618</v>
      </c>
      <c r="D309" s="10">
        <f t="shared" si="63"/>
        <v>1.514795806820163</v>
      </c>
      <c r="E309" s="10">
        <f t="shared" si="57"/>
        <v>1.5009564320139885</v>
      </c>
      <c r="F309" s="10">
        <f t="shared" si="58"/>
        <v>1.501332848120124</v>
      </c>
      <c r="G309" s="10">
        <f t="shared" si="59"/>
        <v>1.4876897510803238</v>
      </c>
      <c r="H309" s="9">
        <f t="shared" si="60"/>
        <v>-116.30378055471392</v>
      </c>
      <c r="I309" s="8">
        <f t="shared" si="65"/>
        <v>19005.452141596965</v>
      </c>
      <c r="J309" s="9">
        <f t="shared" si="66"/>
        <v>-116.7241102135618</v>
      </c>
      <c r="K309" s="9">
        <f t="shared" si="67"/>
        <v>-116.30378055471392</v>
      </c>
      <c r="L309" s="8">
        <f t="shared" si="61"/>
        <v>18972.828236889407</v>
      </c>
      <c r="N309" s="16">
        <f t="shared" si="68"/>
        <v>1.9569939599479944</v>
      </c>
    </row>
    <row r="310" spans="2:14" x14ac:dyDescent="0.25">
      <c r="B310" s="7">
        <f t="shared" si="62"/>
        <v>85.680000000000263</v>
      </c>
      <c r="C310" s="9">
        <f t="shared" si="64"/>
        <v>-116.30378055471392</v>
      </c>
      <c r="D310" s="10">
        <f t="shared" si="63"/>
        <v>1.4876982198781072</v>
      </c>
      <c r="E310" s="10">
        <f t="shared" si="57"/>
        <v>1.4742777850544946</v>
      </c>
      <c r="F310" s="10">
        <f t="shared" si="58"/>
        <v>1.4746432503269862</v>
      </c>
      <c r="G310" s="10">
        <f t="shared" si="59"/>
        <v>1.4614119955987654</v>
      </c>
      <c r="H310" s="9">
        <f t="shared" si="60"/>
        <v>-115.89092278135607</v>
      </c>
      <c r="I310" s="8">
        <f t="shared" si="65"/>
        <v>18972.828236889407</v>
      </c>
      <c r="J310" s="9">
        <f t="shared" si="66"/>
        <v>-116.30378055471392</v>
      </c>
      <c r="K310" s="9">
        <f t="shared" si="67"/>
        <v>-115.89092278135607</v>
      </c>
      <c r="L310" s="8">
        <f t="shared" si="61"/>
        <v>18940.320978422358</v>
      </c>
      <c r="N310" s="16">
        <f t="shared" si="68"/>
        <v>1.9664483993465942</v>
      </c>
    </row>
    <row r="311" spans="2:14" x14ac:dyDescent="0.25">
      <c r="B311" s="7">
        <f t="shared" si="62"/>
        <v>85.960000000000264</v>
      </c>
      <c r="C311" s="9">
        <f t="shared" si="64"/>
        <v>-115.89092278135607</v>
      </c>
      <c r="D311" s="10">
        <f t="shared" si="63"/>
        <v>1.4614202406550387</v>
      </c>
      <c r="E311" s="10">
        <f t="shared" si="57"/>
        <v>1.4484038476769829</v>
      </c>
      <c r="F311" s="10">
        <f t="shared" si="58"/>
        <v>1.4487587465361025</v>
      </c>
      <c r="G311" s="10">
        <f t="shared" si="59"/>
        <v>1.4359246948637174</v>
      </c>
      <c r="H311" s="9">
        <f t="shared" si="60"/>
        <v>-115.4853115089053</v>
      </c>
      <c r="I311" s="8">
        <f t="shared" si="65"/>
        <v>18940.320978422358</v>
      </c>
      <c r="J311" s="9">
        <f t="shared" si="66"/>
        <v>-115.89092278135607</v>
      </c>
      <c r="K311" s="9">
        <f t="shared" si="67"/>
        <v>-115.4853115089053</v>
      </c>
      <c r="L311" s="8">
        <f t="shared" si="61"/>
        <v>18907.928305621721</v>
      </c>
      <c r="N311" s="16">
        <f t="shared" si="68"/>
        <v>1.9758776528919948</v>
      </c>
    </row>
    <row r="312" spans="2:14" x14ac:dyDescent="0.25">
      <c r="B312" s="7">
        <f t="shared" si="62"/>
        <v>86.240000000000265</v>
      </c>
      <c r="C312" s="9">
        <f t="shared" si="64"/>
        <v>-115.4853115089053</v>
      </c>
      <c r="D312" s="10">
        <f t="shared" si="63"/>
        <v>1.435932723878566</v>
      </c>
      <c r="E312" s="10">
        <f t="shared" si="57"/>
        <v>1.4233060167008587</v>
      </c>
      <c r="F312" s="10">
        <f t="shared" si="58"/>
        <v>1.4236507194769059</v>
      </c>
      <c r="G312" s="10">
        <f t="shared" si="59"/>
        <v>1.4111997645061314</v>
      </c>
      <c r="H312" s="9">
        <f t="shared" si="60"/>
        <v>-115.08672936407075</v>
      </c>
      <c r="I312" s="8">
        <f t="shared" si="65"/>
        <v>18907.928305621721</v>
      </c>
      <c r="J312" s="9">
        <f t="shared" si="66"/>
        <v>-115.4853115089053</v>
      </c>
      <c r="K312" s="9">
        <f t="shared" si="67"/>
        <v>-115.08672936407075</v>
      </c>
      <c r="L312" s="8">
        <f t="shared" si="61"/>
        <v>18875.648219899504</v>
      </c>
      <c r="N312" s="16">
        <f t="shared" si="68"/>
        <v>1.9852821139978758</v>
      </c>
    </row>
    <row r="313" spans="2:14" x14ac:dyDescent="0.25">
      <c r="B313" s="7">
        <f t="shared" si="62"/>
        <v>86.520000000000266</v>
      </c>
      <c r="C313" s="9">
        <f t="shared" si="64"/>
        <v>-115.08672936407075</v>
      </c>
      <c r="D313" s="10">
        <f t="shared" si="63"/>
        <v>1.4112075848918488</v>
      </c>
      <c r="E313" s="10">
        <f t="shared" si="57"/>
        <v>1.3989567302622818</v>
      </c>
      <c r="F313" s="10">
        <f t="shared" si="58"/>
        <v>1.3992915937236132</v>
      </c>
      <c r="G313" s="10">
        <f t="shared" si="59"/>
        <v>1.3872101430167509</v>
      </c>
      <c r="H313" s="9">
        <f t="shared" si="60"/>
        <v>-114.69496669319633</v>
      </c>
      <c r="I313" s="8">
        <f t="shared" si="65"/>
        <v>18875.648219899504</v>
      </c>
      <c r="J313" s="9">
        <f t="shared" si="66"/>
        <v>-115.08672936407075</v>
      </c>
      <c r="K313" s="9">
        <f t="shared" si="67"/>
        <v>-114.69496669319633</v>
      </c>
      <c r="L313" s="8">
        <f t="shared" si="61"/>
        <v>18843.478782451486</v>
      </c>
      <c r="N313" s="16">
        <f t="shared" si="68"/>
        <v>1.9946621629068113</v>
      </c>
    </row>
    <row r="314" spans="2:14" x14ac:dyDescent="0.25">
      <c r="B314" s="7">
        <f t="shared" si="62"/>
        <v>86.800000000000267</v>
      </c>
      <c r="C314" s="9">
        <f t="shared" si="64"/>
        <v>-114.69496669319633</v>
      </c>
      <c r="D314" s="10">
        <f t="shared" si="63"/>
        <v>1.3872177619095072</v>
      </c>
      <c r="E314" s="10">
        <f t="shared" si="57"/>
        <v>1.3753294307354589</v>
      </c>
      <c r="F314" s="10">
        <f t="shared" si="58"/>
        <v>1.3756547985957133</v>
      </c>
      <c r="G314" s="10">
        <f t="shared" si="59"/>
        <v>1.3639297553020213</v>
      </c>
      <c r="H314" s="9">
        <f t="shared" si="60"/>
        <v>-114.30982128098888</v>
      </c>
      <c r="I314" s="8">
        <f t="shared" si="65"/>
        <v>18843.478782451486</v>
      </c>
      <c r="J314" s="9">
        <f t="shared" si="66"/>
        <v>-114.69496669319633</v>
      </c>
      <c r="K314" s="9">
        <f t="shared" si="67"/>
        <v>-114.30982128098888</v>
      </c>
      <c r="L314" s="8">
        <f t="shared" si="61"/>
        <v>18811.418112135099</v>
      </c>
      <c r="N314" s="16">
        <f t="shared" si="68"/>
        <v>2.0040181671431223</v>
      </c>
    </row>
    <row r="315" spans="2:14" x14ac:dyDescent="0.25">
      <c r="B315" s="7">
        <f t="shared" si="62"/>
        <v>87.080000000000268</v>
      </c>
      <c r="C315" s="9">
        <f t="shared" si="64"/>
        <v>-114.30982128098888</v>
      </c>
      <c r="D315" s="10">
        <f t="shared" si="63"/>
        <v>1.3639371795728248</v>
      </c>
      <c r="E315" s="10">
        <f t="shared" si="57"/>
        <v>1.3523985289314193</v>
      </c>
      <c r="F315" s="10">
        <f t="shared" si="58"/>
        <v>1.3527147323367426</v>
      </c>
      <c r="G315" s="10">
        <f t="shared" si="59"/>
        <v>1.3413334774966126</v>
      </c>
      <c r="H315" s="9">
        <f t="shared" si="60"/>
        <v>-113.93109807927395</v>
      </c>
      <c r="I315" s="8">
        <f t="shared" si="65"/>
        <v>18811.418112135099</v>
      </c>
      <c r="J315" s="9">
        <f t="shared" si="66"/>
        <v>-114.30982128098888</v>
      </c>
      <c r="K315" s="9">
        <f t="shared" si="67"/>
        <v>-113.93109807927395</v>
      </c>
      <c r="L315" s="8">
        <f t="shared" si="61"/>
        <v>18779.464383424664</v>
      </c>
      <c r="N315" s="16">
        <f t="shared" si="68"/>
        <v>2.0133504819514334</v>
      </c>
    </row>
    <row r="316" spans="2:14" x14ac:dyDescent="0.25">
      <c r="B316" s="7">
        <f t="shared" si="62"/>
        <v>87.360000000000269</v>
      </c>
      <c r="C316" s="9">
        <f t="shared" si="64"/>
        <v>-113.93109807927395</v>
      </c>
      <c r="D316" s="10">
        <f t="shared" si="63"/>
        <v>1.3413407137619302</v>
      </c>
      <c r="E316" s="10">
        <f t="shared" si="57"/>
        <v>1.3301393695325023</v>
      </c>
      <c r="F316" s="10">
        <f t="shared" si="58"/>
        <v>1.3304467275297862</v>
      </c>
      <c r="G316" s="10">
        <f t="shared" si="59"/>
        <v>1.3193971029916889</v>
      </c>
      <c r="H316" s="9">
        <f t="shared" si="60"/>
        <v>-113.55860894543297</v>
      </c>
      <c r="I316" s="8">
        <f t="shared" si="65"/>
        <v>18779.464383424664</v>
      </c>
      <c r="J316" s="9">
        <f t="shared" si="66"/>
        <v>-113.93109807927395</v>
      </c>
      <c r="K316" s="9">
        <f t="shared" si="67"/>
        <v>-113.55860894543297</v>
      </c>
      <c r="L316" s="8">
        <f t="shared" si="61"/>
        <v>18747.615824441204</v>
      </c>
      <c r="N316" s="16">
        <f t="shared" si="68"/>
        <v>2.0226594507213038</v>
      </c>
    </row>
    <row r="317" spans="2:14" x14ac:dyDescent="0.25">
      <c r="B317" s="7">
        <f t="shared" si="62"/>
        <v>87.640000000000271</v>
      </c>
      <c r="C317" s="9">
        <f t="shared" si="64"/>
        <v>-113.55860894543297</v>
      </c>
      <c r="D317" s="10">
        <f t="shared" si="63"/>
        <v>1.3194041576235402</v>
      </c>
      <c r="E317" s="10">
        <f t="shared" si="57"/>
        <v>1.3085281977217411</v>
      </c>
      <c r="F317" s="10">
        <f t="shared" si="58"/>
        <v>1.3088270177084822</v>
      </c>
      <c r="G317" s="10">
        <f t="shared" si="59"/>
        <v>1.2980973096382593</v>
      </c>
      <c r="H317" s="9">
        <f t="shared" si="60"/>
        <v>-113.19217239018727</v>
      </c>
      <c r="I317" s="8">
        <f t="shared" si="65"/>
        <v>18747.615824441204</v>
      </c>
      <c r="J317" s="9">
        <f t="shared" si="66"/>
        <v>-113.55860894543297</v>
      </c>
      <c r="K317" s="9">
        <f t="shared" si="67"/>
        <v>-113.19217239018727</v>
      </c>
      <c r="L317" s="8">
        <f t="shared" si="61"/>
        <v>18715.870715054218</v>
      </c>
      <c r="N317" s="16">
        <f t="shared" si="68"/>
        <v>2.0319454053982913</v>
      </c>
    </row>
    <row r="318" spans="2:14" x14ac:dyDescent="0.25">
      <c r="B318" s="7">
        <f t="shared" si="62"/>
        <v>87.920000000000272</v>
      </c>
      <c r="C318" s="9">
        <f t="shared" si="64"/>
        <v>-113.19217239018727</v>
      </c>
      <c r="D318" s="10">
        <f t="shared" si="63"/>
        <v>1.2981041887737899</v>
      </c>
      <c r="E318" s="10">
        <f t="shared" si="57"/>
        <v>1.2875421269671825</v>
      </c>
      <c r="F318" s="10">
        <f t="shared" si="58"/>
        <v>1.2878327051238529</v>
      </c>
      <c r="G318" s="10">
        <f t="shared" si="59"/>
        <v>1.2774116280863366</v>
      </c>
      <c r="H318" s="9">
        <f t="shared" si="60"/>
        <v>-112.8316133344053</v>
      </c>
      <c r="I318" s="8">
        <f t="shared" si="65"/>
        <v>18715.870715054218</v>
      </c>
      <c r="J318" s="9">
        <f t="shared" si="66"/>
        <v>-113.19217239018727</v>
      </c>
      <c r="K318" s="9">
        <f t="shared" si="67"/>
        <v>-112.8316133344053</v>
      </c>
      <c r="L318" s="8">
        <f t="shared" si="61"/>
        <v>18684.227385052774</v>
      </c>
      <c r="N318" s="16">
        <f t="shared" si="68"/>
        <v>2.0412086668817695</v>
      </c>
    </row>
    <row r="319" spans="2:14" x14ac:dyDescent="0.25">
      <c r="B319" s="7">
        <f t="shared" si="62"/>
        <v>88.200000000000273</v>
      </c>
      <c r="C319" s="9">
        <f t="shared" si="64"/>
        <v>-112.8316133344053</v>
      </c>
      <c r="D319" s="10">
        <f t="shared" si="63"/>
        <v>1.2774183376371198</v>
      </c>
      <c r="E319" s="10">
        <f t="shared" si="57"/>
        <v>1.2671591079226037</v>
      </c>
      <c r="F319" s="10">
        <f t="shared" si="58"/>
        <v>1.2674417296282998</v>
      </c>
      <c r="G319" s="10">
        <f t="shared" si="59"/>
        <v>1.2573184112220419</v>
      </c>
      <c r="H319" s="9">
        <f t="shared" si="60"/>
        <v>-112.47676287462046</v>
      </c>
      <c r="I319" s="8">
        <f t="shared" si="65"/>
        <v>18684.227385052774</v>
      </c>
      <c r="J319" s="9">
        <f t="shared" si="66"/>
        <v>-112.8316133344053</v>
      </c>
      <c r="K319" s="9">
        <f t="shared" si="67"/>
        <v>-112.47676287462046</v>
      </c>
      <c r="L319" s="8">
        <f t="shared" si="61"/>
        <v>18652.684212383512</v>
      </c>
      <c r="N319" s="16">
        <f t="shared" si="68"/>
        <v>2.050449545409895</v>
      </c>
    </row>
    <row r="320" spans="2:14" x14ac:dyDescent="0.25">
      <c r="B320" s="7">
        <f t="shared" si="62"/>
        <v>88.480000000000274</v>
      </c>
      <c r="C320" s="9">
        <f t="shared" si="64"/>
        <v>-112.47676287462046</v>
      </c>
      <c r="D320" s="10">
        <f t="shared" si="63"/>
        <v>1.2573249568828038</v>
      </c>
      <c r="E320" s="10">
        <f t="shared" si="57"/>
        <v>1.2473578984069886</v>
      </c>
      <c r="F320" s="10">
        <f t="shared" si="58"/>
        <v>1.2476328386389439</v>
      </c>
      <c r="G320" s="10">
        <f t="shared" si="59"/>
        <v>1.2377968046652081</v>
      </c>
      <c r="H320" s="9">
        <f t="shared" si="60"/>
        <v>-112.12745805695727</v>
      </c>
      <c r="I320" s="8">
        <f t="shared" si="65"/>
        <v>18652.684212383512</v>
      </c>
      <c r="J320" s="9">
        <f t="shared" si="66"/>
        <v>-112.47676287462046</v>
      </c>
      <c r="K320" s="9">
        <f t="shared" si="67"/>
        <v>-112.12745805695727</v>
      </c>
      <c r="L320" s="8">
        <f t="shared" si="61"/>
        <v>18621.239621453093</v>
      </c>
      <c r="N320" s="16">
        <f t="shared" si="68"/>
        <v>2.0596683409320131</v>
      </c>
    </row>
    <row r="321" spans="2:14" x14ac:dyDescent="0.25">
      <c r="B321" s="7">
        <f t="shared" si="62"/>
        <v>88.760000000000275</v>
      </c>
      <c r="C321" s="9">
        <f t="shared" si="64"/>
        <v>-112.12745805695727</v>
      </c>
      <c r="D321" s="10">
        <f t="shared" si="63"/>
        <v>1.2378031919223391</v>
      </c>
      <c r="E321" s="10">
        <f t="shared" si="57"/>
        <v>1.2281180344263238</v>
      </c>
      <c r="F321" s="10">
        <f t="shared" si="58"/>
        <v>1.2283855581440795</v>
      </c>
      <c r="G321" s="10">
        <f t="shared" si="59"/>
        <v>1.2188267182919821</v>
      </c>
      <c r="H321" s="9">
        <f t="shared" si="60"/>
        <v>-111.78354165917403</v>
      </c>
      <c r="I321" s="8">
        <f t="shared" si="65"/>
        <v>18621.239621453093</v>
      </c>
      <c r="J321" s="9">
        <f t="shared" si="66"/>
        <v>-112.12745805695727</v>
      </c>
      <c r="K321" s="9">
        <f t="shared" si="67"/>
        <v>-111.78354165917403</v>
      </c>
      <c r="L321" s="8">
        <f t="shared" si="61"/>
        <v>18589.892081492835</v>
      </c>
      <c r="N321" s="16">
        <f t="shared" si="68"/>
        <v>2.0688653434688926</v>
      </c>
    </row>
    <row r="322" spans="2:14" x14ac:dyDescent="0.25">
      <c r="B322" s="7">
        <f t="shared" si="62"/>
        <v>89.040000000000276</v>
      </c>
      <c r="C322" s="9">
        <f t="shared" si="64"/>
        <v>-111.78354165917403</v>
      </c>
      <c r="D322" s="10">
        <f t="shared" si="63"/>
        <v>1.2188329524315134</v>
      </c>
      <c r="E322" s="10">
        <f t="shared" si="57"/>
        <v>1.2094198022022669</v>
      </c>
      <c r="F322" s="10">
        <f t="shared" si="58"/>
        <v>1.2096801647170849</v>
      </c>
      <c r="G322" s="10">
        <f t="shared" si="59"/>
        <v>1.2003887987472026</v>
      </c>
      <c r="H322" s="9">
        <f t="shared" si="60"/>
        <v>-111.44486198053988</v>
      </c>
      <c r="I322" s="8">
        <f t="shared" si="65"/>
        <v>18589.892081492835</v>
      </c>
      <c r="J322" s="9">
        <f t="shared" si="66"/>
        <v>-111.78354165917403</v>
      </c>
      <c r="K322" s="9">
        <f t="shared" si="67"/>
        <v>-111.44486198053988</v>
      </c>
      <c r="L322" s="8">
        <f t="shared" si="61"/>
        <v>18558.640104983275</v>
      </c>
      <c r="N322" s="16">
        <f t="shared" si="68"/>
        <v>2.0780408334610732</v>
      </c>
    </row>
    <row r="323" spans="2:14" x14ac:dyDescent="0.25">
      <c r="B323" s="7">
        <f t="shared" si="62"/>
        <v>89.320000000000277</v>
      </c>
      <c r="C323" s="9">
        <f t="shared" si="64"/>
        <v>-111.44486198053988</v>
      </c>
      <c r="D323" s="10">
        <f t="shared" si="63"/>
        <v>1.2003948848626227</v>
      </c>
      <c r="E323" s="10">
        <f t="shared" si="57"/>
        <v>1.1912442111736301</v>
      </c>
      <c r="F323" s="10">
        <f t="shared" si="58"/>
        <v>1.1914976585038017</v>
      </c>
      <c r="G323" s="10">
        <f t="shared" si="59"/>
        <v>1.182464402913274</v>
      </c>
      <c r="H323" s="9">
        <f t="shared" si="60"/>
        <v>-111.11127263927378</v>
      </c>
      <c r="I323" s="8">
        <f t="shared" si="65"/>
        <v>18558.640104983275</v>
      </c>
      <c r="J323" s="9">
        <f t="shared" si="66"/>
        <v>-111.44486198053988</v>
      </c>
      <c r="K323" s="9">
        <f t="shared" si="67"/>
        <v>-111.11127263927378</v>
      </c>
      <c r="L323" s="8">
        <f t="shared" si="61"/>
        <v>18527.4822461365</v>
      </c>
      <c r="N323" s="16">
        <f t="shared" si="68"/>
        <v>2.087195082105707</v>
      </c>
    </row>
    <row r="324" spans="2:14" x14ac:dyDescent="0.25">
      <c r="B324" s="7">
        <f t="shared" si="62"/>
        <v>89.600000000000279</v>
      </c>
      <c r="C324" s="9">
        <f t="shared" si="64"/>
        <v>-111.11127263927378</v>
      </c>
      <c r="D324" s="10">
        <f t="shared" si="63"/>
        <v>1.1824703459128501</v>
      </c>
      <c r="E324" s="10">
        <f t="shared" ref="E324:E387" si="69">dvdt($C324+h/2*D324,$I324+(h/2)/2*(2*C324+D324*h/2))</f>
        <v>1.1735729679373976</v>
      </c>
      <c r="F324" s="10">
        <f t="shared" ref="F324:F387" si="70">dvdt($C324+h/2*E324,$I324+(h/2)/2*(2*$C324+E324*h/2))</f>
        <v>1.1738197371499555</v>
      </c>
      <c r="G324" s="10">
        <f t="shared" ref="G324:G387" si="71">dvdt($C324+h*F324,$I324+h/2*(2*$C324+F324*h))</f>
        <v>1.1650355723026009</v>
      </c>
      <c r="H324" s="9">
        <f t="shared" ref="H324:H387" si="72">C324+h/6*(D324+2*E324+2*F324+G324)</f>
        <v>-110.78263237728224</v>
      </c>
      <c r="I324" s="8">
        <f t="shared" si="65"/>
        <v>18527.4822461365</v>
      </c>
      <c r="J324" s="9">
        <f t="shared" si="66"/>
        <v>-111.11127263927378</v>
      </c>
      <c r="K324" s="9">
        <f t="shared" si="67"/>
        <v>-110.78263237728224</v>
      </c>
      <c r="L324" s="8">
        <f t="shared" ref="L324:L387" si="73">I324+h/2*(J324+K324)</f>
        <v>18496.417099434184</v>
      </c>
      <c r="N324" s="16">
        <f t="shared" si="68"/>
        <v>2.0963283516821583</v>
      </c>
    </row>
    <row r="325" spans="2:14" x14ac:dyDescent="0.25">
      <c r="B325" s="7">
        <f t="shared" ref="B325:B388" si="74">B324+h</f>
        <v>89.88000000000028</v>
      </c>
      <c r="C325" s="9">
        <f t="shared" si="64"/>
        <v>-110.78263237728224</v>
      </c>
      <c r="D325" s="10">
        <f t="shared" si="63"/>
        <v>1.1650413769164643</v>
      </c>
      <c r="E325" s="10">
        <f t="shared" si="69"/>
        <v>1.1563884510972113</v>
      </c>
      <c r="F325" s="10">
        <f t="shared" si="70"/>
        <v>1.1566287706367764</v>
      </c>
      <c r="G325" s="10">
        <f t="shared" si="71"/>
        <v>1.1480850083422229</v>
      </c>
      <c r="H325" s="9">
        <f t="shared" si="72"/>
        <v>-110.45880487194167</v>
      </c>
      <c r="I325" s="8">
        <f t="shared" si="65"/>
        <v>18496.417099434184</v>
      </c>
      <c r="J325" s="9">
        <f t="shared" si="66"/>
        <v>-110.78263237728224</v>
      </c>
      <c r="K325" s="9">
        <f t="shared" si="67"/>
        <v>-110.45880487194167</v>
      </c>
      <c r="L325" s="8">
        <f t="shared" si="73"/>
        <v>18465.443298219292</v>
      </c>
      <c r="N325" s="16">
        <f t="shared" si="68"/>
        <v>2.1054408958667339</v>
      </c>
    </row>
    <row r="326" spans="2:14" x14ac:dyDescent="0.25">
      <c r="B326" s="7">
        <f t="shared" si="74"/>
        <v>90.160000000000281</v>
      </c>
      <c r="C326" s="9">
        <f t="shared" si="64"/>
        <v>-110.45880487194167</v>
      </c>
      <c r="D326" s="10">
        <f t="shared" ref="D326:D389" si="75">dvdt($C326,$I326)</f>
        <v>1.1480906791291707</v>
      </c>
      <c r="E326" s="10">
        <f t="shared" si="69"/>
        <v>1.1396736869885418</v>
      </c>
      <c r="F326" s="10">
        <f t="shared" si="70"/>
        <v>1.1399077769936439</v>
      </c>
      <c r="G326" s="10">
        <f t="shared" si="71"/>
        <v>1.1315960485201184</v>
      </c>
      <c r="H326" s="9">
        <f t="shared" si="72"/>
        <v>-110.1396585546797</v>
      </c>
      <c r="I326" s="8">
        <f t="shared" si="65"/>
        <v>18465.443298219292</v>
      </c>
      <c r="J326" s="9">
        <f t="shared" si="66"/>
        <v>-110.45880487194167</v>
      </c>
      <c r="K326" s="9">
        <f t="shared" si="67"/>
        <v>-110.1396585546797</v>
      </c>
      <c r="L326" s="8">
        <f t="shared" si="73"/>
        <v>18434.559513339565</v>
      </c>
      <c r="N326" s="16">
        <f t="shared" si="68"/>
        <v>2.1145329600368292</v>
      </c>
    </row>
    <row r="327" spans="2:14" x14ac:dyDescent="0.25">
      <c r="B327" s="7">
        <f t="shared" si="74"/>
        <v>90.440000000000282</v>
      </c>
      <c r="C327" s="9">
        <f t="shared" si="64"/>
        <v>-110.1396585546797</v>
      </c>
      <c r="D327" s="10">
        <f t="shared" si="75"/>
        <v>1.1316015898741152</v>
      </c>
      <c r="E327" s="10">
        <f t="shared" si="69"/>
        <v>1.1234123262502906</v>
      </c>
      <c r="F327" s="10">
        <f t="shared" si="70"/>
        <v>1.123640398857817</v>
      </c>
      <c r="G327" s="10">
        <f t="shared" si="71"/>
        <v>1.1155526433637413</v>
      </c>
      <c r="H327" s="9">
        <f t="shared" si="72"/>
        <v>-109.8250664361185</v>
      </c>
      <c r="I327" s="8">
        <f t="shared" si="65"/>
        <v>18434.559513339565</v>
      </c>
      <c r="J327" s="9">
        <f t="shared" si="66"/>
        <v>-110.1396585546797</v>
      </c>
      <c r="K327" s="9">
        <f t="shared" si="67"/>
        <v>-109.8250664361185</v>
      </c>
      <c r="L327" s="8">
        <f t="shared" si="73"/>
        <v>18403.764451840852</v>
      </c>
      <c r="N327" s="16">
        <f t="shared" si="68"/>
        <v>2.1236047815647905</v>
      </c>
    </row>
    <row r="328" spans="2:14" x14ac:dyDescent="0.25">
      <c r="B328" s="7">
        <f t="shared" si="74"/>
        <v>90.720000000000283</v>
      </c>
      <c r="C328" s="9">
        <f t="shared" si="64"/>
        <v>-109.8250664361185</v>
      </c>
      <c r="D328" s="10">
        <f t="shared" si="75"/>
        <v>1.1155580595201386</v>
      </c>
      <c r="E328" s="10">
        <f t="shared" si="69"/>
        <v>1.1075886212141461</v>
      </c>
      <c r="F328" s="10">
        <f t="shared" si="70"/>
        <v>1.107810880852357</v>
      </c>
      <c r="G328" s="10">
        <f t="shared" si="71"/>
        <v>1.0999393342223642</v>
      </c>
      <c r="H328" s="9">
        <f t="shared" si="72"/>
        <v>-109.51490593755098</v>
      </c>
      <c r="I328" s="8">
        <f t="shared" si="65"/>
        <v>18403.764451840852</v>
      </c>
      <c r="J328" s="9">
        <f t="shared" si="66"/>
        <v>-109.8250664361185</v>
      </c>
      <c r="K328" s="9">
        <f t="shared" si="67"/>
        <v>-109.51490593755098</v>
      </c>
      <c r="L328" s="8">
        <f t="shared" si="73"/>
        <v>18373.056855708539</v>
      </c>
      <c r="N328" s="16">
        <f t="shared" si="68"/>
        <v>2.1326565901018051</v>
      </c>
    </row>
    <row r="329" spans="2:14" x14ac:dyDescent="0.25">
      <c r="B329" s="7">
        <f t="shared" si="74"/>
        <v>91.000000000000284</v>
      </c>
      <c r="C329" s="9">
        <f t="shared" si="64"/>
        <v>-109.51490593755098</v>
      </c>
      <c r="D329" s="10">
        <f t="shared" si="75"/>
        <v>1.0999446292638682</v>
      </c>
      <c r="E329" s="10">
        <f t="shared" si="69"/>
        <v>1.0921874040835711</v>
      </c>
      <c r="F329" s="10">
        <f t="shared" si="70"/>
        <v>1.0924040477541641</v>
      </c>
      <c r="G329" s="10">
        <f t="shared" si="71"/>
        <v>1.08474123182564</v>
      </c>
      <c r="H329" s="9">
        <f t="shared" si="72"/>
        <v>-109.20905872852862</v>
      </c>
      <c r="I329" s="8">
        <f t="shared" si="65"/>
        <v>18373.056855708539</v>
      </c>
      <c r="J329" s="9">
        <f t="shared" si="66"/>
        <v>-109.51490593755098</v>
      </c>
      <c r="K329" s="9">
        <f t="shared" si="67"/>
        <v>-109.20905872852862</v>
      </c>
      <c r="L329" s="8">
        <f t="shared" si="73"/>
        <v>18342.435500655287</v>
      </c>
      <c r="N329" s="16">
        <f t="shared" si="68"/>
        <v>2.14168860785212</v>
      </c>
    </row>
    <row r="330" spans="2:14" x14ac:dyDescent="0.25">
      <c r="B330" s="7">
        <f t="shared" si="74"/>
        <v>91.280000000000285</v>
      </c>
      <c r="C330" s="9">
        <f t="shared" si="64"/>
        <v>-109.20905872852862</v>
      </c>
      <c r="D330" s="10">
        <f t="shared" si="75"/>
        <v>1.0847464096880637</v>
      </c>
      <c r="E330" s="10">
        <f t="shared" si="69"/>
        <v>1.0771940658756156</v>
      </c>
      <c r="F330" s="10">
        <f t="shared" si="70"/>
        <v>1.0774052834252044</v>
      </c>
      <c r="G330" s="10">
        <f t="shared" si="71"/>
        <v>1.0699439955920846</v>
      </c>
      <c r="H330" s="9">
        <f t="shared" si="72"/>
        <v>-108.90741057034747</v>
      </c>
      <c r="I330" s="8">
        <f t="shared" si="65"/>
        <v>18342.435500655287</v>
      </c>
      <c r="J330" s="9">
        <f t="shared" si="66"/>
        <v>-109.20905872852862</v>
      </c>
      <c r="K330" s="9">
        <f t="shared" si="67"/>
        <v>-108.90741057034747</v>
      </c>
      <c r="L330" s="8">
        <f t="shared" si="73"/>
        <v>18311.899194953443</v>
      </c>
      <c r="N330" s="16">
        <f t="shared" si="68"/>
        <v>2.1507010498378567</v>
      </c>
    </row>
    <row r="331" spans="2:14" x14ac:dyDescent="0.25">
      <c r="B331" s="7">
        <f t="shared" si="74"/>
        <v>91.560000000000286</v>
      </c>
      <c r="C331" s="9">
        <f t="shared" si="64"/>
        <v>-108.90741057034747</v>
      </c>
      <c r="D331" s="10">
        <f t="shared" si="75"/>
        <v>1.069949060069822</v>
      </c>
      <c r="E331" s="10">
        <f t="shared" si="69"/>
        <v>1.0625945360992317</v>
      </c>
      <c r="F331" s="10">
        <f t="shared" si="70"/>
        <v>1.0628005104808613</v>
      </c>
      <c r="G331" s="10">
        <f t="shared" si="71"/>
        <v>1.0555338136615744</v>
      </c>
      <c r="H331" s="9">
        <f t="shared" si="72"/>
        <v>-108.60985116522586</v>
      </c>
      <c r="I331" s="8">
        <f t="shared" si="65"/>
        <v>18311.899194953443</v>
      </c>
      <c r="J331" s="9">
        <f t="shared" si="66"/>
        <v>-108.90741057034747</v>
      </c>
      <c r="K331" s="9">
        <f t="shared" si="67"/>
        <v>-108.60985116522586</v>
      </c>
      <c r="L331" s="8">
        <f t="shared" si="73"/>
        <v>18281.446778310463</v>
      </c>
      <c r="N331" s="16">
        <f t="shared" si="68"/>
        <v>2.1596941241547305</v>
      </c>
    </row>
    <row r="332" spans="2:14" x14ac:dyDescent="0.25">
      <c r="B332" s="7">
        <f t="shared" si="74"/>
        <v>91.840000000000288</v>
      </c>
      <c r="C332" s="9">
        <f t="shared" si="64"/>
        <v>-108.60985116522586</v>
      </c>
      <c r="D332" s="10">
        <f t="shared" si="75"/>
        <v>1.0555387684129027</v>
      </c>
      <c r="E332" s="10">
        <f t="shared" si="69"/>
        <v>1.0483752631452565</v>
      </c>
      <c r="F332" s="10">
        <f t="shared" si="70"/>
        <v>1.0485761706701007</v>
      </c>
      <c r="G332" s="10">
        <f t="shared" si="71"/>
        <v>1.0414973836274268</v>
      </c>
      <c r="H332" s="9">
        <f t="shared" si="72"/>
        <v>-108.31627401097455</v>
      </c>
      <c r="I332" s="8">
        <f t="shared" si="65"/>
        <v>18281.446778310463</v>
      </c>
      <c r="J332" s="9">
        <f t="shared" si="66"/>
        <v>-108.60985116522586</v>
      </c>
      <c r="K332" s="9">
        <f t="shared" si="67"/>
        <v>-108.31627401097455</v>
      </c>
      <c r="L332" s="8">
        <f t="shared" si="73"/>
        <v>18251.077120785794</v>
      </c>
      <c r="N332" s="16">
        <f t="shared" si="68"/>
        <v>2.1686680322189207</v>
      </c>
    </row>
    <row r="333" spans="2:14" x14ac:dyDescent="0.25">
      <c r="B333" s="7">
        <f t="shared" si="74"/>
        <v>92.120000000000289</v>
      </c>
      <c r="C333" s="9">
        <f t="shared" si="64"/>
        <v>-108.31627401097455</v>
      </c>
      <c r="D333" s="10">
        <f t="shared" si="75"/>
        <v>1.0415022321795508</v>
      </c>
      <c r="E333" s="10">
        <f t="shared" si="69"/>
        <v>1.0345231953635556</v>
      </c>
      <c r="F333" s="10">
        <f t="shared" si="70"/>
        <v>1.0347192059434065</v>
      </c>
      <c r="G333" s="10">
        <f t="shared" si="71"/>
        <v>1.0278218939439976</v>
      </c>
      <c r="H333" s="9">
        <f t="shared" si="72"/>
        <v>-108.02657626096681</v>
      </c>
      <c r="I333" s="8">
        <f t="shared" si="65"/>
        <v>18251.077120785794</v>
      </c>
      <c r="J333" s="9">
        <f t="shared" si="66"/>
        <v>-108.31627401097455</v>
      </c>
      <c r="K333" s="9">
        <f t="shared" si="67"/>
        <v>-108.02657626096681</v>
      </c>
      <c r="L333" s="8">
        <f t="shared" si="73"/>
        <v>18220.789121747723</v>
      </c>
      <c r="N333" s="16">
        <f t="shared" si="68"/>
        <v>2.177622969005387</v>
      </c>
    </row>
    <row r="334" spans="2:14" x14ac:dyDescent="0.25">
      <c r="B334" s="7">
        <f t="shared" si="74"/>
        <v>92.40000000000029</v>
      </c>
      <c r="C334" s="9">
        <f t="shared" si="64"/>
        <v>-108.02657626096681</v>
      </c>
      <c r="D334" s="10">
        <f t="shared" si="75"/>
        <v>1.0278266396979332</v>
      </c>
      <c r="E334" s="10">
        <f t="shared" si="69"/>
        <v>1.0210257628039787</v>
      </c>
      <c r="F334" s="10">
        <f t="shared" si="70"/>
        <v>1.0212170401847764</v>
      </c>
      <c r="G334" s="10">
        <f t="shared" si="71"/>
        <v>1.0144950059868763</v>
      </c>
      <c r="H334" s="9">
        <f t="shared" si="72"/>
        <v>-107.74065858922256</v>
      </c>
      <c r="I334" s="8">
        <f t="shared" si="65"/>
        <v>18220.789121747723</v>
      </c>
      <c r="J334" s="9">
        <f t="shared" si="66"/>
        <v>-108.02657626096681</v>
      </c>
      <c r="K334" s="9">
        <f t="shared" si="67"/>
        <v>-107.74065858922256</v>
      </c>
      <c r="L334" s="8">
        <f t="shared" si="73"/>
        <v>18190.581708868696</v>
      </c>
      <c r="N334" s="16">
        <f t="shared" si="68"/>
        <v>2.186559123277886</v>
      </c>
    </row>
    <row r="335" spans="2:14" x14ac:dyDescent="0.25">
      <c r="B335" s="7">
        <f t="shared" si="74"/>
        <v>92.680000000000291</v>
      </c>
      <c r="C335" s="9">
        <f t="shared" si="64"/>
        <v>-107.74065858922256</v>
      </c>
      <c r="D335" s="10">
        <f t="shared" si="75"/>
        <v>1.0144996522221237</v>
      </c>
      <c r="E335" s="10">
        <f t="shared" si="69"/>
        <v>1.0078708595984947</v>
      </c>
      <c r="F335" s="10">
        <f t="shared" si="70"/>
        <v>1.0080575615852747</v>
      </c>
      <c r="G335" s="10">
        <f t="shared" si="71"/>
        <v>1.0015048367434323</v>
      </c>
      <c r="H335" s="9">
        <f t="shared" si="72"/>
        <v>-107.45842506042702</v>
      </c>
      <c r="I335" s="8">
        <f t="shared" si="65"/>
        <v>18190.581708868696</v>
      </c>
      <c r="J335" s="9">
        <f t="shared" si="66"/>
        <v>-107.74065858922256</v>
      </c>
      <c r="K335" s="9">
        <f t="shared" si="67"/>
        <v>-107.45842506042702</v>
      </c>
      <c r="L335" s="8">
        <f t="shared" si="73"/>
        <v>18160.453837157744</v>
      </c>
      <c r="N335" s="16">
        <f t="shared" si="68"/>
        <v>2.1954766778109396</v>
      </c>
    </row>
    <row r="336" spans="2:14" x14ac:dyDescent="0.25">
      <c r="B336" s="7">
        <f t="shared" si="74"/>
        <v>92.960000000000292</v>
      </c>
      <c r="C336" s="9">
        <f t="shared" si="64"/>
        <v>-107.45842506042702</v>
      </c>
      <c r="D336" s="10">
        <f t="shared" si="75"/>
        <v>1.0015093866224651</v>
      </c>
      <c r="E336" s="10">
        <f t="shared" si="69"/>
        <v>0.99504682696277003</v>
      </c>
      <c r="F336" s="10">
        <f t="shared" si="70"/>
        <v>0.99522910563637035</v>
      </c>
      <c r="G336" s="10">
        <f t="shared" si="71"/>
        <v>0.98883994211224835</v>
      </c>
      <c r="H336" s="9">
        <f t="shared" si="72"/>
        <v>-107.17978300471015</v>
      </c>
      <c r="I336" s="8">
        <f t="shared" si="65"/>
        <v>18160.453837157744</v>
      </c>
      <c r="J336" s="9">
        <f t="shared" si="66"/>
        <v>-107.45842506042702</v>
      </c>
      <c r="K336" s="9">
        <f t="shared" si="67"/>
        <v>-107.17978300471015</v>
      </c>
      <c r="L336" s="8">
        <f t="shared" si="73"/>
        <v>18130.404488028624</v>
      </c>
      <c r="N336" s="16">
        <f t="shared" si="68"/>
        <v>2.2043758096040174</v>
      </c>
    </row>
    <row r="337" spans="2:14" x14ac:dyDescent="0.25">
      <c r="B337" s="7">
        <f t="shared" si="74"/>
        <v>93.240000000000293</v>
      </c>
      <c r="C337" s="9">
        <f t="shared" si="64"/>
        <v>-107.17978300471015</v>
      </c>
      <c r="D337" s="10">
        <f t="shared" si="75"/>
        <v>0.98884439868479956</v>
      </c>
      <c r="E337" s="10">
        <f t="shared" si="69"/>
        <v>0.98254243679590869</v>
      </c>
      <c r="F337" s="10">
        <f t="shared" si="70"/>
        <v>0.98272043872176862</v>
      </c>
      <c r="G337" s="10">
        <f t="shared" si="71"/>
        <v>0.97648930079065543</v>
      </c>
      <c r="H337" s="9">
        <f t="shared" si="72"/>
        <v>-106.90464289701964</v>
      </c>
      <c r="I337" s="8">
        <f t="shared" si="65"/>
        <v>18130.404488028624</v>
      </c>
      <c r="J337" s="9">
        <f t="shared" si="66"/>
        <v>-107.17978300471015</v>
      </c>
      <c r="K337" s="9">
        <f t="shared" si="67"/>
        <v>-106.90464289701964</v>
      </c>
      <c r="L337" s="8">
        <f t="shared" si="73"/>
        <v>18100.43266840238</v>
      </c>
      <c r="N337" s="16">
        <f t="shared" si="68"/>
        <v>2.2132566900881701</v>
      </c>
    </row>
    <row r="338" spans="2:14" x14ac:dyDescent="0.25">
      <c r="B338" s="7">
        <f t="shared" si="74"/>
        <v>93.520000000000294</v>
      </c>
      <c r="C338" s="9">
        <f t="shared" si="64"/>
        <v>-106.90464289701964</v>
      </c>
      <c r="D338" s="10">
        <f t="shared" si="75"/>
        <v>0.97649366699790885</v>
      </c>
      <c r="E338" s="10">
        <f t="shared" si="69"/>
        <v>0.97034687585826285</v>
      </c>
      <c r="F338" s="10">
        <f t="shared" si="70"/>
        <v>0.97052074228760876</v>
      </c>
      <c r="G338" s="10">
        <f t="shared" si="71"/>
        <v>0.96444229873061482</v>
      </c>
      <c r="H338" s="9">
        <f t="shared" si="72"/>
        <v>-106.63291824092536</v>
      </c>
      <c r="I338" s="8">
        <f t="shared" si="65"/>
        <v>18100.43266840238</v>
      </c>
      <c r="J338" s="9">
        <f t="shared" si="66"/>
        <v>-106.90464289701964</v>
      </c>
      <c r="K338" s="9">
        <f t="shared" si="67"/>
        <v>-106.63291824092536</v>
      </c>
      <c r="L338" s="8">
        <f t="shared" si="73"/>
        <v>18070.537409843069</v>
      </c>
      <c r="N338" s="16">
        <f t="shared" si="68"/>
        <v>2.2221194853253587</v>
      </c>
    </row>
    <row r="339" spans="2:14" x14ac:dyDescent="0.25">
      <c r="B339" s="7">
        <f t="shared" si="74"/>
        <v>93.800000000000296</v>
      </c>
      <c r="C339" s="9">
        <f t="shared" si="64"/>
        <v>-106.63291824092536</v>
      </c>
      <c r="D339" s="10">
        <f t="shared" si="75"/>
        <v>0.9644465774091705</v>
      </c>
      <c r="E339" s="10">
        <f t="shared" si="69"/>
        <v>0.95844973050745907</v>
      </c>
      <c r="F339" s="10">
        <f t="shared" si="70"/>
        <v>0.95861959757117199</v>
      </c>
      <c r="G339" s="10">
        <f t="shared" si="71"/>
        <v>0.95268871414333056</v>
      </c>
      <c r="H339" s="9">
        <f t="shared" si="72"/>
        <v>-106.36452545669891</v>
      </c>
      <c r="I339" s="8">
        <f t="shared" si="65"/>
        <v>18070.537409843069</v>
      </c>
      <c r="J339" s="9">
        <f t="shared" si="66"/>
        <v>-106.63291824092536</v>
      </c>
      <c r="K339" s="9">
        <f t="shared" si="67"/>
        <v>-106.36452545669891</v>
      </c>
      <c r="L339" s="8">
        <f t="shared" si="73"/>
        <v>18040.7177677254</v>
      </c>
      <c r="N339" s="16">
        <f t="shared" si="68"/>
        <v>2.2309643562007162</v>
      </c>
    </row>
    <row r="340" spans="2:14" x14ac:dyDescent="0.25">
      <c r="B340" s="7">
        <f t="shared" si="74"/>
        <v>94.080000000000297</v>
      </c>
      <c r="C340" s="9">
        <f t="shared" si="64"/>
        <v>-106.36452545669891</v>
      </c>
      <c r="D340" s="10">
        <f t="shared" si="75"/>
        <v>0.95269290802905282</v>
      </c>
      <c r="E340" s="10">
        <f t="shared" si="69"/>
        <v>0.9468409719739328</v>
      </c>
      <c r="F340" s="10">
        <f t="shared" si="70"/>
        <v>0.94700697086935059</v>
      </c>
      <c r="G340" s="10">
        <f t="shared" si="71"/>
        <v>0.94121870303429267</v>
      </c>
      <c r="H340" s="9">
        <f t="shared" si="72"/>
        <v>-106.09938377351725</v>
      </c>
      <c r="I340" s="8">
        <f t="shared" si="65"/>
        <v>18040.7177677254</v>
      </c>
      <c r="J340" s="9">
        <f t="shared" si="66"/>
        <v>-106.36452545669891</v>
      </c>
      <c r="K340" s="9">
        <f t="shared" si="67"/>
        <v>-106.09938377351725</v>
      </c>
      <c r="L340" s="8">
        <f t="shared" si="73"/>
        <v>18010.97282043317</v>
      </c>
      <c r="N340" s="16">
        <f t="shared" si="68"/>
        <v>2.2397914586079497</v>
      </c>
    </row>
    <row r="341" spans="2:14" x14ac:dyDescent="0.25">
      <c r="B341" s="7">
        <f t="shared" si="74"/>
        <v>94.360000000000298</v>
      </c>
      <c r="C341" s="9">
        <f t="shared" si="64"/>
        <v>-106.09938377351725</v>
      </c>
      <c r="D341" s="10">
        <f t="shared" si="75"/>
        <v>0.94122281476594993</v>
      </c>
      <c r="E341" s="10">
        <f t="shared" si="69"/>
        <v>0.93551094215734887</v>
      </c>
      <c r="F341" s="10">
        <f t="shared" si="70"/>
        <v>0.9356731993283427</v>
      </c>
      <c r="G341" s="10">
        <f t="shared" si="71"/>
        <v>0.93002278525036663</v>
      </c>
      <c r="H341" s="9">
        <f t="shared" si="72"/>
        <v>-105.83741512564448</v>
      </c>
      <c r="I341" s="8">
        <f t="shared" si="65"/>
        <v>18010.97282043317</v>
      </c>
      <c r="J341" s="9">
        <f t="shared" si="66"/>
        <v>-106.09938377351725</v>
      </c>
      <c r="K341" s="9">
        <f t="shared" si="67"/>
        <v>-105.83741512564448</v>
      </c>
      <c r="L341" s="8">
        <f t="shared" si="73"/>
        <v>17981.301668587286</v>
      </c>
      <c r="N341" s="16">
        <f t="shared" si="68"/>
        <v>2.2486009436281371</v>
      </c>
    </row>
    <row r="342" spans="2:14" x14ac:dyDescent="0.25">
      <c r="B342" s="7">
        <f t="shared" si="74"/>
        <v>94.640000000000299</v>
      </c>
      <c r="C342" s="9">
        <f t="shared" si="64"/>
        <v>-105.83741512564448</v>
      </c>
      <c r="D342" s="10">
        <f t="shared" si="75"/>
        <v>0.93002681737327464</v>
      </c>
      <c r="E342" s="10">
        <f t="shared" si="69"/>
        <v>0.92445033992653325</v>
      </c>
      <c r="F342" s="10">
        <f t="shared" si="70"/>
        <v>0.92460897723703783</v>
      </c>
      <c r="G342" s="10">
        <f t="shared" si="71"/>
        <v>0.91909183102204217</v>
      </c>
      <c r="H342" s="9">
        <f t="shared" si="72"/>
        <v>-105.57854405245077</v>
      </c>
      <c r="I342" s="8">
        <f t="shared" si="65"/>
        <v>17981.301668587286</v>
      </c>
      <c r="J342" s="9">
        <f t="shared" si="66"/>
        <v>-105.83741512564448</v>
      </c>
      <c r="K342" s="9">
        <f t="shared" si="67"/>
        <v>-105.57854405245077</v>
      </c>
      <c r="L342" s="8">
        <f t="shared" si="73"/>
        <v>17951.703434302352</v>
      </c>
      <c r="N342" s="16">
        <f t="shared" si="68"/>
        <v>2.2573929577021077</v>
      </c>
    </row>
    <row r="343" spans="2:14" x14ac:dyDescent="0.25">
      <c r="B343" s="7">
        <f t="shared" si="74"/>
        <v>94.9200000000003</v>
      </c>
      <c r="C343" s="9">
        <f t="shared" si="64"/>
        <v>-105.57854405245077</v>
      </c>
      <c r="D343" s="10">
        <f t="shared" si="75"/>
        <v>0.91909578599137376</v>
      </c>
      <c r="E343" s="10">
        <f t="shared" si="69"/>
        <v>0.9136502079057045</v>
      </c>
      <c r="F343" s="10">
        <f t="shared" si="70"/>
        <v>0.91380534280697445</v>
      </c>
      <c r="G343" s="10">
        <f t="shared" si="71"/>
        <v>0.9084170479835646</v>
      </c>
      <c r="H343" s="9">
        <f t="shared" si="72"/>
        <v>-105.32269760213208</v>
      </c>
      <c r="I343" s="8">
        <f t="shared" si="65"/>
        <v>17951.703434302352</v>
      </c>
      <c r="J343" s="9">
        <f t="shared" si="66"/>
        <v>-105.57854405245077</v>
      </c>
      <c r="K343" s="9">
        <f t="shared" si="67"/>
        <v>-105.32269760213208</v>
      </c>
      <c r="L343" s="8">
        <f t="shared" si="73"/>
        <v>17922.177260470711</v>
      </c>
      <c r="N343" s="16">
        <f t="shared" si="68"/>
        <v>2.2661676427966131</v>
      </c>
    </row>
    <row r="344" spans="2:14" x14ac:dyDescent="0.25">
      <c r="B344" s="7">
        <f t="shared" si="74"/>
        <v>95.200000000000301</v>
      </c>
      <c r="C344" s="9">
        <f t="shared" ref="C344:C407" si="76">H343</f>
        <v>-105.32269760213208</v>
      </c>
      <c r="D344" s="10">
        <f t="shared" si="75"/>
        <v>0.90842092816770426</v>
      </c>
      <c r="E344" s="10">
        <f t="shared" si="69"/>
        <v>0.90310191973047071</v>
      </c>
      <c r="F344" s="10">
        <f t="shared" si="70"/>
        <v>0.90325366542231134</v>
      </c>
      <c r="G344" s="10">
        <f t="shared" si="71"/>
        <v>0.89798996865511793</v>
      </c>
      <c r="H344" s="9">
        <f t="shared" si="72"/>
        <v>-105.06980523899942</v>
      </c>
      <c r="I344" s="8">
        <f t="shared" ref="I344:I407" si="77">L343</f>
        <v>17922.177260470711</v>
      </c>
      <c r="J344" s="9">
        <f t="shared" ref="J344:J407" si="78">C344</f>
        <v>-105.32269760213208</v>
      </c>
      <c r="K344" s="9">
        <f t="shared" ref="K344:K407" si="79">H344</f>
        <v>-105.06980523899942</v>
      </c>
      <c r="L344" s="8">
        <f t="shared" si="73"/>
        <v>17892.722310072953</v>
      </c>
      <c r="N344" s="16">
        <f t="shared" ref="N344:N407" si="80">C_y(I344)</f>
        <v>2.2749251365645331</v>
      </c>
    </row>
    <row r="345" spans="2:14" x14ac:dyDescent="0.25">
      <c r="B345" s="7">
        <f t="shared" si="74"/>
        <v>95.480000000000302</v>
      </c>
      <c r="C345" s="9">
        <f t="shared" si="76"/>
        <v>-105.06980523899942</v>
      </c>
      <c r="D345" s="10">
        <f t="shared" si="75"/>
        <v>0.89799377633880695</v>
      </c>
      <c r="E345" s="10">
        <f t="shared" si="69"/>
        <v>0.89279716775780738</v>
      </c>
      <c r="F345" s="10">
        <f t="shared" si="70"/>
        <v>0.89294563334400523</v>
      </c>
      <c r="G345" s="10">
        <f t="shared" si="71"/>
        <v>0.88780243837119566</v>
      </c>
      <c r="H345" s="9">
        <f t="shared" si="72"/>
        <v>-104.81979875421013</v>
      </c>
      <c r="I345" s="8">
        <f t="shared" si="77"/>
        <v>17892.722310072953</v>
      </c>
      <c r="J345" s="9">
        <f t="shared" si="78"/>
        <v>-105.06980523899942</v>
      </c>
      <c r="K345" s="9">
        <f t="shared" si="79"/>
        <v>-104.81979875421013</v>
      </c>
      <c r="L345" s="8">
        <f t="shared" si="73"/>
        <v>17863.337765513905</v>
      </c>
      <c r="N345" s="16">
        <f t="shared" si="80"/>
        <v>2.2836655724992632</v>
      </c>
    </row>
    <row r="346" spans="2:14" x14ac:dyDescent="0.25">
      <c r="B346" s="7">
        <f t="shared" si="74"/>
        <v>95.760000000000304</v>
      </c>
      <c r="C346" s="9">
        <f t="shared" si="76"/>
        <v>-104.81979875421013</v>
      </c>
      <c r="D346" s="10">
        <f t="shared" si="75"/>
        <v>0.88780617575856036</v>
      </c>
      <c r="E346" s="10">
        <f t="shared" si="69"/>
        <v>0.88272795121447989</v>
      </c>
      <c r="F346" s="10">
        <f t="shared" si="70"/>
        <v>0.88287324185259985</v>
      </c>
      <c r="G346" s="10">
        <f t="shared" si="71"/>
        <v>0.87784660364007072</v>
      </c>
      <c r="H346" s="9">
        <f t="shared" si="72"/>
        <v>-104.57261217981859</v>
      </c>
      <c r="I346" s="8">
        <f t="shared" si="77"/>
        <v>17863.337765513905</v>
      </c>
      <c r="J346" s="9">
        <f t="shared" si="78"/>
        <v>-104.81979875421013</v>
      </c>
      <c r="K346" s="9">
        <f t="shared" si="79"/>
        <v>-104.57261217981859</v>
      </c>
      <c r="L346" s="8">
        <f t="shared" si="73"/>
        <v>17834.022827983139</v>
      </c>
      <c r="N346" s="16">
        <f t="shared" si="80"/>
        <v>2.2923890800835101</v>
      </c>
    </row>
    <row r="347" spans="2:14" x14ac:dyDescent="0.25">
      <c r="B347" s="7">
        <f t="shared" si="74"/>
        <v>96.040000000000305</v>
      </c>
      <c r="C347" s="9">
        <f t="shared" si="76"/>
        <v>-104.57261217981859</v>
      </c>
      <c r="D347" s="10">
        <f t="shared" si="75"/>
        <v>0.87785027285759187</v>
      </c>
      <c r="E347" s="10">
        <f t="shared" si="69"/>
        <v>0.87288656476914983</v>
      </c>
      <c r="F347" s="10">
        <f t="shared" si="70"/>
        <v>0.87302878181498011</v>
      </c>
      <c r="G347" s="10">
        <f t="shared" si="71"/>
        <v>0.86811490091979671</v>
      </c>
      <c r="H347" s="9">
        <f t="shared" si="72"/>
        <v>-104.32818170602779</v>
      </c>
      <c r="I347" s="8">
        <f t="shared" si="77"/>
        <v>17834.022827983139</v>
      </c>
      <c r="J347" s="9">
        <f t="shared" si="78"/>
        <v>-104.57261217981859</v>
      </c>
      <c r="K347" s="9">
        <f t="shared" si="79"/>
        <v>-104.32818170602779</v>
      </c>
      <c r="L347" s="8">
        <f t="shared" si="73"/>
        <v>17804.776716839122</v>
      </c>
      <c r="N347" s="16">
        <f t="shared" si="80"/>
        <v>2.3010957849326839</v>
      </c>
    </row>
    <row r="348" spans="2:14" x14ac:dyDescent="0.25">
      <c r="B348" s="7">
        <f t="shared" si="74"/>
        <v>96.320000000000306</v>
      </c>
      <c r="C348" s="9">
        <f t="shared" si="76"/>
        <v>-104.32818170602779</v>
      </c>
      <c r="D348" s="10">
        <f t="shared" si="75"/>
        <v>0.86811850401907498</v>
      </c>
      <c r="E348" s="10">
        <f t="shared" si="69"/>
        <v>0.86326558751370874</v>
      </c>
      <c r="F348" s="10">
        <f t="shared" si="70"/>
        <v>0.86340482866049728</v>
      </c>
      <c r="G348" s="10">
        <f t="shared" si="71"/>
        <v>0.85860004579649618</v>
      </c>
      <c r="H348" s="9">
        <f t="shared" si="72"/>
        <v>-104.0864456015268</v>
      </c>
      <c r="I348" s="8">
        <f t="shared" si="77"/>
        <v>17804.776716839122</v>
      </c>
      <c r="J348" s="9">
        <f t="shared" si="78"/>
        <v>-104.32818170602779</v>
      </c>
      <c r="K348" s="9">
        <f t="shared" si="79"/>
        <v>-104.0864456015268</v>
      </c>
      <c r="L348" s="8">
        <f t="shared" si="73"/>
        <v>17775.598669016064</v>
      </c>
      <c r="N348" s="16">
        <f t="shared" si="80"/>
        <v>2.309785808933035</v>
      </c>
    </row>
    <row r="349" spans="2:14" x14ac:dyDescent="0.25">
      <c r="B349" s="7">
        <f t="shared" si="74"/>
        <v>96.600000000000307</v>
      </c>
      <c r="C349" s="9">
        <f t="shared" si="76"/>
        <v>-104.0864456015268</v>
      </c>
      <c r="D349" s="10">
        <f t="shared" si="75"/>
        <v>0.85860358475702936</v>
      </c>
      <c r="E349" s="10">
        <f t="shared" si="69"/>
        <v>0.85385787234004706</v>
      </c>
      <c r="F349" s="10">
        <f t="shared" si="70"/>
        <v>0.85399423175273559</v>
      </c>
      <c r="G349" s="10">
        <f t="shared" si="71"/>
        <v>0.84929502255143419</v>
      </c>
      <c r="H349" s="9">
        <f t="shared" si="72"/>
        <v>-103.84734413680376</v>
      </c>
      <c r="I349" s="8">
        <f t="shared" si="77"/>
        <v>17775.598669016064</v>
      </c>
      <c r="J349" s="9">
        <f t="shared" si="78"/>
        <v>-104.0864456015268</v>
      </c>
      <c r="K349" s="9">
        <f t="shared" si="79"/>
        <v>-103.84734413680376</v>
      </c>
      <c r="L349" s="8">
        <f t="shared" si="73"/>
        <v>17746.487938452698</v>
      </c>
      <c r="N349" s="16">
        <f t="shared" si="80"/>
        <v>2.318459270374774</v>
      </c>
    </row>
    <row r="350" spans="2:14" x14ac:dyDescent="0.25">
      <c r="B350" s="7">
        <f t="shared" si="74"/>
        <v>96.880000000000308</v>
      </c>
      <c r="C350" s="9">
        <f t="shared" si="76"/>
        <v>-103.84734413680376</v>
      </c>
      <c r="D350" s="10">
        <f t="shared" si="75"/>
        <v>0.84929849928319134</v>
      </c>
      <c r="E350" s="10">
        <f t="shared" si="69"/>
        <v>0.84465653569872212</v>
      </c>
      <c r="F350" s="10">
        <f t="shared" si="70"/>
        <v>0.84479010414329381</v>
      </c>
      <c r="G350" s="10">
        <f t="shared" si="71"/>
        <v>0.84019307410346666</v>
      </c>
      <c r="H350" s="9">
        <f t="shared" si="72"/>
        <v>-103.61081951032712</v>
      </c>
      <c r="I350" s="8">
        <f t="shared" si="77"/>
        <v>17746.487938452698</v>
      </c>
      <c r="J350" s="9">
        <f t="shared" si="78"/>
        <v>-103.84734413680376</v>
      </c>
      <c r="K350" s="9">
        <f t="shared" si="79"/>
        <v>-103.61081951032712</v>
      </c>
      <c r="L350" s="8">
        <f t="shared" si="73"/>
        <v>17717.443795542098</v>
      </c>
      <c r="N350" s="16">
        <f t="shared" si="80"/>
        <v>2.3271162840802826</v>
      </c>
    </row>
    <row r="351" spans="2:14" x14ac:dyDescent="0.25">
      <c r="B351" s="7">
        <f t="shared" si="74"/>
        <v>97.160000000000309</v>
      </c>
      <c r="C351" s="9">
        <f t="shared" si="76"/>
        <v>-103.61081951032712</v>
      </c>
      <c r="D351" s="10">
        <f t="shared" si="75"/>
        <v>0.84019649044943556</v>
      </c>
      <c r="E351" s="10">
        <f t="shared" si="69"/>
        <v>0.83565494772655846</v>
      </c>
      <c r="F351" s="10">
        <f t="shared" si="70"/>
        <v>0.83578581269487606</v>
      </c>
      <c r="G351" s="10">
        <f t="shared" si="71"/>
        <v>0.83128769231430955</v>
      </c>
      <c r="H351" s="9">
        <f t="shared" si="72"/>
        <v>-103.37681577749214</v>
      </c>
      <c r="I351" s="8">
        <f t="shared" si="77"/>
        <v>17717.443795542098</v>
      </c>
      <c r="J351" s="9">
        <f t="shared" si="78"/>
        <v>-103.61081951032712</v>
      </c>
      <c r="K351" s="9">
        <f t="shared" si="79"/>
        <v>-103.37681577749214</v>
      </c>
      <c r="L351" s="8">
        <f t="shared" si="73"/>
        <v>17688.465526601802</v>
      </c>
      <c r="N351" s="16">
        <f t="shared" si="80"/>
        <v>2.3357569615276281</v>
      </c>
    </row>
    <row r="352" spans="2:14" x14ac:dyDescent="0.25">
      <c r="B352" s="7">
        <f t="shared" si="74"/>
        <v>97.44000000000031</v>
      </c>
      <c r="C352" s="9">
        <f t="shared" si="76"/>
        <v>-103.37681577749214</v>
      </c>
      <c r="D352" s="10">
        <f t="shared" si="75"/>
        <v>0.83129105005290915</v>
      </c>
      <c r="E352" s="10">
        <f t="shared" si="69"/>
        <v>0.8268467227307611</v>
      </c>
      <c r="F352" s="10">
        <f t="shared" si="70"/>
        <v>0.82697496856079222</v>
      </c>
      <c r="G352" s="10">
        <f t="shared" si="71"/>
        <v>0.82257260864407722</v>
      </c>
      <c r="H352" s="9">
        <f t="shared" si="72"/>
        <v>-103.14527878223241</v>
      </c>
      <c r="I352" s="8">
        <f t="shared" si="77"/>
        <v>17688.465526601802</v>
      </c>
      <c r="J352" s="9">
        <f t="shared" si="78"/>
        <v>-103.37681577749214</v>
      </c>
      <c r="K352" s="9">
        <f t="shared" si="79"/>
        <v>-103.14527878223241</v>
      </c>
      <c r="L352" s="8">
        <f t="shared" si="73"/>
        <v>17659.552433363438</v>
      </c>
      <c r="N352" s="16">
        <f t="shared" si="80"/>
        <v>2.3443814109695231</v>
      </c>
    </row>
    <row r="353" spans="2:14" x14ac:dyDescent="0.25">
      <c r="B353" s="7">
        <f t="shared" si="74"/>
        <v>97.720000000000312</v>
      </c>
      <c r="C353" s="9">
        <f t="shared" si="76"/>
        <v>-103.14527878223241</v>
      </c>
      <c r="D353" s="10">
        <f t="shared" si="75"/>
        <v>0.82257590949152692</v>
      </c>
      <c r="E353" s="10">
        <f t="shared" si="69"/>
        <v>0.81822571001721089</v>
      </c>
      <c r="F353" s="10">
        <f t="shared" si="70"/>
        <v>0.81835141800896827</v>
      </c>
      <c r="G353" s="10">
        <f t="shared" si="71"/>
        <v>0.81404178514535863</v>
      </c>
      <c r="H353" s="9">
        <f t="shared" si="72"/>
        <v>-102.91615609120025</v>
      </c>
      <c r="I353" s="8">
        <f t="shared" si="77"/>
        <v>17659.552433363438</v>
      </c>
      <c r="J353" s="9">
        <f t="shared" si="78"/>
        <v>-103.14527878223241</v>
      </c>
      <c r="K353" s="9">
        <f t="shared" si="79"/>
        <v>-102.91615609120025</v>
      </c>
      <c r="L353" s="8">
        <f t="shared" si="73"/>
        <v>17630.703832481158</v>
      </c>
      <c r="N353" s="16">
        <f t="shared" si="80"/>
        <v>2.3529897375478956</v>
      </c>
    </row>
    <row r="354" spans="2:14" x14ac:dyDescent="0.25">
      <c r="B354" s="7">
        <f t="shared" si="74"/>
        <v>98.000000000000313</v>
      </c>
      <c r="C354" s="9">
        <f t="shared" si="76"/>
        <v>-102.91615609120025</v>
      </c>
      <c r="D354" s="10">
        <f t="shared" si="75"/>
        <v>0.81404503075789025</v>
      </c>
      <c r="E354" s="10">
        <f t="shared" si="69"/>
        <v>0.80978598505131405</v>
      </c>
      <c r="F354" s="10">
        <f t="shared" si="70"/>
        <v>0.80990923357864764</v>
      </c>
      <c r="G354" s="10">
        <f t="shared" si="71"/>
        <v>0.80568940578403492</v>
      </c>
      <c r="H354" s="9">
        <f t="shared" si="72"/>
        <v>-102.68939693042283</v>
      </c>
      <c r="I354" s="8">
        <f t="shared" si="77"/>
        <v>17630.703832481158</v>
      </c>
      <c r="J354" s="9">
        <f t="shared" si="78"/>
        <v>-102.91615609120025</v>
      </c>
      <c r="K354" s="9">
        <f t="shared" si="79"/>
        <v>-102.68939693042283</v>
      </c>
      <c r="L354" s="8">
        <f t="shared" si="73"/>
        <v>17601.91905505813</v>
      </c>
      <c r="N354" s="16">
        <f t="shared" si="80"/>
        <v>2.3615820434042183</v>
      </c>
    </row>
    <row r="355" spans="2:14" x14ac:dyDescent="0.25">
      <c r="B355" s="7">
        <f t="shared" si="74"/>
        <v>98.280000000000314</v>
      </c>
      <c r="C355" s="9">
        <f t="shared" si="76"/>
        <v>-102.68939693042283</v>
      </c>
      <c r="D355" s="10">
        <f t="shared" si="75"/>
        <v>0.80569259776011248</v>
      </c>
      <c r="E355" s="10">
        <f t="shared" si="69"/>
        <v>0.80152184094003542</v>
      </c>
      <c r="F355" s="10">
        <f t="shared" si="70"/>
        <v>0.80164270555842909</v>
      </c>
      <c r="G355" s="10">
        <f t="shared" si="71"/>
        <v>0.79750986807594759</v>
      </c>
      <c r="H355" s="9">
        <f t="shared" si="72"/>
        <v>-102.46495212434395</v>
      </c>
      <c r="I355" s="8">
        <f t="shared" si="77"/>
        <v>17601.91905505813</v>
      </c>
      <c r="J355" s="9">
        <f t="shared" si="78"/>
        <v>-102.68939693042283</v>
      </c>
      <c r="K355" s="9">
        <f t="shared" si="79"/>
        <v>-102.46495212434395</v>
      </c>
      <c r="L355" s="8">
        <f t="shared" si="73"/>
        <v>17573.197446190461</v>
      </c>
      <c r="N355" s="16">
        <f t="shared" si="80"/>
        <v>2.3701584277857513</v>
      </c>
    </row>
    <row r="356" spans="2:14" x14ac:dyDescent="0.25">
      <c r="B356" s="7">
        <f t="shared" si="74"/>
        <v>98.560000000000315</v>
      </c>
      <c r="C356" s="9">
        <f t="shared" si="76"/>
        <v>-102.46495212434395</v>
      </c>
      <c r="D356" s="10">
        <f t="shared" si="75"/>
        <v>0.7975130079583268</v>
      </c>
      <c r="E356" s="10">
        <f t="shared" si="69"/>
        <v>0.79342778022413429</v>
      </c>
      <c r="F356" s="10">
        <f t="shared" si="70"/>
        <v>0.79354633377453132</v>
      </c>
      <c r="G356" s="10">
        <f t="shared" si="71"/>
        <v>0.78949777502831531</v>
      </c>
      <c r="H356" s="9">
        <f t="shared" si="72"/>
        <v>-102.24277403716469</v>
      </c>
      <c r="I356" s="8">
        <f t="shared" si="77"/>
        <v>17573.197446190461</v>
      </c>
      <c r="J356" s="9">
        <f t="shared" si="78"/>
        <v>-102.46495212434395</v>
      </c>
      <c r="K356" s="9">
        <f t="shared" si="79"/>
        <v>-102.24277403716469</v>
      </c>
      <c r="L356" s="8">
        <f t="shared" si="73"/>
        <v>17544.538364527849</v>
      </c>
      <c r="N356" s="16">
        <f t="shared" si="80"/>
        <v>2.3787189871478351</v>
      </c>
    </row>
    <row r="357" spans="2:14" x14ac:dyDescent="0.25">
      <c r="B357" s="7">
        <f t="shared" si="74"/>
        <v>98.840000000000316</v>
      </c>
      <c r="C357" s="9">
        <f t="shared" si="76"/>
        <v>-102.24277403716469</v>
      </c>
      <c r="D357" s="10">
        <f t="shared" si="75"/>
        <v>0.78950086430608291</v>
      </c>
      <c r="E357" s="10">
        <f t="shared" si="69"/>
        <v>0.78549850696991796</v>
      </c>
      <c r="F357" s="10">
        <f t="shared" si="70"/>
        <v>0.78561481967889568</v>
      </c>
      <c r="G357" s="10">
        <f t="shared" si="71"/>
        <v>0.78164792737574074</v>
      </c>
      <c r="H357" s="9">
        <f t="shared" si="72"/>
        <v>-102.02281651639899</v>
      </c>
      <c r="I357" s="8">
        <f t="shared" si="77"/>
        <v>17544.538364527849</v>
      </c>
      <c r="J357" s="9">
        <f t="shared" si="78"/>
        <v>-102.24277403716469</v>
      </c>
      <c r="K357" s="9">
        <f t="shared" si="79"/>
        <v>-102.02281651639899</v>
      </c>
      <c r="L357" s="8">
        <f t="shared" si="73"/>
        <v>17515.94118185035</v>
      </c>
      <c r="N357" s="16">
        <f t="shared" si="80"/>
        <v>2.3872638152523731</v>
      </c>
    </row>
    <row r="358" spans="2:14" x14ac:dyDescent="0.25">
      <c r="B358" s="7">
        <f t="shared" si="74"/>
        <v>99.120000000000317</v>
      </c>
      <c r="C358" s="9">
        <f t="shared" si="76"/>
        <v>-102.02281651639899</v>
      </c>
      <c r="D358" s="10">
        <f t="shared" si="75"/>
        <v>0.78165096748625484</v>
      </c>
      <c r="E358" s="10">
        <f t="shared" si="69"/>
        <v>0.77772891915031395</v>
      </c>
      <c r="F358" s="10">
        <f t="shared" si="70"/>
        <v>0.7778430587266143</v>
      </c>
      <c r="G358" s="10">
        <f t="shared" si="71"/>
        <v>0.77395531610043788</v>
      </c>
      <c r="H358" s="9">
        <f t="shared" si="72"/>
        <v>-101.8050348385631</v>
      </c>
      <c r="I358" s="8">
        <f t="shared" si="77"/>
        <v>17515.94118185035</v>
      </c>
      <c r="J358" s="9">
        <f t="shared" si="78"/>
        <v>-102.02281651639899</v>
      </c>
      <c r="K358" s="9">
        <f t="shared" si="79"/>
        <v>-101.8050348385631</v>
      </c>
      <c r="L358" s="8">
        <f t="shared" si="73"/>
        <v>17487.405282660657</v>
      </c>
      <c r="N358" s="16">
        <f t="shared" si="80"/>
        <v>2.3957930032626558</v>
      </c>
    </row>
    <row r="359" spans="2:14" x14ac:dyDescent="0.25">
      <c r="B359" s="7">
        <f t="shared" si="74"/>
        <v>99.400000000000318</v>
      </c>
      <c r="C359" s="9">
        <f t="shared" si="76"/>
        <v>-101.8050348385631</v>
      </c>
      <c r="D359" s="10">
        <f t="shared" si="75"/>
        <v>0.77395830843119928</v>
      </c>
      <c r="E359" s="10">
        <f t="shared" si="69"/>
        <v>0.77011410130527247</v>
      </c>
      <c r="F359" s="10">
        <f t="shared" si="70"/>
        <v>0.77022613303287202</v>
      </c>
      <c r="G359" s="10">
        <f t="shared" si="71"/>
        <v>0.76641511522705463</v>
      </c>
      <c r="H359" s="9">
        <f t="shared" si="72"/>
        <v>-101.58938565692083</v>
      </c>
      <c r="I359" s="8">
        <f t="shared" si="77"/>
        <v>17487.405282660657</v>
      </c>
      <c r="J359" s="9">
        <f t="shared" si="78"/>
        <v>-101.8050348385631</v>
      </c>
      <c r="K359" s="9">
        <f t="shared" si="79"/>
        <v>-101.58938565692083</v>
      </c>
      <c r="L359" s="8">
        <f t="shared" si="73"/>
        <v>17458.930063791289</v>
      </c>
      <c r="N359" s="16">
        <f t="shared" si="80"/>
        <v>2.4043066398346289</v>
      </c>
    </row>
    <row r="360" spans="2:14" x14ac:dyDescent="0.25">
      <c r="B360" s="7">
        <f t="shared" si="74"/>
        <v>99.680000000000319</v>
      </c>
      <c r="C360" s="9">
        <f t="shared" si="76"/>
        <v>-101.58938565692083</v>
      </c>
      <c r="D360" s="10">
        <f t="shared" si="75"/>
        <v>0.76641806111751054</v>
      </c>
      <c r="E360" s="10">
        <f t="shared" si="69"/>
        <v>0.76264931747188369</v>
      </c>
      <c r="F360" s="10">
        <f t="shared" si="70"/>
        <v>0.76275930429966698</v>
      </c>
      <c r="G360" s="10">
        <f t="shared" si="71"/>
        <v>0.75902267488255459</v>
      </c>
      <c r="H360" s="9">
        <f t="shared" si="72"/>
        <v>-101.37582695120881</v>
      </c>
      <c r="I360" s="8">
        <f t="shared" si="77"/>
        <v>17458.930063791289</v>
      </c>
      <c r="J360" s="9">
        <f t="shared" si="78"/>
        <v>-101.58938565692083</v>
      </c>
      <c r="K360" s="9">
        <f t="shared" si="79"/>
        <v>-101.37582695120881</v>
      </c>
      <c r="L360" s="8">
        <f t="shared" si="73"/>
        <v>17430.514934026152</v>
      </c>
      <c r="N360" s="16">
        <f t="shared" si="80"/>
        <v>2.4128048112047549</v>
      </c>
    </row>
    <row r="361" spans="2:14" x14ac:dyDescent="0.25">
      <c r="B361" s="7">
        <f t="shared" si="74"/>
        <v>99.960000000000321</v>
      </c>
      <c r="C361" s="9">
        <f t="shared" si="76"/>
        <v>-101.37582695120881</v>
      </c>
      <c r="D361" s="10">
        <f t="shared" si="75"/>
        <v>0.75902557562585837</v>
      </c>
      <c r="E361" s="10">
        <f t="shared" si="69"/>
        <v>0.75533000437488085</v>
      </c>
      <c r="F361" s="10">
        <f t="shared" si="70"/>
        <v>0.7554380070031006</v>
      </c>
      <c r="G361" s="10">
        <f t="shared" si="71"/>
        <v>0.75177351461204178</v>
      </c>
      <c r="H361" s="9">
        <f t="shared" si="72"/>
        <v>-101.1643179792691</v>
      </c>
      <c r="I361" s="8">
        <f t="shared" si="77"/>
        <v>17430.514934026152</v>
      </c>
      <c r="J361" s="9">
        <f t="shared" si="78"/>
        <v>-101.37582695120881</v>
      </c>
      <c r="K361" s="9">
        <f t="shared" si="79"/>
        <v>-101.1643179792691</v>
      </c>
      <c r="L361" s="8">
        <f t="shared" si="73"/>
        <v>17402.159313735887</v>
      </c>
      <c r="N361" s="16">
        <f t="shared" si="80"/>
        <v>2.4212876012745861</v>
      </c>
    </row>
    <row r="362" spans="2:14" x14ac:dyDescent="0.25">
      <c r="B362" s="7">
        <f t="shared" si="74"/>
        <v>100.24000000000032</v>
      </c>
      <c r="C362" s="9">
        <f t="shared" si="76"/>
        <v>-101.1643179792691</v>
      </c>
      <c r="D362" s="10">
        <f t="shared" si="75"/>
        <v>0.7517763714567065</v>
      </c>
      <c r="E362" s="10">
        <f t="shared" si="69"/>
        <v>0.74815176486856083</v>
      </c>
      <c r="F362" s="10">
        <f t="shared" si="70"/>
        <v>0.74825784183216126</v>
      </c>
      <c r="G362" s="10">
        <f t="shared" si="71"/>
        <v>0.74466331694156829</v>
      </c>
      <c r="H362" s="9">
        <f t="shared" si="72"/>
        <v>-100.95481923051845</v>
      </c>
      <c r="I362" s="8">
        <f t="shared" si="77"/>
        <v>17402.159313735887</v>
      </c>
      <c r="J362" s="9">
        <f t="shared" si="78"/>
        <v>-101.1643179792691</v>
      </c>
      <c r="K362" s="9">
        <f t="shared" si="79"/>
        <v>-100.95481923051845</v>
      </c>
      <c r="L362" s="8">
        <f t="shared" si="73"/>
        <v>17373.862634526518</v>
      </c>
      <c r="N362" s="16">
        <f t="shared" si="80"/>
        <v>2.4297550916921571</v>
      </c>
    </row>
    <row r="363" spans="2:14" x14ac:dyDescent="0.25">
      <c r="B363" s="7">
        <f t="shared" si="74"/>
        <v>100.52000000000032</v>
      </c>
      <c r="C363" s="9">
        <f t="shared" si="76"/>
        <v>-100.95481923051845</v>
      </c>
      <c r="D363" s="10">
        <f t="shared" si="75"/>
        <v>0.74466613109311031</v>
      </c>
      <c r="E363" s="10">
        <f t="shared" si="69"/>
        <v>0.74111036162132637</v>
      </c>
      <c r="F363" s="10">
        <f t="shared" si="70"/>
        <v>0.74121456937027952</v>
      </c>
      <c r="G363" s="10">
        <f t="shared" si="71"/>
        <v>0.73768792117949711</v>
      </c>
      <c r="H363" s="9">
        <f t="shared" si="72"/>
        <v>-100.74729238118651</v>
      </c>
      <c r="I363" s="8">
        <f t="shared" si="77"/>
        <v>17373.862634526518</v>
      </c>
      <c r="J363" s="9">
        <f t="shared" si="78"/>
        <v>-100.95481923051845</v>
      </c>
      <c r="K363" s="9">
        <f t="shared" si="79"/>
        <v>-100.74729238118651</v>
      </c>
      <c r="L363" s="8">
        <f t="shared" si="73"/>
        <v>17345.624338900881</v>
      </c>
      <c r="N363" s="16">
        <f t="shared" si="80"/>
        <v>2.4382073619303282</v>
      </c>
    </row>
    <row r="364" spans="2:14" x14ac:dyDescent="0.25">
      <c r="B364" s="7">
        <f t="shared" si="74"/>
        <v>100.80000000000032</v>
      </c>
      <c r="C364" s="9">
        <f t="shared" si="76"/>
        <v>-100.74729238118651</v>
      </c>
      <c r="D364" s="10">
        <f t="shared" si="75"/>
        <v>0.73769069380197205</v>
      </c>
      <c r="E364" s="10">
        <f t="shared" si="69"/>
        <v>0.73420171103454357</v>
      </c>
      <c r="F364" s="10">
        <f t="shared" si="70"/>
        <v>0.73430410401119872</v>
      </c>
      <c r="G364" s="10">
        <f t="shared" si="71"/>
        <v>0.73084331744794795</v>
      </c>
      <c r="H364" s="9">
        <f t="shared" si="72"/>
        <v>-100.54170025125724</v>
      </c>
      <c r="I364" s="8">
        <f t="shared" si="77"/>
        <v>17345.624338900881</v>
      </c>
      <c r="J364" s="9">
        <f t="shared" si="78"/>
        <v>-100.74729238118651</v>
      </c>
      <c r="K364" s="9">
        <f t="shared" si="79"/>
        <v>-100.54170025125724</v>
      </c>
      <c r="L364" s="8">
        <f t="shared" si="73"/>
        <v>17317.44387993234</v>
      </c>
      <c r="N364" s="16">
        <f t="shared" si="80"/>
        <v>2.446644489362177</v>
      </c>
    </row>
    <row r="365" spans="2:14" x14ac:dyDescent="0.25">
      <c r="B365" s="7">
        <f t="shared" si="74"/>
        <v>101.08000000000033</v>
      </c>
      <c r="C365" s="9">
        <f t="shared" si="76"/>
        <v>-100.54170025125724</v>
      </c>
      <c r="D365" s="10">
        <f t="shared" si="75"/>
        <v>0.73084604966548183</v>
      </c>
      <c r="E365" s="10">
        <f t="shared" si="69"/>
        <v>0.72742187738737618</v>
      </c>
      <c r="F365" s="10">
        <f t="shared" si="70"/>
        <v>0.72752250810108643</v>
      </c>
      <c r="G365" s="10">
        <f t="shared" si="71"/>
        <v>0.72412564093645526</v>
      </c>
      <c r="H365" s="9">
        <f t="shared" si="72"/>
        <v>-100.33800676305023</v>
      </c>
      <c r="I365" s="8">
        <f t="shared" si="77"/>
        <v>17317.44387993234</v>
      </c>
      <c r="J365" s="9">
        <f t="shared" si="78"/>
        <v>-100.54170025125724</v>
      </c>
      <c r="K365" s="9">
        <f t="shared" si="79"/>
        <v>-100.33800676305023</v>
      </c>
      <c r="L365" s="8">
        <f t="shared" si="73"/>
        <v>17289.320720950338</v>
      </c>
      <c r="N365" s="16">
        <f t="shared" si="80"/>
        <v>2.4550665493335555</v>
      </c>
    </row>
    <row r="366" spans="2:14" x14ac:dyDescent="0.25">
      <c r="B366" s="7">
        <f t="shared" si="74"/>
        <v>101.36000000000033</v>
      </c>
      <c r="C366" s="9">
        <f t="shared" si="76"/>
        <v>-100.33800676305023</v>
      </c>
      <c r="D366" s="10">
        <f t="shared" si="75"/>
        <v>0.72412833383468067</v>
      </c>
      <c r="E366" s="10">
        <f t="shared" si="69"/>
        <v>0.72076706719988703</v>
      </c>
      <c r="F366" s="10">
        <f t="shared" si="70"/>
        <v>0.72086598629885923</v>
      </c>
      <c r="G366" s="10">
        <f t="shared" si="71"/>
        <v>0.71753116636995018</v>
      </c>
      <c r="H366" s="9">
        <f t="shared" si="72"/>
        <v>-100.13617690138079</v>
      </c>
      <c r="I366" s="8">
        <f t="shared" si="77"/>
        <v>17289.320720950338</v>
      </c>
      <c r="J366" s="9">
        <f t="shared" si="78"/>
        <v>-100.33800676305023</v>
      </c>
      <c r="K366" s="9">
        <f t="shared" si="79"/>
        <v>-100.13617690138079</v>
      </c>
      <c r="L366" s="8">
        <f t="shared" si="73"/>
        <v>17261.254335237318</v>
      </c>
      <c r="N366" s="16">
        <f t="shared" si="80"/>
        <v>2.4634736152329095</v>
      </c>
    </row>
    <row r="367" spans="2:14" x14ac:dyDescent="0.25">
      <c r="B367" s="7">
        <f t="shared" si="74"/>
        <v>101.64000000000033</v>
      </c>
      <c r="C367" s="9">
        <f t="shared" si="76"/>
        <v>-100.13617690138079</v>
      </c>
      <c r="D367" s="10">
        <f t="shared" si="75"/>
        <v>0.71753382099740115</v>
      </c>
      <c r="E367" s="10">
        <f t="shared" si="69"/>
        <v>0.71423362380657229</v>
      </c>
      <c r="F367" s="10">
        <f t="shared" si="70"/>
        <v>0.71433088014713864</v>
      </c>
      <c r="G367" s="10">
        <f t="shared" si="71"/>
        <v>0.71105630268356035</v>
      </c>
      <c r="H367" s="9">
        <f t="shared" si="72"/>
        <v>-99.936176675240006</v>
      </c>
      <c r="I367" s="8">
        <f t="shared" si="77"/>
        <v>17261.254335237318</v>
      </c>
      <c r="J367" s="9">
        <f t="shared" si="78"/>
        <v>-100.13617690138079</v>
      </c>
      <c r="K367" s="9">
        <f t="shared" si="79"/>
        <v>-99.936176675240006</v>
      </c>
      <c r="L367" s="8">
        <f t="shared" si="73"/>
        <v>17233.244205736592</v>
      </c>
      <c r="N367" s="16">
        <f t="shared" si="80"/>
        <v>2.4718657585584705</v>
      </c>
    </row>
    <row r="368" spans="2:14" x14ac:dyDescent="0.25">
      <c r="B368" s="7">
        <f t="shared" si="74"/>
        <v>101.92000000000033</v>
      </c>
      <c r="C368" s="9">
        <f t="shared" si="76"/>
        <v>-99.936176675240006</v>
      </c>
      <c r="D368" s="10">
        <f t="shared" si="75"/>
        <v>0.71105892005302418</v>
      </c>
      <c r="E368" s="10">
        <f t="shared" si="69"/>
        <v>0.70781802213311118</v>
      </c>
      <c r="F368" s="10">
        <f t="shared" si="70"/>
        <v>0.70791366284642021</v>
      </c>
      <c r="G368" s="10">
        <f t="shared" si="71"/>
        <v>0.70469758789705261</v>
      </c>
      <c r="H368" s="9">
        <f t="shared" si="72"/>
        <v>-99.737973080937579</v>
      </c>
      <c r="I368" s="8">
        <f t="shared" si="77"/>
        <v>17233.244205736592</v>
      </c>
      <c r="J368" s="9">
        <f t="shared" si="78"/>
        <v>-99.936176675240006</v>
      </c>
      <c r="K368" s="9">
        <f t="shared" si="79"/>
        <v>-99.737973080937579</v>
      </c>
      <c r="L368" s="8">
        <f t="shared" si="73"/>
        <v>17205.289824770727</v>
      </c>
      <c r="N368" s="16">
        <f t="shared" si="80"/>
        <v>2.480243048982897</v>
      </c>
    </row>
    <row r="369" spans="2:14" x14ac:dyDescent="0.25">
      <c r="B369" s="7">
        <f t="shared" si="74"/>
        <v>102.20000000000033</v>
      </c>
      <c r="C369" s="9">
        <f t="shared" si="76"/>
        <v>-99.737973080937579</v>
      </c>
      <c r="D369" s="10">
        <f t="shared" si="75"/>
        <v>0.70470016898686594</v>
      </c>
      <c r="E369" s="10">
        <f t="shared" si="69"/>
        <v>0.70151686366900579</v>
      </c>
      <c r="F369" s="10">
        <f t="shared" si="70"/>
        <v>0.70161093422536114</v>
      </c>
      <c r="G369" s="10">
        <f t="shared" si="71"/>
        <v>0.69845168418171666</v>
      </c>
      <c r="H369" s="9">
        <f t="shared" si="72"/>
        <v>-99.5415340666529</v>
      </c>
      <c r="I369" s="8">
        <f t="shared" si="77"/>
        <v>17205.289824770727</v>
      </c>
      <c r="J369" s="9">
        <f t="shared" si="78"/>
        <v>-99.737973080937579</v>
      </c>
      <c r="K369" s="9">
        <f t="shared" si="79"/>
        <v>-99.5415340666529</v>
      </c>
      <c r="L369" s="8">
        <f t="shared" si="73"/>
        <v>17177.390693770063</v>
      </c>
      <c r="N369" s="16">
        <f t="shared" si="80"/>
        <v>2.4886055544154977</v>
      </c>
    </row>
    <row r="370" spans="2:14" x14ac:dyDescent="0.25">
      <c r="B370" s="7">
        <f t="shared" si="74"/>
        <v>102.48000000000033</v>
      </c>
      <c r="C370" s="9">
        <f t="shared" si="76"/>
        <v>-99.5415340666529</v>
      </c>
      <c r="D370" s="10">
        <f t="shared" si="75"/>
        <v>0.69845422993701645</v>
      </c>
      <c r="E370" s="10">
        <f t="shared" si="69"/>
        <v>0.69532687162936491</v>
      </c>
      <c r="F370" s="10">
        <f t="shared" si="70"/>
        <v>0.69541941590013745</v>
      </c>
      <c r="G370" s="10">
        <f t="shared" si="71"/>
        <v>0.69231537311299507</v>
      </c>
      <c r="H370" s="9">
        <f t="shared" si="72"/>
        <v>-99.346828498341139</v>
      </c>
      <c r="I370" s="8">
        <f t="shared" si="77"/>
        <v>17177.390693770063</v>
      </c>
      <c r="J370" s="9">
        <f t="shared" si="78"/>
        <v>-99.5415340666529</v>
      </c>
      <c r="K370" s="9">
        <f t="shared" si="79"/>
        <v>-99.346828498341139</v>
      </c>
      <c r="L370" s="8">
        <f t="shared" si="73"/>
        <v>17149.546323010964</v>
      </c>
      <c r="N370" s="16">
        <f t="shared" si="80"/>
        <v>2.4969533410620777</v>
      </c>
    </row>
    <row r="371" spans="2:14" x14ac:dyDescent="0.25">
      <c r="B371" s="7">
        <f t="shared" si="74"/>
        <v>102.76000000000033</v>
      </c>
      <c r="C371" s="9">
        <f t="shared" si="76"/>
        <v>-99.346828498341139</v>
      </c>
      <c r="D371" s="10">
        <f t="shared" si="75"/>
        <v>0.69231788444693199</v>
      </c>
      <c r="E371" s="10">
        <f t="shared" si="69"/>
        <v>0.6892448862989623</v>
      </c>
      <c r="F371" s="10">
        <f t="shared" si="70"/>
        <v>0.68933594661623454</v>
      </c>
      <c r="G371" s="10">
        <f t="shared" si="71"/>
        <v>0.68628555110226419</v>
      </c>
      <c r="H371" s="9">
        <f t="shared" si="72"/>
        <v>-99.153826126943429</v>
      </c>
      <c r="I371" s="8">
        <f t="shared" si="77"/>
        <v>17149.546323010964</v>
      </c>
      <c r="J371" s="9">
        <f t="shared" si="78"/>
        <v>-99.346828498341139</v>
      </c>
      <c r="K371" s="9">
        <f t="shared" si="79"/>
        <v>-99.153826126943429</v>
      </c>
      <c r="L371" s="8">
        <f t="shared" si="73"/>
        <v>17121.756231363423</v>
      </c>
      <c r="N371" s="16">
        <f t="shared" si="80"/>
        <v>2.5052864734825357</v>
      </c>
    </row>
    <row r="372" spans="2:14" x14ac:dyDescent="0.25">
      <c r="B372" s="7">
        <f t="shared" si="74"/>
        <v>103.04000000000033</v>
      </c>
      <c r="C372" s="9">
        <f t="shared" si="76"/>
        <v>-99.153826126943429</v>
      </c>
      <c r="D372" s="10">
        <f t="shared" si="75"/>
        <v>0.68628802889716267</v>
      </c>
      <c r="E372" s="10">
        <f t="shared" si="69"/>
        <v>0.68326786055215949</v>
      </c>
      <c r="F372" s="10">
        <f t="shared" si="70"/>
        <v>0.68335747776624745</v>
      </c>
      <c r="G372" s="10">
        <f t="shared" si="71"/>
        <v>0.68035922500130408</v>
      </c>
      <c r="H372" s="9">
        <f t="shared" si="72"/>
        <v>-98.962497556851787</v>
      </c>
      <c r="I372" s="8">
        <f t="shared" si="77"/>
        <v>17121.756231363423</v>
      </c>
      <c r="J372" s="9">
        <f t="shared" si="78"/>
        <v>-99.153826126943429</v>
      </c>
      <c r="K372" s="9">
        <f t="shared" si="79"/>
        <v>-98.962497556851787</v>
      </c>
      <c r="L372" s="8">
        <f t="shared" si="73"/>
        <v>17094.019946047691</v>
      </c>
      <c r="N372" s="16">
        <f t="shared" si="80"/>
        <v>2.5136050146462829</v>
      </c>
    </row>
    <row r="373" spans="2:14" x14ac:dyDescent="0.25">
      <c r="B373" s="7">
        <f t="shared" si="74"/>
        <v>103.32000000000033</v>
      </c>
      <c r="C373" s="9">
        <f t="shared" si="76"/>
        <v>-98.962497556851787</v>
      </c>
      <c r="D373" s="10">
        <f t="shared" si="75"/>
        <v>0.68036167010977944</v>
      </c>
      <c r="E373" s="10">
        <f t="shared" si="69"/>
        <v>0.67739285554251483</v>
      </c>
      <c r="F373" s="10">
        <f t="shared" si="70"/>
        <v>0.67748106907728267</v>
      </c>
      <c r="G373" s="10">
        <f t="shared" si="71"/>
        <v>0.67453350787337296</v>
      </c>
      <c r="H373" s="9">
        <f t="shared" si="72"/>
        <v>-98.772814215581391</v>
      </c>
      <c r="I373" s="8">
        <f t="shared" si="77"/>
        <v>17094.019946047691</v>
      </c>
      <c r="J373" s="9">
        <f t="shared" si="78"/>
        <v>-98.962497556851787</v>
      </c>
      <c r="K373" s="9">
        <f t="shared" si="79"/>
        <v>-98.772814215581391</v>
      </c>
      <c r="L373" s="8">
        <f t="shared" si="73"/>
        <v>17066.337002399549</v>
      </c>
      <c r="N373" s="16">
        <f t="shared" si="80"/>
        <v>2.5219090259855559</v>
      </c>
    </row>
    <row r="374" spans="2:14" x14ac:dyDescent="0.25">
      <c r="B374" s="7">
        <f t="shared" si="74"/>
        <v>103.60000000000034</v>
      </c>
      <c r="C374" s="9">
        <f t="shared" si="76"/>
        <v>-98.772814215581391</v>
      </c>
      <c r="D374" s="10">
        <f t="shared" si="75"/>
        <v>0.67453592111940697</v>
      </c>
      <c r="E374" s="10">
        <f t="shared" si="69"/>
        <v>0.67161703655581362</v>
      </c>
      <c r="F374" s="10">
        <f t="shared" si="70"/>
        <v>0.67170388446202378</v>
      </c>
      <c r="G374" s="10">
        <f t="shared" si="71"/>
        <v>0.66880561492490231</v>
      </c>
      <c r="H374" s="9">
        <f t="shared" si="72"/>
        <v>-98.58474832460432</v>
      </c>
      <c r="I374" s="8">
        <f t="shared" si="77"/>
        <v>17066.337002399549</v>
      </c>
      <c r="J374" s="9">
        <f t="shared" si="78"/>
        <v>-98.772814215581391</v>
      </c>
      <c r="K374" s="9">
        <f t="shared" si="79"/>
        <v>-98.58474832460432</v>
      </c>
      <c r="L374" s="8">
        <f t="shared" si="73"/>
        <v>17038.706943643923</v>
      </c>
      <c r="N374" s="16">
        <f t="shared" si="80"/>
        <v>2.5301985674467153</v>
      </c>
    </row>
    <row r="375" spans="2:14" x14ac:dyDescent="0.25">
      <c r="B375" s="7">
        <f t="shared" si="74"/>
        <v>103.88000000000034</v>
      </c>
      <c r="C375" s="9">
        <f t="shared" si="76"/>
        <v>-98.58474832460432</v>
      </c>
      <c r="D375" s="10">
        <f t="shared" si="75"/>
        <v>0.66880799710490191</v>
      </c>
      <c r="E375" s="10">
        <f t="shared" si="69"/>
        <v>0.6659376690208515</v>
      </c>
      <c r="F375" s="10">
        <f t="shared" si="70"/>
        <v>0.66602318802749005</v>
      </c>
      <c r="G375" s="10">
        <f t="shared" si="71"/>
        <v>0.66317285959201588</v>
      </c>
      <c r="H375" s="9">
        <f t="shared" si="72"/>
        <v>-98.39827287130062</v>
      </c>
      <c r="I375" s="8">
        <f t="shared" si="77"/>
        <v>17038.706943643923</v>
      </c>
      <c r="J375" s="9">
        <f t="shared" si="78"/>
        <v>-98.58474832460432</v>
      </c>
      <c r="K375" s="9">
        <f t="shared" si="79"/>
        <v>-98.39827287130062</v>
      </c>
      <c r="L375" s="8">
        <f t="shared" si="73"/>
        <v>17011.129320676497</v>
      </c>
      <c r="N375" s="16">
        <f t="shared" si="80"/>
        <v>2.5384736975396116</v>
      </c>
    </row>
    <row r="376" spans="2:14" x14ac:dyDescent="0.25">
      <c r="B376" s="7">
        <f t="shared" si="74"/>
        <v>104.16000000000034</v>
      </c>
      <c r="C376" s="9">
        <f t="shared" si="76"/>
        <v>-98.39827287130062</v>
      </c>
      <c r="D376" s="10">
        <f t="shared" si="75"/>
        <v>0.66317521147581582</v>
      </c>
      <c r="E376" s="10">
        <f t="shared" si="69"/>
        <v>0.66035211467218613</v>
      </c>
      <c r="F376" s="10">
        <f t="shared" si="70"/>
        <v>0.66043634023593856</v>
      </c>
      <c r="G376" s="10">
        <f t="shared" si="71"/>
        <v>0.65763264977633751</v>
      </c>
      <c r="H376" s="9">
        <f t="shared" si="72"/>
        <v>-98.213361581984088</v>
      </c>
      <c r="I376" s="8">
        <f t="shared" si="77"/>
        <v>17011.129320676497</v>
      </c>
      <c r="J376" s="9">
        <f t="shared" si="78"/>
        <v>-98.39827287130062</v>
      </c>
      <c r="K376" s="9">
        <f t="shared" si="79"/>
        <v>-98.213361581984088</v>
      </c>
      <c r="L376" s="8">
        <f t="shared" si="73"/>
        <v>16983.603691853037</v>
      </c>
      <c r="N376" s="16">
        <f t="shared" si="80"/>
        <v>2.5467344733850679</v>
      </c>
    </row>
    <row r="377" spans="2:14" x14ac:dyDescent="0.25">
      <c r="B377" s="7">
        <f t="shared" si="74"/>
        <v>104.44000000000034</v>
      </c>
      <c r="C377" s="9">
        <f t="shared" si="76"/>
        <v>-98.213361581984088</v>
      </c>
      <c r="D377" s="10">
        <f t="shared" si="75"/>
        <v>0.6576349721081457</v>
      </c>
      <c r="E377" s="10">
        <f t="shared" si="69"/>
        <v>0.65485782785935531</v>
      </c>
      <c r="F377" s="10">
        <f t="shared" si="70"/>
        <v>0.6549407942121972</v>
      </c>
      <c r="G377" s="10">
        <f t="shared" si="71"/>
        <v>0.652182484224613</v>
      </c>
      <c r="H377" s="9">
        <f t="shared" si="72"/>
        <v>-98.029988895961878</v>
      </c>
      <c r="I377" s="8">
        <f t="shared" si="77"/>
        <v>16983.603691853037</v>
      </c>
      <c r="J377" s="9">
        <f t="shared" si="78"/>
        <v>-98.213361581984088</v>
      </c>
      <c r="K377" s="9">
        <f t="shared" si="79"/>
        <v>-98.029988895961878</v>
      </c>
      <c r="L377" s="8">
        <f t="shared" si="73"/>
        <v>16956.129622786124</v>
      </c>
      <c r="N377" s="16">
        <f t="shared" si="80"/>
        <v>2.5549809507605743</v>
      </c>
    </row>
    <row r="378" spans="2:14" x14ac:dyDescent="0.25">
      <c r="B378" s="7">
        <f t="shared" si="74"/>
        <v>104.72000000000034</v>
      </c>
      <c r="C378" s="9">
        <f t="shared" si="76"/>
        <v>-98.029988895961878</v>
      </c>
      <c r="D378" s="10">
        <f t="shared" si="75"/>
        <v>0.65218477772395278</v>
      </c>
      <c r="E378" s="10">
        <f t="shared" si="69"/>
        <v>0.64945235199740625</v>
      </c>
      <c r="F378" s="10">
        <f t="shared" si="70"/>
        <v>0.64953409219246794</v>
      </c>
      <c r="G378" s="10">
        <f t="shared" si="71"/>
        <v>0.64681994904702522</v>
      </c>
      <c r="H378" s="9">
        <f t="shared" si="72"/>
        <v>-97.84812994058818</v>
      </c>
      <c r="I378" s="8">
        <f t="shared" si="77"/>
        <v>16956.129622786124</v>
      </c>
      <c r="J378" s="9">
        <f t="shared" si="78"/>
        <v>-98.029988895961878</v>
      </c>
      <c r="K378" s="9">
        <f t="shared" si="79"/>
        <v>-97.84812994058818</v>
      </c>
      <c r="L378" s="8">
        <f t="shared" si="73"/>
        <v>16928.706686149006</v>
      </c>
      <c r="N378" s="16">
        <f t="shared" si="80"/>
        <v>2.5632131841442485</v>
      </c>
    </row>
    <row r="379" spans="2:14" x14ac:dyDescent="0.25">
      <c r="B379" s="7">
        <f t="shared" si="74"/>
        <v>105.00000000000034</v>
      </c>
      <c r="C379" s="9">
        <f t="shared" si="76"/>
        <v>-97.84812994058818</v>
      </c>
      <c r="D379" s="10">
        <f t="shared" si="75"/>
        <v>0.6468222144096536</v>
      </c>
      <c r="E379" s="10">
        <f t="shared" si="69"/>
        <v>0.64413331615334835</v>
      </c>
      <c r="F379" s="10">
        <f t="shared" si="70"/>
        <v>0.64421386210906695</v>
      </c>
      <c r="G379" s="10">
        <f t="shared" si="71"/>
        <v>0.6415427143691248</v>
      </c>
      <c r="H379" s="9">
        <f t="shared" si="72"/>
        <v>-97.667760507274011</v>
      </c>
      <c r="I379" s="8">
        <f t="shared" si="77"/>
        <v>16928.706686149006</v>
      </c>
      <c r="J379" s="9">
        <f t="shared" si="78"/>
        <v>-97.84812994058818</v>
      </c>
      <c r="K379" s="9">
        <f t="shared" si="79"/>
        <v>-97.667760507274011</v>
      </c>
      <c r="L379" s="8">
        <f t="shared" si="73"/>
        <v>16901.334461486305</v>
      </c>
      <c r="N379" s="16">
        <f t="shared" si="80"/>
        <v>2.5714312267571438</v>
      </c>
    </row>
    <row r="380" spans="2:14" x14ac:dyDescent="0.25">
      <c r="B380" s="7">
        <f t="shared" si="74"/>
        <v>105.28000000000034</v>
      </c>
      <c r="C380" s="9">
        <f t="shared" si="76"/>
        <v>-97.667760507274011</v>
      </c>
      <c r="D380" s="10">
        <f t="shared" si="75"/>
        <v>0.6415449522678669</v>
      </c>
      <c r="E380" s="10">
        <f t="shared" si="69"/>
        <v>0.63889843176387318</v>
      </c>
      <c r="F380" s="10">
        <f t="shared" si="70"/>
        <v>0.63897781430647194</v>
      </c>
      <c r="G380" s="10">
        <f t="shared" si="71"/>
        <v>0.63634853111241563</v>
      </c>
      <c r="H380" s="9">
        <f t="shared" si="72"/>
        <v>-97.488857028416362</v>
      </c>
      <c r="I380" s="8">
        <f t="shared" si="77"/>
        <v>16901.334461486305</v>
      </c>
      <c r="J380" s="9">
        <f t="shared" si="78"/>
        <v>-97.667760507274011</v>
      </c>
      <c r="K380" s="9">
        <f t="shared" si="79"/>
        <v>-97.488857028416362</v>
      </c>
      <c r="L380" s="8">
        <f t="shared" si="73"/>
        <v>16874.01253503131</v>
      </c>
      <c r="N380" s="16">
        <f t="shared" si="80"/>
        <v>2.5796351306039438</v>
      </c>
    </row>
    <row r="381" spans="2:14" x14ac:dyDescent="0.25">
      <c r="B381" s="7">
        <f t="shared" si="74"/>
        <v>105.56000000000034</v>
      </c>
      <c r="C381" s="9">
        <f t="shared" si="76"/>
        <v>-97.488857028416362</v>
      </c>
      <c r="D381" s="10">
        <f t="shared" si="75"/>
        <v>0.63635074219801857</v>
      </c>
      <c r="E381" s="10">
        <f t="shared" si="69"/>
        <v>0.63374548947931275</v>
      </c>
      <c r="F381" s="10">
        <f t="shared" si="70"/>
        <v>0.63382373838371153</v>
      </c>
      <c r="G381" s="10">
        <f t="shared" si="71"/>
        <v>0.63123522789905717</v>
      </c>
      <c r="H381" s="9">
        <f t="shared" si="72"/>
        <v>-97.311396555211289</v>
      </c>
      <c r="I381" s="8">
        <f t="shared" si="77"/>
        <v>16874.01253503131</v>
      </c>
      <c r="J381" s="9">
        <f t="shared" si="78"/>
        <v>-97.488857028416362</v>
      </c>
      <c r="K381" s="9">
        <f t="shared" si="79"/>
        <v>-97.311396555211289</v>
      </c>
      <c r="L381" s="8">
        <f t="shared" si="73"/>
        <v>16846.740499529602</v>
      </c>
      <c r="N381" s="16">
        <f t="shared" si="80"/>
        <v>2.5878249465121255</v>
      </c>
    </row>
    <row r="382" spans="2:14" x14ac:dyDescent="0.25">
      <c r="B382" s="7">
        <f t="shared" si="74"/>
        <v>105.84000000000034</v>
      </c>
      <c r="C382" s="9">
        <f t="shared" si="76"/>
        <v>-97.311396555211289</v>
      </c>
      <c r="D382" s="10">
        <f t="shared" si="75"/>
        <v>0.63123741280098566</v>
      </c>
      <c r="E382" s="10">
        <f t="shared" si="69"/>
        <v>0.62867235612929617</v>
      </c>
      <c r="F382" s="10">
        <f t="shared" si="70"/>
        <v>0.62874950015852737</v>
      </c>
      <c r="G382" s="10">
        <f t="shared" si="71"/>
        <v>0.62620070807595563</v>
      </c>
      <c r="H382" s="9">
        <f t="shared" si="72"/>
        <v>-97.135356736316837</v>
      </c>
      <c r="I382" s="8">
        <f t="shared" si="77"/>
        <v>16846.740499529602</v>
      </c>
      <c r="J382" s="9">
        <f t="shared" si="78"/>
        <v>-97.311396555211289</v>
      </c>
      <c r="K382" s="9">
        <f t="shared" si="79"/>
        <v>-97.135356736316837</v>
      </c>
      <c r="L382" s="8">
        <f t="shared" si="73"/>
        <v>16819.51795406879</v>
      </c>
      <c r="N382" s="16">
        <f t="shared" si="80"/>
        <v>2.5960007241696497</v>
      </c>
    </row>
    <row r="383" spans="2:14" x14ac:dyDescent="0.25">
      <c r="B383" s="7">
        <f t="shared" si="74"/>
        <v>106.12000000000035</v>
      </c>
      <c r="C383" s="9">
        <f t="shared" si="76"/>
        <v>-97.135356736316837</v>
      </c>
      <c r="D383" s="10">
        <f t="shared" si="75"/>
        <v>0.62620286740316733</v>
      </c>
      <c r="E383" s="10">
        <f t="shared" si="69"/>
        <v>0.62367697180564508</v>
      </c>
      <c r="F383" s="10">
        <f t="shared" si="70"/>
        <v>0.62375303874872723</v>
      </c>
      <c r="G383" s="10">
        <f t="shared" si="71"/>
        <v>0.62124294685391346</v>
      </c>
      <c r="H383" s="9">
        <f t="shared" si="72"/>
        <v>-96.960715797333094</v>
      </c>
      <c r="I383" s="8">
        <f t="shared" si="77"/>
        <v>16819.51795406879</v>
      </c>
      <c r="J383" s="9">
        <f t="shared" si="78"/>
        <v>-97.135356736316837</v>
      </c>
      <c r="K383" s="9">
        <f t="shared" si="79"/>
        <v>-96.960715797333094</v>
      </c>
      <c r="L383" s="8">
        <f t="shared" si="73"/>
        <v>16792.344503914079</v>
      </c>
      <c r="N383" s="16">
        <f t="shared" si="80"/>
        <v>2.6041625121612237</v>
      </c>
    </row>
    <row r="384" spans="2:14" x14ac:dyDescent="0.25">
      <c r="B384" s="7">
        <f t="shared" si="74"/>
        <v>106.40000000000035</v>
      </c>
      <c r="C384" s="9">
        <f t="shared" si="76"/>
        <v>-96.960715797333094</v>
      </c>
      <c r="D384" s="10">
        <f t="shared" si="75"/>
        <v>0.62124508119561495</v>
      </c>
      <c r="E384" s="10">
        <f t="shared" si="69"/>
        <v>0.61875734705815411</v>
      </c>
      <c r="F384" s="10">
        <f t="shared" si="70"/>
        <v>0.61883236376659179</v>
      </c>
      <c r="G384" s="10">
        <f t="shared" si="71"/>
        <v>0.61635998855764162</v>
      </c>
      <c r="H384" s="9">
        <f t="shared" si="72"/>
        <v>-96.787452521067635</v>
      </c>
      <c r="I384" s="8">
        <f t="shared" si="77"/>
        <v>16792.344503914079</v>
      </c>
      <c r="J384" s="9">
        <f t="shared" si="78"/>
        <v>-96.960715797333094</v>
      </c>
      <c r="K384" s="9">
        <f t="shared" si="79"/>
        <v>-96.787452521067635</v>
      </c>
      <c r="L384" s="8">
        <f t="shared" si="73"/>
        <v>16765.219760349504</v>
      </c>
      <c r="N384" s="16">
        <f t="shared" si="80"/>
        <v>2.6123103580031932</v>
      </c>
    </row>
    <row r="385" spans="2:14" x14ac:dyDescent="0.25">
      <c r="B385" s="7">
        <f t="shared" si="74"/>
        <v>106.68000000000035</v>
      </c>
      <c r="C385" s="9">
        <f t="shared" si="76"/>
        <v>-96.787452521067635</v>
      </c>
      <c r="D385" s="10">
        <f t="shared" si="75"/>
        <v>0.61636209848399581</v>
      </c>
      <c r="E385" s="10">
        <f t="shared" si="69"/>
        <v>0.61391156019907622</v>
      </c>
      <c r="F385" s="10">
        <f t="shared" si="70"/>
        <v>0.61398555262194288</v>
      </c>
      <c r="G385" s="10">
        <f t="shared" si="71"/>
        <v>0.61154994398242202</v>
      </c>
      <c r="H385" s="9">
        <f t="shared" si="72"/>
        <v>-96.615546228555914</v>
      </c>
      <c r="I385" s="8">
        <f t="shared" si="77"/>
        <v>16765.219760349504</v>
      </c>
      <c r="J385" s="9">
        <f t="shared" si="78"/>
        <v>-96.787452521067635</v>
      </c>
      <c r="K385" s="9">
        <f t="shared" si="79"/>
        <v>-96.615546228555914</v>
      </c>
      <c r="L385" s="8">
        <f t="shared" si="73"/>
        <v>16738.143340524555</v>
      </c>
      <c r="N385" s="16">
        <f t="shared" si="80"/>
        <v>2.6204443081771278</v>
      </c>
    </row>
    <row r="386" spans="2:14" x14ac:dyDescent="0.25">
      <c r="B386" s="7">
        <f t="shared" si="74"/>
        <v>106.96000000000035</v>
      </c>
      <c r="C386" s="9">
        <f t="shared" si="76"/>
        <v>-96.615546228555914</v>
      </c>
      <c r="D386" s="10">
        <f t="shared" si="75"/>
        <v>0.61155203004523728</v>
      </c>
      <c r="E386" s="10">
        <f t="shared" si="69"/>
        <v>0.60913775471223974</v>
      </c>
      <c r="F386" s="10">
        <f t="shared" si="70"/>
        <v>0.60921074793001073</v>
      </c>
      <c r="G386" s="10">
        <f t="shared" si="71"/>
        <v>0.60681098785350507</v>
      </c>
      <c r="H386" s="9">
        <f t="shared" si="72"/>
        <v>-96.444976760807364</v>
      </c>
      <c r="I386" s="8">
        <f t="shared" si="77"/>
        <v>16738.143340524555</v>
      </c>
      <c r="J386" s="9">
        <f t="shared" si="78"/>
        <v>-96.615546228555914</v>
      </c>
      <c r="K386" s="9">
        <f t="shared" si="79"/>
        <v>-96.444976760807364</v>
      </c>
      <c r="L386" s="8">
        <f t="shared" si="73"/>
        <v>16711.114867306045</v>
      </c>
      <c r="N386" s="16">
        <f t="shared" si="80"/>
        <v>2.6285644081621422</v>
      </c>
    </row>
    <row r="387" spans="2:14" x14ac:dyDescent="0.25">
      <c r="B387" s="7">
        <f t="shared" si="74"/>
        <v>107.24000000000035</v>
      </c>
      <c r="C387" s="9">
        <f t="shared" si="76"/>
        <v>-96.444976760807364</v>
      </c>
      <c r="D387" s="10">
        <f t="shared" si="75"/>
        <v>0.60681305058689705</v>
      </c>
      <c r="E387" s="10">
        <f t="shared" si="69"/>
        <v>0.60443413676303615</v>
      </c>
      <c r="F387" s="10">
        <f t="shared" si="70"/>
        <v>0.604506155020053</v>
      </c>
      <c r="G387" s="10">
        <f t="shared" si="71"/>
        <v>0.60214135638439348</v>
      </c>
      <c r="H387" s="9">
        <f t="shared" si="72"/>
        <v>-96.275724461248956</v>
      </c>
      <c r="I387" s="8">
        <f t="shared" si="77"/>
        <v>16711.114867306045</v>
      </c>
      <c r="J387" s="9">
        <f t="shared" si="78"/>
        <v>-96.444976760807364</v>
      </c>
      <c r="K387" s="9">
        <f t="shared" si="79"/>
        <v>-96.275724461248956</v>
      </c>
      <c r="L387" s="8">
        <f t="shared" si="73"/>
        <v>16684.133969134957</v>
      </c>
      <c r="N387" s="16">
        <f t="shared" si="80"/>
        <v>2.6366707024659997</v>
      </c>
    </row>
    <row r="388" spans="2:14" x14ac:dyDescent="0.25">
      <c r="B388" s="7">
        <f t="shared" si="74"/>
        <v>107.52000000000035</v>
      </c>
      <c r="C388" s="9">
        <f t="shared" si="76"/>
        <v>-96.275724461248956</v>
      </c>
      <c r="D388" s="10">
        <f t="shared" si="75"/>
        <v>0.60214339630545544</v>
      </c>
      <c r="E388" s="10">
        <f t="shared" ref="E388:E451" si="81">dvdt($C388+h/2*D388,$I388+(h/2)/2*(2*C388+D388*h/2))</f>
        <v>0.59979897280532013</v>
      </c>
      <c r="F388" s="10">
        <f t="shared" ref="F388:F451" si="82">dvdt($C388+h/2*E388,$I388+(h/2)/2*(2*$C388+E388*h/2))</f>
        <v>0.59987003954111351</v>
      </c>
      <c r="G388" s="10">
        <f t="shared" ref="G388:G451" si="83">dvdt($C388+h*F388,$I388+h/2*(2*$C388+F388*h))</f>
        <v>0.59753934493035898</v>
      </c>
      <c r="H388" s="9">
        <f t="shared" ref="H388:H451" si="84">C388+h/6*(D388+2*E388+2*F388+G388)</f>
        <v>-96.107770158838946</v>
      </c>
      <c r="I388" s="8">
        <f t="shared" si="77"/>
        <v>16684.133969134957</v>
      </c>
      <c r="J388" s="9">
        <f t="shared" si="78"/>
        <v>-96.275724461248956</v>
      </c>
      <c r="K388" s="9">
        <f t="shared" si="79"/>
        <v>-96.107770158838946</v>
      </c>
      <c r="L388" s="8">
        <f t="shared" ref="L388:L451" si="85">I388+h/2*(J388+K388)</f>
        <v>16657.200279888144</v>
      </c>
      <c r="N388" s="16">
        <f t="shared" si="80"/>
        <v>2.6447632346550547</v>
      </c>
    </row>
    <row r="389" spans="2:14" x14ac:dyDescent="0.25">
      <c r="B389" s="7">
        <f t="shared" ref="B389:B452" si="86">B388+h</f>
        <v>107.80000000000035</v>
      </c>
      <c r="C389" s="9">
        <f t="shared" si="76"/>
        <v>-96.107770158838946</v>
      </c>
      <c r="D389" s="10">
        <f t="shared" si="75"/>
        <v>0.59754136253976475</v>
      </c>
      <c r="E389" s="10">
        <f t="shared" si="81"/>
        <v>0.59523058728171507</v>
      </c>
      <c r="F389" s="10">
        <f t="shared" si="82"/>
        <v>0.59530072516108701</v>
      </c>
      <c r="G389" s="10">
        <f t="shared" si="83"/>
        <v>0.59300330573355176</v>
      </c>
      <c r="H389" s="9">
        <f t="shared" si="84"/>
        <v>-95.941095151824868</v>
      </c>
      <c r="I389" s="8">
        <f t="shared" si="77"/>
        <v>16657.200279888144</v>
      </c>
      <c r="J389" s="9">
        <f t="shared" si="78"/>
        <v>-96.107770158838946</v>
      </c>
      <c r="K389" s="9">
        <f t="shared" si="79"/>
        <v>-95.941095151824868</v>
      </c>
      <c r="L389" s="8">
        <f t="shared" si="85"/>
        <v>16630.313438744652</v>
      </c>
      <c r="N389" s="16">
        <f t="shared" si="80"/>
        <v>2.6528420473830692</v>
      </c>
    </row>
    <row r="390" spans="2:14" x14ac:dyDescent="0.25">
      <c r="B390" s="7">
        <f t="shared" si="86"/>
        <v>108.08000000000035</v>
      </c>
      <c r="C390" s="9">
        <f t="shared" si="76"/>
        <v>-95.941095151824868</v>
      </c>
      <c r="D390" s="10">
        <f t="shared" ref="D390:D453" si="87">dvdt($C390,$I390)</f>
        <v>0.59300530151615094</v>
      </c>
      <c r="E390" s="10">
        <f t="shared" si="81"/>
        <v>0.59072736041378016</v>
      </c>
      <c r="F390" s="10">
        <f t="shared" si="82"/>
        <v>0.59079659135577411</v>
      </c>
      <c r="G390" s="10">
        <f t="shared" si="83"/>
        <v>0.58853164575629968</v>
      </c>
      <c r="H390" s="9">
        <f t="shared" si="84"/>
        <v>-95.775681192120331</v>
      </c>
      <c r="I390" s="8">
        <f t="shared" si="77"/>
        <v>16630.313438744652</v>
      </c>
      <c r="J390" s="9">
        <f t="shared" si="78"/>
        <v>-95.941095151824868</v>
      </c>
      <c r="K390" s="9">
        <f t="shared" si="79"/>
        <v>-95.775681192120331</v>
      </c>
      <c r="L390" s="8">
        <f t="shared" si="85"/>
        <v>16603.473090056501</v>
      </c>
      <c r="N390" s="16">
        <f t="shared" si="80"/>
        <v>2.6609071824189527</v>
      </c>
    </row>
    <row r="391" spans="2:14" x14ac:dyDescent="0.25">
      <c r="B391" s="7">
        <f t="shared" si="86"/>
        <v>108.36000000000035</v>
      </c>
      <c r="C391" s="9">
        <f t="shared" si="76"/>
        <v>-95.775681192120331</v>
      </c>
      <c r="D391" s="10">
        <f t="shared" si="87"/>
        <v>0.588533620181664</v>
      </c>
      <c r="E391" s="10">
        <f t="shared" si="81"/>
        <v>0.58628772607868007</v>
      </c>
      <c r="F391" s="10">
        <f t="shared" si="82"/>
        <v>0.58635607128440714</v>
      </c>
      <c r="G391" s="10">
        <f t="shared" si="83"/>
        <v>0.58412282459916487</v>
      </c>
      <c r="H391" s="9">
        <f t="shared" si="84"/>
        <v>-95.61151047027667</v>
      </c>
      <c r="I391" s="8">
        <f t="shared" si="77"/>
        <v>16603.473090056501</v>
      </c>
      <c r="J391" s="9">
        <f t="shared" si="78"/>
        <v>-95.775681192120331</v>
      </c>
      <c r="K391" s="9">
        <f t="shared" si="79"/>
        <v>-95.61151047027667</v>
      </c>
      <c r="L391" s="8">
        <f t="shared" si="85"/>
        <v>16576.678883223765</v>
      </c>
      <c r="N391" s="16">
        <f t="shared" si="80"/>
        <v>2.66895868067347</v>
      </c>
    </row>
    <row r="392" spans="2:14" x14ac:dyDescent="0.25">
      <c r="B392" s="7">
        <f t="shared" si="86"/>
        <v>108.64000000000036</v>
      </c>
      <c r="C392" s="9">
        <f t="shared" si="76"/>
        <v>-95.61151047027667</v>
      </c>
      <c r="D392" s="10">
        <f t="shared" si="87"/>
        <v>0.5841247781221961</v>
      </c>
      <c r="E392" s="10">
        <f t="shared" si="81"/>
        <v>0.5819101697689546</v>
      </c>
      <c r="F392" s="10">
        <f t="shared" si="82"/>
        <v>0.58197764974841926</v>
      </c>
      <c r="G392" s="10">
        <f t="shared" si="83"/>
        <v>0.57977535250077139</v>
      </c>
      <c r="H392" s="9">
        <f t="shared" si="84"/>
        <v>-95.448565601025976</v>
      </c>
      <c r="I392" s="8">
        <f t="shared" si="77"/>
        <v>16576.678883223765</v>
      </c>
      <c r="J392" s="9">
        <f t="shared" si="78"/>
        <v>-95.61151047027667</v>
      </c>
      <c r="K392" s="9">
        <f t="shared" si="79"/>
        <v>-95.448565601025976</v>
      </c>
      <c r="L392" s="8">
        <f t="shared" si="85"/>
        <v>16549.930472573782</v>
      </c>
      <c r="N392" s="16">
        <f t="shared" si="80"/>
        <v>2.6769965822249535</v>
      </c>
    </row>
    <row r="393" spans="2:14" x14ac:dyDescent="0.25">
      <c r="B393" s="7">
        <f t="shared" si="86"/>
        <v>108.92000000000036</v>
      </c>
      <c r="C393" s="9">
        <f t="shared" si="76"/>
        <v>-95.448565601025976</v>
      </c>
      <c r="D393" s="10">
        <f t="shared" si="87"/>
        <v>0.57977728556219454</v>
      </c>
      <c r="E393" s="10">
        <f t="shared" si="81"/>
        <v>0.57759322663243839</v>
      </c>
      <c r="F393" s="10">
        <f t="shared" si="82"/>
        <v>0.57765986123032076</v>
      </c>
      <c r="G393" s="10">
        <f t="shared" si="83"/>
        <v>0.57548778841602188</v>
      </c>
      <c r="H393" s="9">
        <f t="shared" si="84"/>
        <v>-95.286829609373129</v>
      </c>
      <c r="I393" s="8">
        <f t="shared" si="77"/>
        <v>16549.930472573782</v>
      </c>
      <c r="J393" s="9">
        <f t="shared" si="78"/>
        <v>-95.448565601025976</v>
      </c>
      <c r="K393" s="9">
        <f t="shared" si="79"/>
        <v>-95.286829609373129</v>
      </c>
      <c r="L393" s="8">
        <f t="shared" si="85"/>
        <v>16523.227517244326</v>
      </c>
      <c r="N393" s="16">
        <f t="shared" si="80"/>
        <v>2.6850209263440568</v>
      </c>
    </row>
    <row r="394" spans="2:14" x14ac:dyDescent="0.25">
      <c r="B394" s="7">
        <f t="shared" si="86"/>
        <v>109.20000000000036</v>
      </c>
      <c r="C394" s="9">
        <f t="shared" si="76"/>
        <v>-95.286829609373129</v>
      </c>
      <c r="D394" s="10">
        <f t="shared" si="87"/>
        <v>0.57548970144290723</v>
      </c>
      <c r="E394" s="10">
        <f t="shared" si="81"/>
        <v>0.57333547958914532</v>
      </c>
      <c r="F394" s="10">
        <f t="shared" si="82"/>
        <v>0.57340128800955259</v>
      </c>
      <c r="G394" s="10">
        <f t="shared" si="83"/>
        <v>0.57125873816993089</v>
      </c>
      <c r="H394" s="9">
        <f t="shared" si="84"/>
        <v>-95.126285917215313</v>
      </c>
      <c r="I394" s="8">
        <f t="shared" si="77"/>
        <v>16523.227517244326</v>
      </c>
      <c r="J394" s="9">
        <f t="shared" si="78"/>
        <v>-95.286829609373129</v>
      </c>
      <c r="K394" s="9">
        <f t="shared" si="79"/>
        <v>-95.126285917215313</v>
      </c>
      <c r="L394" s="8">
        <f t="shared" si="85"/>
        <v>16496.569681070603</v>
      </c>
      <c r="N394" s="16">
        <f t="shared" si="80"/>
        <v>2.6930317515175903</v>
      </c>
    </row>
    <row r="395" spans="2:14" x14ac:dyDescent="0.25">
      <c r="B395" s="7">
        <f t="shared" si="86"/>
        <v>109.48000000000036</v>
      </c>
      <c r="C395" s="9">
        <f t="shared" si="76"/>
        <v>-95.126285917215313</v>
      </c>
      <c r="D395" s="10">
        <f t="shared" si="87"/>
        <v>0.57126063157617912</v>
      </c>
      <c r="E395" s="10">
        <f t="shared" si="81"/>
        <v>0.56913555752214295</v>
      </c>
      <c r="F395" s="10">
        <f t="shared" si="82"/>
        <v>0.56920055835249717</v>
      </c>
      <c r="G395" s="10">
        <f t="shared" si="83"/>
        <v>0.5670868526840448</v>
      </c>
      <c r="H395" s="9">
        <f t="shared" si="84"/>
        <v>-94.966918330468204</v>
      </c>
      <c r="I395" s="8">
        <f t="shared" si="77"/>
        <v>16496.569681070603</v>
      </c>
      <c r="J395" s="9">
        <f t="shared" si="78"/>
        <v>-95.126285917215313</v>
      </c>
      <c r="K395" s="9">
        <f t="shared" si="79"/>
        <v>-94.966918330468204</v>
      </c>
      <c r="L395" s="8">
        <f t="shared" si="85"/>
        <v>16469.956632475929</v>
      </c>
      <c r="N395" s="16">
        <f t="shared" si="80"/>
        <v>2.7010290954714802</v>
      </c>
    </row>
    <row r="396" spans="2:14" x14ac:dyDescent="0.25">
      <c r="B396" s="7">
        <f t="shared" si="86"/>
        <v>109.76000000000036</v>
      </c>
      <c r="C396" s="9">
        <f t="shared" si="76"/>
        <v>-94.966918330468204</v>
      </c>
      <c r="D396" s="10">
        <f t="shared" si="87"/>
        <v>0.56708872687087231</v>
      </c>
      <c r="E396" s="10">
        <f t="shared" si="81"/>
        <v>0.56499213353975331</v>
      </c>
      <c r="F396" s="10">
        <f t="shared" si="82"/>
        <v>0.56505634477370037</v>
      </c>
      <c r="G396" s="10">
        <f t="shared" si="83"/>
        <v>0.5629708262727412</v>
      </c>
      <c r="H396" s="9">
        <f t="shared" si="84"/>
        <v>-94.808711026678907</v>
      </c>
      <c r="I396" s="8">
        <f t="shared" si="77"/>
        <v>16469.956632475929</v>
      </c>
      <c r="J396" s="9">
        <f t="shared" si="78"/>
        <v>-94.966918330468204</v>
      </c>
      <c r="K396" s="9">
        <f t="shared" si="79"/>
        <v>-94.808711026678907</v>
      </c>
      <c r="L396" s="8">
        <f t="shared" si="85"/>
        <v>16443.388044365929</v>
      </c>
      <c r="N396" s="16">
        <f t="shared" si="80"/>
        <v>2.7090129951928743</v>
      </c>
    </row>
    <row r="397" spans="2:14" x14ac:dyDescent="0.25">
      <c r="B397" s="7">
        <f t="shared" si="86"/>
        <v>110.04000000000036</v>
      </c>
      <c r="C397" s="9">
        <f t="shared" si="76"/>
        <v>-94.808711026678907</v>
      </c>
      <c r="D397" s="10">
        <f t="shared" si="87"/>
        <v>0.56297268162915381</v>
      </c>
      <c r="E397" s="10">
        <f t="shared" si="81"/>
        <v>0.56090392330616723</v>
      </c>
      <c r="F397" s="10">
        <f t="shared" si="82"/>
        <v>0.56096736236563161</v>
      </c>
      <c r="G397" s="10">
        <f t="shared" si="83"/>
        <v>0.55890939500676406</v>
      </c>
      <c r="H397" s="9">
        <f t="shared" si="84"/>
        <v>-94.651648543106532</v>
      </c>
      <c r="I397" s="8">
        <f t="shared" si="77"/>
        <v>16443.388044365929</v>
      </c>
      <c r="J397" s="9">
        <f t="shared" si="78"/>
        <v>-94.808711026678907</v>
      </c>
      <c r="K397" s="9">
        <f t="shared" si="79"/>
        <v>-94.651648543106532</v>
      </c>
      <c r="L397" s="8">
        <f t="shared" si="85"/>
        <v>16416.863594026159</v>
      </c>
      <c r="N397" s="16">
        <f t="shared" si="80"/>
        <v>2.7169834869514378</v>
      </c>
    </row>
    <row r="398" spans="2:14" x14ac:dyDescent="0.25">
      <c r="B398" s="7">
        <f t="shared" si="86"/>
        <v>110.32000000000036</v>
      </c>
      <c r="C398" s="9">
        <f t="shared" si="76"/>
        <v>-94.651648543106532</v>
      </c>
      <c r="D398" s="10">
        <f t="shared" si="87"/>
        <v>0.5589112319099574</v>
      </c>
      <c r="E398" s="10">
        <f t="shared" si="81"/>
        <v>0.55686968343793908</v>
      </c>
      <c r="F398" s="10">
        <f t="shared" si="82"/>
        <v>0.55693236719434513</v>
      </c>
      <c r="G398" s="10">
        <f t="shared" si="83"/>
        <v>0.55490133514120976</v>
      </c>
      <c r="H398" s="9">
        <f t="shared" si="84"/>
        <v>-94.495715765251802</v>
      </c>
      <c r="I398" s="8">
        <f t="shared" si="77"/>
        <v>16416.863594026159</v>
      </c>
      <c r="J398" s="9">
        <f t="shared" si="78"/>
        <v>-94.651648543106532</v>
      </c>
      <c r="K398" s="9">
        <f t="shared" si="79"/>
        <v>-94.495715765251802</v>
      </c>
      <c r="L398" s="8">
        <f t="shared" si="85"/>
        <v>16390.382963022988</v>
      </c>
      <c r="N398" s="16">
        <f t="shared" si="80"/>
        <v>2.724940606319862</v>
      </c>
    </row>
    <row r="399" spans="2:14" x14ac:dyDescent="0.25">
      <c r="B399" s="7">
        <f t="shared" si="86"/>
        <v>110.60000000000036</v>
      </c>
      <c r="C399" s="9">
        <f t="shared" si="76"/>
        <v>-94.495715765251802</v>
      </c>
      <c r="D399" s="10">
        <f t="shared" si="87"/>
        <v>0.55490315395703127</v>
      </c>
      <c r="E399" s="10">
        <f t="shared" si="81"/>
        <v>0.55288820996380617</v>
      </c>
      <c r="F399" s="10">
        <f t="shared" si="82"/>
        <v>0.55295015475845666</v>
      </c>
      <c r="G399" s="10">
        <f t="shared" si="83"/>
        <v>0.55094546160574609</v>
      </c>
      <c r="H399" s="9">
        <f t="shared" si="84"/>
        <v>-94.340897915818132</v>
      </c>
      <c r="I399" s="8">
        <f t="shared" si="77"/>
        <v>16390.382963022988</v>
      </c>
      <c r="J399" s="9">
        <f t="shared" si="78"/>
        <v>-94.495715765251802</v>
      </c>
      <c r="K399" s="9">
        <f t="shared" si="79"/>
        <v>-94.340897915818132</v>
      </c>
      <c r="L399" s="8">
        <f t="shared" si="85"/>
        <v>16363.945837107638</v>
      </c>
      <c r="N399" s="16">
        <f t="shared" si="80"/>
        <v>2.7328843881936282</v>
      </c>
    </row>
    <row r="400" spans="2:14" x14ac:dyDescent="0.25">
      <c r="B400" s="7">
        <f t="shared" si="86"/>
        <v>110.88000000000036</v>
      </c>
      <c r="C400" s="9">
        <f t="shared" si="76"/>
        <v>-94.340897915818132</v>
      </c>
      <c r="D400" s="10">
        <f t="shared" si="87"/>
        <v>0.55094726268906402</v>
      </c>
      <c r="E400" s="10">
        <f t="shared" si="81"/>
        <v>0.54895833684532824</v>
      </c>
      <c r="F400" s="10">
        <f t="shared" si="82"/>
        <v>0.54901955850900508</v>
      </c>
      <c r="G400" s="10">
        <f t="shared" si="83"/>
        <v>0.54704062655439067</v>
      </c>
      <c r="H400" s="9">
        <f t="shared" si="84"/>
        <v>-94.187180544087028</v>
      </c>
      <c r="I400" s="8">
        <f t="shared" si="77"/>
        <v>16363.945837107638</v>
      </c>
      <c r="J400" s="9">
        <f t="shared" si="78"/>
        <v>-94.340897915818132</v>
      </c>
      <c r="K400" s="9">
        <f t="shared" si="79"/>
        <v>-94.187180544087028</v>
      </c>
      <c r="L400" s="8">
        <f t="shared" si="85"/>
        <v>16337.551906123252</v>
      </c>
      <c r="N400" s="16">
        <f t="shared" si="80"/>
        <v>2.7408148668100423</v>
      </c>
    </row>
    <row r="401" spans="2:14" x14ac:dyDescent="0.25">
      <c r="B401" s="7">
        <f t="shared" si="86"/>
        <v>111.16000000000037</v>
      </c>
      <c r="C401" s="9">
        <f t="shared" si="76"/>
        <v>-94.187180544087028</v>
      </c>
      <c r="D401" s="10">
        <f t="shared" si="87"/>
        <v>0.54704241024952172</v>
      </c>
      <c r="E401" s="10">
        <f t="shared" si="81"/>
        <v>0.5450789345560646</v>
      </c>
      <c r="F401" s="10">
        <f t="shared" si="82"/>
        <v>0.54513944842788897</v>
      </c>
      <c r="G401" s="10">
        <f t="shared" si="83"/>
        <v>0.54318571797275894</v>
      </c>
      <c r="H401" s="9">
        <f t="shared" si="84"/>
        <v>-94.034549515691481</v>
      </c>
      <c r="I401" s="8">
        <f t="shared" si="77"/>
        <v>16337.551906123252</v>
      </c>
      <c r="J401" s="9">
        <f t="shared" si="78"/>
        <v>-94.187180544087028</v>
      </c>
      <c r="K401" s="9">
        <f t="shared" si="79"/>
        <v>-94.034549515691481</v>
      </c>
      <c r="L401" s="8">
        <f t="shared" si="85"/>
        <v>16311.200863914883</v>
      </c>
      <c r="N401" s="16">
        <f t="shared" si="80"/>
        <v>2.7487320757665854</v>
      </c>
    </row>
    <row r="402" spans="2:14" x14ac:dyDescent="0.25">
      <c r="B402" s="7">
        <f t="shared" si="86"/>
        <v>111.44000000000037</v>
      </c>
      <c r="C402" s="9">
        <f t="shared" si="76"/>
        <v>-94.034549515691481</v>
      </c>
      <c r="D402" s="10">
        <f t="shared" si="87"/>
        <v>0.54318748461383959</v>
      </c>
      <c r="E402" s="10">
        <f t="shared" si="81"/>
        <v>0.54124890871694942</v>
      </c>
      <c r="F402" s="10">
        <f t="shared" si="82"/>
        <v>0.54130872966252175</v>
      </c>
      <c r="G402" s="10">
        <f t="shared" si="83"/>
        <v>0.53937965834038037</v>
      </c>
      <c r="H402" s="9">
        <f t="shared" si="84"/>
        <v>-93.882991002771533</v>
      </c>
      <c r="I402" s="8">
        <f t="shared" si="77"/>
        <v>16311.200863914883</v>
      </c>
      <c r="J402" s="9">
        <f t="shared" si="78"/>
        <v>-94.034549515691481</v>
      </c>
      <c r="K402" s="9">
        <f t="shared" si="79"/>
        <v>-93.882991002771533</v>
      </c>
      <c r="L402" s="8">
        <f t="shared" si="85"/>
        <v>16284.892408242298</v>
      </c>
      <c r="N402" s="16">
        <f t="shared" si="80"/>
        <v>2.7566360480385947</v>
      </c>
    </row>
    <row r="403" spans="2:14" x14ac:dyDescent="0.25">
      <c r="B403" s="7">
        <f t="shared" si="86"/>
        <v>111.72000000000037</v>
      </c>
      <c r="C403" s="9">
        <f t="shared" si="76"/>
        <v>-93.882991002771533</v>
      </c>
      <c r="D403" s="10">
        <f t="shared" si="87"/>
        <v>0.53938140825171776</v>
      </c>
      <c r="E403" s="10">
        <f t="shared" si="81"/>
        <v>0.53746719878573723</v>
      </c>
      <c r="F403" s="10">
        <f t="shared" si="82"/>
        <v>0.53752634121452547</v>
      </c>
      <c r="G403" s="10">
        <f t="shared" si="83"/>
        <v>0.53562140334598674</v>
      </c>
      <c r="H403" s="9">
        <f t="shared" si="84"/>
        <v>-93.732491474496953</v>
      </c>
      <c r="I403" s="8">
        <f t="shared" si="77"/>
        <v>16284.892408242298</v>
      </c>
      <c r="J403" s="9">
        <f t="shared" si="78"/>
        <v>-93.882991002771533</v>
      </c>
      <c r="K403" s="9">
        <f t="shared" si="79"/>
        <v>-93.732491474496953</v>
      </c>
      <c r="L403" s="8">
        <f t="shared" si="85"/>
        <v>16258.626240695481</v>
      </c>
      <c r="N403" s="16">
        <f t="shared" si="80"/>
        <v>2.7645268159963008</v>
      </c>
    </row>
    <row r="404" spans="2:14" x14ac:dyDescent="0.25">
      <c r="B404" s="7">
        <f t="shared" si="86"/>
        <v>112.00000000000037</v>
      </c>
      <c r="C404" s="9">
        <f t="shared" si="76"/>
        <v>-93.732491474496953</v>
      </c>
      <c r="D404" s="10">
        <f t="shared" si="87"/>
        <v>0.53562313684242735</v>
      </c>
      <c r="E404" s="10">
        <f t="shared" si="81"/>
        <v>0.53373277679827758</v>
      </c>
      <c r="F404" s="10">
        <f t="shared" si="82"/>
        <v>0.53379125468041366</v>
      </c>
      <c r="G404" s="10">
        <f t="shared" si="83"/>
        <v>0.53190994065375863</v>
      </c>
      <c r="H404" s="9">
        <f t="shared" si="84"/>
        <v>-93.583037687942451</v>
      </c>
      <c r="I404" s="8">
        <f t="shared" si="77"/>
        <v>16258.626240695481</v>
      </c>
      <c r="J404" s="9">
        <f t="shared" si="78"/>
        <v>-93.732491474496953</v>
      </c>
      <c r="K404" s="9">
        <f t="shared" si="79"/>
        <v>-93.583037687942451</v>
      </c>
      <c r="L404" s="8">
        <f t="shared" si="85"/>
        <v>16232.40206661274</v>
      </c>
      <c r="N404" s="16">
        <f t="shared" si="80"/>
        <v>2.7724044114212574</v>
      </c>
    </row>
    <row r="405" spans="2:14" x14ac:dyDescent="0.25">
      <c r="B405" s="7">
        <f t="shared" si="86"/>
        <v>112.28000000000037</v>
      </c>
      <c r="C405" s="9">
        <f t="shared" si="76"/>
        <v>-93.583037687942451</v>
      </c>
      <c r="D405" s="10">
        <f t="shared" si="87"/>
        <v>0.53191165804099227</v>
      </c>
      <c r="E405" s="10">
        <f t="shared" si="81"/>
        <v>0.53004464615979197</v>
      </c>
      <c r="F405" s="10">
        <f t="shared" si="82"/>
        <v>0.53010247304213609</v>
      </c>
      <c r="G405" s="10">
        <f t="shared" si="83"/>
        <v>0.52824428871839302</v>
      </c>
      <c r="H405" s="9">
        <f t="shared" si="84"/>
        <v>-93.434616679301499</v>
      </c>
      <c r="I405" s="8">
        <f t="shared" si="77"/>
        <v>16232.40206661274</v>
      </c>
      <c r="J405" s="9">
        <f t="shared" si="78"/>
        <v>-93.583037687942451</v>
      </c>
      <c r="K405" s="9">
        <f t="shared" si="79"/>
        <v>-93.434616679301499</v>
      </c>
      <c r="L405" s="8">
        <f t="shared" si="85"/>
        <v>16206.219595001327</v>
      </c>
      <c r="N405" s="16">
        <f t="shared" si="80"/>
        <v>2.7802688655221752</v>
      </c>
    </row>
    <row r="406" spans="2:14" x14ac:dyDescent="0.25">
      <c r="B406" s="7">
        <f t="shared" si="86"/>
        <v>112.56000000000037</v>
      </c>
      <c r="C406" s="9">
        <f t="shared" si="76"/>
        <v>-93.434616679301499</v>
      </c>
      <c r="D406" s="10">
        <f t="shared" si="87"/>
        <v>0.52824599029331598</v>
      </c>
      <c r="E406" s="10">
        <f t="shared" si="81"/>
        <v>0.52640184048397198</v>
      </c>
      <c r="F406" s="10">
        <f t="shared" si="82"/>
        <v>0.52645902950562717</v>
      </c>
      <c r="G406" s="10">
        <f t="shared" si="83"/>
        <v>0.52462349564724509</v>
      </c>
      <c r="H406" s="9">
        <f t="shared" si="84"/>
        <v>-93.287215755425237</v>
      </c>
      <c r="I406" s="8">
        <f t="shared" si="77"/>
        <v>16206.219595001327</v>
      </c>
      <c r="J406" s="9">
        <f t="shared" si="78"/>
        <v>-93.434616679301499</v>
      </c>
      <c r="K406" s="9">
        <f t="shared" si="79"/>
        <v>-93.287215755425237</v>
      </c>
      <c r="L406" s="8">
        <f t="shared" si="85"/>
        <v>16180.078538460464</v>
      </c>
      <c r="N406" s="16">
        <f t="shared" si="80"/>
        <v>2.7881202089501969</v>
      </c>
    </row>
    <row r="407" spans="2:14" x14ac:dyDescent="0.25">
      <c r="B407" s="7">
        <f t="shared" si="86"/>
        <v>112.84000000000037</v>
      </c>
      <c r="C407" s="9">
        <f t="shared" si="76"/>
        <v>-93.287215755425237</v>
      </c>
      <c r="D407" s="10">
        <f t="shared" si="87"/>
        <v>0.5246251816982509</v>
      </c>
      <c r="E407" s="10">
        <f t="shared" si="81"/>
        <v>0.52280342247817502</v>
      </c>
      <c r="F407" s="10">
        <f t="shared" si="82"/>
        <v>0.52285998638535425</v>
      </c>
      <c r="G407" s="10">
        <f t="shared" si="83"/>
        <v>0.52104663810752516</v>
      </c>
      <c r="H407" s="9">
        <f t="shared" si="84"/>
        <v>-93.140822485673709</v>
      </c>
      <c r="I407" s="8">
        <f t="shared" si="77"/>
        <v>16180.078538460464</v>
      </c>
      <c r="J407" s="9">
        <f t="shared" si="78"/>
        <v>-93.287215755425237</v>
      </c>
      <c r="K407" s="9">
        <f t="shared" si="79"/>
        <v>-93.140822485673709</v>
      </c>
      <c r="L407" s="8">
        <f t="shared" si="85"/>
        <v>16153.97861310671</v>
      </c>
      <c r="N407" s="16">
        <f t="shared" si="80"/>
        <v>2.7959584718136212</v>
      </c>
    </row>
    <row r="408" spans="2:14" x14ac:dyDescent="0.25">
      <c r="B408" s="7">
        <f t="shared" si="86"/>
        <v>113.12000000000037</v>
      </c>
      <c r="C408" s="9">
        <f t="shared" ref="C408:C471" si="88">H407</f>
        <v>-93.140822485673709</v>
      </c>
      <c r="D408" s="10">
        <f t="shared" si="87"/>
        <v>0.52104830891481346</v>
      </c>
      <c r="E408" s="10">
        <f t="shared" si="81"/>
        <v>0.51924848287280068</v>
      </c>
      <c r="F408" s="10">
        <f t="shared" si="82"/>
        <v>0.51930443403312587</v>
      </c>
      <c r="G408" s="10">
        <f t="shared" si="83"/>
        <v>0.51751282027688839</v>
      </c>
      <c r="H408" s="9">
        <f t="shared" si="84"/>
        <v>-92.99542469406687</v>
      </c>
      <c r="I408" s="8">
        <f t="shared" ref="I408:I471" si="89">L407</f>
        <v>16153.97861310671</v>
      </c>
      <c r="J408" s="9">
        <f t="shared" ref="J408:J471" si="90">C408</f>
        <v>-93.140822485673709</v>
      </c>
      <c r="K408" s="9">
        <f t="shared" ref="K408:K471" si="91">H408</f>
        <v>-92.99542469406687</v>
      </c>
      <c r="L408" s="8">
        <f t="shared" si="85"/>
        <v>16127.919538501546</v>
      </c>
      <c r="N408" s="16">
        <f t="shared" ref="N408:N471" si="92">C_y(I408)</f>
        <v>2.8037836836921048</v>
      </c>
    </row>
    <row r="409" spans="2:14" x14ac:dyDescent="0.25">
      <c r="B409" s="7">
        <f t="shared" si="86"/>
        <v>113.40000000000038</v>
      </c>
      <c r="C409" s="9">
        <f t="shared" si="88"/>
        <v>-92.99542469406687</v>
      </c>
      <c r="D409" s="10">
        <f t="shared" si="87"/>
        <v>0.51751447611274137</v>
      </c>
      <c r="E409" s="10">
        <f t="shared" si="81"/>
        <v>0.51573613939316165</v>
      </c>
      <c r="F409" s="10">
        <f t="shared" si="82"/>
        <v>0.51579148980942646</v>
      </c>
      <c r="G409" s="10">
        <f t="shared" si="83"/>
        <v>0.5140211728356191</v>
      </c>
      <c r="H409" s="9">
        <f t="shared" si="84"/>
        <v>-92.85101045172371</v>
      </c>
      <c r="I409" s="8">
        <f t="shared" si="89"/>
        <v>16127.919538501546</v>
      </c>
      <c r="J409" s="9">
        <f t="shared" si="90"/>
        <v>-92.99542469406687</v>
      </c>
      <c r="K409" s="9">
        <f t="shared" si="91"/>
        <v>-92.85101045172371</v>
      </c>
      <c r="L409" s="8">
        <f t="shared" si="85"/>
        <v>16101.901037581136</v>
      </c>
      <c r="N409" s="16">
        <f t="shared" si="92"/>
        <v>2.8115958736503659</v>
      </c>
    </row>
    <row r="410" spans="2:14" x14ac:dyDescent="0.25">
      <c r="B410" s="7">
        <f t="shared" si="86"/>
        <v>113.68000000000038</v>
      </c>
      <c r="C410" s="9">
        <f t="shared" si="88"/>
        <v>-92.85101045172371</v>
      </c>
      <c r="D410" s="10">
        <f t="shared" si="87"/>
        <v>0.51402281396469918</v>
      </c>
      <c r="E410" s="10">
        <f t="shared" si="81"/>
        <v>0.51226553577213274</v>
      </c>
      <c r="F410" s="10">
        <f t="shared" si="82"/>
        <v>0.51232029709551441</v>
      </c>
      <c r="G410" s="10">
        <f t="shared" si="83"/>
        <v>0.51057085199883168</v>
      </c>
      <c r="H410" s="9">
        <f t="shared" si="84"/>
        <v>-92.707568069577761</v>
      </c>
      <c r="I410" s="8">
        <f t="shared" si="89"/>
        <v>16101.901037581136</v>
      </c>
      <c r="J410" s="9">
        <f t="shared" si="90"/>
        <v>-92.85101045172371</v>
      </c>
      <c r="K410" s="9">
        <f t="shared" si="91"/>
        <v>-92.707568069577761</v>
      </c>
      <c r="L410" s="8">
        <f t="shared" si="85"/>
        <v>16075.922836588154</v>
      </c>
      <c r="N410" s="16">
        <f t="shared" si="92"/>
        <v>2.8193950702514021</v>
      </c>
    </row>
    <row r="411" spans="2:14" x14ac:dyDescent="0.25">
      <c r="B411" s="7">
        <f t="shared" si="86"/>
        <v>113.96000000000038</v>
      </c>
      <c r="C411" s="9">
        <f t="shared" si="88"/>
        <v>-92.707568069577761</v>
      </c>
      <c r="D411" s="10">
        <f t="shared" si="87"/>
        <v>0.51057247867843236</v>
      </c>
      <c r="E411" s="10">
        <f t="shared" si="81"/>
        <v>0.50883584080195443</v>
      </c>
      <c r="F411" s="10">
        <f t="shared" si="82"/>
        <v>0.50889002434471986</v>
      </c>
      <c r="G411" s="10">
        <f t="shared" si="83"/>
        <v>0.50716103858702344</v>
      </c>
      <c r="H411" s="9">
        <f t="shared" si="84"/>
        <v>-92.565086091358353</v>
      </c>
      <c r="I411" s="8">
        <f t="shared" si="89"/>
        <v>16075.922836588154</v>
      </c>
      <c r="J411" s="9">
        <f t="shared" si="90"/>
        <v>-92.707568069577761</v>
      </c>
      <c r="K411" s="9">
        <f t="shared" si="91"/>
        <v>-92.565086091358353</v>
      </c>
      <c r="L411" s="8">
        <f t="shared" si="85"/>
        <v>16049.984665005622</v>
      </c>
      <c r="N411" s="16">
        <f t="shared" si="92"/>
        <v>2.8271813015692482</v>
      </c>
    </row>
    <row r="412" spans="2:14" x14ac:dyDescent="0.25">
      <c r="B412" s="7">
        <f t="shared" si="86"/>
        <v>114.24000000000038</v>
      </c>
      <c r="C412" s="9">
        <f t="shared" si="88"/>
        <v>-92.565086091358353</v>
      </c>
      <c r="D412" s="10">
        <f t="shared" si="87"/>
        <v>0.50716265106733449</v>
      </c>
      <c r="E412" s="10">
        <f t="shared" si="81"/>
        <v>0.50544624742366162</v>
      </c>
      <c r="F412" s="10">
        <f t="shared" si="82"/>
        <v>0.50549986417138215</v>
      </c>
      <c r="G412" s="10">
        <f t="shared" si="83"/>
        <v>0.50379093713350298</v>
      </c>
      <c r="H412" s="9">
        <f t="shared" si="84"/>
        <v>-92.423553286826774</v>
      </c>
      <c r="I412" s="8">
        <f t="shared" si="89"/>
        <v>16049.984665005622</v>
      </c>
      <c r="J412" s="9">
        <f t="shared" si="90"/>
        <v>-92.565086091358353</v>
      </c>
      <c r="K412" s="9">
        <f t="shared" si="91"/>
        <v>-92.423553286826774</v>
      </c>
      <c r="L412" s="8">
        <f t="shared" si="85"/>
        <v>16024.086255492677</v>
      </c>
      <c r="N412" s="16">
        <f t="shared" si="92"/>
        <v>2.834954595201284</v>
      </c>
    </row>
    <row r="413" spans="2:14" x14ac:dyDescent="0.25">
      <c r="B413" s="7">
        <f t="shared" si="86"/>
        <v>114.52000000000038</v>
      </c>
      <c r="C413" s="9">
        <f t="shared" si="88"/>
        <v>-92.423553286826774</v>
      </c>
      <c r="D413" s="10">
        <f t="shared" si="87"/>
        <v>0.5037925356578572</v>
      </c>
      <c r="E413" s="10">
        <f t="shared" si="81"/>
        <v>0.50209597185260046</v>
      </c>
      <c r="F413" s="10">
        <f t="shared" si="82"/>
        <v>0.50214903247587428</v>
      </c>
      <c r="G413" s="10">
        <f t="shared" si="83"/>
        <v>0.50045977502721128</v>
      </c>
      <c r="H413" s="9">
        <f t="shared" si="84"/>
        <v>-92.28295864525748</v>
      </c>
      <c r="I413" s="8">
        <f t="shared" si="89"/>
        <v>16024.086255492677</v>
      </c>
      <c r="J413" s="9">
        <f t="shared" si="90"/>
        <v>-92.423553286826774</v>
      </c>
      <c r="K413" s="9">
        <f t="shared" si="91"/>
        <v>-92.28295864525748</v>
      </c>
      <c r="L413" s="8">
        <f t="shared" si="85"/>
        <v>15998.227343822186</v>
      </c>
      <c r="N413" s="16">
        <f t="shared" si="92"/>
        <v>2.8427149782801204</v>
      </c>
    </row>
    <row r="414" spans="2:14" x14ac:dyDescent="0.25">
      <c r="B414" s="7">
        <f t="shared" si="86"/>
        <v>114.80000000000038</v>
      </c>
      <c r="C414" s="9">
        <f t="shared" si="88"/>
        <v>-92.28295864525748</v>
      </c>
      <c r="D414" s="10">
        <f t="shared" si="87"/>
        <v>0.50046135983232376</v>
      </c>
      <c r="E414" s="10">
        <f t="shared" si="81"/>
        <v>0.49878425273862648</v>
      </c>
      <c r="F414" s="10">
        <f t="shared" si="82"/>
        <v>0.49883676760438195</v>
      </c>
      <c r="G414" s="10">
        <f t="shared" si="83"/>
        <v>0.49716680168949784</v>
      </c>
      <c r="H414" s="9">
        <f t="shared" si="84"/>
        <v>-92.143291369154454</v>
      </c>
      <c r="I414" s="8">
        <f t="shared" si="89"/>
        <v>15998.227343822186</v>
      </c>
      <c r="J414" s="9">
        <f t="shared" si="90"/>
        <v>-92.28295864525748</v>
      </c>
      <c r="K414" s="9">
        <f t="shared" si="91"/>
        <v>-92.143291369154454</v>
      </c>
      <c r="L414" s="8">
        <f t="shared" si="85"/>
        <v>15972.407668820168</v>
      </c>
      <c r="N414" s="16">
        <f t="shared" si="92"/>
        <v>2.8504624774850713</v>
      </c>
    </row>
    <row r="415" spans="2:14" x14ac:dyDescent="0.25">
      <c r="B415" s="7">
        <f t="shared" si="86"/>
        <v>115.08000000000038</v>
      </c>
      <c r="C415" s="9">
        <f t="shared" si="88"/>
        <v>-92.143291369154454</v>
      </c>
      <c r="D415" s="10">
        <f t="shared" si="87"/>
        <v>0.49716837300569544</v>
      </c>
      <c r="E415" s="10">
        <f t="shared" si="81"/>
        <v>0.49551035035956759</v>
      </c>
      <c r="F415" s="10">
        <f t="shared" si="82"/>
        <v>0.49556232954188734</v>
      </c>
      <c r="G415" s="10">
        <f t="shared" si="83"/>
        <v>0.49391128778351762</v>
      </c>
      <c r="H415" s="9">
        <f t="shared" si="84"/>
        <v>-92.004540868193487</v>
      </c>
      <c r="I415" s="8">
        <f t="shared" si="89"/>
        <v>15972.407668820168</v>
      </c>
      <c r="J415" s="9">
        <f t="shared" si="90"/>
        <v>-92.143291369154454</v>
      </c>
      <c r="K415" s="9">
        <f t="shared" si="91"/>
        <v>-92.004540868193487</v>
      </c>
      <c r="L415" s="8">
        <f t="shared" si="85"/>
        <v>15946.626972306938</v>
      </c>
      <c r="N415" s="16">
        <f t="shared" si="92"/>
        <v>2.8581971190532309</v>
      </c>
    </row>
    <row r="416" spans="2:14" x14ac:dyDescent="0.25">
      <c r="B416" s="7">
        <f t="shared" si="86"/>
        <v>115.36000000000038</v>
      </c>
      <c r="C416" s="9">
        <f t="shared" si="88"/>
        <v>-92.004540868193487</v>
      </c>
      <c r="D416" s="10">
        <f t="shared" si="87"/>
        <v>0.49391284583496242</v>
      </c>
      <c r="E416" s="10">
        <f t="shared" si="81"/>
        <v>0.49227354584662308</v>
      </c>
      <c r="F416" s="10">
        <f t="shared" si="82"/>
        <v>0.49232499913717015</v>
      </c>
      <c r="G416" s="10">
        <f t="shared" si="83"/>
        <v>0.490692524454937</v>
      </c>
      <c r="H416" s="9">
        <f t="shared" si="84"/>
        <v>-91.866696753381476</v>
      </c>
      <c r="I416" s="8">
        <f t="shared" si="89"/>
        <v>15946.626972306938</v>
      </c>
      <c r="J416" s="9">
        <f t="shared" si="90"/>
        <v>-92.004540868193487</v>
      </c>
      <c r="K416" s="9">
        <f t="shared" si="91"/>
        <v>-91.866696753381476</v>
      </c>
      <c r="L416" s="8">
        <f t="shared" si="85"/>
        <v>15920.884999039918</v>
      </c>
      <c r="N416" s="16">
        <f t="shared" si="92"/>
        <v>2.8659189287901747</v>
      </c>
    </row>
    <row r="417" spans="2:14" x14ac:dyDescent="0.25">
      <c r="B417" s="7">
        <f t="shared" si="86"/>
        <v>115.64000000000038</v>
      </c>
      <c r="C417" s="9">
        <f t="shared" si="88"/>
        <v>-91.866696753381476</v>
      </c>
      <c r="D417" s="10">
        <f t="shared" si="87"/>
        <v>0.49069406945983096</v>
      </c>
      <c r="E417" s="10">
        <f t="shared" si="81"/>
        <v>0.48907314044043515</v>
      </c>
      <c r="F417" s="10">
        <f t="shared" si="82"/>
        <v>0.48912407735848729</v>
      </c>
      <c r="G417" s="10">
        <f t="shared" si="83"/>
        <v>0.48750982260266856</v>
      </c>
      <c r="H417" s="9">
        <f t="shared" si="84"/>
        <v>-91.72974883142399</v>
      </c>
      <c r="I417" s="8">
        <f t="shared" si="89"/>
        <v>15920.884999039918</v>
      </c>
      <c r="J417" s="9">
        <f t="shared" si="90"/>
        <v>-91.866696753381476</v>
      </c>
      <c r="K417" s="9">
        <f t="shared" si="91"/>
        <v>-91.72974883142399</v>
      </c>
      <c r="L417" s="8">
        <f t="shared" si="85"/>
        <v>15895.181496658044</v>
      </c>
      <c r="N417" s="16">
        <f t="shared" si="92"/>
        <v>2.8736279320802911</v>
      </c>
    </row>
    <row r="418" spans="2:14" x14ac:dyDescent="0.25">
      <c r="B418" s="7">
        <f t="shared" si="86"/>
        <v>115.92000000000039</v>
      </c>
      <c r="C418" s="9">
        <f t="shared" si="88"/>
        <v>-91.72974883142399</v>
      </c>
      <c r="D418" s="10">
        <f t="shared" si="87"/>
        <v>0.48751135477346247</v>
      </c>
      <c r="E418" s="10">
        <f t="shared" si="81"/>
        <v>0.48590845477658967</v>
      </c>
      <c r="F418" s="10">
        <f t="shared" si="82"/>
        <v>0.48595888457863495</v>
      </c>
      <c r="G418" s="10">
        <f t="shared" si="83"/>
        <v>0.48436251217842508</v>
      </c>
      <c r="H418" s="9">
        <f t="shared" si="84"/>
        <v>-91.593687099293078</v>
      </c>
      <c r="I418" s="8">
        <f t="shared" si="89"/>
        <v>15895.181496658044</v>
      </c>
      <c r="J418" s="9">
        <f t="shared" si="90"/>
        <v>-91.72974883142399</v>
      </c>
      <c r="K418" s="9">
        <f t="shared" si="91"/>
        <v>-91.593687099293078</v>
      </c>
      <c r="L418" s="8">
        <f t="shared" si="85"/>
        <v>15869.516215627744</v>
      </c>
      <c r="N418" s="16">
        <f t="shared" si="92"/>
        <v>2.8813241538967715</v>
      </c>
    </row>
    <row r="419" spans="2:14" x14ac:dyDescent="0.25">
      <c r="B419" s="7">
        <f t="shared" si="86"/>
        <v>116.20000000000039</v>
      </c>
      <c r="C419" s="9">
        <f t="shared" si="88"/>
        <v>-91.593687099293078</v>
      </c>
      <c r="D419" s="10">
        <f>dvdt($C419,$I419)</f>
        <v>0.48436403172202458</v>
      </c>
      <c r="E419" s="10">
        <f t="shared" si="81"/>
        <v>0.48277882819931994</v>
      </c>
      <c r="F419" s="10">
        <f t="shared" si="82"/>
        <v>0.48282875988833596</v>
      </c>
      <c r="G419" s="10">
        <f t="shared" si="83"/>
        <v>0.48124994151400835</v>
      </c>
      <c r="H419" s="9">
        <f t="shared" si="84"/>
        <v>-91.458501738987209</v>
      </c>
      <c r="I419" s="8">
        <f t="shared" si="89"/>
        <v>15869.516215627744</v>
      </c>
      <c r="J419" s="9">
        <f t="shared" si="90"/>
        <v>-91.593687099293078</v>
      </c>
      <c r="K419" s="9">
        <f t="shared" si="91"/>
        <v>-91.458501738987209</v>
      </c>
      <c r="L419" s="8">
        <f t="shared" si="85"/>
        <v>15843.888909190384</v>
      </c>
      <c r="N419" s="16">
        <f t="shared" si="92"/>
        <v>2.8890076188112523</v>
      </c>
    </row>
    <row r="420" spans="2:14" x14ac:dyDescent="0.25">
      <c r="B420" s="7">
        <f t="shared" si="86"/>
        <v>116.48000000000039</v>
      </c>
      <c r="C420" s="9">
        <f t="shared" si="88"/>
        <v>-91.458501738987209</v>
      </c>
      <c r="D420" s="10">
        <f t="shared" si="87"/>
        <v>0.4812514486319463</v>
      </c>
      <c r="E420" s="10">
        <f t="shared" si="81"/>
        <v>0.47968361810235893</v>
      </c>
      <c r="F420" s="10">
        <f t="shared" si="82"/>
        <v>0.47973306043670416</v>
      </c>
      <c r="G420" s="10">
        <f t="shared" si="83"/>
        <v>0.47817147667506649</v>
      </c>
      <c r="H420" s="9">
        <f t="shared" si="84"/>
        <v>-91.324183112475907</v>
      </c>
      <c r="I420" s="8">
        <f t="shared" si="89"/>
        <v>15843.888909190384</v>
      </c>
      <c r="J420" s="9">
        <f t="shared" si="90"/>
        <v>-91.458501738987209</v>
      </c>
      <c r="K420" s="9">
        <f t="shared" si="91"/>
        <v>-91.324183112475907</v>
      </c>
      <c r="L420" s="8">
        <f t="shared" si="85"/>
        <v>15818.299333311179</v>
      </c>
      <c r="N420" s="16">
        <f t="shared" si="92"/>
        <v>2.8966783510031471</v>
      </c>
    </row>
    <row r="421" spans="2:14" x14ac:dyDescent="0.25">
      <c r="B421" s="7">
        <f t="shared" si="86"/>
        <v>116.76000000000039</v>
      </c>
      <c r="C421" s="9">
        <f t="shared" si="88"/>
        <v>-91.324183112475907</v>
      </c>
      <c r="D421" s="10">
        <f t="shared" si="87"/>
        <v>0.47817297156370053</v>
      </c>
      <c r="E421" s="10">
        <f t="shared" si="81"/>
        <v>0.47662219929576694</v>
      </c>
      <c r="F421" s="10">
        <f t="shared" si="82"/>
        <v>0.47667116079772204</v>
      </c>
      <c r="G421" s="10">
        <f t="shared" si="83"/>
        <v>0.47512650084038921</v>
      </c>
      <c r="H421" s="9">
        <f t="shared" si="84"/>
        <v>-91.190721756821659</v>
      </c>
      <c r="I421" s="8">
        <f t="shared" si="89"/>
        <v>15818.299333311179</v>
      </c>
      <c r="J421" s="9">
        <f t="shared" si="90"/>
        <v>-91.324183112475907</v>
      </c>
      <c r="K421" s="9">
        <f t="shared" si="91"/>
        <v>-91.190721756821659</v>
      </c>
      <c r="L421" s="8">
        <f t="shared" si="85"/>
        <v>15792.747246629477</v>
      </c>
      <c r="N421" s="16">
        <f t="shared" si="92"/>
        <v>2.9043363742686581</v>
      </c>
    </row>
    <row r="422" spans="2:14" x14ac:dyDescent="0.25">
      <c r="B422" s="7">
        <f t="shared" si="86"/>
        <v>117.04000000000039</v>
      </c>
      <c r="C422" s="9">
        <f t="shared" si="88"/>
        <v>-91.190721756821659</v>
      </c>
      <c r="D422" s="10">
        <f t="shared" si="87"/>
        <v>0.47512798369106402</v>
      </c>
      <c r="E422" s="10">
        <f t="shared" si="81"/>
        <v>0.4735939633977102</v>
      </c>
      <c r="F422" s="10">
        <f t="shared" si="82"/>
        <v>0.47364245236169522</v>
      </c>
      <c r="G422" s="10">
        <f t="shared" si="83"/>
        <v>0.47211441370562207</v>
      </c>
      <c r="H422" s="9">
        <f t="shared" si="84"/>
        <v>-91.058108379472273</v>
      </c>
      <c r="I422" s="8">
        <f t="shared" si="89"/>
        <v>15792.747246629477</v>
      </c>
      <c r="J422" s="9">
        <f t="shared" si="90"/>
        <v>-91.190721756821659</v>
      </c>
      <c r="K422" s="9">
        <f t="shared" si="91"/>
        <v>-91.058108379472273</v>
      </c>
      <c r="L422" s="8">
        <f t="shared" si="85"/>
        <v>15767.232410410395</v>
      </c>
      <c r="N422" s="16">
        <f t="shared" si="92"/>
        <v>2.9119817120294931</v>
      </c>
    </row>
    <row r="423" spans="2:14" x14ac:dyDescent="0.25">
      <c r="B423" s="7">
        <f t="shared" si="86"/>
        <v>117.32000000000039</v>
      </c>
      <c r="C423" s="9">
        <f t="shared" si="88"/>
        <v>-91.058108379472273</v>
      </c>
      <c r="D423" s="10">
        <f t="shared" si="87"/>
        <v>0.47211588470484706</v>
      </c>
      <c r="E423" s="10">
        <f t="shared" si="81"/>
        <v>0.47059831825017556</v>
      </c>
      <c r="F423" s="10">
        <f t="shared" si="82"/>
        <v>0.47064634275066247</v>
      </c>
      <c r="G423" s="10">
        <f t="shared" si="83"/>
        <v>0.46913463091045271</v>
      </c>
      <c r="H423" s="9">
        <f t="shared" si="84"/>
        <v>-90.926333853716812</v>
      </c>
      <c r="I423" s="8">
        <f t="shared" si="89"/>
        <v>15767.232410410395</v>
      </c>
      <c r="J423" s="9">
        <f t="shared" si="90"/>
        <v>-91.058108379472273</v>
      </c>
      <c r="K423" s="9">
        <f t="shared" si="91"/>
        <v>-90.926333853716812</v>
      </c>
      <c r="L423" s="8">
        <f t="shared" si="85"/>
        <v>15741.75458849775</v>
      </c>
      <c r="N423" s="16">
        <f t="shared" si="92"/>
        <v>2.9196143873412956</v>
      </c>
    </row>
    <row r="424" spans="2:14" x14ac:dyDescent="0.25">
      <c r="B424" s="7">
        <f t="shared" si="86"/>
        <v>117.60000000000039</v>
      </c>
      <c r="C424" s="9">
        <f t="shared" si="88"/>
        <v>-90.926333853716812</v>
      </c>
      <c r="D424" s="10">
        <f t="shared" si="87"/>
        <v>0.46913609024006686</v>
      </c>
      <c r="E424" s="10">
        <f t="shared" si="81"/>
        <v>0.46763468735768082</v>
      </c>
      <c r="F424" s="10">
        <f t="shared" si="82"/>
        <v>0.46768225525677298</v>
      </c>
      <c r="G424" s="10">
        <f t="shared" si="83"/>
        <v>0.46618658348829994</v>
      </c>
      <c r="H424" s="9">
        <f t="shared" si="84"/>
        <v>-90.795389214298808</v>
      </c>
      <c r="I424" s="8">
        <f t="shared" si="89"/>
        <v>15741.75458849775</v>
      </c>
      <c r="J424" s="9">
        <f t="shared" si="90"/>
        <v>-90.926333853716812</v>
      </c>
      <c r="K424" s="9">
        <f t="shared" si="91"/>
        <v>-90.795389214298808</v>
      </c>
      <c r="L424" s="8">
        <f t="shared" si="85"/>
        <v>15716.313547268228</v>
      </c>
      <c r="N424" s="16">
        <f t="shared" si="92"/>
        <v>2.927234422901801</v>
      </c>
    </row>
    <row r="425" spans="2:14" x14ac:dyDescent="0.25">
      <c r="B425" s="7">
        <f t="shared" si="86"/>
        <v>117.88000000000039</v>
      </c>
      <c r="C425" s="9">
        <f t="shared" si="88"/>
        <v>-90.795389214298808</v>
      </c>
      <c r="D425" s="10">
        <f t="shared" si="87"/>
        <v>0.46618803132561393</v>
      </c>
      <c r="E425" s="10">
        <f t="shared" si="81"/>
        <v>0.46470250934800422</v>
      </c>
      <c r="F425" s="10">
        <f t="shared" si="82"/>
        <v>0.46474962830274374</v>
      </c>
      <c r="G425" s="10">
        <f t="shared" si="83"/>
        <v>0.46326971733755939</v>
      </c>
      <c r="H425" s="9">
        <f t="shared" si="84"/>
        <v>-90.665265653180455</v>
      </c>
      <c r="I425" s="8">
        <f t="shared" si="89"/>
        <v>15716.313547268228</v>
      </c>
      <c r="J425" s="9">
        <f t="shared" si="90"/>
        <v>-90.795389214298808</v>
      </c>
      <c r="K425" s="9">
        <f t="shared" si="91"/>
        <v>-90.665265653180455</v>
      </c>
      <c r="L425" s="8">
        <f t="shared" si="85"/>
        <v>15690.909055586781</v>
      </c>
      <c r="N425" s="16">
        <f t="shared" si="92"/>
        <v>2.9348418410587205</v>
      </c>
    </row>
    <row r="426" spans="2:14" x14ac:dyDescent="0.25">
      <c r="B426" s="7">
        <f t="shared" si="86"/>
        <v>118.16000000000039</v>
      </c>
      <c r="C426" s="9">
        <f t="shared" si="88"/>
        <v>-90.665265653180455</v>
      </c>
      <c r="D426" s="10">
        <f t="shared" si="87"/>
        <v>0.4632711538555237</v>
      </c>
      <c r="E426" s="10">
        <f t="shared" si="81"/>
        <v>0.46180123745404411</v>
      </c>
      <c r="F426" s="10">
        <f t="shared" si="82"/>
        <v>0.46184791492341998</v>
      </c>
      <c r="G426" s="10">
        <f t="shared" si="83"/>
        <v>0.46038349271362616</v>
      </c>
      <c r="H426" s="9">
        <f t="shared" si="84"/>
        <v>-90.535954515452005</v>
      </c>
      <c r="I426" s="8">
        <f t="shared" si="89"/>
        <v>15690.909055586781</v>
      </c>
      <c r="J426" s="9">
        <f t="shared" si="90"/>
        <v>-90.665265653180455</v>
      </c>
      <c r="K426" s="9">
        <f t="shared" si="91"/>
        <v>-90.535954515452005</v>
      </c>
      <c r="L426" s="8">
        <f t="shared" si="85"/>
        <v>15665.540884763172</v>
      </c>
      <c r="N426" s="16">
        <f t="shared" si="92"/>
        <v>2.9424366638173787</v>
      </c>
    </row>
    <row r="427" spans="2:14" x14ac:dyDescent="0.25">
      <c r="B427" s="7">
        <f t="shared" si="86"/>
        <v>118.4400000000004</v>
      </c>
      <c r="C427" s="9">
        <f t="shared" si="88"/>
        <v>-90.535954515452005</v>
      </c>
      <c r="D427" s="10">
        <f t="shared" si="87"/>
        <v>0.46038491808096449</v>
      </c>
      <c r="E427" s="10">
        <f t="shared" si="81"/>
        <v>0.45893033901596647</v>
      </c>
      <c r="F427" s="10">
        <f t="shared" si="82"/>
        <v>0.45897658226767873</v>
      </c>
      <c r="G427" s="10">
        <f t="shared" si="83"/>
        <v>0.45752738374071134</v>
      </c>
      <c r="H427" s="9">
        <f t="shared" si="84"/>
        <v>-90.407447295380521</v>
      </c>
      <c r="I427" s="8">
        <f t="shared" si="89"/>
        <v>15665.540884763172</v>
      </c>
      <c r="J427" s="9">
        <f t="shared" si="90"/>
        <v>-90.535954515452005</v>
      </c>
      <c r="K427" s="9">
        <f t="shared" si="91"/>
        <v>-90.407447295380521</v>
      </c>
      <c r="L427" s="8">
        <f t="shared" si="85"/>
        <v>15640.208808509655</v>
      </c>
      <c r="N427" s="16">
        <f t="shared" si="92"/>
        <v>2.9500189128481034</v>
      </c>
    </row>
    <row r="428" spans="2:14" x14ac:dyDescent="0.25">
      <c r="B428" s="7">
        <f t="shared" si="86"/>
        <v>118.7200000000004</v>
      </c>
      <c r="C428" s="9">
        <f t="shared" si="88"/>
        <v>-90.407447295380521</v>
      </c>
      <c r="D428" s="10">
        <f t="shared" si="87"/>
        <v>0.45752879812206204</v>
      </c>
      <c r="E428" s="10">
        <f t="shared" si="81"/>
        <v>0.45608929500281686</v>
      </c>
      <c r="F428" s="10">
        <f t="shared" si="82"/>
        <v>0.45613511111975091</v>
      </c>
      <c r="G428" s="10">
        <f t="shared" si="83"/>
        <v>0.45470087794277064</v>
      </c>
      <c r="H428" s="9">
        <f t="shared" si="84"/>
        <v>-90.279735632592718</v>
      </c>
      <c r="I428" s="8">
        <f t="shared" si="89"/>
        <v>15640.208808509655</v>
      </c>
      <c r="J428" s="9">
        <f t="shared" si="90"/>
        <v>-90.407447295380521</v>
      </c>
      <c r="K428" s="9">
        <f t="shared" si="91"/>
        <v>-90.279735632592718</v>
      </c>
      <c r="L428" s="8">
        <f t="shared" si="85"/>
        <v>15614.912602899738</v>
      </c>
      <c r="N428" s="16">
        <f t="shared" si="92"/>
        <v>2.9575886094933757</v>
      </c>
    </row>
    <row r="429" spans="2:14" x14ac:dyDescent="0.25">
      <c r="B429" s="7">
        <f t="shared" si="86"/>
        <v>119.0000000000004</v>
      </c>
      <c r="C429" s="9">
        <f t="shared" si="88"/>
        <v>-90.279735632592718</v>
      </c>
      <c r="D429" s="10">
        <f t="shared" si="87"/>
        <v>0.45470228149881736</v>
      </c>
      <c r="E429" s="10">
        <f t="shared" si="81"/>
        <v>0.45327759955277724</v>
      </c>
      <c r="F429" s="10">
        <f t="shared" si="82"/>
        <v>0.45332299543922933</v>
      </c>
      <c r="G429" s="10">
        <f t="shared" si="83"/>
        <v>0.45190347579268247</v>
      </c>
      <c r="H429" s="9">
        <f t="shared" si="84"/>
        <v>-90.152811308386532</v>
      </c>
      <c r="I429" s="8">
        <f t="shared" si="89"/>
        <v>15614.912602899738</v>
      </c>
      <c r="J429" s="9">
        <f t="shared" si="90"/>
        <v>-90.279735632592718</v>
      </c>
      <c r="K429" s="9">
        <f t="shared" si="91"/>
        <v>-90.152811308386532</v>
      </c>
      <c r="L429" s="8">
        <f t="shared" si="85"/>
        <v>15589.652046328001</v>
      </c>
      <c r="N429" s="16">
        <f t="shared" si="92"/>
        <v>2.9651457747747583</v>
      </c>
    </row>
    <row r="430" spans="2:14" x14ac:dyDescent="0.25">
      <c r="B430" s="7">
        <f t="shared" si="86"/>
        <v>119.2800000000004</v>
      </c>
      <c r="C430" s="9">
        <f t="shared" si="88"/>
        <v>-90.152811308386532</v>
      </c>
      <c r="D430" s="10">
        <f t="shared" si="87"/>
        <v>0.45190486868029578</v>
      </c>
      <c r="E430" s="10">
        <f t="shared" si="81"/>
        <v>0.45049475953133583</v>
      </c>
      <c r="F430" s="10">
        <f t="shared" si="82"/>
        <v>0.45053974191902607</v>
      </c>
      <c r="G430" s="10">
        <f t="shared" si="83"/>
        <v>0.44913469027897929</v>
      </c>
      <c r="H430" s="9">
        <f t="shared" si="84"/>
        <v>-90.026666242166399</v>
      </c>
      <c r="I430" s="8">
        <f t="shared" si="89"/>
        <v>15589.652046328001</v>
      </c>
      <c r="J430" s="9">
        <f t="shared" si="90"/>
        <v>-90.152811308386532</v>
      </c>
      <c r="K430" s="9">
        <f t="shared" si="91"/>
        <v>-90.026666242166399</v>
      </c>
      <c r="L430" s="8">
        <f t="shared" si="85"/>
        <v>15564.426919470923</v>
      </c>
      <c r="N430" s="16">
        <f t="shared" si="92"/>
        <v>2.9726904293996053</v>
      </c>
    </row>
    <row r="431" spans="2:14" x14ac:dyDescent="0.25">
      <c r="B431" s="7">
        <f t="shared" si="86"/>
        <v>119.5600000000004</v>
      </c>
      <c r="C431" s="9">
        <f t="shared" si="88"/>
        <v>-90.026666242166399</v>
      </c>
      <c r="D431" s="10">
        <f t="shared" si="87"/>
        <v>0.44913607265132954</v>
      </c>
      <c r="E431" s="10">
        <f t="shared" si="81"/>
        <v>0.4477402941066041</v>
      </c>
      <c r="F431" s="10">
        <f t="shared" si="82"/>
        <v>0.44778486956043062</v>
      </c>
      <c r="G431" s="10">
        <f t="shared" si="83"/>
        <v>0.44639404648939407</v>
      </c>
      <c r="H431" s="9">
        <f t="shared" si="84"/>
        <v>-89.90129248799758</v>
      </c>
      <c r="I431" s="8">
        <f t="shared" si="89"/>
        <v>15564.426919470923</v>
      </c>
      <c r="J431" s="9">
        <f t="shared" si="90"/>
        <v>-90.026666242166399</v>
      </c>
      <c r="K431" s="9">
        <f t="shared" si="91"/>
        <v>-89.90129248799758</v>
      </c>
      <c r="L431" s="8">
        <f t="shared" si="85"/>
        <v>15539.2370052487</v>
      </c>
      <c r="N431" s="16">
        <f t="shared" si="92"/>
        <v>2.9802225937675595</v>
      </c>
    </row>
    <row r="432" spans="2:14" x14ac:dyDescent="0.25">
      <c r="B432" s="7">
        <f t="shared" si="86"/>
        <v>119.8400000000004</v>
      </c>
      <c r="C432" s="9">
        <f t="shared" si="88"/>
        <v>-89.90129248799758</v>
      </c>
      <c r="D432" s="10">
        <f t="shared" si="87"/>
        <v>0.4463954184960654</v>
      </c>
      <c r="E432" s="10">
        <f t="shared" si="81"/>
        <v>0.44501373434112201</v>
      </c>
      <c r="F432" s="10">
        <f t="shared" si="82"/>
        <v>0.44505790926471528</v>
      </c>
      <c r="G432" s="10">
        <f t="shared" si="83"/>
        <v>0.44368108121050076</v>
      </c>
      <c r="H432" s="9">
        <f t="shared" si="84"/>
        <v>-89.776682231274734</v>
      </c>
      <c r="I432" s="8">
        <f t="shared" si="89"/>
        <v>15539.2370052487</v>
      </c>
      <c r="J432" s="9">
        <f t="shared" si="90"/>
        <v>-89.90129248799758</v>
      </c>
      <c r="K432" s="9">
        <f t="shared" si="91"/>
        <v>-89.776682231274734</v>
      </c>
      <c r="L432" s="8">
        <f t="shared" si="85"/>
        <v>15514.082088788002</v>
      </c>
      <c r="N432" s="16">
        <f t="shared" si="92"/>
        <v>2.9877422879768494</v>
      </c>
    </row>
    <row r="433" spans="2:14" x14ac:dyDescent="0.25">
      <c r="B433" s="7">
        <f t="shared" si="86"/>
        <v>120.1200000000004</v>
      </c>
      <c r="C433" s="9">
        <f t="shared" si="88"/>
        <v>-89.776682231274734</v>
      </c>
      <c r="D433" s="10">
        <f t="shared" si="87"/>
        <v>0.44368244299763343</v>
      </c>
      <c r="E433" s="10">
        <f t="shared" si="81"/>
        <v>0.44231462279944611</v>
      </c>
      <c r="F433" s="10">
        <f t="shared" si="82"/>
        <v>0.44235840344049115</v>
      </c>
      <c r="G433" s="10">
        <f t="shared" si="83"/>
        <v>0.44099534254292244</v>
      </c>
      <c r="H433" s="9">
        <f t="shared" si="84"/>
        <v>-89.652827785500449</v>
      </c>
      <c r="I433" s="8">
        <f t="shared" si="89"/>
        <v>15514.082088788002</v>
      </c>
      <c r="J433" s="9">
        <f t="shared" si="90"/>
        <v>-89.776682231274734</v>
      </c>
      <c r="K433" s="9">
        <f t="shared" si="91"/>
        <v>-89.652827785500449</v>
      </c>
      <c r="L433" s="8">
        <f t="shared" si="85"/>
        <v>15488.961957385653</v>
      </c>
      <c r="N433" s="16">
        <f t="shared" si="92"/>
        <v>2.9952495318303942</v>
      </c>
    </row>
    <row r="434" spans="2:14" x14ac:dyDescent="0.25">
      <c r="B434" s="7">
        <f t="shared" si="86"/>
        <v>120.4000000000004</v>
      </c>
      <c r="C434" s="9">
        <f t="shared" si="88"/>
        <v>-89.652827785500449</v>
      </c>
      <c r="D434" s="10">
        <f t="shared" si="87"/>
        <v>0.44099669425328092</v>
      </c>
      <c r="E434" s="10">
        <f t="shared" si="81"/>
        <v>0.4396425131708917</v>
      </c>
      <c r="F434" s="10">
        <f t="shared" si="82"/>
        <v>0.43968590562625115</v>
      </c>
      <c r="G434" s="10">
        <f t="shared" si="83"/>
        <v>0.43833638953123583</v>
      </c>
      <c r="H434" s="9">
        <f t="shared" si="84"/>
        <v>-89.529721589169441</v>
      </c>
      <c r="I434" s="8">
        <f t="shared" si="89"/>
        <v>15488.961957385653</v>
      </c>
      <c r="J434" s="9">
        <f t="shared" si="90"/>
        <v>-89.652827785500449</v>
      </c>
      <c r="K434" s="9">
        <f t="shared" si="91"/>
        <v>-89.529721589169441</v>
      </c>
      <c r="L434" s="8">
        <f t="shared" si="85"/>
        <v>15463.876400473198</v>
      </c>
      <c r="N434" s="16">
        <f t="shared" si="92"/>
        <v>3.0027443448417181</v>
      </c>
    </row>
    <row r="435" spans="2:14" x14ac:dyDescent="0.25">
      <c r="B435" s="7">
        <f t="shared" si="86"/>
        <v>120.6800000000004</v>
      </c>
      <c r="C435" s="9">
        <f t="shared" si="88"/>
        <v>-89.529721589169441</v>
      </c>
      <c r="D435" s="10">
        <f t="shared" si="87"/>
        <v>0.43833773130435755</v>
      </c>
      <c r="E435" s="10">
        <f t="shared" si="81"/>
        <v>0.43699696990679465</v>
      </c>
      <c r="F435" s="10">
        <f t="shared" si="82"/>
        <v>0.43703998012745282</v>
      </c>
      <c r="G435" s="10">
        <f t="shared" si="83"/>
        <v>0.4357037918082583</v>
      </c>
      <c r="H435" s="9">
        <f t="shared" si="84"/>
        <v>-89.407356202754329</v>
      </c>
      <c r="I435" s="8">
        <f t="shared" si="89"/>
        <v>15463.876400473198</v>
      </c>
      <c r="J435" s="9">
        <f t="shared" si="90"/>
        <v>-89.529721589169441</v>
      </c>
      <c r="K435" s="9">
        <f t="shared" si="91"/>
        <v>-89.407356202754329</v>
      </c>
      <c r="L435" s="8">
        <f t="shared" si="85"/>
        <v>15438.825209582328</v>
      </c>
      <c r="N435" s="16">
        <f t="shared" si="92"/>
        <v>3.0102267462406878</v>
      </c>
    </row>
    <row r="436" spans="2:14" x14ac:dyDescent="0.25">
      <c r="B436" s="7">
        <f t="shared" si="86"/>
        <v>120.96000000000041</v>
      </c>
      <c r="C436" s="9">
        <f t="shared" si="88"/>
        <v>-89.407356202754329</v>
      </c>
      <c r="D436" s="10">
        <f t="shared" si="87"/>
        <v>0.43570512378053511</v>
      </c>
      <c r="E436" s="10">
        <f t="shared" si="81"/>
        <v>0.434377567871707</v>
      </c>
      <c r="F436" s="10">
        <f t="shared" si="82"/>
        <v>0.43442020166751227</v>
      </c>
      <c r="G436" s="10">
        <f t="shared" si="83"/>
        <v>0.4330971292528657</v>
      </c>
      <c r="H436" s="9">
        <f t="shared" si="84"/>
        <v>-89.285724305789117</v>
      </c>
      <c r="I436" s="8">
        <f t="shared" si="89"/>
        <v>15438.825209582328</v>
      </c>
      <c r="J436" s="9">
        <f t="shared" si="90"/>
        <v>-89.407356202754329</v>
      </c>
      <c r="K436" s="9">
        <f t="shared" si="91"/>
        <v>-89.285724305789117</v>
      </c>
      <c r="L436" s="8">
        <f t="shared" si="85"/>
        <v>15413.808178311132</v>
      </c>
      <c r="N436" s="16">
        <f t="shared" si="92"/>
        <v>3.0176967549790787</v>
      </c>
    </row>
    <row r="437" spans="2:14" x14ac:dyDescent="0.25">
      <c r="B437" s="7">
        <f t="shared" si="86"/>
        <v>121.24000000000041</v>
      </c>
      <c r="C437" s="9">
        <f t="shared" si="88"/>
        <v>-89.285724305789117</v>
      </c>
      <c r="D437" s="10">
        <f t="shared" si="87"/>
        <v>0.43309845155763621</v>
      </c>
      <c r="E437" s="10">
        <f t="shared" si="81"/>
        <v>0.43178389200797762</v>
      </c>
      <c r="F437" s="10">
        <f t="shared" si="82"/>
        <v>0.43182615505218847</v>
      </c>
      <c r="G437" s="10">
        <f t="shared" si="83"/>
        <v>0.43051599166096288</v>
      </c>
      <c r="H437" s="9">
        <f t="shared" si="84"/>
        <v>-89.16481869404663</v>
      </c>
      <c r="I437" s="8">
        <f t="shared" si="89"/>
        <v>15413.808178311132</v>
      </c>
      <c r="J437" s="9">
        <f t="shared" si="90"/>
        <v>-89.285724305789117</v>
      </c>
      <c r="K437" s="9">
        <f t="shared" si="91"/>
        <v>-89.16481869404663</v>
      </c>
      <c r="L437" s="8">
        <f t="shared" si="85"/>
        <v>15388.825102291155</v>
      </c>
      <c r="N437" s="16">
        <f t="shared" si="92"/>
        <v>3.0251543897359641</v>
      </c>
    </row>
    <row r="438" spans="2:14" x14ac:dyDescent="0.25">
      <c r="B438" s="7">
        <f t="shared" si="86"/>
        <v>121.52000000000041</v>
      </c>
      <c r="C438" s="9">
        <f t="shared" si="88"/>
        <v>-89.16481869404663</v>
      </c>
      <c r="D438" s="10">
        <f t="shared" si="87"/>
        <v>0.43051730442862324</v>
      </c>
      <c r="E438" s="10">
        <f t="shared" si="81"/>
        <v>0.42921553701310899</v>
      </c>
      <c r="F438" s="10">
        <f t="shared" si="82"/>
        <v>0.42925743484680412</v>
      </c>
      <c r="G438" s="10">
        <f t="shared" si="83"/>
        <v>0.42795997842899314</v>
      </c>
      <c r="H438" s="9">
        <f t="shared" si="84"/>
        <v>-89.044632276806354</v>
      </c>
      <c r="I438" s="8">
        <f t="shared" si="89"/>
        <v>15388.825102291155</v>
      </c>
      <c r="J438" s="9">
        <f t="shared" si="90"/>
        <v>-89.16481869404663</v>
      </c>
      <c r="K438" s="9">
        <f t="shared" si="91"/>
        <v>-89.044632276806354</v>
      </c>
      <c r="L438" s="8">
        <f t="shared" si="85"/>
        <v>15363.875779155236</v>
      </c>
      <c r="N438" s="16">
        <f t="shared" si="92"/>
        <v>3.0325996689229613</v>
      </c>
    </row>
    <row r="439" spans="2:14" x14ac:dyDescent="0.25">
      <c r="B439" s="7">
        <f t="shared" si="86"/>
        <v>121.80000000000041</v>
      </c>
      <c r="C439" s="9">
        <f t="shared" si="88"/>
        <v>-89.044632276806354</v>
      </c>
      <c r="D439" s="10">
        <f t="shared" si="87"/>
        <v>0.42796128178709292</v>
      </c>
      <c r="E439" s="10">
        <f t="shared" si="81"/>
        <v>0.4266721070294599</v>
      </c>
      <c r="F439" s="10">
        <f t="shared" si="82"/>
        <v>0.42671364506575132</v>
      </c>
      <c r="G439" s="10">
        <f t="shared" si="83"/>
        <v>0.42542869824950186</v>
      </c>
      <c r="H439" s="9">
        <f t="shared" si="84"/>
        <v>-88.925158074209094</v>
      </c>
      <c r="I439" s="8">
        <f t="shared" si="89"/>
        <v>15363.875779155236</v>
      </c>
      <c r="J439" s="9">
        <f t="shared" si="90"/>
        <v>-89.044632276806354</v>
      </c>
      <c r="K439" s="9">
        <f t="shared" si="91"/>
        <v>-88.925158074209094</v>
      </c>
      <c r="L439" s="8">
        <f t="shared" si="85"/>
        <v>15338.960008506094</v>
      </c>
      <c r="N439" s="16">
        <f t="shared" si="92"/>
        <v>3.040032610689309</v>
      </c>
    </row>
    <row r="440" spans="2:14" x14ac:dyDescent="0.25">
      <c r="B440" s="7">
        <f t="shared" si="86"/>
        <v>122.08000000000041</v>
      </c>
      <c r="C440" s="9">
        <f t="shared" si="88"/>
        <v>-88.925158074209094</v>
      </c>
      <c r="D440" s="10">
        <f t="shared" si="87"/>
        <v>0.4254299923228051</v>
      </c>
      <c r="E440" s="10">
        <f t="shared" si="81"/>
        <v>0.42415321534567652</v>
      </c>
      <c r="F440" s="10">
        <f t="shared" si="82"/>
        <v>0.42419439887377158</v>
      </c>
      <c r="G440" s="10">
        <f t="shared" si="83"/>
        <v>0.42292176881821236</v>
      </c>
      <c r="H440" s="9">
        <f t="shared" si="84"/>
        <v>-88.806389214695358</v>
      </c>
      <c r="I440" s="8">
        <f t="shared" si="89"/>
        <v>15338.960008506094</v>
      </c>
      <c r="J440" s="9">
        <f t="shared" si="90"/>
        <v>-88.925158074209094</v>
      </c>
      <c r="K440" s="9">
        <f t="shared" si="91"/>
        <v>-88.806389214695358</v>
      </c>
      <c r="L440" s="8">
        <f t="shared" si="85"/>
        <v>15314.077591885647</v>
      </c>
      <c r="N440" s="16">
        <f t="shared" si="92"/>
        <v>3.0474532329267983</v>
      </c>
    </row>
    <row r="441" spans="2:14" x14ac:dyDescent="0.25">
      <c r="B441" s="7">
        <f t="shared" si="86"/>
        <v>122.36000000000041</v>
      </c>
      <c r="C441" s="9">
        <f t="shared" si="88"/>
        <v>-88.806389214695358</v>
      </c>
      <c r="D441" s="10">
        <f t="shared" si="87"/>
        <v>0.42292305372880684</v>
      </c>
      <c r="E441" s="10">
        <f t="shared" si="81"/>
        <v>0.4216584841094787</v>
      </c>
      <c r="F441" s="10">
        <f t="shared" si="82"/>
        <v>0.42169931829859214</v>
      </c>
      <c r="G441" s="10">
        <f t="shared" si="83"/>
        <v>0.42043881655220916</v>
      </c>
      <c r="H441" s="9">
        <f t="shared" si="84"/>
        <v>-88.688318932524155</v>
      </c>
      <c r="I441" s="8">
        <f t="shared" si="89"/>
        <v>15314.077591885647</v>
      </c>
      <c r="J441" s="9">
        <f t="shared" si="90"/>
        <v>-88.806389214695358</v>
      </c>
      <c r="K441" s="9">
        <f t="shared" si="91"/>
        <v>-88.688318932524155</v>
      </c>
      <c r="L441" s="8">
        <f t="shared" si="85"/>
        <v>15289.228332745037</v>
      </c>
      <c r="N441" s="16">
        <f t="shared" si="92"/>
        <v>3.0548615532745687</v>
      </c>
    </row>
    <row r="442" spans="2:14" x14ac:dyDescent="0.25">
      <c r="B442" s="7">
        <f t="shared" si="86"/>
        <v>122.64000000000041</v>
      </c>
      <c r="C442" s="9">
        <f t="shared" si="88"/>
        <v>-88.688318932524155</v>
      </c>
      <c r="D442" s="10">
        <f t="shared" si="87"/>
        <v>0.42044009241958819</v>
      </c>
      <c r="E442" s="10">
        <f t="shared" si="81"/>
        <v>0.41918754405126851</v>
      </c>
      <c r="F442" s="10">
        <f t="shared" si="82"/>
        <v>0.41922803395438923</v>
      </c>
      <c r="G442" s="10">
        <f t="shared" si="83"/>
        <v>0.41797947631875682</v>
      </c>
      <c r="H442" s="9">
        <f t="shared" si="84"/>
        <v>-88.57094056536917</v>
      </c>
      <c r="I442" s="8">
        <f t="shared" si="89"/>
        <v>15289.228332745037</v>
      </c>
      <c r="J442" s="9">
        <f t="shared" si="90"/>
        <v>-88.688318932524155</v>
      </c>
      <c r="K442" s="9">
        <f t="shared" si="91"/>
        <v>-88.57094056536917</v>
      </c>
      <c r="L442" s="8">
        <f t="shared" si="85"/>
        <v>15264.412036415331</v>
      </c>
      <c r="N442" s="16">
        <f t="shared" si="92"/>
        <v>3.0622575891237545</v>
      </c>
    </row>
    <row r="443" spans="2:14" x14ac:dyDescent="0.25">
      <c r="B443" s="7">
        <f t="shared" si="86"/>
        <v>122.92000000000041</v>
      </c>
      <c r="C443" s="9">
        <f t="shared" si="88"/>
        <v>-88.57094056536917</v>
      </c>
      <c r="D443" s="10">
        <f t="shared" si="87"/>
        <v>0.41798074325987983</v>
      </c>
      <c r="E443" s="10">
        <f t="shared" si="81"/>
        <v>0.4167400342181406</v>
      </c>
      <c r="F443" s="10">
        <f t="shared" si="82"/>
        <v>0.41678018477564976</v>
      </c>
      <c r="G443" s="10">
        <f t="shared" si="83"/>
        <v>0.41554339117426348</v>
      </c>
      <c r="H443" s="9">
        <f t="shared" si="84"/>
        <v>-88.454247551989496</v>
      </c>
      <c r="I443" s="8">
        <f t="shared" si="89"/>
        <v>15264.412036415331</v>
      </c>
      <c r="J443" s="9">
        <f t="shared" si="90"/>
        <v>-88.57094056536917</v>
      </c>
      <c r="K443" s="9">
        <f t="shared" si="91"/>
        <v>-88.454247551989496</v>
      </c>
      <c r="L443" s="8">
        <f t="shared" si="85"/>
        <v>15239.628510078901</v>
      </c>
      <c r="N443" s="16">
        <f t="shared" si="92"/>
        <v>3.0696413576220065</v>
      </c>
    </row>
    <row r="444" spans="2:14" x14ac:dyDescent="0.25">
      <c r="B444" s="7">
        <f t="shared" si="86"/>
        <v>123.20000000000041</v>
      </c>
      <c r="C444" s="9">
        <f t="shared" si="88"/>
        <v>-88.454247551989496</v>
      </c>
      <c r="D444" s="10">
        <f t="shared" si="87"/>
        <v>0.41554464930365054</v>
      </c>
      <c r="E444" s="10">
        <f t="shared" si="81"/>
        <v>0.41431560171787651</v>
      </c>
      <c r="F444" s="10">
        <f t="shared" si="82"/>
        <v>0.41435541776103918</v>
      </c>
      <c r="G444" s="10">
        <f t="shared" si="83"/>
        <v>0.41313021211304551</v>
      </c>
      <c r="H444" s="9">
        <f t="shared" si="84"/>
        <v>-88.338233429972021</v>
      </c>
      <c r="I444" s="8">
        <f t="shared" si="89"/>
        <v>15239.628510078901</v>
      </c>
      <c r="J444" s="9">
        <f t="shared" si="90"/>
        <v>-88.454247551989496</v>
      </c>
      <c r="K444" s="9">
        <f t="shared" si="91"/>
        <v>-88.338233429972021</v>
      </c>
      <c r="L444" s="8">
        <f t="shared" si="85"/>
        <v>15214.877562741427</v>
      </c>
      <c r="N444" s="16">
        <f t="shared" si="92"/>
        <v>3.0770128756778856</v>
      </c>
    </row>
    <row r="445" spans="2:14" x14ac:dyDescent="0.25">
      <c r="B445" s="7">
        <f t="shared" si="86"/>
        <v>123.48000000000042</v>
      </c>
      <c r="C445" s="9">
        <f t="shared" si="88"/>
        <v>-88.338233429972021</v>
      </c>
      <c r="D445" s="10">
        <f t="shared" si="87"/>
        <v>0.41313146154283814</v>
      </c>
      <c r="E445" s="10">
        <f t="shared" si="81"/>
        <v>0.41191390147248752</v>
      </c>
      <c r="F445" s="10">
        <f t="shared" si="82"/>
        <v>0.41195338772680079</v>
      </c>
      <c r="G445" s="10">
        <f t="shared" si="83"/>
        <v>0.4107395978254661</v>
      </c>
      <c r="H445" s="9">
        <f t="shared" si="84"/>
        <v>-88.222891833542903</v>
      </c>
      <c r="I445" s="8">
        <f t="shared" si="89"/>
        <v>15214.877562741427</v>
      </c>
      <c r="J445" s="9">
        <f t="shared" si="90"/>
        <v>-88.338233429972021</v>
      </c>
      <c r="K445" s="9">
        <f t="shared" si="91"/>
        <v>-88.222891833542903</v>
      </c>
      <c r="L445" s="8">
        <f t="shared" si="85"/>
        <v>15190.159005204536</v>
      </c>
      <c r="N445" s="16">
        <f t="shared" si="92"/>
        <v>3.0843721599651235</v>
      </c>
    </row>
    <row r="446" spans="2:14" x14ac:dyDescent="0.25">
      <c r="B446" s="7">
        <f t="shared" si="86"/>
        <v>123.76000000000042</v>
      </c>
      <c r="C446" s="9">
        <f t="shared" si="88"/>
        <v>-88.222891833542903</v>
      </c>
      <c r="D446" s="10">
        <f t="shared" si="87"/>
        <v>0.41074083866550309</v>
      </c>
      <c r="E446" s="10">
        <f t="shared" si="81"/>
        <v>0.40953459598096476</v>
      </c>
      <c r="F446" s="10">
        <f t="shared" si="82"/>
        <v>0.4095737570694038</v>
      </c>
      <c r="G446" s="10">
        <f t="shared" si="83"/>
        <v>0.4083712144650446</v>
      </c>
      <c r="H446" s="9">
        <f t="shared" si="84"/>
        <v>-88.108216491445447</v>
      </c>
      <c r="I446" s="8">
        <f t="shared" si="89"/>
        <v>15190.159005204536</v>
      </c>
      <c r="J446" s="9">
        <f t="shared" si="90"/>
        <v>-88.222891833542903</v>
      </c>
      <c r="K446" s="9">
        <f t="shared" si="91"/>
        <v>-88.108216491445447</v>
      </c>
      <c r="L446" s="8">
        <f t="shared" si="85"/>
        <v>15165.472650039037</v>
      </c>
      <c r="N446" s="16">
        <f t="shared" si="92"/>
        <v>3.0917192269267759</v>
      </c>
    </row>
    <row r="447" spans="2:14" x14ac:dyDescent="0.25">
      <c r="B447" s="7">
        <f t="shared" si="86"/>
        <v>124.04000000000042</v>
      </c>
      <c r="C447" s="9">
        <f t="shared" si="88"/>
        <v>-88.108216491445447</v>
      </c>
      <c r="D447" s="10">
        <f t="shared" si="87"/>
        <v>0.40837244682294183</v>
      </c>
      <c r="E447" s="10">
        <f t="shared" si="81"/>
        <v>0.40717735509081365</v>
      </c>
      <c r="F447" s="10">
        <f t="shared" si="82"/>
        <v>0.40721619553692923</v>
      </c>
      <c r="G447" s="10">
        <f t="shared" si="83"/>
        <v>0.40602473542422945</v>
      </c>
      <c r="H447" s="9">
        <f t="shared" si="84"/>
        <v>-87.994201224881991</v>
      </c>
      <c r="I447" s="8">
        <f t="shared" si="89"/>
        <v>15165.472650039037</v>
      </c>
      <c r="J447" s="9">
        <f t="shared" si="90"/>
        <v>-88.108216491445447</v>
      </c>
      <c r="K447" s="9">
        <f t="shared" si="91"/>
        <v>-87.994201224881991</v>
      </c>
      <c r="L447" s="8">
        <f t="shared" si="85"/>
        <v>15140.818311558751</v>
      </c>
      <c r="N447" s="16">
        <f t="shared" si="92"/>
        <v>3.0990540927792551</v>
      </c>
    </row>
    <row r="448" spans="2:14" x14ac:dyDescent="0.25">
      <c r="B448" s="7">
        <f t="shared" si="86"/>
        <v>124.32000000000042</v>
      </c>
      <c r="C448" s="9">
        <f t="shared" si="88"/>
        <v>-87.994201224881991</v>
      </c>
      <c r="D448" s="10">
        <f t="shared" si="87"/>
        <v>0.40602595940542086</v>
      </c>
      <c r="E448" s="10">
        <f t="shared" si="81"/>
        <v>0.40484185577802417</v>
      </c>
      <c r="F448" s="10">
        <f t="shared" si="82"/>
        <v>0.40488038000893434</v>
      </c>
      <c r="G448" s="10">
        <f t="shared" si="83"/>
        <v>0.40369984111839341</v>
      </c>
      <c r="H448" s="9">
        <f t="shared" si="84"/>
        <v>-87.880839945517437</v>
      </c>
      <c r="I448" s="8">
        <f t="shared" si="89"/>
        <v>15140.818311558751</v>
      </c>
      <c r="J448" s="9">
        <f t="shared" si="90"/>
        <v>-87.994201224881991</v>
      </c>
      <c r="K448" s="9">
        <f t="shared" si="91"/>
        <v>-87.880839945517437</v>
      </c>
      <c r="L448" s="8">
        <f t="shared" si="85"/>
        <v>15116.195805794894</v>
      </c>
      <c r="N448" s="16">
        <f t="shared" si="92"/>
        <v>3.1063767735162493</v>
      </c>
    </row>
    <row r="449" spans="2:14" x14ac:dyDescent="0.25">
      <c r="B449" s="7">
        <f t="shared" si="86"/>
        <v>124.60000000000042</v>
      </c>
      <c r="C449" s="9">
        <f t="shared" si="88"/>
        <v>-87.880839945517437</v>
      </c>
      <c r="D449" s="10">
        <f t="shared" si="87"/>
        <v>0.40370105682620849</v>
      </c>
      <c r="E449" s="10">
        <f t="shared" si="81"/>
        <v>0.40252778193516336</v>
      </c>
      <c r="F449" s="10">
        <f t="shared" si="82"/>
        <v>0.402565994284456</v>
      </c>
      <c r="G449" s="10">
        <f t="shared" si="83"/>
        <v>0.40139621877780052</v>
      </c>
      <c r="H449" s="9">
        <f t="shared" si="84"/>
        <v>-87.768126653542083</v>
      </c>
      <c r="I449" s="8">
        <f t="shared" si="89"/>
        <v>15116.195805794894</v>
      </c>
      <c r="J449" s="9">
        <f t="shared" si="90"/>
        <v>-87.880839945517437</v>
      </c>
      <c r="K449" s="9">
        <f t="shared" si="91"/>
        <v>-87.768126653542083</v>
      </c>
      <c r="L449" s="8">
        <f t="shared" si="85"/>
        <v>15091.604950471026</v>
      </c>
      <c r="N449" s="16">
        <f t="shared" si="92"/>
        <v>3.1136872849125412</v>
      </c>
    </row>
    <row r="450" spans="2:14" x14ac:dyDescent="0.25">
      <c r="B450" s="7">
        <f t="shared" si="86"/>
        <v>124.88000000000042</v>
      </c>
      <c r="C450" s="9">
        <f t="shared" si="88"/>
        <v>-87.768126653542083</v>
      </c>
      <c r="D450" s="10">
        <f t="shared" si="87"/>
        <v>0.40139742631352382</v>
      </c>
      <c r="E450" s="10">
        <f t="shared" si="81"/>
        <v>0.40023482416720729</v>
      </c>
      <c r="F450" s="10">
        <f t="shared" si="82"/>
        <v>0.40027272887771714</v>
      </c>
      <c r="G450" s="10">
        <f t="shared" si="83"/>
        <v>0.3991135622471505</v>
      </c>
      <c r="H450" s="9">
        <f t="shared" si="84"/>
        <v>-87.656055435791728</v>
      </c>
      <c r="I450" s="8">
        <f t="shared" si="89"/>
        <v>15091.604950471026</v>
      </c>
      <c r="J450" s="9">
        <f t="shared" si="90"/>
        <v>-87.768126653542083</v>
      </c>
      <c r="K450" s="9">
        <f t="shared" si="91"/>
        <v>-87.656055435791728</v>
      </c>
      <c r="L450" s="8">
        <f t="shared" si="85"/>
        <v>15067.04556497852</v>
      </c>
      <c r="N450" s="16">
        <f t="shared" si="92"/>
        <v>3.1209856425277223</v>
      </c>
    </row>
    <row r="451" spans="2:14" x14ac:dyDescent="0.25">
      <c r="B451" s="7">
        <f t="shared" si="86"/>
        <v>125.16000000000042</v>
      </c>
      <c r="C451" s="9">
        <f t="shared" si="88"/>
        <v>-87.656055435791728</v>
      </c>
      <c r="D451" s="10">
        <f t="shared" si="87"/>
        <v>0.39911476171009053</v>
      </c>
      <c r="E451" s="10">
        <f t="shared" si="81"/>
        <v>0.39796267959486931</v>
      </c>
      <c r="F451" s="10">
        <f t="shared" si="82"/>
        <v>0.39800028082135508</v>
      </c>
      <c r="G451" s="10">
        <f t="shared" si="83"/>
        <v>0.39685157179250563</v>
      </c>
      <c r="H451" s="9">
        <f t="shared" si="84"/>
        <v>-87.544620463922755</v>
      </c>
      <c r="I451" s="8">
        <f t="shared" si="89"/>
        <v>15067.04556497852</v>
      </c>
      <c r="J451" s="9">
        <f t="shared" si="90"/>
        <v>-87.656055435791728</v>
      </c>
      <c r="K451" s="9">
        <f t="shared" si="91"/>
        <v>-87.544620463922755</v>
      </c>
      <c r="L451" s="8">
        <f t="shared" si="85"/>
        <v>15042.517470352559</v>
      </c>
      <c r="N451" s="16">
        <f t="shared" si="92"/>
        <v>3.128271861709798</v>
      </c>
    </row>
    <row r="452" spans="2:14" x14ac:dyDescent="0.25">
      <c r="B452" s="7">
        <f t="shared" si="86"/>
        <v>125.44000000000042</v>
      </c>
      <c r="C452" s="9">
        <f t="shared" si="88"/>
        <v>-87.544620463922755</v>
      </c>
      <c r="D452" s="10">
        <f t="shared" si="87"/>
        <v>0.39685276328002617</v>
      </c>
      <c r="E452" s="10">
        <f t="shared" ref="E452:E515" si="93">dvdt($C452+h/2*D452,$I452+(h/2)/2*(2*C452+D452*h/2))</f>
        <v>0.39571105166505027</v>
      </c>
      <c r="F452" s="10">
        <f t="shared" ref="F452:F515" si="94">dvdt($C452+h/2*E452,$I452+(h/2)/2*(2*$C452+E452*h/2))</f>
        <v>0.39574835347677279</v>
      </c>
      <c r="G452" s="10">
        <f t="shared" ref="G452:G515" si="95">dvdt($C452+h*F452,$I452+h/2*(2*$C452+F452*h))</f>
        <v>0.39460995391510045</v>
      </c>
      <c r="H452" s="9">
        <f t="shared" ref="H452:H515" si="96">C452+h/6*(D452+2*E452+2*F452+G452)</f>
        <v>-87.433815992640419</v>
      </c>
      <c r="I452" s="8">
        <f t="shared" si="89"/>
        <v>15042.517470352559</v>
      </c>
      <c r="J452" s="9">
        <f t="shared" si="90"/>
        <v>-87.544620463922755</v>
      </c>
      <c r="K452" s="9">
        <f t="shared" si="91"/>
        <v>-87.433815992640419</v>
      </c>
      <c r="L452" s="8">
        <f t="shared" ref="L452:L515" si="97">I452+h/2*(J452+K452)</f>
        <v>15018.02048924864</v>
      </c>
      <c r="N452" s="16">
        <f t="shared" si="92"/>
        <v>3.135545957598715</v>
      </c>
    </row>
    <row r="453" spans="2:14" x14ac:dyDescent="0.25">
      <c r="B453" s="7">
        <f t="shared" ref="B453:B516" si="98">B452+h</f>
        <v>125.72000000000043</v>
      </c>
      <c r="C453" s="9">
        <f t="shared" si="88"/>
        <v>-87.433815992640419</v>
      </c>
      <c r="D453" s="10">
        <f t="shared" si="87"/>
        <v>0.39461113752270099</v>
      </c>
      <c r="E453" s="10">
        <f t="shared" si="93"/>
        <v>0.39347964996815898</v>
      </c>
      <c r="F453" s="10">
        <f t="shared" si="94"/>
        <v>0.39351665635136324</v>
      </c>
      <c r="G453" s="10">
        <f t="shared" si="95"/>
        <v>0.39238842117199513</v>
      </c>
      <c r="H453" s="9">
        <f t="shared" si="96"/>
        <v>-87.323636357978174</v>
      </c>
      <c r="I453" s="8">
        <f t="shared" si="89"/>
        <v>15018.02048924864</v>
      </c>
      <c r="J453" s="9">
        <f t="shared" si="90"/>
        <v>-87.433815992640419</v>
      </c>
      <c r="K453" s="9">
        <f t="shared" si="91"/>
        <v>-87.323636357978174</v>
      </c>
      <c r="L453" s="8">
        <f t="shared" si="97"/>
        <v>14993.554445919553</v>
      </c>
      <c r="N453" s="16">
        <f t="shared" si="92"/>
        <v>3.1428079451297757</v>
      </c>
    </row>
    <row r="454" spans="2:14" x14ac:dyDescent="0.25">
      <c r="B454" s="7">
        <f t="shared" si="98"/>
        <v>126.00000000000043</v>
      </c>
      <c r="C454" s="9">
        <f t="shared" si="88"/>
        <v>-87.323636357978174</v>
      </c>
      <c r="D454" s="10">
        <f t="shared" ref="D454:D517" si="99">dvdt($C454,$I454)</f>
        <v>0.3923895969933468</v>
      </c>
      <c r="E454" s="10">
        <f t="shared" si="93"/>
        <v>0.39126819006199881</v>
      </c>
      <c r="F454" s="10">
        <f t="shared" si="94"/>
        <v>0.39130490492233133</v>
      </c>
      <c r="G454" s="10">
        <f t="shared" si="95"/>
        <v>0.39018669200309669</v>
      </c>
      <c r="H454" s="9">
        <f t="shared" si="96"/>
        <v>-87.214075975626471</v>
      </c>
      <c r="I454" s="8">
        <f t="shared" si="89"/>
        <v>14993.554445919553</v>
      </c>
      <c r="J454" s="9">
        <f t="shared" si="90"/>
        <v>-87.323636357978174</v>
      </c>
      <c r="K454" s="9">
        <f t="shared" si="91"/>
        <v>-87.214075975626471</v>
      </c>
      <c r="L454" s="8">
        <f t="shared" si="97"/>
        <v>14969.11916619285</v>
      </c>
      <c r="N454" s="16">
        <f t="shared" si="92"/>
        <v>3.1500578390369807</v>
      </c>
    </row>
    <row r="455" spans="2:14" x14ac:dyDescent="0.25">
      <c r="B455" s="7">
        <f t="shared" si="98"/>
        <v>126.28000000000043</v>
      </c>
      <c r="C455" s="9">
        <f t="shared" si="88"/>
        <v>-87.214075975626471</v>
      </c>
      <c r="D455" s="10">
        <f t="shared" si="99"/>
        <v>0.39018786013010992</v>
      </c>
      <c r="E455" s="10">
        <f t="shared" si="93"/>
        <v>0.38907639330201799</v>
      </c>
      <c r="F455" s="10">
        <f t="shared" si="94"/>
        <v>0.38911282046681323</v>
      </c>
      <c r="G455" s="10">
        <f t="shared" si="95"/>
        <v>0.38800449056443803</v>
      </c>
      <c r="H455" s="9">
        <f t="shared" si="96"/>
        <v>-87.105129339308974</v>
      </c>
      <c r="I455" s="8">
        <f t="shared" si="89"/>
        <v>14969.11916619285</v>
      </c>
      <c r="J455" s="9">
        <f t="shared" si="90"/>
        <v>-87.214075975626471</v>
      </c>
      <c r="K455" s="9">
        <f t="shared" si="91"/>
        <v>-87.105129339308974</v>
      </c>
      <c r="L455" s="8">
        <f t="shared" si="97"/>
        <v>14944.714477448759</v>
      </c>
      <c r="N455" s="16">
        <f t="shared" si="92"/>
        <v>3.1572956538562718</v>
      </c>
    </row>
    <row r="456" spans="2:14" x14ac:dyDescent="0.25">
      <c r="B456" s="7">
        <f t="shared" si="98"/>
        <v>126.56000000000043</v>
      </c>
      <c r="C456" s="9">
        <f t="shared" si="88"/>
        <v>-87.105129339308974</v>
      </c>
      <c r="D456" s="10">
        <f t="shared" si="99"/>
        <v>0.38800565108728408</v>
      </c>
      <c r="E456" s="10">
        <f t="shared" si="93"/>
        <v>0.38690398667757397</v>
      </c>
      <c r="F456" s="10">
        <f t="shared" si="94"/>
        <v>0.38694012989809334</v>
      </c>
      <c r="G456" s="10">
        <f t="shared" si="95"/>
        <v>0.38584154656731812</v>
      </c>
      <c r="H456" s="9">
        <f t="shared" si="96"/>
        <v>-86.996791019204693</v>
      </c>
      <c r="I456" s="8">
        <f t="shared" si="89"/>
        <v>14944.714477448759</v>
      </c>
      <c r="J456" s="9">
        <f t="shared" si="90"/>
        <v>-87.105129339308974</v>
      </c>
      <c r="K456" s="9">
        <f t="shared" si="91"/>
        <v>-86.996791019204693</v>
      </c>
      <c r="L456" s="8">
        <f t="shared" si="97"/>
        <v>14920.340208598567</v>
      </c>
      <c r="N456" s="16">
        <f t="shared" si="92"/>
        <v>3.1645214039286982</v>
      </c>
    </row>
    <row r="457" spans="2:14" x14ac:dyDescent="0.25">
      <c r="B457" s="7">
        <f t="shared" si="98"/>
        <v>126.84000000000043</v>
      </c>
      <c r="C457" s="9">
        <f t="shared" si="88"/>
        <v>-86.996791019204693</v>
      </c>
      <c r="D457" s="10">
        <f t="shared" si="99"/>
        <v>0.38584269957450301</v>
      </c>
      <c r="E457" s="10">
        <f t="shared" si="93"/>
        <v>0.38475070265402994</v>
      </c>
      <c r="F457" s="10">
        <f t="shared" si="94"/>
        <v>0.38478656560762498</v>
      </c>
      <c r="G457" s="10">
        <f t="shared" si="95"/>
        <v>0.38369759512321622</v>
      </c>
      <c r="H457" s="9">
        <f t="shared" si="96"/>
        <v>-86.889055660414385</v>
      </c>
      <c r="I457" s="8">
        <f t="shared" si="89"/>
        <v>14920.340208598567</v>
      </c>
      <c r="J457" s="9">
        <f t="shared" si="90"/>
        <v>-86.996791019204693</v>
      </c>
      <c r="K457" s="9">
        <f t="shared" si="91"/>
        <v>-86.889055660414385</v>
      </c>
      <c r="L457" s="8">
        <f t="shared" si="97"/>
        <v>14895.996190063421</v>
      </c>
      <c r="N457" s="16">
        <f t="shared" si="92"/>
        <v>3.1717351034035026</v>
      </c>
    </row>
    <row r="458" spans="2:14" x14ac:dyDescent="0.25">
      <c r="B458" s="7">
        <f t="shared" si="98"/>
        <v>127.12000000000043</v>
      </c>
      <c r="C458" s="9">
        <f t="shared" si="88"/>
        <v>-86.889055660414385</v>
      </c>
      <c r="D458" s="10">
        <f t="shared" si="99"/>
        <v>0.38369874070162713</v>
      </c>
      <c r="E458" s="10">
        <f t="shared" si="93"/>
        <v>0.38261627902047757</v>
      </c>
      <c r="F458" s="10">
        <f t="shared" si="94"/>
        <v>0.38265186531263157</v>
      </c>
      <c r="G458" s="10">
        <f t="shared" si="95"/>
        <v>0.38157237659416454</v>
      </c>
      <c r="H458" s="9">
        <f t="shared" si="96"/>
        <v>-86.781917981469491</v>
      </c>
      <c r="I458" s="8">
        <f t="shared" si="89"/>
        <v>14895.996190063421</v>
      </c>
      <c r="J458" s="9">
        <f t="shared" si="90"/>
        <v>-86.889055660414385</v>
      </c>
      <c r="K458" s="9">
        <f t="shared" si="91"/>
        <v>-86.781917981469491</v>
      </c>
      <c r="L458" s="8">
        <f t="shared" si="97"/>
        <v>14871.682253753557</v>
      </c>
      <c r="N458" s="16">
        <f t="shared" si="92"/>
        <v>3.178936766241125</v>
      </c>
    </row>
    <row r="459" spans="2:14" x14ac:dyDescent="0.25">
      <c r="B459" s="7">
        <f t="shared" si="98"/>
        <v>127.40000000000043</v>
      </c>
      <c r="C459" s="9">
        <f t="shared" si="88"/>
        <v>-86.781917981469491</v>
      </c>
      <c r="D459" s="10">
        <f t="shared" si="99"/>
        <v>0.38157351482907348</v>
      </c>
      <c r="E459" s="10">
        <f t="shared" si="93"/>
        <v>0.38050045874272792</v>
      </c>
      <c r="F459" s="10">
        <f t="shared" si="94"/>
        <v>0.38053577190908133</v>
      </c>
      <c r="G459" s="10">
        <f t="shared" si="95"/>
        <v>0.37946563644830483</v>
      </c>
      <c r="H459" s="9">
        <f t="shared" si="96"/>
        <v>-86.675372772882383</v>
      </c>
      <c r="I459" s="8">
        <f t="shared" si="89"/>
        <v>14871.682253753557</v>
      </c>
      <c r="J459" s="9">
        <f t="shared" si="90"/>
        <v>-86.781917981469491</v>
      </c>
      <c r="K459" s="9">
        <f t="shared" si="91"/>
        <v>-86.675372772882383</v>
      </c>
      <c r="L459" s="8">
        <f t="shared" si="97"/>
        <v>14847.398233047948</v>
      </c>
      <c r="N459" s="16">
        <f t="shared" si="92"/>
        <v>3.1861264062161299</v>
      </c>
    </row>
    <row r="460" spans="2:14" x14ac:dyDescent="0.25">
      <c r="B460" s="7">
        <f t="shared" si="98"/>
        <v>127.68000000000043</v>
      </c>
      <c r="C460" s="9">
        <f t="shared" si="88"/>
        <v>-86.675372772882383</v>
      </c>
      <c r="D460" s="10">
        <f t="shared" si="99"/>
        <v>0.37946676742347785</v>
      </c>
      <c r="E460" s="10">
        <f t="shared" si="93"/>
        <v>0.37840298982155768</v>
      </c>
      <c r="F460" s="10">
        <f t="shared" si="94"/>
        <v>0.37843803332982456</v>
      </c>
      <c r="G460" s="10">
        <f t="shared" si="95"/>
        <v>0.37737712512061861</v>
      </c>
      <c r="H460" s="9">
        <f t="shared" si="96"/>
        <v>-86.569414895736202</v>
      </c>
      <c r="I460" s="8">
        <f t="shared" si="89"/>
        <v>14847.398233047948</v>
      </c>
      <c r="J460" s="9">
        <f t="shared" si="90"/>
        <v>-86.675372772882383</v>
      </c>
      <c r="K460" s="9">
        <f t="shared" si="91"/>
        <v>-86.569414895736202</v>
      </c>
      <c r="L460" s="8">
        <f t="shared" si="97"/>
        <v>14823.143962774342</v>
      </c>
      <c r="N460" s="16">
        <f t="shared" si="92"/>
        <v>3.1933040369200749</v>
      </c>
    </row>
    <row r="461" spans="2:14" x14ac:dyDescent="0.25">
      <c r="B461" s="7">
        <f t="shared" si="98"/>
        <v>127.96000000000043</v>
      </c>
      <c r="C461" s="9">
        <f t="shared" si="88"/>
        <v>-86.569414895736202</v>
      </c>
      <c r="D461" s="10">
        <f t="shared" si="99"/>
        <v>0.37737824891828925</v>
      </c>
      <c r="E461" s="10">
        <f t="shared" si="93"/>
        <v>0.37632362515581258</v>
      </c>
      <c r="F461" s="10">
        <f t="shared" si="94"/>
        <v>0.37635840240762858</v>
      </c>
      <c r="G461" s="10">
        <f t="shared" si="95"/>
        <v>0.37530659787835391</v>
      </c>
      <c r="H461" s="9">
        <f t="shared" si="96"/>
        <v>-86.464039280313102</v>
      </c>
      <c r="I461" s="8">
        <f t="shared" si="89"/>
        <v>14823.143962774342</v>
      </c>
      <c r="J461" s="9">
        <f t="shared" si="90"/>
        <v>-86.569414895736202</v>
      </c>
      <c r="K461" s="9">
        <f t="shared" si="91"/>
        <v>-86.464039280313102</v>
      </c>
      <c r="L461" s="8">
        <f t="shared" si="97"/>
        <v>14798.919279189695</v>
      </c>
      <c r="N461" s="16">
        <f t="shared" si="92"/>
        <v>3.2004696717642847</v>
      </c>
    </row>
    <row r="462" spans="2:14" x14ac:dyDescent="0.25">
      <c r="B462" s="7">
        <f t="shared" si="98"/>
        <v>128.24000000000044</v>
      </c>
      <c r="C462" s="9">
        <f t="shared" si="88"/>
        <v>-86.464039280313102</v>
      </c>
      <c r="D462" s="10">
        <f t="shared" si="99"/>
        <v>0.37530771457930878</v>
      </c>
      <c r="E462" s="10">
        <f t="shared" si="93"/>
        <v>0.37426212241027218</v>
      </c>
      <c r="F462" s="10">
        <f t="shared" si="94"/>
        <v>0.37429663674301877</v>
      </c>
      <c r="G462" s="10">
        <f t="shared" si="95"/>
        <v>0.3732538146912015</v>
      </c>
      <c r="H462" s="9">
        <f t="shared" si="96"/>
        <v>-86.359240924759504</v>
      </c>
      <c r="I462" s="8">
        <f t="shared" si="89"/>
        <v>14798.919279189695</v>
      </c>
      <c r="J462" s="9">
        <f t="shared" si="90"/>
        <v>-86.464039280313102</v>
      </c>
      <c r="K462" s="9">
        <f t="shared" si="91"/>
        <v>-86.359240924759504</v>
      </c>
      <c r="L462" s="8">
        <f t="shared" si="97"/>
        <v>14774.724019960984</v>
      </c>
      <c r="N462" s="16">
        <f t="shared" si="92"/>
        <v>3.2076233239825815</v>
      </c>
    </row>
    <row r="463" spans="2:14" x14ac:dyDescent="0.25">
      <c r="B463" s="7">
        <f t="shared" si="98"/>
        <v>128.52000000000044</v>
      </c>
      <c r="C463" s="9">
        <f t="shared" si="88"/>
        <v>-86.359240924759504</v>
      </c>
      <c r="D463" s="10">
        <f t="shared" si="99"/>
        <v>0.37325492437480506</v>
      </c>
      <c r="E463" s="10">
        <f t="shared" si="93"/>
        <v>0.37221824388810237</v>
      </c>
      <c r="F463" s="10">
        <f t="shared" si="94"/>
        <v>0.37225249857662723</v>
      </c>
      <c r="G463" s="10">
        <f t="shared" si="95"/>
        <v>0.37121854010590466</v>
      </c>
      <c r="H463" s="9">
        <f t="shared" si="96"/>
        <v>-86.255014893787035</v>
      </c>
      <c r="I463" s="8">
        <f t="shared" si="89"/>
        <v>14774.724019960984</v>
      </c>
      <c r="J463" s="9">
        <f t="shared" si="90"/>
        <v>-86.359240924759504</v>
      </c>
      <c r="K463" s="9">
        <f t="shared" si="91"/>
        <v>-86.255014893787035</v>
      </c>
      <c r="L463" s="8">
        <f t="shared" si="97"/>
        <v>14750.558024146387</v>
      </c>
      <c r="N463" s="16">
        <f t="shared" si="92"/>
        <v>3.2147650066339302</v>
      </c>
    </row>
    <row r="464" spans="2:14" x14ac:dyDescent="0.25">
      <c r="B464" s="7">
        <f t="shared" si="98"/>
        <v>128.80000000000044</v>
      </c>
      <c r="C464" s="9">
        <f t="shared" si="88"/>
        <v>-86.255014893787035</v>
      </c>
      <c r="D464" s="10">
        <f t="shared" si="99"/>
        <v>0.37121964285013159</v>
      </c>
      <c r="E464" s="10">
        <f t="shared" si="93"/>
        <v>0.37019175640764351</v>
      </c>
      <c r="F464" s="10">
        <f t="shared" si="94"/>
        <v>0.37022575466592267</v>
      </c>
      <c r="G464" s="10">
        <f t="shared" si="95"/>
        <v>0.36920054312513967</v>
      </c>
      <c r="H464" s="9">
        <f t="shared" si="96"/>
        <v>-86.151356317407988</v>
      </c>
      <c r="I464" s="8">
        <f t="shared" si="89"/>
        <v>14750.558024146387</v>
      </c>
      <c r="J464" s="9">
        <f t="shared" si="90"/>
        <v>-86.255014893787035</v>
      </c>
      <c r="K464" s="9">
        <f t="shared" si="91"/>
        <v>-86.151356317407988</v>
      </c>
      <c r="L464" s="8">
        <f t="shared" si="97"/>
        <v>14726.42113217682</v>
      </c>
      <c r="N464" s="16">
        <f t="shared" si="92"/>
        <v>3.221894732605032</v>
      </c>
    </row>
    <row r="465" spans="2:14" x14ac:dyDescent="0.25">
      <c r="B465" s="7">
        <f t="shared" si="98"/>
        <v>129.08000000000044</v>
      </c>
      <c r="C465" s="9">
        <f t="shared" si="88"/>
        <v>-86.151356317407988</v>
      </c>
      <c r="D465" s="10">
        <f t="shared" si="99"/>
        <v>0.3692016390066073</v>
      </c>
      <c r="E465" s="10">
        <f t="shared" si="93"/>
        <v>0.36818243118340105</v>
      </c>
      <c r="F465" s="10">
        <f t="shared" si="94"/>
        <v>0.36821617616616398</v>
      </c>
      <c r="G465" s="10">
        <f t="shared" si="95"/>
        <v>0.36719959709051847</v>
      </c>
      <c r="H465" s="9">
        <f t="shared" si="96"/>
        <v>-86.048260389704168</v>
      </c>
      <c r="I465" s="8">
        <f t="shared" si="89"/>
        <v>14726.42113217682</v>
      </c>
      <c r="J465" s="9">
        <f t="shared" si="90"/>
        <v>-86.151356317407988</v>
      </c>
      <c r="K465" s="9">
        <f t="shared" si="91"/>
        <v>-86.048260389704168</v>
      </c>
      <c r="L465" s="8">
        <f t="shared" si="97"/>
        <v>14702.313185837824</v>
      </c>
      <c r="N465" s="16">
        <f t="shared" si="92"/>
        <v>3.2290125146128505</v>
      </c>
    </row>
    <row r="466" spans="2:14" x14ac:dyDescent="0.25">
      <c r="B466" s="7">
        <f t="shared" si="98"/>
        <v>129.36000000000044</v>
      </c>
      <c r="C466" s="9">
        <f t="shared" si="88"/>
        <v>-86.048260389704168</v>
      </c>
      <c r="D466" s="10">
        <f t="shared" si="99"/>
        <v>0.36720068618454371</v>
      </c>
      <c r="E466" s="10">
        <f t="shared" si="93"/>
        <v>0.36619004371108149</v>
      </c>
      <c r="F466" s="10">
        <f t="shared" si="94"/>
        <v>0.36622353851537509</v>
      </c>
      <c r="G466" s="10">
        <f t="shared" si="95"/>
        <v>0.36521547956958156</v>
      </c>
      <c r="H466" s="9">
        <f t="shared" si="96"/>
        <v>-85.945722367627837</v>
      </c>
      <c r="I466" s="8">
        <f t="shared" si="89"/>
        <v>14702.313185837824</v>
      </c>
      <c r="J466" s="9">
        <f t="shared" si="90"/>
        <v>-86.048260389704168</v>
      </c>
      <c r="K466" s="9">
        <f t="shared" si="91"/>
        <v>-85.945722367627837</v>
      </c>
      <c r="L466" s="8">
        <f t="shared" si="97"/>
        <v>14678.234028251798</v>
      </c>
      <c r="N466" s="16">
        <f t="shared" si="92"/>
        <v>3.2361183652070822</v>
      </c>
    </row>
    <row r="467" spans="2:14" x14ac:dyDescent="0.25">
      <c r="B467" s="7">
        <f t="shared" si="98"/>
        <v>129.64000000000044</v>
      </c>
      <c r="C467" s="9">
        <f t="shared" si="88"/>
        <v>-85.945722367627837</v>
      </c>
      <c r="D467" s="10">
        <f t="shared" si="99"/>
        <v>0.36521656195018048</v>
      </c>
      <c r="E467" s="10">
        <f t="shared" si="93"/>
        <v>0.36421437365651316</v>
      </c>
      <c r="F467" s="10">
        <f t="shared" si="94"/>
        <v>0.36424762132320526</v>
      </c>
      <c r="G467" s="10">
        <f t="shared" si="95"/>
        <v>0.36324797224651612</v>
      </c>
      <c r="H467" s="9">
        <f t="shared" si="96"/>
        <v>-85.843737569833891</v>
      </c>
      <c r="I467" s="8">
        <f t="shared" si="89"/>
        <v>14678.234028251798</v>
      </c>
      <c r="J467" s="9">
        <f t="shared" si="90"/>
        <v>-85.945722367627837</v>
      </c>
      <c r="K467" s="9">
        <f t="shared" si="91"/>
        <v>-85.843737569833891</v>
      </c>
      <c r="L467" s="8">
        <f t="shared" si="97"/>
        <v>14654.183503860553</v>
      </c>
      <c r="N467" s="16">
        <f t="shared" si="92"/>
        <v>3.2432122967725623</v>
      </c>
    </row>
    <row r="468" spans="2:14" x14ac:dyDescent="0.25">
      <c r="B468" s="7">
        <f t="shared" si="98"/>
        <v>129.92000000000044</v>
      </c>
      <c r="C468" s="9">
        <f t="shared" si="88"/>
        <v>-85.843737569833891</v>
      </c>
      <c r="D468" s="10">
        <f t="shared" si="99"/>
        <v>0.36324904798646773</v>
      </c>
      <c r="E468" s="10">
        <f t="shared" si="93"/>
        <v>0.36225520474825418</v>
      </c>
      <c r="F468" s="10">
        <f t="shared" si="94"/>
        <v>0.3622882082634874</v>
      </c>
      <c r="G468" s="10">
        <f t="shared" si="95"/>
        <v>0.36129686081660428</v>
      </c>
      <c r="H468" s="9">
        <f t="shared" si="96"/>
        <v>-85.742301375541984</v>
      </c>
      <c r="I468" s="8">
        <f t="shared" si="89"/>
        <v>14654.183503860553</v>
      </c>
      <c r="J468" s="9">
        <f t="shared" si="90"/>
        <v>-85.843737569833891</v>
      </c>
      <c r="K468" s="9">
        <f t="shared" si="91"/>
        <v>-85.742301375541984</v>
      </c>
      <c r="L468" s="8">
        <f t="shared" si="97"/>
        <v>14630.1614584082</v>
      </c>
      <c r="N468" s="16">
        <f t="shared" si="92"/>
        <v>3.2502943215316216</v>
      </c>
    </row>
    <row r="469" spans="2:14" x14ac:dyDescent="0.25">
      <c r="B469" s="7">
        <f t="shared" si="98"/>
        <v>130.20000000000044</v>
      </c>
      <c r="C469" s="9">
        <f t="shared" si="88"/>
        <v>-85.742301375541984</v>
      </c>
      <c r="D469" s="10">
        <f t="shared" si="99"/>
        <v>0.36129792998746296</v>
      </c>
      <c r="E469" s="10">
        <f t="shared" si="93"/>
        <v>0.36031232467380708</v>
      </c>
      <c r="F469" s="10">
        <f t="shared" si="94"/>
        <v>0.36034508697040091</v>
      </c>
      <c r="G469" s="10">
        <f t="shared" si="95"/>
        <v>0.35936193488411411</v>
      </c>
      <c r="H469" s="9">
        <f t="shared" si="96"/>
        <v>-85.641409223427857</v>
      </c>
      <c r="I469" s="8">
        <f t="shared" si="89"/>
        <v>14630.1614584082</v>
      </c>
      <c r="J469" s="9">
        <f t="shared" si="90"/>
        <v>-85.742301375541984</v>
      </c>
      <c r="K469" s="9">
        <f t="shared" si="91"/>
        <v>-85.641409223427857</v>
      </c>
      <c r="L469" s="8">
        <f t="shared" si="97"/>
        <v>14606.167738924345</v>
      </c>
      <c r="N469" s="16">
        <f t="shared" si="92"/>
        <v>3.2573644515463869</v>
      </c>
    </row>
    <row r="470" spans="2:14" x14ac:dyDescent="0.25">
      <c r="B470" s="7">
        <f t="shared" si="98"/>
        <v>130.48000000000044</v>
      </c>
      <c r="C470" s="9">
        <f t="shared" si="88"/>
        <v>-85.641409223427857</v>
      </c>
      <c r="D470" s="10">
        <f t="shared" si="99"/>
        <v>0.35936299755624501</v>
      </c>
      <c r="E470" s="10">
        <f t="shared" si="93"/>
        <v>0.35838552497924864</v>
      </c>
      <c r="F470" s="10">
        <f t="shared" si="94"/>
        <v>0.35841804893807505</v>
      </c>
      <c r="G470" s="10">
        <f t="shared" si="95"/>
        <v>0.35744298786360174</v>
      </c>
      <c r="H470" s="9">
        <f t="shared" si="96"/>
        <v>-85.541056610542654</v>
      </c>
      <c r="I470" s="8">
        <f t="shared" si="89"/>
        <v>14606.167738924345</v>
      </c>
      <c r="J470" s="9">
        <f t="shared" si="90"/>
        <v>-85.641409223427857</v>
      </c>
      <c r="K470" s="9">
        <f t="shared" si="91"/>
        <v>-85.541056610542654</v>
      </c>
      <c r="L470" s="8">
        <f t="shared" si="97"/>
        <v>14582.20219370759</v>
      </c>
      <c r="N470" s="16">
        <f t="shared" si="92"/>
        <v>3.264422698721023</v>
      </c>
    </row>
    <row r="471" spans="2:14" x14ac:dyDescent="0.25">
      <c r="B471" s="7">
        <f t="shared" si="98"/>
        <v>130.76000000000045</v>
      </c>
      <c r="C471" s="9">
        <f t="shared" si="88"/>
        <v>-85.541056610542654</v>
      </c>
      <c r="D471" s="10">
        <f t="shared" si="99"/>
        <v>0.35744404410621095</v>
      </c>
      <c r="E471" s="10">
        <f t="shared" si="93"/>
        <v>0.35647460097219097</v>
      </c>
      <c r="F471" s="10">
        <f t="shared" si="94"/>
        <v>0.35650688942348047</v>
      </c>
      <c r="G471" s="10">
        <f t="shared" si="95"/>
        <v>0.3555398168844251</v>
      </c>
      <c r="H471" s="9">
        <f t="shared" si="96"/>
        <v>-85.44123909125949</v>
      </c>
      <c r="I471" s="8">
        <f t="shared" si="89"/>
        <v>14582.20219370759</v>
      </c>
      <c r="J471" s="9">
        <f t="shared" si="90"/>
        <v>-85.541056610542654</v>
      </c>
      <c r="K471" s="9">
        <f t="shared" si="91"/>
        <v>-85.44123909125949</v>
      </c>
      <c r="L471" s="8">
        <f t="shared" si="97"/>
        <v>14558.264672309337</v>
      </c>
      <c r="N471" s="16">
        <f t="shared" si="92"/>
        <v>3.2714690748039361</v>
      </c>
    </row>
    <row r="472" spans="2:14" x14ac:dyDescent="0.25">
      <c r="B472" s="7">
        <f t="shared" si="98"/>
        <v>131.04000000000045</v>
      </c>
      <c r="C472" s="9">
        <f t="shared" ref="C472:C535" si="100">H471</f>
        <v>-85.44123909125949</v>
      </c>
      <c r="D472" s="10">
        <f t="shared" si="99"/>
        <v>0.35554086676558261</v>
      </c>
      <c r="E472" s="10">
        <f t="shared" si="93"/>
        <v>0.35457935162788046</v>
      </c>
      <c r="F472" s="10">
        <f t="shared" si="94"/>
        <v>0.35461140735248869</v>
      </c>
      <c r="G472" s="10">
        <f t="shared" si="95"/>
        <v>0.35365222269837765</v>
      </c>
      <c r="H472" s="9">
        <f t="shared" si="96"/>
        <v>-85.341952276246332</v>
      </c>
      <c r="I472" s="8">
        <f t="shared" ref="I472:I535" si="101">L471</f>
        <v>14558.264672309337</v>
      </c>
      <c r="J472" s="9">
        <f t="shared" ref="J472:J535" si="102">C472</f>
        <v>-85.44123909125949</v>
      </c>
      <c r="K472" s="9">
        <f t="shared" ref="K472:K535" si="103">H472</f>
        <v>-85.341952276246332</v>
      </c>
      <c r="L472" s="8">
        <f t="shared" si="97"/>
        <v>14534.355025517885</v>
      </c>
      <c r="N472" s="16">
        <f t="shared" ref="N472:N535" si="104">C_y(I472)</f>
        <v>3.2785035913899145</v>
      </c>
    </row>
    <row r="473" spans="2:14" x14ac:dyDescent="0.25">
      <c r="B473" s="7">
        <f t="shared" si="98"/>
        <v>131.32000000000045</v>
      </c>
      <c r="C473" s="9">
        <f t="shared" si="100"/>
        <v>-85.341952276246332</v>
      </c>
      <c r="D473" s="10">
        <f t="shared" si="99"/>
        <v>0.35365326628505628</v>
      </c>
      <c r="E473" s="10">
        <f t="shared" si="93"/>
        <v>0.35269957949837122</v>
      </c>
      <c r="F473" s="10">
        <f t="shared" si="94"/>
        <v>0.35273140522901364</v>
      </c>
      <c r="G473" s="10">
        <f t="shared" si="95"/>
        <v>0.3517800095903304</v>
      </c>
      <c r="H473" s="9">
        <f t="shared" si="96"/>
        <v>-85.243191831464259</v>
      </c>
      <c r="I473" s="8">
        <f t="shared" si="101"/>
        <v>14534.355025517885</v>
      </c>
      <c r="J473" s="9">
        <f t="shared" si="102"/>
        <v>-85.341952276246332</v>
      </c>
      <c r="K473" s="9">
        <f t="shared" si="103"/>
        <v>-85.243191831464259</v>
      </c>
      <c r="L473" s="8">
        <f t="shared" si="97"/>
        <v>14510.473105342806</v>
      </c>
      <c r="N473" s="16">
        <f t="shared" si="104"/>
        <v>3.285526259922229</v>
      </c>
    </row>
    <row r="474" spans="2:14" x14ac:dyDescent="0.25">
      <c r="B474" s="7">
        <f t="shared" si="98"/>
        <v>131.60000000000045</v>
      </c>
      <c r="C474" s="9">
        <f t="shared" si="100"/>
        <v>-85.243191831464259</v>
      </c>
      <c r="D474" s="10">
        <f t="shared" si="99"/>
        <v>0.35178104694842915</v>
      </c>
      <c r="E474" s="10">
        <f t="shared" si="93"/>
        <v>0.35083509062462909</v>
      </c>
      <c r="F474" s="10">
        <f t="shared" si="94"/>
        <v>0.35086668904707102</v>
      </c>
      <c r="G474" s="10">
        <f t="shared" si="95"/>
        <v>0.34992298529174415</v>
      </c>
      <c r="H474" s="9">
        <f t="shared" si="96"/>
        <v>-85.144953477190356</v>
      </c>
      <c r="I474" s="8">
        <f t="shared" si="101"/>
        <v>14510.473105342806</v>
      </c>
      <c r="J474" s="9">
        <f t="shared" si="102"/>
        <v>-85.243191831464259</v>
      </c>
      <c r="K474" s="9">
        <f t="shared" si="103"/>
        <v>-85.144953477190356</v>
      </c>
      <c r="L474" s="8">
        <f t="shared" si="97"/>
        <v>14486.618764999594</v>
      </c>
      <c r="N474" s="16">
        <f t="shared" si="104"/>
        <v>3.2925370916946863</v>
      </c>
    </row>
    <row r="475" spans="2:14" x14ac:dyDescent="0.25">
      <c r="B475" s="7">
        <f t="shared" si="98"/>
        <v>131.88000000000045</v>
      </c>
      <c r="C475" s="9">
        <f t="shared" si="100"/>
        <v>-85.144953477190356</v>
      </c>
      <c r="D475" s="10">
        <f t="shared" si="99"/>
        <v>0.34992401648609611</v>
      </c>
      <c r="E475" s="10">
        <f t="shared" si="93"/>
        <v>0.34898569445145095</v>
      </c>
      <c r="F475" s="10">
        <f t="shared" si="94"/>
        <v>0.34901706820565581</v>
      </c>
      <c r="G475" s="10">
        <f t="shared" si="95"/>
        <v>0.34808096089690516</v>
      </c>
      <c r="H475" s="9">
        <f t="shared" si="96"/>
        <v>-85.04723298706449</v>
      </c>
      <c r="I475" s="8">
        <f t="shared" si="101"/>
        <v>14486.618764999594</v>
      </c>
      <c r="J475" s="9">
        <f t="shared" si="102"/>
        <v>-85.144953477190356</v>
      </c>
      <c r="K475" s="9">
        <f t="shared" si="103"/>
        <v>-85.04723298706449</v>
      </c>
      <c r="L475" s="8">
        <f t="shared" si="97"/>
        <v>14462.791858894598</v>
      </c>
      <c r="N475" s="16">
        <f t="shared" si="104"/>
        <v>3.2995360978536348</v>
      </c>
    </row>
    <row r="476" spans="2:14" x14ac:dyDescent="0.25">
      <c r="B476" s="7">
        <f t="shared" si="98"/>
        <v>132.16000000000045</v>
      </c>
      <c r="C476" s="9">
        <f t="shared" si="100"/>
        <v>-85.04723298706449</v>
      </c>
      <c r="D476" s="10">
        <f t="shared" si="99"/>
        <v>0.34808198599132817</v>
      </c>
      <c r="E476" s="10">
        <f t="shared" si="93"/>
        <v>0.3471512037450985</v>
      </c>
      <c r="F476" s="10">
        <f t="shared" si="94"/>
        <v>0.34718235542634418</v>
      </c>
      <c r="G476" s="10">
        <f t="shared" si="95"/>
        <v>0.34625375078190584</v>
      </c>
      <c r="H476" s="9">
        <f t="shared" si="96"/>
        <v>-84.950026187159068</v>
      </c>
      <c r="I476" s="8">
        <f t="shared" si="101"/>
        <v>14462.791858894598</v>
      </c>
      <c r="J476" s="9">
        <f t="shared" si="102"/>
        <v>-85.04723298706449</v>
      </c>
      <c r="K476" s="9">
        <f t="shared" si="103"/>
        <v>-84.950026187159068</v>
      </c>
      <c r="L476" s="8">
        <f t="shared" si="97"/>
        <v>14438.992242610206</v>
      </c>
      <c r="N476" s="16">
        <f t="shared" si="104"/>
        <v>3.3065232893999261</v>
      </c>
    </row>
    <row r="477" spans="2:14" x14ac:dyDescent="0.25">
      <c r="B477" s="7">
        <f t="shared" si="98"/>
        <v>132.44000000000045</v>
      </c>
      <c r="C477" s="9">
        <f t="shared" si="100"/>
        <v>-84.950026187159068</v>
      </c>
      <c r="D477" s="10">
        <f t="shared" si="99"/>
        <v>0.34625476983920694</v>
      </c>
      <c r="E477" s="10">
        <f t="shared" si="93"/>
        <v>0.34533143451353654</v>
      </c>
      <c r="F477" s="10">
        <f t="shared" si="94"/>
        <v>0.34536236667348502</v>
      </c>
      <c r="G477" s="10">
        <f t="shared" si="95"/>
        <v>0.34444117252610962</v>
      </c>
      <c r="H477" s="9">
        <f t="shared" si="96"/>
        <v>-84.853328955071234</v>
      </c>
      <c r="I477" s="8">
        <f t="shared" si="101"/>
        <v>14438.992242610206</v>
      </c>
      <c r="J477" s="9">
        <f t="shared" si="102"/>
        <v>-84.950026187159068</v>
      </c>
      <c r="K477" s="9">
        <f t="shared" si="103"/>
        <v>-84.853328955071234</v>
      </c>
      <c r="L477" s="8">
        <f t="shared" si="97"/>
        <v>14415.219772890294</v>
      </c>
      <c r="N477" s="16">
        <f t="shared" si="104"/>
        <v>3.3134986771908403</v>
      </c>
    </row>
    <row r="478" spans="2:14" x14ac:dyDescent="0.25">
      <c r="B478" s="7">
        <f t="shared" si="98"/>
        <v>132.72000000000045</v>
      </c>
      <c r="C478" s="9">
        <f t="shared" si="100"/>
        <v>-84.853328955071234</v>
      </c>
      <c r="D478" s="10">
        <f t="shared" si="99"/>
        <v>0.34444218560812179</v>
      </c>
      <c r="E478" s="10">
        <f t="shared" si="93"/>
        <v>0.34352620592920574</v>
      </c>
      <c r="F478" s="10">
        <f t="shared" si="94"/>
        <v>0.34355692107695168</v>
      </c>
      <c r="G478" s="10">
        <f t="shared" si="95"/>
        <v>0.34264304683611541</v>
      </c>
      <c r="H478" s="9">
        <f t="shared" si="96"/>
        <v>-84.757137219036593</v>
      </c>
      <c r="I478" s="8">
        <f t="shared" si="101"/>
        <v>14415.219772890294</v>
      </c>
      <c r="J478" s="9">
        <f t="shared" si="102"/>
        <v>-84.853328955071234</v>
      </c>
      <c r="K478" s="9">
        <f t="shared" si="103"/>
        <v>-84.757137219036593</v>
      </c>
      <c r="L478" s="8">
        <f t="shared" si="97"/>
        <v>14391.474307625918</v>
      </c>
      <c r="N478" s="16">
        <f t="shared" si="104"/>
        <v>3.3204622719419623</v>
      </c>
    </row>
    <row r="479" spans="2:14" x14ac:dyDescent="0.25">
      <c r="B479" s="7">
        <f t="shared" si="98"/>
        <v>133.00000000000045</v>
      </c>
      <c r="C479" s="9">
        <f t="shared" si="100"/>
        <v>-84.757137219036593</v>
      </c>
      <c r="D479" s="10">
        <f t="shared" si="99"/>
        <v>0.34264405400370962</v>
      </c>
      <c r="E479" s="10">
        <f t="shared" si="93"/>
        <v>0.34173534025416058</v>
      </c>
      <c r="F479" s="10">
        <f t="shared" si="94"/>
        <v>0.34176584085724215</v>
      </c>
      <c r="G479" s="10">
        <f t="shared" si="95"/>
        <v>0.34085919747208338</v>
      </c>
      <c r="H479" s="9">
        <f t="shared" si="96"/>
        <v>-84.661446957063987</v>
      </c>
      <c r="I479" s="8">
        <f t="shared" si="101"/>
        <v>14391.474307625918</v>
      </c>
      <c r="J479" s="9">
        <f t="shared" si="102"/>
        <v>-84.757137219036593</v>
      </c>
      <c r="K479" s="9">
        <f t="shared" si="103"/>
        <v>-84.661446957063987</v>
      </c>
      <c r="L479" s="8">
        <f t="shared" si="97"/>
        <v>14367.755705841264</v>
      </c>
      <c r="N479" s="16">
        <f t="shared" si="104"/>
        <v>3.3274140842290203</v>
      </c>
    </row>
    <row r="480" spans="2:14" x14ac:dyDescent="0.25">
      <c r="B480" s="7">
        <f t="shared" si="98"/>
        <v>133.28000000000046</v>
      </c>
      <c r="C480" s="9">
        <f t="shared" si="100"/>
        <v>-84.661446957063987</v>
      </c>
      <c r="D480" s="10">
        <f t="shared" si="99"/>
        <v>0.34086019878519774</v>
      </c>
      <c r="E480" s="10">
        <f t="shared" si="93"/>
        <v>0.33995866276758535</v>
      </c>
      <c r="F480" s="10">
        <f t="shared" si="94"/>
        <v>0.33998895125296957</v>
      </c>
      <c r="G480" s="10">
        <f t="shared" si="95"/>
        <v>0.3390894511763386</v>
      </c>
      <c r="H480" s="9">
        <f t="shared" si="96"/>
        <v>-84.566254196090526</v>
      </c>
      <c r="I480" s="8">
        <f t="shared" si="101"/>
        <v>14367.755705841264</v>
      </c>
      <c r="J480" s="9">
        <f t="shared" si="102"/>
        <v>-84.661446957063987</v>
      </c>
      <c r="K480" s="9">
        <f t="shared" si="103"/>
        <v>-84.566254196090526</v>
      </c>
      <c r="L480" s="8">
        <f t="shared" si="97"/>
        <v>14344.063827679822</v>
      </c>
      <c r="N480" s="16">
        <f t="shared" si="104"/>
        <v>3.3343541244896895</v>
      </c>
    </row>
    <row r="481" spans="2:14" x14ac:dyDescent="0.25">
      <c r="B481" s="7">
        <f t="shared" si="98"/>
        <v>133.56000000000046</v>
      </c>
      <c r="C481" s="9">
        <f t="shared" si="100"/>
        <v>-84.566254196090526</v>
      </c>
      <c r="D481" s="10">
        <f t="shared" si="99"/>
        <v>0.33909044669400035</v>
      </c>
      <c r="E481" s="10">
        <f t="shared" si="93"/>
        <v>0.338196001695519</v>
      </c>
      <c r="F481" s="10">
        <f t="shared" si="94"/>
        <v>0.3382260804505261</v>
      </c>
      <c r="G481" s="10">
        <f t="shared" si="95"/>
        <v>0.33733363760418855</v>
      </c>
      <c r="H481" s="9">
        <f t="shared" si="96"/>
        <v>-84.471555011156312</v>
      </c>
      <c r="I481" s="8">
        <f t="shared" si="101"/>
        <v>14344.063827679822</v>
      </c>
      <c r="J481" s="9">
        <f t="shared" si="102"/>
        <v>-84.566254196090526</v>
      </c>
      <c r="K481" s="9">
        <f t="shared" si="103"/>
        <v>-84.471555011156312</v>
      </c>
      <c r="L481" s="8">
        <f t="shared" si="97"/>
        <v>14320.398534390808</v>
      </c>
      <c r="N481" s="16">
        <f t="shared" si="104"/>
        <v>3.3412824030253527</v>
      </c>
    </row>
    <row r="482" spans="2:14" x14ac:dyDescent="0.25">
      <c r="B482" s="7">
        <f t="shared" si="98"/>
        <v>133.84000000000046</v>
      </c>
      <c r="C482" s="9">
        <f t="shared" si="100"/>
        <v>-84.471555011156312</v>
      </c>
      <c r="D482" s="10">
        <f t="shared" si="99"/>
        <v>0.33733462738451742</v>
      </c>
      <c r="E482" s="10">
        <f t="shared" si="93"/>
        <v>0.33644718814272018</v>
      </c>
      <c r="F482" s="10">
        <f t="shared" si="94"/>
        <v>0.33647705951597162</v>
      </c>
      <c r="G482" s="10">
        <f t="shared" si="95"/>
        <v>0.33559158925679189</v>
      </c>
      <c r="H482" s="9">
        <f t="shared" si="96"/>
        <v>-84.37734552459824</v>
      </c>
      <c r="I482" s="8">
        <f t="shared" si="101"/>
        <v>14320.398534390808</v>
      </c>
      <c r="J482" s="9">
        <f t="shared" si="102"/>
        <v>-84.471555011156312</v>
      </c>
      <c r="K482" s="9">
        <f t="shared" si="103"/>
        <v>-84.37734552459824</v>
      </c>
      <c r="L482" s="8">
        <f t="shared" si="97"/>
        <v>14296.759688315802</v>
      </c>
      <c r="N482" s="16">
        <f t="shared" si="104"/>
        <v>3.3481989300028268</v>
      </c>
    </row>
    <row r="483" spans="2:14" x14ac:dyDescent="0.25">
      <c r="B483" s="7">
        <f t="shared" si="98"/>
        <v>134.12000000000046</v>
      </c>
      <c r="C483" s="9">
        <f t="shared" si="100"/>
        <v>-84.37734552459824</v>
      </c>
      <c r="D483" s="10">
        <f t="shared" si="99"/>
        <v>0.33559257335705439</v>
      </c>
      <c r="E483" s="10">
        <f t="shared" si="93"/>
        <v>0.33471205602663928</v>
      </c>
      <c r="F483" s="10">
        <f t="shared" si="94"/>
        <v>0.33474172232891947</v>
      </c>
      <c r="G483" s="10">
        <f t="shared" si="95"/>
        <v>0.33386314141616869</v>
      </c>
      <c r="H483" s="9">
        <f t="shared" si="96"/>
        <v>-84.283621905262308</v>
      </c>
      <c r="I483" s="8">
        <f t="shared" si="101"/>
        <v>14296.759688315802</v>
      </c>
      <c r="J483" s="9">
        <f t="shared" si="102"/>
        <v>-84.37734552459824</v>
      </c>
      <c r="K483" s="9">
        <f t="shared" si="103"/>
        <v>-84.283621905262308</v>
      </c>
      <c r="L483" s="8">
        <f t="shared" si="97"/>
        <v>14273.147152875621</v>
      </c>
      <c r="N483" s="16">
        <f t="shared" si="104"/>
        <v>3.355103715456055</v>
      </c>
    </row>
    <row r="484" spans="2:14" x14ac:dyDescent="0.25">
      <c r="B484" s="7">
        <f t="shared" si="98"/>
        <v>134.40000000000046</v>
      </c>
      <c r="C484" s="9">
        <f t="shared" si="100"/>
        <v>-84.283621905262308</v>
      </c>
      <c r="D484" s="10">
        <f t="shared" si="99"/>
        <v>0.33386411989275738</v>
      </c>
      <c r="E484" s="10">
        <f t="shared" si="93"/>
        <v>0.33299044201335637</v>
      </c>
      <c r="F484" s="10">
        <f t="shared" si="94"/>
        <v>0.3330199055184998</v>
      </c>
      <c r="G484" s="10">
        <f t="shared" si="95"/>
        <v>0.33214813208204752</v>
      </c>
      <c r="H484" s="9">
        <f t="shared" si="96"/>
        <v>-84.190380367733837</v>
      </c>
      <c r="I484" s="8">
        <f t="shared" si="101"/>
        <v>14273.147152875621</v>
      </c>
      <c r="J484" s="9">
        <f t="shared" si="102"/>
        <v>-84.283621905262308</v>
      </c>
      <c r="K484" s="9">
        <f t="shared" si="103"/>
        <v>-84.190380367733837</v>
      </c>
      <c r="L484" s="8">
        <f t="shared" si="97"/>
        <v>14249.560792557402</v>
      </c>
      <c r="N484" s="16">
        <f t="shared" si="104"/>
        <v>3.3619967692877593</v>
      </c>
    </row>
    <row r="485" spans="2:14" x14ac:dyDescent="0.25">
      <c r="B485" s="7">
        <f t="shared" si="98"/>
        <v>134.68000000000046</v>
      </c>
      <c r="C485" s="9">
        <f t="shared" si="100"/>
        <v>-84.190380367733837</v>
      </c>
      <c r="D485" s="10">
        <f t="shared" si="99"/>
        <v>0.33214910499052686</v>
      </c>
      <c r="E485" s="10">
        <f t="shared" si="93"/>
        <v>0.3312821854554524</v>
      </c>
      <c r="F485" s="10">
        <f t="shared" si="94"/>
        <v>0.33131144840115911</v>
      </c>
      <c r="G485" s="10">
        <f t="shared" si="95"/>
        <v>0.33044640191069335</v>
      </c>
      <c r="H485" s="9">
        <f t="shared" si="96"/>
        <v>-84.097617171585156</v>
      </c>
      <c r="I485" s="8">
        <f t="shared" si="101"/>
        <v>14249.560792557402</v>
      </c>
      <c r="J485" s="9">
        <f t="shared" si="102"/>
        <v>-84.190380367733837</v>
      </c>
      <c r="K485" s="9">
        <f t="shared" si="103"/>
        <v>-84.097617171585156</v>
      </c>
      <c r="L485" s="8">
        <f t="shared" si="97"/>
        <v>14226.000472901898</v>
      </c>
      <c r="N485" s="16">
        <f t="shared" si="104"/>
        <v>3.3688781012710654</v>
      </c>
    </row>
    <row r="486" spans="2:14" x14ac:dyDescent="0.25">
      <c r="B486" s="7">
        <f t="shared" si="98"/>
        <v>134.96000000000046</v>
      </c>
      <c r="C486" s="9">
        <f t="shared" si="100"/>
        <v>-84.097617171585156</v>
      </c>
      <c r="D486" s="10">
        <f t="shared" si="99"/>
        <v>0.33044736930581503</v>
      </c>
      <c r="E486" s="10">
        <f t="shared" si="93"/>
        <v>0.32958712833174714</v>
      </c>
      <c r="F486" s="10">
        <f t="shared" si="94"/>
        <v>0.32961619292040328</v>
      </c>
      <c r="G486" s="10">
        <f t="shared" si="95"/>
        <v>0.32875779415551015</v>
      </c>
      <c r="H486" s="9">
        <f t="shared" si="96"/>
        <v>-84.0053286206401</v>
      </c>
      <c r="I486" s="8">
        <f t="shared" si="101"/>
        <v>14226.000472901898</v>
      </c>
      <c r="J486" s="9">
        <f t="shared" si="102"/>
        <v>-84.097617171585156</v>
      </c>
      <c r="K486" s="9">
        <f t="shared" si="103"/>
        <v>-84.0053286206401</v>
      </c>
      <c r="L486" s="8">
        <f t="shared" si="97"/>
        <v>14202.466060490986</v>
      </c>
      <c r="N486" s="16">
        <f t="shared" si="104"/>
        <v>3.3757477210510913</v>
      </c>
    </row>
    <row r="487" spans="2:14" x14ac:dyDescent="0.25">
      <c r="B487" s="7">
        <f t="shared" si="98"/>
        <v>135.24000000000046</v>
      </c>
      <c r="C487" s="9">
        <f t="shared" si="100"/>
        <v>-84.0053286206401</v>
      </c>
      <c r="D487" s="10">
        <f t="shared" si="99"/>
        <v>0.32875875609122329</v>
      </c>
      <c r="E487" s="10">
        <f t="shared" si="93"/>
        <v>0.32790511518877929</v>
      </c>
      <c r="F487" s="10">
        <f t="shared" si="94"/>
        <v>0.32793398358825238</v>
      </c>
      <c r="G487" s="10">
        <f t="shared" si="95"/>
        <v>0.32708215460940721</v>
      </c>
      <c r="H487" s="9">
        <f t="shared" si="96"/>
        <v>-83.913511062254884</v>
      </c>
      <c r="I487" s="8">
        <f t="shared" si="101"/>
        <v>14202.466060490986</v>
      </c>
      <c r="J487" s="9">
        <f t="shared" si="102"/>
        <v>-84.0053286206401</v>
      </c>
      <c r="K487" s="9">
        <f t="shared" si="103"/>
        <v>-83.913511062254884</v>
      </c>
      <c r="L487" s="8">
        <f t="shared" si="97"/>
        <v>14178.95742293538</v>
      </c>
      <c r="N487" s="16">
        <f t="shared" si="104"/>
        <v>3.3826056381465022</v>
      </c>
    </row>
    <row r="488" spans="2:14" x14ac:dyDescent="0.25">
      <c r="B488" s="7">
        <f t="shared" si="98"/>
        <v>135.52000000000046</v>
      </c>
      <c r="C488" s="9">
        <f t="shared" si="100"/>
        <v>-83.913511062254884</v>
      </c>
      <c r="D488" s="10">
        <f t="shared" si="99"/>
        <v>0.32708311113886923</v>
      </c>
      <c r="E488" s="10">
        <f t="shared" si="93"/>
        <v>0.32623599308404366</v>
      </c>
      <c r="F488" s="10">
        <f t="shared" si="94"/>
        <v>0.32626466742842536</v>
      </c>
      <c r="G488" s="10">
        <f t="shared" si="95"/>
        <v>0.32541933154883568</v>
      </c>
      <c r="H488" s="9">
        <f t="shared" si="96"/>
        <v>-83.822160886614967</v>
      </c>
      <c r="I488" s="8">
        <f t="shared" si="101"/>
        <v>14178.95742293538</v>
      </c>
      <c r="J488" s="9">
        <f t="shared" si="102"/>
        <v>-83.913511062254884</v>
      </c>
      <c r="K488" s="9">
        <f t="shared" si="103"/>
        <v>-83.822160886614967</v>
      </c>
      <c r="L488" s="8">
        <f t="shared" si="97"/>
        <v>14155.474428862539</v>
      </c>
      <c r="N488" s="16">
        <f t="shared" si="104"/>
        <v>3.3894518619510405</v>
      </c>
    </row>
    <row r="489" spans="2:14" x14ac:dyDescent="0.25">
      <c r="B489" s="7">
        <f t="shared" si="98"/>
        <v>135.80000000000047</v>
      </c>
      <c r="C489" s="9">
        <f t="shared" si="100"/>
        <v>-83.822160886614967</v>
      </c>
      <c r="D489" s="10">
        <f t="shared" si="99"/>
        <v>0.32542028272444307</v>
      </c>
      <c r="E489" s="10">
        <f t="shared" si="93"/>
        <v>0.32457961153088227</v>
      </c>
      <c r="F489" s="10">
        <f t="shared" si="94"/>
        <v>0.3246080939212489</v>
      </c>
      <c r="G489" s="10">
        <f t="shared" si="95"/>
        <v>0.32376917567946656</v>
      </c>
      <c r="H489" s="9">
        <f t="shared" si="96"/>
        <v>-83.731274526047258</v>
      </c>
      <c r="I489" s="8">
        <f t="shared" si="101"/>
        <v>14155.474428862539</v>
      </c>
      <c r="J489" s="9">
        <f t="shared" si="102"/>
        <v>-83.822160886614967</v>
      </c>
      <c r="K489" s="9">
        <f t="shared" si="103"/>
        <v>-83.731274526047258</v>
      </c>
      <c r="L489" s="8">
        <f t="shared" si="97"/>
        <v>14132.016947904765</v>
      </c>
      <c r="N489" s="16">
        <f t="shared" si="104"/>
        <v>3.3962864017350212</v>
      </c>
    </row>
    <row r="490" spans="2:14" x14ac:dyDescent="0.25">
      <c r="B490" s="7">
        <f t="shared" si="98"/>
        <v>136.08000000000047</v>
      </c>
      <c r="C490" s="9">
        <f t="shared" si="100"/>
        <v>-83.731274526047258</v>
      </c>
      <c r="D490" s="10">
        <f t="shared" si="99"/>
        <v>0.32377012155286861</v>
      </c>
      <c r="E490" s="10">
        <f t="shared" si="93"/>
        <v>0.32293582244494295</v>
      </c>
      <c r="F490" s="10">
        <f t="shared" si="94"/>
        <v>0.32296411495006005</v>
      </c>
      <c r="G490" s="10">
        <f t="shared" si="95"/>
        <v>0.32213154008344841</v>
      </c>
      <c r="H490" s="9">
        <f t="shared" si="96"/>
        <v>-83.640848454347363</v>
      </c>
      <c r="I490" s="8">
        <f t="shared" si="101"/>
        <v>14132.016947904765</v>
      </c>
      <c r="J490" s="9">
        <f t="shared" si="102"/>
        <v>-83.731274526047258</v>
      </c>
      <c r="K490" s="9">
        <f t="shared" si="103"/>
        <v>-83.640848454347363</v>
      </c>
      <c r="L490" s="8">
        <f t="shared" si="97"/>
        <v>14108.58485068751</v>
      </c>
      <c r="N490" s="16">
        <f t="shared" si="104"/>
        <v>3.4031092666467955</v>
      </c>
    </row>
    <row r="491" spans="2:14" x14ac:dyDescent="0.25">
      <c r="B491" s="7">
        <f t="shared" si="98"/>
        <v>136.36000000000047</v>
      </c>
      <c r="C491" s="9">
        <f t="shared" si="100"/>
        <v>-83.640848454347363</v>
      </c>
      <c r="D491" s="10">
        <f t="shared" si="99"/>
        <v>0.32213248070555661</v>
      </c>
      <c r="E491" s="10">
        <f t="shared" si="93"/>
        <v>0.32130448009220713</v>
      </c>
      <c r="F491" s="10">
        <f t="shared" si="94"/>
        <v>0.32133258474923088</v>
      </c>
      <c r="G491" s="10">
        <f t="shared" si="95"/>
        <v>0.32050628016815241</v>
      </c>
      <c r="H491" s="9">
        <f t="shared" si="96"/>
        <v>-83.550879186121392</v>
      </c>
      <c r="I491" s="8">
        <f t="shared" si="101"/>
        <v>14108.58485068751</v>
      </c>
      <c r="J491" s="9">
        <f t="shared" si="102"/>
        <v>-83.640848454347363</v>
      </c>
      <c r="K491" s="9">
        <f t="shared" si="103"/>
        <v>-83.550879186121392</v>
      </c>
      <c r="L491" s="8">
        <f t="shared" si="97"/>
        <v>14085.178008817844</v>
      </c>
      <c r="N491" s="16">
        <f t="shared" si="104"/>
        <v>3.4099204657141922</v>
      </c>
    </row>
    <row r="492" spans="2:14" x14ac:dyDescent="0.25">
      <c r="B492" s="7">
        <f t="shared" si="98"/>
        <v>136.64000000000047</v>
      </c>
      <c r="C492" s="9">
        <f t="shared" si="100"/>
        <v>-83.550879186121392</v>
      </c>
      <c r="D492" s="10">
        <f t="shared" si="99"/>
        <v>0.32050721558916412</v>
      </c>
      <c r="E492" s="10">
        <f t="shared" si="93"/>
        <v>0.31968544103849794</v>
      </c>
      <c r="F492" s="10">
        <f t="shared" si="94"/>
        <v>0.31971335985365495</v>
      </c>
      <c r="G492" s="10">
        <f t="shared" si="95"/>
        <v>0.31889325361639481</v>
      </c>
      <c r="H492" s="9">
        <f t="shared" si="96"/>
        <v>-83.461363276141867</v>
      </c>
      <c r="I492" s="8">
        <f t="shared" si="101"/>
        <v>14085.178008817844</v>
      </c>
      <c r="J492" s="9">
        <f t="shared" si="102"/>
        <v>-83.550879186121392</v>
      </c>
      <c r="K492" s="9">
        <f t="shared" si="103"/>
        <v>-83.461363276141867</v>
      </c>
      <c r="L492" s="8">
        <f t="shared" si="97"/>
        <v>14061.796294873127</v>
      </c>
      <c r="N492" s="16">
        <f t="shared" si="104"/>
        <v>3.4167200078459272</v>
      </c>
    </row>
    <row r="493" spans="2:14" x14ac:dyDescent="0.25">
      <c r="B493" s="7">
        <f t="shared" si="98"/>
        <v>136.92000000000047</v>
      </c>
      <c r="C493" s="9">
        <f t="shared" si="100"/>
        <v>-83.461363276141867</v>
      </c>
      <c r="D493" s="10">
        <f t="shared" si="99"/>
        <v>0.31889418388579166</v>
      </c>
      <c r="E493" s="10">
        <f t="shared" si="93"/>
        <v>0.31807856410039798</v>
      </c>
      <c r="F493" s="10">
        <f t="shared" si="94"/>
        <v>0.31810629904964477</v>
      </c>
      <c r="G493" s="10">
        <f t="shared" si="95"/>
        <v>0.31729232033804505</v>
      </c>
      <c r="H493" s="9">
        <f t="shared" si="96"/>
        <v>-83.372297318717415</v>
      </c>
      <c r="I493" s="8">
        <f t="shared" si="101"/>
        <v>14061.796294873127</v>
      </c>
      <c r="J493" s="9">
        <f t="shared" si="102"/>
        <v>-83.461363276141867</v>
      </c>
      <c r="K493" s="9">
        <f t="shared" si="103"/>
        <v>-83.372297318717415</v>
      </c>
      <c r="L493" s="8">
        <f t="shared" si="97"/>
        <v>14038.439582389847</v>
      </c>
      <c r="N493" s="16">
        <f t="shared" si="104"/>
        <v>3.4235079018329837</v>
      </c>
    </row>
    <row r="494" spans="2:14" x14ac:dyDescent="0.25">
      <c r="B494" s="7">
        <f t="shared" si="98"/>
        <v>137.20000000000047</v>
      </c>
      <c r="C494" s="9">
        <f t="shared" si="100"/>
        <v>-83.372297318717415</v>
      </c>
      <c r="D494" s="10">
        <f t="shared" si="99"/>
        <v>0.31729324550462829</v>
      </c>
      <c r="E494" s="10">
        <f t="shared" si="93"/>
        <v>0.31648371029757083</v>
      </c>
      <c r="F494" s="10">
        <f t="shared" si="94"/>
        <v>0.31651126332722351</v>
      </c>
      <c r="G494" s="10">
        <f t="shared" si="95"/>
        <v>0.31570334242302017</v>
      </c>
      <c r="H494" s="9">
        <f t="shared" si="96"/>
        <v>-83.283677947075816</v>
      </c>
      <c r="I494" s="8">
        <f t="shared" si="101"/>
        <v>14038.439582389847</v>
      </c>
      <c r="J494" s="9">
        <f t="shared" si="102"/>
        <v>-83.372297318717415</v>
      </c>
      <c r="K494" s="9">
        <f t="shared" si="103"/>
        <v>-83.283677947075816</v>
      </c>
      <c r="L494" s="8">
        <f t="shared" si="97"/>
        <v>14015.107745852636</v>
      </c>
      <c r="N494" s="16">
        <f t="shared" si="104"/>
        <v>3.4302841563499755</v>
      </c>
    </row>
    <row r="495" spans="2:14" x14ac:dyDescent="0.25">
      <c r="B495" s="7">
        <f t="shared" si="98"/>
        <v>137.48000000000047</v>
      </c>
      <c r="C495" s="9">
        <f t="shared" si="100"/>
        <v>-83.283677947075816</v>
      </c>
      <c r="D495" s="10">
        <f t="shared" si="99"/>
        <v>0.31570426253490963</v>
      </c>
      <c r="E495" s="10">
        <f t="shared" si="93"/>
        <v>0.31490074280641084</v>
      </c>
      <c r="F495" s="10">
        <f t="shared" si="94"/>
        <v>0.31492811583377917</v>
      </c>
      <c r="G495" s="10">
        <f t="shared" si="95"/>
        <v>0.31412618409555271</v>
      </c>
      <c r="H495" s="9">
        <f t="shared" si="96"/>
        <v>-83.195501832759973</v>
      </c>
      <c r="I495" s="8">
        <f t="shared" si="101"/>
        <v>14015.107745852636</v>
      </c>
      <c r="J495" s="9">
        <f t="shared" si="102"/>
        <v>-83.283677947075816</v>
      </c>
      <c r="K495" s="9">
        <f t="shared" si="103"/>
        <v>-83.195501832759973</v>
      </c>
      <c r="L495" s="8">
        <f t="shared" si="97"/>
        <v>13991.800660683459</v>
      </c>
      <c r="N495" s="16">
        <f t="shared" si="104"/>
        <v>3.4370487799564704</v>
      </c>
    </row>
    <row r="496" spans="2:14" x14ac:dyDescent="0.25">
      <c r="B496" s="7">
        <f t="shared" si="98"/>
        <v>137.76000000000047</v>
      </c>
      <c r="C496" s="9">
        <f t="shared" si="100"/>
        <v>-83.195501832759973</v>
      </c>
      <c r="D496" s="10">
        <f t="shared" si="99"/>
        <v>0.3141270992002092</v>
      </c>
      <c r="E496" s="10">
        <f t="shared" si="93"/>
        <v>0.31332952691497001</v>
      </c>
      <c r="F496" s="10">
        <f t="shared" si="94"/>
        <v>0.31335672182895213</v>
      </c>
      <c r="G496" s="10">
        <f t="shared" si="95"/>
        <v>0.31256071166975929</v>
      </c>
      <c r="H496" s="9">
        <f t="shared" si="96"/>
        <v>-83.107765685036611</v>
      </c>
      <c r="I496" s="8">
        <f t="shared" si="101"/>
        <v>13991.800660683459</v>
      </c>
      <c r="J496" s="9">
        <f t="shared" si="102"/>
        <v>-83.195501832759973</v>
      </c>
      <c r="K496" s="9">
        <f t="shared" si="103"/>
        <v>-83.107765685036611</v>
      </c>
      <c r="L496" s="8">
        <f t="shared" si="97"/>
        <v>13968.518203230968</v>
      </c>
      <c r="N496" s="16">
        <f t="shared" si="104"/>
        <v>3.4438017810983008</v>
      </c>
    </row>
    <row r="497" spans="2:14" x14ac:dyDescent="0.25">
      <c r="B497" s="7">
        <f t="shared" si="98"/>
        <v>138.04000000000048</v>
      </c>
      <c r="C497" s="9">
        <f t="shared" si="100"/>
        <v>-83.107765685036611</v>
      </c>
      <c r="D497" s="10">
        <f t="shared" si="99"/>
        <v>0.31256162181399266</v>
      </c>
      <c r="E497" s="10">
        <f t="shared" si="93"/>
        <v>0.31176992997914255</v>
      </c>
      <c r="F497" s="10">
        <f t="shared" si="94"/>
        <v>0.31179694864080743</v>
      </c>
      <c r="G497" s="10">
        <f t="shared" si="95"/>
        <v>0.31100679350640992</v>
      </c>
      <c r="H497" s="9">
        <f t="shared" si="96"/>
        <v>-83.020466250317128</v>
      </c>
      <c r="I497" s="8">
        <f t="shared" si="101"/>
        <v>13968.518203230968</v>
      </c>
      <c r="J497" s="9">
        <f t="shared" si="102"/>
        <v>-83.107765685036611</v>
      </c>
      <c r="K497" s="9">
        <f t="shared" si="103"/>
        <v>-83.020466250317128</v>
      </c>
      <c r="L497" s="8">
        <f t="shared" si="97"/>
        <v>13945.260250760019</v>
      </c>
      <c r="N497" s="16">
        <f t="shared" si="104"/>
        <v>3.4505431681088412</v>
      </c>
    </row>
    <row r="498" spans="2:14" x14ac:dyDescent="0.25">
      <c r="B498" s="7">
        <f t="shared" si="98"/>
        <v>138.32000000000048</v>
      </c>
      <c r="C498" s="9">
        <f t="shared" si="100"/>
        <v>-83.020466250317128</v>
      </c>
      <c r="D498" s="10">
        <f t="shared" si="99"/>
        <v>0.31100769873639106</v>
      </c>
      <c r="E498" s="10">
        <f t="shared" si="93"/>
        <v>0.31022182138002996</v>
      </c>
      <c r="F498" s="10">
        <f t="shared" si="94"/>
        <v>0.3102486656232038</v>
      </c>
      <c r="G498" s="10">
        <f t="shared" si="95"/>
        <v>0.309464299970867</v>
      </c>
      <c r="H498" s="9">
        <f t="shared" si="96"/>
        <v>-82.933600311590482</v>
      </c>
      <c r="I498" s="8">
        <f t="shared" si="101"/>
        <v>13945.260250760019</v>
      </c>
      <c r="J498" s="9">
        <f t="shared" si="102"/>
        <v>-83.020466250317128</v>
      </c>
      <c r="K498" s="9">
        <f t="shared" si="103"/>
        <v>-82.933600311590482</v>
      </c>
      <c r="L498" s="8">
        <f t="shared" si="97"/>
        <v>13922.026681441352</v>
      </c>
      <c r="N498" s="16">
        <f t="shared" si="104"/>
        <v>3.457272949210271</v>
      </c>
    </row>
    <row r="499" spans="2:14" x14ac:dyDescent="0.25">
      <c r="B499" s="7">
        <f t="shared" si="98"/>
        <v>138.60000000000048</v>
      </c>
      <c r="C499" s="9">
        <f t="shared" si="100"/>
        <v>-82.933600311590482</v>
      </c>
      <c r="D499" s="10">
        <f t="shared" si="99"/>
        <v>0.30946520033214481</v>
      </c>
      <c r="E499" s="10">
        <f t="shared" si="93"/>
        <v>0.30868507248246746</v>
      </c>
      <c r="F499" s="10">
        <f t="shared" si="94"/>
        <v>0.30871174411427482</v>
      </c>
      <c r="G499" s="10">
        <f t="shared" si="95"/>
        <v>0.30793310339217744</v>
      </c>
      <c r="H499" s="9">
        <f t="shared" si="96"/>
        <v>-82.847164687867647</v>
      </c>
      <c r="I499" s="8">
        <f t="shared" si="101"/>
        <v>13922.026681441352</v>
      </c>
      <c r="J499" s="9">
        <f t="shared" si="102"/>
        <v>-82.933600311590482</v>
      </c>
      <c r="K499" s="9">
        <f t="shared" si="103"/>
        <v>-82.847164687867647</v>
      </c>
      <c r="L499" s="8">
        <f t="shared" si="97"/>
        <v>13898.817374341428</v>
      </c>
      <c r="N499" s="16">
        <f t="shared" si="104"/>
        <v>3.4639911325148036</v>
      </c>
    </row>
    <row r="500" spans="2:14" x14ac:dyDescent="0.25">
      <c r="B500" s="7">
        <f t="shared" si="98"/>
        <v>138.88000000000048</v>
      </c>
      <c r="C500" s="9">
        <f t="shared" si="100"/>
        <v>-82.847164687867647</v>
      </c>
      <c r="D500" s="10">
        <f t="shared" si="99"/>
        <v>0.3079339989296877</v>
      </c>
      <c r="E500" s="10">
        <f t="shared" si="93"/>
        <v>0.30715955659469529</v>
      </c>
      <c r="F500" s="10">
        <f t="shared" si="94"/>
        <v>0.30718605739609417</v>
      </c>
      <c r="G500" s="10">
        <f t="shared" si="95"/>
        <v>0.306413078023269</v>
      </c>
      <c r="H500" s="9">
        <f t="shared" si="96"/>
        <v>-82.761156233637365</v>
      </c>
      <c r="I500" s="8">
        <f t="shared" si="101"/>
        <v>13898.817374341428</v>
      </c>
      <c r="J500" s="9">
        <f t="shared" si="102"/>
        <v>-82.847164687867647</v>
      </c>
      <c r="K500" s="9">
        <f t="shared" si="103"/>
        <v>-82.761156233637365</v>
      </c>
      <c r="L500" s="8">
        <f t="shared" si="97"/>
        <v>13875.632209412417</v>
      </c>
      <c r="N500" s="16">
        <f t="shared" si="104"/>
        <v>3.470697726025898</v>
      </c>
    </row>
    <row r="501" spans="2:14" x14ac:dyDescent="0.25">
      <c r="B501" s="7">
        <f t="shared" si="98"/>
        <v>139.16000000000048</v>
      </c>
      <c r="C501" s="9">
        <f t="shared" si="100"/>
        <v>-82.761156233637365</v>
      </c>
      <c r="D501" s="10">
        <f t="shared" si="99"/>
        <v>0.3064139687813498</v>
      </c>
      <c r="E501" s="10">
        <f t="shared" si="93"/>
        <v>0.30564514892905453</v>
      </c>
      <c r="F501" s="10">
        <f t="shared" si="94"/>
        <v>0.30567148065537764</v>
      </c>
      <c r="G501" s="10">
        <f t="shared" si="95"/>
        <v>0.30490410000218005</v>
      </c>
      <c r="H501" s="9">
        <f t="shared" si="96"/>
        <v>-82.675571838332914</v>
      </c>
      <c r="I501" s="8">
        <f t="shared" si="101"/>
        <v>13875.632209412417</v>
      </c>
      <c r="J501" s="9">
        <f t="shared" si="102"/>
        <v>-82.761156233637365</v>
      </c>
      <c r="K501" s="9">
        <f t="shared" si="103"/>
        <v>-82.675571838332914</v>
      </c>
      <c r="L501" s="8">
        <f t="shared" si="97"/>
        <v>13852.471067482342</v>
      </c>
      <c r="N501" s="16">
        <f t="shared" si="104"/>
        <v>3.477392737639454</v>
      </c>
    </row>
    <row r="502" spans="2:14" x14ac:dyDescent="0.25">
      <c r="B502" s="7">
        <f t="shared" si="98"/>
        <v>139.44000000000048</v>
      </c>
      <c r="C502" s="9">
        <f t="shared" si="100"/>
        <v>-82.675571838332914</v>
      </c>
      <c r="D502" s="10">
        <f t="shared" si="99"/>
        <v>0.30490498602457555</v>
      </c>
      <c r="E502" s="10">
        <f t="shared" si="93"/>
        <v>0.30414172656378158</v>
      </c>
      <c r="F502" s="10">
        <f t="shared" si="94"/>
        <v>0.30416789094523716</v>
      </c>
      <c r="G502" s="10">
        <f t="shared" si="95"/>
        <v>0.3034060473143429</v>
      </c>
      <c r="H502" s="9">
        <f t="shared" si="96"/>
        <v>-82.590408425809585</v>
      </c>
      <c r="I502" s="8">
        <f t="shared" si="101"/>
        <v>13852.471067482342</v>
      </c>
      <c r="J502" s="9">
        <f t="shared" si="102"/>
        <v>-82.675571838332914</v>
      </c>
      <c r="K502" s="9">
        <f t="shared" si="103"/>
        <v>-82.590408425809585</v>
      </c>
      <c r="L502" s="8">
        <f t="shared" si="97"/>
        <v>13829.333830245361</v>
      </c>
      <c r="N502" s="16">
        <f t="shared" si="104"/>
        <v>3.48407617514497</v>
      </c>
    </row>
    <row r="503" spans="2:14" x14ac:dyDescent="0.25">
      <c r="B503" s="7">
        <f t="shared" si="98"/>
        <v>139.72000000000048</v>
      </c>
      <c r="C503" s="9">
        <f t="shared" si="100"/>
        <v>-82.590408425809585</v>
      </c>
      <c r="D503" s="10">
        <f t="shared" si="99"/>
        <v>0.30340692864422941</v>
      </c>
      <c r="E503" s="10">
        <f t="shared" si="93"/>
        <v>0.30264916840578571</v>
      </c>
      <c r="F503" s="10">
        <f t="shared" si="94"/>
        <v>0.30267516714795295</v>
      </c>
      <c r="G503" s="10">
        <f t="shared" si="95"/>
        <v>0.301918799755861</v>
      </c>
      <c r="H503" s="9">
        <f t="shared" si="96"/>
        <v>-82.505662953832569</v>
      </c>
      <c r="I503" s="8">
        <f t="shared" si="101"/>
        <v>13829.333830245361</v>
      </c>
      <c r="J503" s="9">
        <f t="shared" si="102"/>
        <v>-82.590408425809585</v>
      </c>
      <c r="K503" s="9">
        <f t="shared" si="103"/>
        <v>-82.505662953832569</v>
      </c>
      <c r="L503" s="8">
        <f t="shared" si="97"/>
        <v>13806.220380252211</v>
      </c>
      <c r="N503" s="16">
        <f t="shared" si="104"/>
        <v>3.4907480462266993</v>
      </c>
    </row>
    <row r="504" spans="2:14" x14ac:dyDescent="0.25">
      <c r="B504" s="7">
        <f t="shared" si="98"/>
        <v>140.00000000000048</v>
      </c>
      <c r="C504" s="9">
        <f t="shared" si="100"/>
        <v>-82.505662953832569</v>
      </c>
      <c r="D504" s="10">
        <f t="shared" si="99"/>
        <v>0.3019196764358395</v>
      </c>
      <c r="E504" s="10">
        <f t="shared" si="93"/>
        <v>0.30116735515440501</v>
      </c>
      <c r="F504" s="10">
        <f t="shared" si="94"/>
        <v>0.3011931899387178</v>
      </c>
      <c r="G504" s="10">
        <f t="shared" si="95"/>
        <v>0.30044223889770838</v>
      </c>
      <c r="H504" s="9">
        <f t="shared" si="96"/>
        <v>-82.421332413574973</v>
      </c>
      <c r="I504" s="8">
        <f t="shared" si="101"/>
        <v>13806.220380252211</v>
      </c>
      <c r="J504" s="9">
        <f t="shared" si="102"/>
        <v>-82.505662953832569</v>
      </c>
      <c r="K504" s="9">
        <f t="shared" si="103"/>
        <v>-82.421332413574973</v>
      </c>
      <c r="L504" s="8">
        <f t="shared" si="97"/>
        <v>13783.130600900773</v>
      </c>
      <c r="N504" s="16">
        <f t="shared" si="104"/>
        <v>3.4974083584647691</v>
      </c>
    </row>
    <row r="505" spans="2:14" x14ac:dyDescent="0.25">
      <c r="B505" s="7">
        <f t="shared" si="98"/>
        <v>140.28000000000048</v>
      </c>
      <c r="C505" s="9">
        <f t="shared" si="100"/>
        <v>-82.421332413574973</v>
      </c>
      <c r="D505" s="10">
        <f t="shared" si="99"/>
        <v>0.30044311096982368</v>
      </c>
      <c r="E505" s="10">
        <f t="shared" si="93"/>
        <v>0.29969616926608522</v>
      </c>
      <c r="F505" s="10">
        <f t="shared" si="94"/>
        <v>0.29972184175030397</v>
      </c>
      <c r="G505" s="10">
        <f t="shared" si="95"/>
        <v>0.29897624805090095</v>
      </c>
      <c r="H505" s="9">
        <f t="shared" si="96"/>
        <v>-82.337413829125808</v>
      </c>
      <c r="I505" s="8">
        <f t="shared" si="101"/>
        <v>13783.130600900773</v>
      </c>
      <c r="J505" s="9">
        <f t="shared" si="102"/>
        <v>-82.421332413574973</v>
      </c>
      <c r="K505" s="9">
        <f t="shared" si="103"/>
        <v>-82.337413829125808</v>
      </c>
      <c r="L505" s="8">
        <f t="shared" si="97"/>
        <v>13760.064376426795</v>
      </c>
      <c r="N505" s="16">
        <f t="shared" si="104"/>
        <v>3.5040571193362893</v>
      </c>
    </row>
    <row r="506" spans="2:14" x14ac:dyDescent="0.25">
      <c r="B506" s="7">
        <f t="shared" si="98"/>
        <v>140.56000000000049</v>
      </c>
      <c r="C506" s="9">
        <f t="shared" si="100"/>
        <v>-82.337413829125808</v>
      </c>
      <c r="D506" s="10">
        <f t="shared" si="99"/>
        <v>0.29897711555665885</v>
      </c>
      <c r="E506" s="10">
        <f t="shared" si="93"/>
        <v>0.29823549492002061</v>
      </c>
      <c r="F506" s="10">
        <f t="shared" si="94"/>
        <v>0.29826100673869915</v>
      </c>
      <c r="G506" s="10">
        <f t="shared" si="95"/>
        <v>0.29752071223254095</v>
      </c>
      <c r="H506" s="9">
        <f t="shared" si="96"/>
        <v>-82.253904257007491</v>
      </c>
      <c r="I506" s="8">
        <f t="shared" si="101"/>
        <v>13760.064376426795</v>
      </c>
      <c r="J506" s="9">
        <f t="shared" si="102"/>
        <v>-82.337413829125808</v>
      </c>
      <c r="K506" s="9">
        <f t="shared" si="103"/>
        <v>-82.253904257007491</v>
      </c>
      <c r="L506" s="8">
        <f t="shared" si="97"/>
        <v>13737.021591894736</v>
      </c>
      <c r="N506" s="16">
        <f t="shared" si="104"/>
        <v>3.51069433621644</v>
      </c>
    </row>
    <row r="507" spans="2:14" x14ac:dyDescent="0.25">
      <c r="B507" s="7">
        <f t="shared" si="98"/>
        <v>140.84000000000049</v>
      </c>
      <c r="C507" s="9">
        <f t="shared" si="100"/>
        <v>-82.253904257007491</v>
      </c>
      <c r="D507" s="10">
        <f t="shared" si="99"/>
        <v>0.29752157521290107</v>
      </c>
      <c r="E507" s="10">
        <f t="shared" si="93"/>
        <v>0.29678521798462137</v>
      </c>
      <c r="F507" s="10">
        <f t="shared" si="94"/>
        <v>0.29681057074954692</v>
      </c>
      <c r="G507" s="10">
        <f t="shared" si="95"/>
        <v>0.2960755181327191</v>
      </c>
      <c r="H507" s="9">
        <f t="shared" si="96"/>
        <v>-82.170800785702838</v>
      </c>
      <c r="I507" s="8">
        <f t="shared" si="101"/>
        <v>13737.021591894736</v>
      </c>
      <c r="J507" s="9">
        <f t="shared" si="102"/>
        <v>-82.253904257007491</v>
      </c>
      <c r="K507" s="9">
        <f t="shared" si="103"/>
        <v>-82.170800785702838</v>
      </c>
      <c r="L507" s="8">
        <f t="shared" si="97"/>
        <v>13714.002133188756</v>
      </c>
      <c r="N507" s="16">
        <f t="shared" si="104"/>
        <v>3.517320016379534</v>
      </c>
    </row>
    <row r="508" spans="2:14" x14ac:dyDescent="0.25">
      <c r="B508" s="7">
        <f t="shared" si="98"/>
        <v>141.12000000000049</v>
      </c>
      <c r="C508" s="9">
        <f t="shared" si="100"/>
        <v>-82.170800785702838</v>
      </c>
      <c r="D508" s="10">
        <f t="shared" si="99"/>
        <v>0.2960763766281308</v>
      </c>
      <c r="E508" s="10">
        <f t="shared" si="93"/>
        <v>0.29534522598486934</v>
      </c>
      <c r="F508" s="10">
        <f t="shared" si="94"/>
        <v>0.29537042128548846</v>
      </c>
      <c r="G508" s="10">
        <f t="shared" si="95"/>
        <v>0.29464055408229251</v>
      </c>
      <c r="H508" s="9">
        <f t="shared" si="96"/>
        <v>-82.088100535191117</v>
      </c>
      <c r="I508" s="8">
        <f t="shared" si="101"/>
        <v>13714.002133188756</v>
      </c>
      <c r="J508" s="9">
        <f t="shared" si="102"/>
        <v>-82.170800785702838</v>
      </c>
      <c r="K508" s="9">
        <f t="shared" si="103"/>
        <v>-82.088100535191117</v>
      </c>
      <c r="L508" s="8">
        <f t="shared" si="97"/>
        <v>13691.005887003832</v>
      </c>
      <c r="N508" s="16">
        <f t="shared" si="104"/>
        <v>3.5239341670000712</v>
      </c>
    </row>
    <row r="509" spans="2:14" x14ac:dyDescent="0.25">
      <c r="B509" s="7">
        <f t="shared" si="98"/>
        <v>141.40000000000049</v>
      </c>
      <c r="C509" s="9">
        <f t="shared" si="100"/>
        <v>-82.088100535191117</v>
      </c>
      <c r="D509" s="10">
        <f t="shared" si="99"/>
        <v>0.29464140813267825</v>
      </c>
      <c r="E509" s="10">
        <f t="shared" si="93"/>
        <v>0.29391540807047511</v>
      </c>
      <c r="F509" s="10">
        <f t="shared" si="94"/>
        <v>0.29394044747433951</v>
      </c>
      <c r="G509" s="10">
        <f t="shared" si="95"/>
        <v>0.29321571002143154</v>
      </c>
      <c r="H509" s="9">
        <f t="shared" si="96"/>
        <v>-82.005800656493079</v>
      </c>
      <c r="I509" s="8">
        <f t="shared" si="101"/>
        <v>13691.005887003832</v>
      </c>
      <c r="J509" s="9">
        <f t="shared" si="102"/>
        <v>-82.088100535191117</v>
      </c>
      <c r="K509" s="9">
        <f t="shared" si="103"/>
        <v>-82.005800656493079</v>
      </c>
      <c r="L509" s="8">
        <f t="shared" si="97"/>
        <v>13668.032740836996</v>
      </c>
      <c r="N509" s="16">
        <f t="shared" si="104"/>
        <v>3.5305367951537621</v>
      </c>
    </row>
    <row r="510" spans="2:14" x14ac:dyDescent="0.25">
      <c r="B510" s="7">
        <f t="shared" si="98"/>
        <v>141.68000000000049</v>
      </c>
      <c r="C510" s="9">
        <f t="shared" si="100"/>
        <v>-82.005800656493079</v>
      </c>
      <c r="D510" s="10">
        <f t="shared" si="99"/>
        <v>0.2932165596662103</v>
      </c>
      <c r="E510" s="10">
        <f t="shared" si="93"/>
        <v>0.29249565498486935</v>
      </c>
      <c r="F510" s="10">
        <f t="shared" si="94"/>
        <v>0.29252054003802519</v>
      </c>
      <c r="G510" s="10">
        <f t="shared" si="95"/>
        <v>0.29180087746898686</v>
      </c>
      <c r="H510" s="9">
        <f t="shared" si="96"/>
        <v>-81.923898331224635</v>
      </c>
      <c r="I510" s="8">
        <f t="shared" si="101"/>
        <v>13668.032740836996</v>
      </c>
      <c r="J510" s="9">
        <f t="shared" si="102"/>
        <v>-82.005800656493079</v>
      </c>
      <c r="K510" s="9">
        <f t="shared" si="103"/>
        <v>-81.923898331224635</v>
      </c>
      <c r="L510" s="8">
        <f t="shared" si="97"/>
        <v>13645.082582978715</v>
      </c>
      <c r="N510" s="16">
        <f t="shared" si="104"/>
        <v>3.5371279078185442</v>
      </c>
    </row>
    <row r="511" spans="2:14" x14ac:dyDescent="0.25">
      <c r="B511" s="7">
        <f t="shared" si="98"/>
        <v>141.96000000000049</v>
      </c>
      <c r="C511" s="9">
        <f t="shared" si="100"/>
        <v>-81.923898331224635</v>
      </c>
      <c r="D511" s="10">
        <f t="shared" si="99"/>
        <v>0.29180172274707949</v>
      </c>
      <c r="E511" s="10">
        <f t="shared" si="93"/>
        <v>0.29108585903491707</v>
      </c>
      <c r="F511" s="10">
        <f t="shared" si="94"/>
        <v>0.29111059126232552</v>
      </c>
      <c r="G511" s="10">
        <f t="shared" si="95"/>
        <v>0.29039594949258618</v>
      </c>
      <c r="H511" s="9">
        <f t="shared" si="96"/>
        <v>-81.842390771159046</v>
      </c>
      <c r="I511" s="8">
        <f t="shared" si="101"/>
        <v>13645.082582978715</v>
      </c>
      <c r="J511" s="9">
        <f t="shared" si="102"/>
        <v>-81.923898331224635</v>
      </c>
      <c r="K511" s="9">
        <f t="shared" si="103"/>
        <v>-81.842390771159046</v>
      </c>
      <c r="L511" s="8">
        <f t="shared" si="97"/>
        <v>13622.155302504381</v>
      </c>
      <c r="N511" s="16">
        <f t="shared" si="104"/>
        <v>3.5437075118755779</v>
      </c>
    </row>
    <row r="512" spans="2:14" x14ac:dyDescent="0.25">
      <c r="B512" s="7">
        <f t="shared" si="98"/>
        <v>142.24000000000049</v>
      </c>
      <c r="C512" s="9">
        <f t="shared" si="100"/>
        <v>-81.842390771159046</v>
      </c>
      <c r="D512" s="10">
        <f t="shared" si="99"/>
        <v>0.29039679044242683</v>
      </c>
      <c r="E512" s="10">
        <f t="shared" si="93"/>
        <v>0.28968591406142857</v>
      </c>
      <c r="F512" s="10">
        <f t="shared" si="94"/>
        <v>0.2897104949673428</v>
      </c>
      <c r="G512" s="10">
        <f t="shared" si="95"/>
        <v>0.28900082067950572</v>
      </c>
      <c r="H512" s="9">
        <f t="shared" si="96"/>
        <v>-81.761275217797333</v>
      </c>
      <c r="I512" s="8">
        <f t="shared" si="101"/>
        <v>13622.155302504381</v>
      </c>
      <c r="J512" s="9">
        <f t="shared" si="102"/>
        <v>-81.842390771159046</v>
      </c>
      <c r="K512" s="9">
        <f t="shared" si="103"/>
        <v>-81.761275217797333</v>
      </c>
      <c r="L512" s="8">
        <f t="shared" si="97"/>
        <v>13599.250789265927</v>
      </c>
      <c r="N512" s="16">
        <f t="shared" si="104"/>
        <v>3.550275614110217</v>
      </c>
    </row>
    <row r="513" spans="2:14" x14ac:dyDescent="0.25">
      <c r="B513" s="7">
        <f t="shared" si="98"/>
        <v>142.52000000000049</v>
      </c>
      <c r="C513" s="9">
        <f t="shared" si="100"/>
        <v>-81.761275217797333</v>
      </c>
      <c r="D513" s="10">
        <f t="shared" si="99"/>
        <v>0.28900165733904526</v>
      </c>
      <c r="E513" s="10">
        <f t="shared" si="93"/>
        <v>0.28829571541035426</v>
      </c>
      <c r="F513" s="10">
        <f t="shared" si="94"/>
        <v>0.28832014647872783</v>
      </c>
      <c r="G513" s="10">
        <f t="shared" si="95"/>
        <v>0.28761538710822648</v>
      </c>
      <c r="H513" s="9">
        <f t="shared" si="96"/>
        <v>-81.68054894194681</v>
      </c>
      <c r="I513" s="8">
        <f t="shared" si="101"/>
        <v>13599.250789265927</v>
      </c>
      <c r="J513" s="9">
        <f t="shared" si="102"/>
        <v>-81.761275217797333</v>
      </c>
      <c r="K513" s="9">
        <f t="shared" si="103"/>
        <v>-81.68054894194681</v>
      </c>
      <c r="L513" s="8">
        <f t="shared" si="97"/>
        <v>13576.368933883563</v>
      </c>
      <c r="N513" s="16">
        <f t="shared" si="104"/>
        <v>3.5568322212129773</v>
      </c>
    </row>
    <row r="514" spans="2:14" x14ac:dyDescent="0.25">
      <c r="B514" s="7">
        <f t="shared" si="98"/>
        <v>142.80000000000049</v>
      </c>
      <c r="C514" s="9">
        <f t="shared" si="100"/>
        <v>-81.68054894194681</v>
      </c>
      <c r="D514" s="10">
        <f t="shared" si="99"/>
        <v>0.28761621951494198</v>
      </c>
      <c r="E514" s="10">
        <f t="shared" si="93"/>
        <v>0.28691515990473521</v>
      </c>
      <c r="F514" s="10">
        <f t="shared" si="94"/>
        <v>0.28693944259956511</v>
      </c>
      <c r="G514" s="10">
        <f t="shared" si="95"/>
        <v>0.28623954632068338</v>
      </c>
      <c r="H514" s="9">
        <f t="shared" si="96"/>
        <v>-81.600209243307418</v>
      </c>
      <c r="I514" s="8">
        <f t="shared" si="101"/>
        <v>13576.368933883563</v>
      </c>
      <c r="J514" s="9">
        <f t="shared" si="102"/>
        <v>-81.68054894194681</v>
      </c>
      <c r="K514" s="9">
        <f t="shared" si="103"/>
        <v>-81.600209243307418</v>
      </c>
      <c r="L514" s="8">
        <f t="shared" si="97"/>
        <v>13553.509627737627</v>
      </c>
      <c r="N514" s="16">
        <f t="shared" si="104"/>
        <v>3.5633773397804762</v>
      </c>
    </row>
    <row r="515" spans="2:14" x14ac:dyDescent="0.25">
      <c r="B515" s="7">
        <f t="shared" si="98"/>
        <v>143.0800000000005</v>
      </c>
      <c r="C515" s="9">
        <f t="shared" si="100"/>
        <v>-81.600209243307418</v>
      </c>
      <c r="D515" s="10">
        <f t="shared" si="99"/>
        <v>0.28624037451160095</v>
      </c>
      <c r="E515" s="10">
        <f t="shared" si="93"/>
        <v>0.28554414581726373</v>
      </c>
      <c r="F515" s="10">
        <f t="shared" si="94"/>
        <v>0.2855682815829817</v>
      </c>
      <c r="G515" s="10">
        <f t="shared" si="95"/>
        <v>0.2848731972952136</v>
      </c>
      <c r="H515" s="9">
        <f t="shared" si="96"/>
        <v>-81.520253450065738</v>
      </c>
      <c r="I515" s="8">
        <f t="shared" si="101"/>
        <v>13553.509627737627</v>
      </c>
      <c r="J515" s="9">
        <f t="shared" si="102"/>
        <v>-81.600209243307418</v>
      </c>
      <c r="K515" s="9">
        <f t="shared" si="103"/>
        <v>-81.520253450065738</v>
      </c>
      <c r="L515" s="8">
        <f t="shared" si="97"/>
        <v>13530.672762960554</v>
      </c>
      <c r="N515" s="16">
        <f t="shared" si="104"/>
        <v>3.5699109763163657</v>
      </c>
    </row>
    <row r="516" spans="2:14" x14ac:dyDescent="0.25">
      <c r="B516" s="7">
        <f t="shared" si="98"/>
        <v>143.3600000000005</v>
      </c>
      <c r="C516" s="9">
        <f t="shared" si="100"/>
        <v>-81.520253450065738</v>
      </c>
      <c r="D516" s="10">
        <f t="shared" si="99"/>
        <v>0.28487402130688788</v>
      </c>
      <c r="E516" s="10">
        <f t="shared" ref="E516:E579" si="105">dvdt($C516+h/2*D516,$I516+(h/2)/2*(2*C516+D516*h/2))</f>
        <v>0.28418257284358056</v>
      </c>
      <c r="F516" s="10">
        <f t="shared" ref="F516:F579" si="106">dvdt($C516+h/2*E516,$I516+(h/2)/2*(2*$C516+E516*h/2))</f>
        <v>0.28420656310538167</v>
      </c>
      <c r="G516" s="10">
        <f t="shared" ref="G516:G579" si="107">dvdt($C516+h*F516,$I516+h/2*(2*$C516+F516*h))</f>
        <v>0.28351624042010382</v>
      </c>
      <c r="H516" s="9">
        <f t="shared" ref="H516:H579" si="108">C516+h/6*(D516+2*E516+2*F516+G516)</f>
        <v>-81.440678918496573</v>
      </c>
      <c r="I516" s="8">
        <f t="shared" si="101"/>
        <v>13530.672762960554</v>
      </c>
      <c r="J516" s="9">
        <f t="shared" si="102"/>
        <v>-81.520253450065738</v>
      </c>
      <c r="K516" s="9">
        <f t="shared" si="103"/>
        <v>-81.440678918496573</v>
      </c>
      <c r="L516" s="8">
        <f t="shared" ref="L516:L579" si="109">I516+h/2*(J516+K516)</f>
        <v>13507.858232428955</v>
      </c>
      <c r="N516" s="16">
        <f t="shared" si="104"/>
        <v>3.5764331372322391</v>
      </c>
    </row>
    <row r="517" spans="2:14" x14ac:dyDescent="0.25">
      <c r="B517" s="7">
        <f t="shared" ref="B517:B580" si="110">B516+h</f>
        <v>143.6400000000005</v>
      </c>
      <c r="C517" s="9">
        <f t="shared" si="100"/>
        <v>-81.440678918496573</v>
      </c>
      <c r="D517" s="10">
        <f t="shared" si="99"/>
        <v>0.28351706028865475</v>
      </c>
      <c r="E517" s="10">
        <f t="shared" si="105"/>
        <v>0.28283034207613933</v>
      </c>
      <c r="F517" s="10">
        <f t="shared" si="106"/>
        <v>0.28285418824035613</v>
      </c>
      <c r="G517" s="10">
        <f t="shared" si="107"/>
        <v>0.28216857746781959</v>
      </c>
      <c r="H517" s="9">
        <f t="shared" si="108"/>
        <v>-81.361483032571726</v>
      </c>
      <c r="I517" s="8">
        <f t="shared" si="101"/>
        <v>13507.858232428955</v>
      </c>
      <c r="J517" s="9">
        <f t="shared" si="102"/>
        <v>-81.440678918496573</v>
      </c>
      <c r="K517" s="9">
        <f t="shared" si="103"/>
        <v>-81.361483032571726</v>
      </c>
      <c r="L517" s="8">
        <f t="shared" si="109"/>
        <v>13485.065929755805</v>
      </c>
      <c r="N517" s="16">
        <f t="shared" si="104"/>
        <v>3.5829438288485336</v>
      </c>
    </row>
    <row r="518" spans="2:14" x14ac:dyDescent="0.25">
      <c r="B518" s="7">
        <f t="shared" si="110"/>
        <v>143.9200000000005</v>
      </c>
      <c r="C518" s="9">
        <f t="shared" si="100"/>
        <v>-81.361483032571726</v>
      </c>
      <c r="D518" s="10">
        <f t="shared" ref="D518:D581" si="111">dvdt($C518,$I518)</f>
        <v>0.28216939322892476</v>
      </c>
      <c r="E518" s="10">
        <f t="shared" si="105"/>
        <v>0.28148735597874275</v>
      </c>
      <c r="F518" s="10">
        <f t="shared" si="106"/>
        <v>0.28151105943316668</v>
      </c>
      <c r="G518" s="10">
        <f t="shared" si="107"/>
        <v>0.2808301115698259</v>
      </c>
      <c r="H518" s="9">
        <f t="shared" si="108"/>
        <v>-81.282663203576007</v>
      </c>
      <c r="I518" s="8">
        <f t="shared" si="101"/>
        <v>13485.065929755805</v>
      </c>
      <c r="J518" s="9">
        <f t="shared" si="102"/>
        <v>-81.361483032571726</v>
      </c>
      <c r="K518" s="9">
        <f t="shared" si="103"/>
        <v>-81.282663203576007</v>
      </c>
      <c r="L518" s="8">
        <f t="shared" si="109"/>
        <v>13462.295749282745</v>
      </c>
      <c r="N518" s="16">
        <f t="shared" si="104"/>
        <v>3.5894430573954099</v>
      </c>
    </row>
    <row r="519" spans="2:14" x14ac:dyDescent="0.25">
      <c r="B519" s="7">
        <f t="shared" si="110"/>
        <v>144.2000000000005</v>
      </c>
      <c r="C519" s="9">
        <f t="shared" si="100"/>
        <v>-81.282663203576007</v>
      </c>
      <c r="D519" s="10">
        <f t="shared" si="111"/>
        <v>0.28083092325872611</v>
      </c>
      <c r="E519" s="10">
        <f t="shared" si="105"/>
        <v>0.28015351836166308</v>
      </c>
      <c r="F519" s="10">
        <f t="shared" si="106"/>
        <v>0.2801770804758803</v>
      </c>
      <c r="G519" s="10">
        <f t="shared" si="107"/>
        <v>0.27950074719197088</v>
      </c>
      <c r="H519" s="9">
        <f t="shared" si="108"/>
        <v>-81.204216869730132</v>
      </c>
      <c r="I519" s="8">
        <f t="shared" si="101"/>
        <v>13462.295749282745</v>
      </c>
      <c r="J519" s="9">
        <f t="shared" si="102"/>
        <v>-81.282663203576007</v>
      </c>
      <c r="K519" s="9">
        <f t="shared" si="103"/>
        <v>-81.204216869730132</v>
      </c>
      <c r="L519" s="8">
        <f t="shared" si="109"/>
        <v>13439.547586072482</v>
      </c>
      <c r="N519" s="16">
        <f t="shared" si="104"/>
        <v>3.5959308290136232</v>
      </c>
    </row>
    <row r="520" spans="2:14" x14ac:dyDescent="0.25">
      <c r="B520" s="7">
        <f t="shared" si="110"/>
        <v>144.4800000000005</v>
      </c>
      <c r="C520" s="9">
        <f t="shared" si="100"/>
        <v>-81.204216869730132</v>
      </c>
      <c r="D520" s="10">
        <f t="shared" si="111"/>
        <v>0.2795015548434841</v>
      </c>
      <c r="E520" s="10">
        <f t="shared" si="105"/>
        <v>0.27882873435733346</v>
      </c>
      <c r="F520" s="10">
        <f t="shared" si="106"/>
        <v>0.2788521564830479</v>
      </c>
      <c r="G520" s="10">
        <f t="shared" si="107"/>
        <v>0.27818039011049245</v>
      </c>
      <c r="H520" s="9">
        <f t="shared" si="108"/>
        <v>-81.126141495820505</v>
      </c>
      <c r="I520" s="8">
        <f t="shared" si="101"/>
        <v>13439.547586072482</v>
      </c>
      <c r="J520" s="9">
        <f t="shared" si="102"/>
        <v>-81.204216869730132</v>
      </c>
      <c r="K520" s="9">
        <f t="shared" si="103"/>
        <v>-81.126141495820505</v>
      </c>
      <c r="L520" s="8">
        <f t="shared" si="109"/>
        <v>13416.821335901304</v>
      </c>
      <c r="N520" s="16">
        <f t="shared" si="104"/>
        <v>3.6024071497553734</v>
      </c>
    </row>
    <row r="521" spans="2:14" x14ac:dyDescent="0.25">
      <c r="B521" s="7">
        <f t="shared" si="110"/>
        <v>144.7600000000005</v>
      </c>
      <c r="C521" s="9">
        <f t="shared" si="100"/>
        <v>-81.126141495820505</v>
      </c>
      <c r="D521" s="10">
        <f t="shared" si="111"/>
        <v>0.27818119375902456</v>
      </c>
      <c r="E521" s="10">
        <f t="shared" si="105"/>
        <v>0.27751291039663539</v>
      </c>
      <c r="F521" s="10">
        <f t="shared" si="106"/>
        <v>0.27753619386797801</v>
      </c>
      <c r="G521" s="10">
        <f t="shared" si="107"/>
        <v>0.27686894738855472</v>
      </c>
      <c r="H521" s="9">
        <f t="shared" si="108"/>
        <v>-81.048434572835589</v>
      </c>
      <c r="I521" s="8">
        <f t="shared" si="101"/>
        <v>13416.821335901304</v>
      </c>
      <c r="J521" s="9">
        <f t="shared" si="102"/>
        <v>-81.126141495820505</v>
      </c>
      <c r="K521" s="9">
        <f t="shared" si="103"/>
        <v>-81.048434572835589</v>
      </c>
      <c r="L521" s="8">
        <f t="shared" si="109"/>
        <v>13394.116895251693</v>
      </c>
      <c r="N521" s="16">
        <f t="shared" si="104"/>
        <v>3.608872025585149</v>
      </c>
    </row>
    <row r="522" spans="2:14" x14ac:dyDescent="0.25">
      <c r="B522" s="7">
        <f t="shared" si="110"/>
        <v>145.0400000000005</v>
      </c>
      <c r="C522" s="9">
        <f t="shared" si="100"/>
        <v>-81.048434572835589</v>
      </c>
      <c r="D522" s="10">
        <f t="shared" si="111"/>
        <v>0.27686974706809386</v>
      </c>
      <c r="E522" s="10">
        <f t="shared" si="105"/>
        <v>0.276205954185678</v>
      </c>
      <c r="F522" s="10">
        <f t="shared" si="106"/>
        <v>0.27622910031953068</v>
      </c>
      <c r="G522" s="10">
        <f t="shared" si="107"/>
        <v>0.27556632735332026</v>
      </c>
      <c r="H522" s="9">
        <f t="shared" si="108"/>
        <v>-80.971093617608773</v>
      </c>
      <c r="I522" s="8">
        <f t="shared" si="101"/>
        <v>13394.116895251693</v>
      </c>
      <c r="J522" s="9">
        <f t="shared" si="102"/>
        <v>-81.048434572835589</v>
      </c>
      <c r="K522" s="9">
        <f t="shared" si="103"/>
        <v>-80.971093617608773</v>
      </c>
      <c r="L522" s="8">
        <f t="shared" si="109"/>
        <v>13371.434161305031</v>
      </c>
      <c r="N522" s="16">
        <f t="shared" si="104"/>
        <v>3.6153254623805466</v>
      </c>
    </row>
    <row r="523" spans="2:14" x14ac:dyDescent="0.25">
      <c r="B523" s="7">
        <f t="shared" si="110"/>
        <v>145.3200000000005</v>
      </c>
      <c r="C523" s="9">
        <f t="shared" si="100"/>
        <v>-80.971093617608773</v>
      </c>
      <c r="D523" s="10">
        <f t="shared" si="111"/>
        <v>0.27556712309745651</v>
      </c>
      <c r="E523" s="10">
        <f t="shared" si="105"/>
        <v>0.27490777468319816</v>
      </c>
      <c r="F523" s="10">
        <f t="shared" si="106"/>
        <v>0.27493078477947497</v>
      </c>
      <c r="G523" s="10">
        <f t="shared" si="107"/>
        <v>0.27427243957356884</v>
      </c>
      <c r="H523" s="9">
        <f t="shared" si="108"/>
        <v>-80.894116172467605</v>
      </c>
      <c r="I523" s="8">
        <f t="shared" si="101"/>
        <v>13371.434161305031</v>
      </c>
      <c r="J523" s="9">
        <f t="shared" si="102"/>
        <v>-80.971093617608773</v>
      </c>
      <c r="K523" s="9">
        <f t="shared" si="103"/>
        <v>-80.894116172467605</v>
      </c>
      <c r="L523" s="8">
        <f t="shared" si="109"/>
        <v>13348.773031934421</v>
      </c>
      <c r="N523" s="16">
        <f t="shared" si="104"/>
        <v>3.6217674659330905</v>
      </c>
    </row>
    <row r="524" spans="2:14" x14ac:dyDescent="0.25">
      <c r="B524" s="7">
        <f t="shared" si="110"/>
        <v>145.60000000000051</v>
      </c>
      <c r="C524" s="9">
        <f t="shared" si="100"/>
        <v>-80.894116172467605</v>
      </c>
      <c r="D524" s="10">
        <f t="shared" si="111"/>
        <v>0.27427323141549109</v>
      </c>
      <c r="E524" s="10">
        <f t="shared" si="105"/>
        <v>0.27361828207838707</v>
      </c>
      <c r="F524" s="10">
        <f t="shared" si="106"/>
        <v>0.27364115742033962</v>
      </c>
      <c r="G524" s="10">
        <f t="shared" si="107"/>
        <v>0.2729871948378006</v>
      </c>
      <c r="H524" s="9">
        <f t="shared" si="108"/>
        <v>-80.817499804889238</v>
      </c>
      <c r="I524" s="8">
        <f t="shared" si="101"/>
        <v>13348.773031934421</v>
      </c>
      <c r="J524" s="9">
        <f t="shared" si="102"/>
        <v>-80.894116172467605</v>
      </c>
      <c r="K524" s="9">
        <f t="shared" si="103"/>
        <v>-80.817499804889238</v>
      </c>
      <c r="L524" s="8">
        <f t="shared" si="109"/>
        <v>13326.13340569759</v>
      </c>
      <c r="N524" s="16">
        <f t="shared" si="104"/>
        <v>3.6281980419490267</v>
      </c>
    </row>
    <row r="525" spans="2:14" x14ac:dyDescent="0.25">
      <c r="B525" s="7">
        <f t="shared" si="110"/>
        <v>145.88000000000051</v>
      </c>
      <c r="C525" s="9">
        <f t="shared" si="100"/>
        <v>-80.817499804889238</v>
      </c>
      <c r="D525" s="10">
        <f t="shared" si="111"/>
        <v>0.27298798281031472</v>
      </c>
      <c r="E525" s="10">
        <f t="shared" si="105"/>
        <v>0.2723373877692789</v>
      </c>
      <c r="F525" s="10">
        <f t="shared" si="106"/>
        <v>0.27236012962378203</v>
      </c>
      <c r="G525" s="10">
        <f t="shared" si="107"/>
        <v>0.27171050513286982</v>
      </c>
      <c r="H525" s="9">
        <f t="shared" si="108"/>
        <v>-80.741242107161867</v>
      </c>
      <c r="I525" s="8">
        <f t="shared" si="101"/>
        <v>13326.13340569759</v>
      </c>
      <c r="J525" s="9">
        <f t="shared" si="102"/>
        <v>-80.817499804889238</v>
      </c>
      <c r="K525" s="9">
        <f t="shared" si="103"/>
        <v>-80.741242107161867</v>
      </c>
      <c r="L525" s="8">
        <f t="shared" si="109"/>
        <v>13303.515181829904</v>
      </c>
      <c r="N525" s="16">
        <f t="shared" si="104"/>
        <v>3.6346171960501108</v>
      </c>
    </row>
    <row r="526" spans="2:14" x14ac:dyDescent="0.25">
      <c r="B526" s="7">
        <f t="shared" si="110"/>
        <v>146.16000000000051</v>
      </c>
      <c r="C526" s="9">
        <f t="shared" si="100"/>
        <v>-80.741242107161867</v>
      </c>
      <c r="D526" s="10">
        <f t="shared" si="111"/>
        <v>0.27171128926838656</v>
      </c>
      <c r="E526" s="10">
        <f t="shared" si="105"/>
        <v>0.27106500434159925</v>
      </c>
      <c r="F526" s="10">
        <f t="shared" si="106"/>
        <v>0.27108761395942582</v>
      </c>
      <c r="G526" s="10">
        <f t="shared" si="107"/>
        <v>0.27044228362305289</v>
      </c>
      <c r="H526" s="9">
        <f t="shared" si="108"/>
        <v>-80.665340696052169</v>
      </c>
      <c r="I526" s="8">
        <f t="shared" si="101"/>
        <v>13303.515181829904</v>
      </c>
      <c r="J526" s="9">
        <f t="shared" si="102"/>
        <v>-80.741242107161867</v>
      </c>
      <c r="K526" s="9">
        <f t="shared" si="103"/>
        <v>-80.665340696052169</v>
      </c>
      <c r="L526" s="8">
        <f t="shared" si="109"/>
        <v>13280.918260237453</v>
      </c>
      <c r="N526" s="16">
        <f t="shared" si="104"/>
        <v>3.6410249337743821</v>
      </c>
    </row>
    <row r="527" spans="2:14" x14ac:dyDescent="0.25">
      <c r="B527" s="7">
        <f t="shared" si="110"/>
        <v>146.44000000000051</v>
      </c>
      <c r="C527" s="9">
        <f t="shared" si="100"/>
        <v>-80.665340696052169</v>
      </c>
      <c r="D527" s="10">
        <f t="shared" si="111"/>
        <v>0.2704430639536119</v>
      </c>
      <c r="E527" s="10">
        <f t="shared" si="105"/>
        <v>0.26980104554809053</v>
      </c>
      <c r="F527" s="10">
        <f t="shared" si="106"/>
        <v>0.26982352416419797</v>
      </c>
      <c r="G527" s="10">
        <f t="shared" si="107"/>
        <v>0.26918244462961366</v>
      </c>
      <c r="H527" s="9">
        <f t="shared" si="108"/>
        <v>-80.589793212478469</v>
      </c>
      <c r="I527" s="8">
        <f t="shared" si="101"/>
        <v>13280.918260237453</v>
      </c>
      <c r="J527" s="9">
        <f t="shared" si="102"/>
        <v>-80.665340696052169</v>
      </c>
      <c r="K527" s="9">
        <f t="shared" si="103"/>
        <v>-80.589793212478469</v>
      </c>
      <c r="L527" s="8">
        <f t="shared" si="109"/>
        <v>13258.342541490259</v>
      </c>
      <c r="N527" s="16">
        <f t="shared" si="104"/>
        <v>3.6474212605769263</v>
      </c>
    </row>
    <row r="528" spans="2:14" x14ac:dyDescent="0.25">
      <c r="B528" s="7">
        <f t="shared" si="110"/>
        <v>146.72000000000051</v>
      </c>
      <c r="C528" s="9">
        <f t="shared" si="100"/>
        <v>-80.589793212478469</v>
      </c>
      <c r="D528" s="10">
        <f t="shared" si="111"/>
        <v>0.26918322118688093</v>
      </c>
      <c r="E528" s="10">
        <f t="shared" si="105"/>
        <v>0.26854542628832717</v>
      </c>
      <c r="F528" s="10">
        <f t="shared" si="106"/>
        <v>0.26856777512211344</v>
      </c>
      <c r="G528" s="10">
        <f t="shared" si="107"/>
        <v>0.26793090361081967</v>
      </c>
      <c r="H528" s="9">
        <f t="shared" si="108"/>
        <v>-80.514597321189598</v>
      </c>
      <c r="I528" s="8">
        <f t="shared" si="101"/>
        <v>13258.342541490259</v>
      </c>
      <c r="J528" s="9">
        <f t="shared" si="102"/>
        <v>-80.589793212478469</v>
      </c>
      <c r="K528" s="9">
        <f t="shared" si="103"/>
        <v>-80.514597321189598</v>
      </c>
      <c r="L528" s="8">
        <f t="shared" si="109"/>
        <v>13235.787926815547</v>
      </c>
      <c r="N528" s="16">
        <f t="shared" si="104"/>
        <v>3.6538061818306198</v>
      </c>
    </row>
    <row r="529" spans="2:14" x14ac:dyDescent="0.25">
      <c r="B529" s="7">
        <f t="shared" si="110"/>
        <v>147.00000000000051</v>
      </c>
      <c r="C529" s="9">
        <f t="shared" si="100"/>
        <v>-80.514597321189598</v>
      </c>
      <c r="D529" s="10">
        <f t="shared" si="111"/>
        <v>0.26793167642610366</v>
      </c>
      <c r="E529" s="10">
        <f t="shared" si="105"/>
        <v>0.26729806258891659</v>
      </c>
      <c r="F529" s="10">
        <f t="shared" si="106"/>
        <v>0.26732028284448489</v>
      </c>
      <c r="G529" s="10">
        <f t="shared" si="107"/>
        <v>0.2666875771424046</v>
      </c>
      <c r="H529" s="9">
        <f t="shared" si="108"/>
        <v>-80.439750710449289</v>
      </c>
      <c r="I529" s="8">
        <f t="shared" si="101"/>
        <v>13235.787926815547</v>
      </c>
      <c r="J529" s="9">
        <f t="shared" si="102"/>
        <v>-80.514597321189598</v>
      </c>
      <c r="K529" s="9">
        <f t="shared" si="103"/>
        <v>-80.439750710449289</v>
      </c>
      <c r="L529" s="8">
        <f t="shared" si="109"/>
        <v>13213.254318091118</v>
      </c>
      <c r="N529" s="16">
        <f t="shared" si="104"/>
        <v>3.6601797028268739</v>
      </c>
    </row>
    <row r="530" spans="2:14" x14ac:dyDescent="0.25">
      <c r="B530" s="7">
        <f t="shared" si="110"/>
        <v>147.28000000000051</v>
      </c>
      <c r="C530" s="9">
        <f t="shared" si="100"/>
        <v>-80.439750710449289</v>
      </c>
      <c r="D530" s="10">
        <f t="shared" si="111"/>
        <v>0.26668834624664378</v>
      </c>
      <c r="E530" s="10">
        <f t="shared" si="105"/>
        <v>0.26605887158420571</v>
      </c>
      <c r="F530" s="10">
        <f t="shared" si="106"/>
        <v>0.26608096445062523</v>
      </c>
      <c r="G530" s="10">
        <f t="shared" si="107"/>
        <v>0.2654523828984327</v>
      </c>
      <c r="H530" s="9">
        <f t="shared" si="108"/>
        <v>-80.365251091725938</v>
      </c>
      <c r="I530" s="8">
        <f t="shared" si="101"/>
        <v>13213.254318091118</v>
      </c>
      <c r="J530" s="9">
        <f t="shared" si="102"/>
        <v>-80.439750710449289</v>
      </c>
      <c r="K530" s="9">
        <f t="shared" si="103"/>
        <v>-80.365251091725938</v>
      </c>
      <c r="L530" s="8">
        <f t="shared" si="109"/>
        <v>13190.741617838814</v>
      </c>
      <c r="N530" s="16">
        <f t="shared" si="104"/>
        <v>3.6665418287763529</v>
      </c>
    </row>
    <row r="531" spans="2:14" x14ac:dyDescent="0.25">
      <c r="B531" s="7">
        <f t="shared" si="110"/>
        <v>147.56000000000051</v>
      </c>
      <c r="C531" s="9">
        <f t="shared" si="100"/>
        <v>-80.365251091725938</v>
      </c>
      <c r="D531" s="10">
        <f t="shared" si="111"/>
        <v>0.26545314832221212</v>
      </c>
      <c r="E531" s="10">
        <f t="shared" si="105"/>
        <v>0.26482777149733605</v>
      </c>
      <c r="F531" s="10">
        <f t="shared" si="106"/>
        <v>0.26484973814889506</v>
      </c>
      <c r="G531" s="10">
        <f t="shared" si="107"/>
        <v>0.26422523963259154</v>
      </c>
      <c r="H531" s="9">
        <f t="shared" si="108"/>
        <v>-80.291096199387738</v>
      </c>
      <c r="I531" s="8">
        <f t="shared" si="101"/>
        <v>13190.741617838814</v>
      </c>
      <c r="J531" s="9">
        <f t="shared" si="102"/>
        <v>-80.365251091725938</v>
      </c>
      <c r="K531" s="9">
        <f t="shared" si="103"/>
        <v>-80.291096199387738</v>
      </c>
      <c r="L531" s="8">
        <f t="shared" si="109"/>
        <v>13168.249729218058</v>
      </c>
      <c r="N531" s="16">
        <f t="shared" si="104"/>
        <v>3.6728925648096959</v>
      </c>
    </row>
    <row r="532" spans="2:14" x14ac:dyDescent="0.25">
      <c r="B532" s="7">
        <f t="shared" si="110"/>
        <v>147.84000000000052</v>
      </c>
      <c r="C532" s="9">
        <f t="shared" si="100"/>
        <v>-80.291096199387738</v>
      </c>
      <c r="D532" s="10">
        <f t="shared" si="111"/>
        <v>0.26422600140615543</v>
      </c>
      <c r="E532" s="10">
        <f t="shared" si="105"/>
        <v>0.2636046816217878</v>
      </c>
      <c r="F532" s="10">
        <f t="shared" si="106"/>
        <v>0.2636265232182286</v>
      </c>
      <c r="G532" s="10">
        <f t="shared" si="107"/>
        <v>0.26300606715992936</v>
      </c>
      <c r="H532" s="9">
        <f t="shared" si="108"/>
        <v>-80.217283790402917</v>
      </c>
      <c r="I532" s="8">
        <f t="shared" si="101"/>
        <v>13168.249729218058</v>
      </c>
      <c r="J532" s="9">
        <f t="shared" si="102"/>
        <v>-80.291096199387738</v>
      </c>
      <c r="K532" s="9">
        <f t="shared" si="103"/>
        <v>-80.217283790402917</v>
      </c>
      <c r="L532" s="8">
        <f t="shared" si="109"/>
        <v>13145.778556019488</v>
      </c>
      <c r="N532" s="16">
        <f t="shared" si="104"/>
        <v>3.6792319159782125</v>
      </c>
    </row>
    <row r="533" spans="2:14" x14ac:dyDescent="0.25">
      <c r="B533" s="7">
        <f t="shared" si="110"/>
        <v>148.12000000000052</v>
      </c>
      <c r="C533" s="9">
        <f t="shared" si="100"/>
        <v>-80.217283790402917</v>
      </c>
      <c r="D533" s="10">
        <f t="shared" si="111"/>
        <v>0.26300682531316766</v>
      </c>
      <c r="E533" s="10">
        <f t="shared" si="105"/>
        <v>0.26238952230325474</v>
      </c>
      <c r="F533" s="10">
        <f t="shared" si="106"/>
        <v>0.2624112399900202</v>
      </c>
      <c r="G533" s="10">
        <f t="shared" si="107"/>
        <v>0.26179478633890635</v>
      </c>
      <c r="H533" s="9">
        <f t="shared" si="108"/>
        <v>-80.143811644045115</v>
      </c>
      <c r="I533" s="8">
        <f t="shared" si="101"/>
        <v>13145.778556019488</v>
      </c>
      <c r="J533" s="9">
        <f t="shared" si="102"/>
        <v>-80.217283790402917</v>
      </c>
      <c r="K533" s="9">
        <f t="shared" si="103"/>
        <v>-80.143811644045115</v>
      </c>
      <c r="L533" s="8">
        <f t="shared" si="109"/>
        <v>13123.328002658665</v>
      </c>
      <c r="N533" s="16">
        <f t="shared" si="104"/>
        <v>3.6855598872545809</v>
      </c>
    </row>
    <row r="534" spans="2:14" x14ac:dyDescent="0.25">
      <c r="B534" s="7">
        <f t="shared" si="110"/>
        <v>148.40000000000052</v>
      </c>
      <c r="C534" s="9">
        <f t="shared" si="100"/>
        <v>-80.143811644045115</v>
      </c>
      <c r="D534" s="10">
        <f t="shared" si="111"/>
        <v>0.26179554090138096</v>
      </c>
      <c r="E534" s="10">
        <f t="shared" si="105"/>
        <v>0.26118221492195837</v>
      </c>
      <c r="F534" s="10">
        <f t="shared" si="106"/>
        <v>0.26120380983042968</v>
      </c>
      <c r="G534" s="10">
        <f t="shared" si="107"/>
        <v>0.26059131905390731</v>
      </c>
      <c r="H534" s="9">
        <f t="shared" si="108"/>
        <v>-80.070677561603645</v>
      </c>
      <c r="I534" s="8">
        <f t="shared" si="101"/>
        <v>13123.328002658665</v>
      </c>
      <c r="J534" s="9">
        <f t="shared" si="102"/>
        <v>-80.143811644045115</v>
      </c>
      <c r="K534" s="9">
        <f t="shared" si="103"/>
        <v>-80.070677561603645</v>
      </c>
      <c r="L534" s="8">
        <f t="shared" si="109"/>
        <v>13100.897974169875</v>
      </c>
      <c r="N534" s="16">
        <f t="shared" si="104"/>
        <v>3.6918764835335236</v>
      </c>
    </row>
    <row r="535" spans="2:14" x14ac:dyDescent="0.25">
      <c r="B535" s="7">
        <f t="shared" si="110"/>
        <v>148.68000000000052</v>
      </c>
      <c r="C535" s="9">
        <f t="shared" si="100"/>
        <v>-80.070677561603645</v>
      </c>
      <c r="D535" s="10">
        <f t="shared" si="111"/>
        <v>0.2605920700548528</v>
      </c>
      <c r="E535" s="10">
        <f t="shared" si="105"/>
        <v>0.259982681875296</v>
      </c>
      <c r="F535" s="10">
        <f t="shared" si="106"/>
        <v>0.26000415512301861</v>
      </c>
      <c r="G535" s="10">
        <f t="shared" si="107"/>
        <v>0.25939558819809511</v>
      </c>
      <c r="H535" s="9">
        <f t="shared" si="108"/>
        <v>-79.997879366098658</v>
      </c>
      <c r="I535" s="8">
        <f t="shared" si="101"/>
        <v>13100.897974169875</v>
      </c>
      <c r="J535" s="9">
        <f t="shared" si="102"/>
        <v>-80.070677561603645</v>
      </c>
      <c r="K535" s="9">
        <f t="shared" si="103"/>
        <v>-79.997879366098658</v>
      </c>
      <c r="L535" s="8">
        <f t="shared" si="109"/>
        <v>13078.488376199997</v>
      </c>
      <c r="N535" s="16">
        <f t="shared" si="104"/>
        <v>3.6981817096324843</v>
      </c>
    </row>
    <row r="536" spans="2:14" x14ac:dyDescent="0.25">
      <c r="B536" s="7">
        <f t="shared" si="110"/>
        <v>148.96000000000052</v>
      </c>
      <c r="C536" s="9">
        <f t="shared" ref="C536:C599" si="112">H535</f>
        <v>-79.997879366098658</v>
      </c>
      <c r="D536" s="10">
        <f t="shared" si="111"/>
        <v>0.25939633566640213</v>
      </c>
      <c r="E536" s="10">
        <f t="shared" si="105"/>
        <v>0.25879084656088941</v>
      </c>
      <c r="F536" s="10">
        <f t="shared" si="106"/>
        <v>0.25881219925180216</v>
      </c>
      <c r="G536" s="10">
        <f t="shared" si="107"/>
        <v>0.25820751765660249</v>
      </c>
      <c r="H536" s="9">
        <f t="shared" si="108"/>
        <v>-79.925414902001066</v>
      </c>
      <c r="I536" s="8">
        <f t="shared" ref="I536:I599" si="113">L535</f>
        <v>13078.488376199997</v>
      </c>
      <c r="J536" s="9">
        <f t="shared" ref="J536:J599" si="114">C536</f>
        <v>-79.997879366098658</v>
      </c>
      <c r="K536" s="9">
        <f t="shared" ref="K536:K599" si="115">H536</f>
        <v>-79.925414902001066</v>
      </c>
      <c r="L536" s="8">
        <f t="shared" si="109"/>
        <v>13056.099115002464</v>
      </c>
      <c r="N536" s="16">
        <f t="shared" ref="N536:N599" si="116">C_y(I536)</f>
        <v>3.7044755702922805</v>
      </c>
    </row>
    <row r="537" spans="2:14" x14ac:dyDescent="0.25">
      <c r="B537" s="7">
        <f t="shared" si="110"/>
        <v>149.24000000000052</v>
      </c>
      <c r="C537" s="9">
        <f t="shared" si="112"/>
        <v>-79.925414902001066</v>
      </c>
      <c r="D537" s="10">
        <f t="shared" si="111"/>
        <v>0.25820826162084942</v>
      </c>
      <c r="E537" s="10">
        <f t="shared" si="105"/>
        <v>0.25760663335999406</v>
      </c>
      <c r="F537" s="10">
        <f t="shared" si="106"/>
        <v>0.25762786658464065</v>
      </c>
      <c r="G537" s="10">
        <f t="shared" si="107"/>
        <v>0.25702703229010915</v>
      </c>
      <c r="H537" s="9">
        <f t="shared" si="108"/>
        <v>-79.853282034957061</v>
      </c>
      <c r="I537" s="8">
        <f t="shared" si="113"/>
        <v>13056.099115002464</v>
      </c>
      <c r="J537" s="9">
        <f t="shared" si="114"/>
        <v>-79.925414902001066</v>
      </c>
      <c r="K537" s="9">
        <f t="shared" si="115"/>
        <v>-79.853282034957061</v>
      </c>
      <c r="L537" s="8">
        <f t="shared" si="109"/>
        <v>13033.730097431289</v>
      </c>
      <c r="N537" s="16">
        <f t="shared" si="116"/>
        <v>3.7107580701777612</v>
      </c>
    </row>
    <row r="538" spans="2:14" x14ac:dyDescent="0.25">
      <c r="B538" s="7">
        <f t="shared" si="110"/>
        <v>149.52000000000052</v>
      </c>
      <c r="C538" s="9">
        <f t="shared" si="112"/>
        <v>-79.853282034957061</v>
      </c>
      <c r="D538" s="10">
        <f t="shared" si="111"/>
        <v>0.25702777277856625</v>
      </c>
      <c r="E538" s="10">
        <f t="shared" si="105"/>
        <v>0.2564299676212165</v>
      </c>
      <c r="F538" s="10">
        <f t="shared" si="106"/>
        <v>0.25645108245696552</v>
      </c>
      <c r="G538" s="10">
        <f t="shared" si="107"/>
        <v>0.25585405791877674</v>
      </c>
      <c r="H538" s="9">
        <f t="shared" si="108"/>
        <v>-79.781478651517219</v>
      </c>
      <c r="I538" s="8">
        <f t="shared" si="113"/>
        <v>13033.730097431289</v>
      </c>
      <c r="J538" s="9">
        <f t="shared" si="114"/>
        <v>-79.853282034957061</v>
      </c>
      <c r="K538" s="9">
        <f t="shared" si="115"/>
        <v>-79.781478651517219</v>
      </c>
      <c r="L538" s="8">
        <f t="shared" si="109"/>
        <v>13011.381230935183</v>
      </c>
      <c r="N538" s="16">
        <f t="shared" si="116"/>
        <v>3.7170292138784427</v>
      </c>
    </row>
    <row r="539" spans="2:14" x14ac:dyDescent="0.25">
      <c r="B539" s="7">
        <f t="shared" si="110"/>
        <v>149.80000000000052</v>
      </c>
      <c r="C539" s="9">
        <f t="shared" si="112"/>
        <v>-79.781478651517219</v>
      </c>
      <c r="D539" s="10">
        <f t="shared" si="111"/>
        <v>0.25585479495938146</v>
      </c>
      <c r="E539" s="10">
        <f t="shared" si="105"/>
        <v>0.25526077564460209</v>
      </c>
      <c r="F539" s="10">
        <f t="shared" si="106"/>
        <v>0.2552817731558667</v>
      </c>
      <c r="G539" s="10">
        <f t="shared" si="107"/>
        <v>0.25468852130645825</v>
      </c>
      <c r="H539" s="9">
        <f t="shared" si="108"/>
        <v>-79.710002658870096</v>
      </c>
      <c r="I539" s="8">
        <f t="shared" si="113"/>
        <v>13011.381230935183</v>
      </c>
      <c r="J539" s="9">
        <f t="shared" si="114"/>
        <v>-79.781478651517219</v>
      </c>
      <c r="K539" s="9">
        <f t="shared" si="115"/>
        <v>-79.710002658870096</v>
      </c>
      <c r="L539" s="8">
        <f t="shared" si="109"/>
        <v>12989.05242355173</v>
      </c>
      <c r="N539" s="16">
        <f t="shared" si="116"/>
        <v>3.7232890059091375</v>
      </c>
    </row>
    <row r="540" spans="2:14" x14ac:dyDescent="0.25">
      <c r="B540" s="7">
        <f t="shared" si="110"/>
        <v>150.08000000000052</v>
      </c>
      <c r="C540" s="9">
        <f t="shared" si="112"/>
        <v>-79.710002658870096</v>
      </c>
      <c r="D540" s="10">
        <f t="shared" si="111"/>
        <v>0.25468925492685413</v>
      </c>
      <c r="E540" s="10">
        <f t="shared" si="105"/>
        <v>0.25409898466607161</v>
      </c>
      <c r="F540" s="10">
        <f t="shared" si="106"/>
        <v>0.25411986590450275</v>
      </c>
      <c r="G540" s="10">
        <f t="shared" si="107"/>
        <v>0.25353035014529357</v>
      </c>
      <c r="H540" s="9">
        <f t="shared" si="108"/>
        <v>-79.638851984580143</v>
      </c>
      <c r="I540" s="8">
        <f t="shared" si="113"/>
        <v>12989.05242355173</v>
      </c>
      <c r="J540" s="9">
        <f t="shared" si="114"/>
        <v>-79.710002658870096</v>
      </c>
      <c r="K540" s="9">
        <f t="shared" si="115"/>
        <v>-79.638851984580143</v>
      </c>
      <c r="L540" s="8">
        <f t="shared" si="109"/>
        <v>12966.743583901647</v>
      </c>
      <c r="N540" s="16">
        <f t="shared" si="116"/>
        <v>3.729537450710581</v>
      </c>
    </row>
    <row r="541" spans="2:14" x14ac:dyDescent="0.25">
      <c r="B541" s="7">
        <f t="shared" si="110"/>
        <v>150.36000000000053</v>
      </c>
      <c r="C541" s="9">
        <f t="shared" si="112"/>
        <v>-79.638851984580143</v>
      </c>
      <c r="D541" s="10">
        <f t="shared" si="111"/>
        <v>0.25353108037282723</v>
      </c>
      <c r="E541" s="10">
        <f t="shared" si="105"/>
        <v>0.25294452284212821</v>
      </c>
      <c r="F541" s="10">
        <f t="shared" si="106"/>
        <v>0.2529652888468274</v>
      </c>
      <c r="G541" s="10">
        <f t="shared" si="107"/>
        <v>0.25237947304060487</v>
      </c>
      <c r="H541" s="9">
        <f t="shared" si="108"/>
        <v>-79.568024576329876</v>
      </c>
      <c r="I541" s="8">
        <f t="shared" si="113"/>
        <v>12966.743583901647</v>
      </c>
      <c r="J541" s="9">
        <f t="shared" si="114"/>
        <v>-79.638851984580143</v>
      </c>
      <c r="K541" s="9">
        <f t="shared" si="115"/>
        <v>-79.568024576329876</v>
      </c>
      <c r="L541" s="8">
        <f t="shared" si="109"/>
        <v>12944.45462118312</v>
      </c>
      <c r="N541" s="16">
        <f t="shared" si="116"/>
        <v>3.7357745526500374</v>
      </c>
    </row>
    <row r="542" spans="2:14" x14ac:dyDescent="0.25">
      <c r="B542" s="7">
        <f t="shared" si="110"/>
        <v>150.64000000000053</v>
      </c>
      <c r="C542" s="9">
        <f t="shared" si="112"/>
        <v>-79.568024576329876</v>
      </c>
      <c r="D542" s="10">
        <f t="shared" si="111"/>
        <v>0.25238019990230876</v>
      </c>
      <c r="E542" s="10">
        <f t="shared" si="105"/>
        <v>0.25179731923490978</v>
      </c>
      <c r="F542" s="10">
        <f t="shared" si="106"/>
        <v>0.25181797103262304</v>
      </c>
      <c r="G542" s="10">
        <f t="shared" si="107"/>
        <v>0.25123581949607565</v>
      </c>
      <c r="H542" s="9">
        <f t="shared" si="108"/>
        <v>-79.497518401666312</v>
      </c>
      <c r="I542" s="8">
        <f t="shared" si="113"/>
        <v>12944.45462118312</v>
      </c>
      <c r="J542" s="9">
        <f t="shared" si="114"/>
        <v>-79.568024576329876</v>
      </c>
      <c r="K542" s="9">
        <f t="shared" si="115"/>
        <v>-79.497518401666312</v>
      </c>
      <c r="L542" s="8">
        <f t="shared" si="109"/>
        <v>12922.1854451662</v>
      </c>
      <c r="N542" s="16">
        <f t="shared" si="116"/>
        <v>3.742000316021902</v>
      </c>
    </row>
    <row r="543" spans="2:14" x14ac:dyDescent="0.25">
      <c r="B543" s="7">
        <f t="shared" si="110"/>
        <v>150.92000000000053</v>
      </c>
      <c r="C543" s="9">
        <f t="shared" si="112"/>
        <v>-79.497518401666312</v>
      </c>
      <c r="D543" s="10">
        <f t="shared" si="111"/>
        <v>0.25123654301869486</v>
      </c>
      <c r="E543" s="10">
        <f t="shared" si="105"/>
        <v>0.25065730379755813</v>
      </c>
      <c r="F543" s="10">
        <f t="shared" si="106"/>
        <v>0.25067784240287</v>
      </c>
      <c r="G543" s="10">
        <f t="shared" si="107"/>
        <v>0.25009931989925044</v>
      </c>
      <c r="H543" s="9">
        <f t="shared" si="108"/>
        <v>-79.427331447751428</v>
      </c>
      <c r="I543" s="8">
        <f t="shared" si="113"/>
        <v>12922.1854451662</v>
      </c>
      <c r="J543" s="9">
        <f t="shared" si="114"/>
        <v>-79.497518401666312</v>
      </c>
      <c r="K543" s="9">
        <f t="shared" si="115"/>
        <v>-79.427331447751428</v>
      </c>
      <c r="L543" s="8">
        <f t="shared" si="109"/>
        <v>12899.935966187282</v>
      </c>
      <c r="N543" s="16">
        <f t="shared" si="116"/>
        <v>3.7482147450482981</v>
      </c>
    </row>
    <row r="544" spans="2:14" x14ac:dyDescent="0.25">
      <c r="B544" s="7">
        <f t="shared" si="110"/>
        <v>151.20000000000053</v>
      </c>
      <c r="C544" s="9">
        <f t="shared" si="112"/>
        <v>-79.427331447751428</v>
      </c>
      <c r="D544" s="10">
        <f t="shared" si="111"/>
        <v>0.25010004010924725</v>
      </c>
      <c r="E544" s="10">
        <f t="shared" si="105"/>
        <v>0.24952440735984383</v>
      </c>
      <c r="F544" s="10">
        <f t="shared" si="106"/>
        <v>0.24954483377536818</v>
      </c>
      <c r="G544" s="10">
        <f t="shared" si="107"/>
        <v>0.24896990550735462</v>
      </c>
      <c r="H544" s="9">
        <f t="shared" si="108"/>
        <v>-79.357461721116707</v>
      </c>
      <c r="I544" s="8">
        <f t="shared" si="113"/>
        <v>12899.935966187282</v>
      </c>
      <c r="J544" s="9">
        <f t="shared" si="114"/>
        <v>-79.427331447751428</v>
      </c>
      <c r="K544" s="9">
        <f t="shared" si="115"/>
        <v>-79.357461721116707</v>
      </c>
      <c r="L544" s="8">
        <f t="shared" si="109"/>
        <v>12877.706095143642</v>
      </c>
      <c r="N544" s="16">
        <f t="shared" si="116"/>
        <v>3.7544178438796569</v>
      </c>
    </row>
    <row r="545" spans="2:14" x14ac:dyDescent="0.25">
      <c r="B545" s="7">
        <f t="shared" si="110"/>
        <v>151.48000000000053</v>
      </c>
      <c r="C545" s="9">
        <f t="shared" si="112"/>
        <v>-79.357461721116707</v>
      </c>
      <c r="D545" s="10">
        <f t="shared" si="111"/>
        <v>0.24897062243090068</v>
      </c>
      <c r="E545" s="10">
        <f t="shared" si="105"/>
        <v>0.24839856161412313</v>
      </c>
      <c r="F545" s="10">
        <f t="shared" si="106"/>
        <v>0.24841887683069261</v>
      </c>
      <c r="G545" s="10">
        <f t="shared" si="107"/>
        <v>0.24784750843335029</v>
      </c>
      <c r="H545" s="9">
        <f t="shared" si="108"/>
        <v>-79.287907247421529</v>
      </c>
      <c r="I545" s="8">
        <f t="shared" si="113"/>
        <v>12877.706095143642</v>
      </c>
      <c r="J545" s="9">
        <f t="shared" si="114"/>
        <v>-79.357461721116707</v>
      </c>
      <c r="K545" s="9">
        <f t="shared" si="115"/>
        <v>-79.287907247421529</v>
      </c>
      <c r="L545" s="8">
        <f t="shared" si="109"/>
        <v>12855.495743488045</v>
      </c>
      <c r="N545" s="16">
        <f t="shared" si="116"/>
        <v>3.760609616595294</v>
      </c>
    </row>
    <row r="546" spans="2:14" x14ac:dyDescent="0.25">
      <c r="B546" s="7">
        <f t="shared" si="110"/>
        <v>151.76000000000053</v>
      </c>
      <c r="C546" s="9">
        <f t="shared" si="112"/>
        <v>-79.287907247421529</v>
      </c>
      <c r="D546" s="10">
        <f t="shared" si="111"/>
        <v>0.24784822209633345</v>
      </c>
      <c r="E546" s="10">
        <f t="shared" si="105"/>
        <v>0.24727969910154932</v>
      </c>
      <c r="F546" s="10">
        <f t="shared" si="106"/>
        <v>0.2472999040983955</v>
      </c>
      <c r="G546" s="10">
        <f t="shared" si="107"/>
        <v>0.24673206163228503</v>
      </c>
      <c r="H546" s="9">
        <f t="shared" si="108"/>
        <v>-79.218666071215537</v>
      </c>
      <c r="I546" s="8">
        <f t="shared" si="113"/>
        <v>12855.495743488045</v>
      </c>
      <c r="J546" s="9">
        <f t="shared" si="114"/>
        <v>-79.287907247421529</v>
      </c>
      <c r="K546" s="9">
        <f t="shared" si="115"/>
        <v>-79.218666071215537</v>
      </c>
      <c r="L546" s="8">
        <f t="shared" si="109"/>
        <v>12833.304823223436</v>
      </c>
      <c r="N546" s="16">
        <f t="shared" si="116"/>
        <v>3.7667900672039787</v>
      </c>
    </row>
    <row r="547" spans="2:14" x14ac:dyDescent="0.25">
      <c r="B547" s="7">
        <f t="shared" si="110"/>
        <v>152.04000000000053</v>
      </c>
      <c r="C547" s="9">
        <f t="shared" si="112"/>
        <v>-79.218666071215537</v>
      </c>
      <c r="D547" s="10">
        <f t="shared" si="111"/>
        <v>0.24673277206032324</v>
      </c>
      <c r="E547" s="10">
        <f t="shared" si="105"/>
        <v>0.24616775319857223</v>
      </c>
      <c r="F547" s="10">
        <f t="shared" si="106"/>
        <v>0.24618784894350479</v>
      </c>
      <c r="G547" s="10">
        <f t="shared" si="107"/>
        <v>0.24562349888796051</v>
      </c>
      <c r="H547" s="9">
        <f t="shared" si="108"/>
        <v>-79.149736255704696</v>
      </c>
      <c r="I547" s="8">
        <f t="shared" si="113"/>
        <v>12833.304823223436</v>
      </c>
      <c r="J547" s="9">
        <f t="shared" si="114"/>
        <v>-79.218666071215537</v>
      </c>
      <c r="K547" s="9">
        <f t="shared" si="115"/>
        <v>-79.149736255704696</v>
      </c>
      <c r="L547" s="8">
        <f t="shared" si="109"/>
        <v>12811.133246897667</v>
      </c>
      <c r="N547" s="16">
        <f t="shared" si="116"/>
        <v>3.772959199644486</v>
      </c>
    </row>
    <row r="548" spans="2:14" x14ac:dyDescent="0.25">
      <c r="B548" s="7">
        <f t="shared" si="110"/>
        <v>152.32000000000053</v>
      </c>
      <c r="C548" s="9">
        <f t="shared" si="112"/>
        <v>-79.149736255704696</v>
      </c>
      <c r="D548" s="10">
        <f t="shared" si="111"/>
        <v>0.24562420610639307</v>
      </c>
      <c r="E548" s="10">
        <f t="shared" si="105"/>
        <v>0.24506265810370734</v>
      </c>
      <c r="F548" s="10">
        <f t="shared" si="106"/>
        <v>0.24508264555329054</v>
      </c>
      <c r="G548" s="10">
        <f t="shared" si="107"/>
        <v>0.24452175479977989</v>
      </c>
      <c r="H548" s="9">
        <f t="shared" si="108"/>
        <v>-79.08111588252109</v>
      </c>
      <c r="I548" s="8">
        <f t="shared" si="113"/>
        <v>12811.133246897667</v>
      </c>
      <c r="J548" s="9">
        <f t="shared" si="114"/>
        <v>-79.149736255704696</v>
      </c>
      <c r="K548" s="9">
        <f t="shared" si="115"/>
        <v>-79.08111588252109</v>
      </c>
      <c r="L548" s="8">
        <f t="shared" si="109"/>
        <v>12788.980927598315</v>
      </c>
      <c r="N548" s="16">
        <f t="shared" si="116"/>
        <v>3.7791170177861555</v>
      </c>
    </row>
    <row r="549" spans="2:14" x14ac:dyDescent="0.25">
      <c r="B549" s="7">
        <f t="shared" si="110"/>
        <v>152.60000000000053</v>
      </c>
      <c r="C549" s="9">
        <f t="shared" si="112"/>
        <v>-79.08111588252109</v>
      </c>
      <c r="D549" s="10">
        <f t="shared" si="111"/>
        <v>0.24452245883367929</v>
      </c>
      <c r="E549" s="10">
        <f t="shared" si="105"/>
        <v>0.24396434882455295</v>
      </c>
      <c r="F549" s="10">
        <f t="shared" si="106"/>
        <v>0.2439842289242799</v>
      </c>
      <c r="G549" s="10">
        <f t="shared" si="107"/>
        <v>0.2434267647699363</v>
      </c>
      <c r="H549" s="9">
        <f t="shared" si="108"/>
        <v>-79.012803051496363</v>
      </c>
      <c r="I549" s="8">
        <f t="shared" si="113"/>
        <v>12788.980927598315</v>
      </c>
      <c r="J549" s="9">
        <f t="shared" si="114"/>
        <v>-79.08111588252109</v>
      </c>
      <c r="K549" s="9">
        <f t="shared" si="115"/>
        <v>-79.012803051496363</v>
      </c>
      <c r="L549" s="8">
        <f t="shared" si="109"/>
        <v>12766.847778947553</v>
      </c>
      <c r="N549" s="16">
        <f t="shared" si="116"/>
        <v>3.7852635254294227</v>
      </c>
    </row>
    <row r="550" spans="2:14" x14ac:dyDescent="0.25">
      <c r="B550" s="7">
        <f t="shared" si="110"/>
        <v>152.88000000000054</v>
      </c>
      <c r="C550" s="9">
        <f t="shared" si="112"/>
        <v>-79.012803051496363</v>
      </c>
      <c r="D550" s="10">
        <f t="shared" si="111"/>
        <v>0.24342746564411583</v>
      </c>
      <c r="E550" s="10">
        <f t="shared" si="105"/>
        <v>0.24287276116507353</v>
      </c>
      <c r="F550" s="10">
        <f t="shared" si="106"/>
        <v>0.24289253484953466</v>
      </c>
      <c r="G550" s="10">
        <f t="shared" si="107"/>
        <v>0.2423384649908025</v>
      </c>
      <c r="H550" s="9">
        <f t="shared" si="108"/>
        <v>-78.944795880438704</v>
      </c>
      <c r="I550" s="8">
        <f t="shared" si="113"/>
        <v>12766.847778947553</v>
      </c>
      <c r="J550" s="9">
        <f t="shared" si="114"/>
        <v>-79.012803051496363</v>
      </c>
      <c r="K550" s="9">
        <f t="shared" si="115"/>
        <v>-78.944795880438704</v>
      </c>
      <c r="L550" s="8">
        <f t="shared" si="109"/>
        <v>12744.733715097082</v>
      </c>
      <c r="N550" s="16">
        <f t="shared" si="116"/>
        <v>3.791398726306364</v>
      </c>
    </row>
    <row r="551" spans="2:14" x14ac:dyDescent="0.25">
      <c r="B551" s="7">
        <f t="shared" si="110"/>
        <v>153.16000000000054</v>
      </c>
      <c r="C551" s="9">
        <f t="shared" si="112"/>
        <v>-78.944795880438704</v>
      </c>
      <c r="D551" s="10">
        <f t="shared" si="111"/>
        <v>0.24233916272980577</v>
      </c>
      <c r="E551" s="10">
        <f t="shared" si="105"/>
        <v>0.24178783171313997</v>
      </c>
      <c r="F551" s="10">
        <f t="shared" si="106"/>
        <v>0.24180749990618747</v>
      </c>
      <c r="G551" s="10">
        <f t="shared" si="107"/>
        <v>0.24125679243258644</v>
      </c>
      <c r="H551" s="9">
        <f t="shared" si="108"/>
        <v>-78.877092504913321</v>
      </c>
      <c r="I551" s="8">
        <f t="shared" si="113"/>
        <v>12744.733715097082</v>
      </c>
      <c r="J551" s="9">
        <f t="shared" si="114"/>
        <v>-78.944795880438704</v>
      </c>
      <c r="K551" s="9">
        <f t="shared" si="115"/>
        <v>-78.877092504913321</v>
      </c>
      <c r="L551" s="8">
        <f t="shared" si="109"/>
        <v>12722.638650723133</v>
      </c>
      <c r="N551" s="16">
        <f t="shared" si="116"/>
        <v>3.7975226240812101</v>
      </c>
    </row>
    <row r="552" spans="2:14" x14ac:dyDescent="0.25">
      <c r="B552" s="7">
        <f t="shared" si="110"/>
        <v>153.44000000000054</v>
      </c>
      <c r="C552" s="9">
        <f t="shared" si="112"/>
        <v>-78.877092504913321</v>
      </c>
      <c r="D552" s="10">
        <f t="shared" si="111"/>
        <v>0.24125748706070338</v>
      </c>
      <c r="E552" s="10">
        <f t="shared" si="105"/>
        <v>0.24070949782829404</v>
      </c>
      <c r="F552" s="10">
        <f t="shared" si="106"/>
        <v>0.24072906144319581</v>
      </c>
      <c r="G552" s="10">
        <f t="shared" si="107"/>
        <v>0.24018168483121435</v>
      </c>
      <c r="H552" s="9">
        <f t="shared" si="108"/>
        <v>-78.809691078026361</v>
      </c>
      <c r="I552" s="8">
        <f t="shared" si="113"/>
        <v>12722.638650723133</v>
      </c>
      <c r="J552" s="9">
        <f t="shared" si="114"/>
        <v>-78.877092504913321</v>
      </c>
      <c r="K552" s="9">
        <f t="shared" si="115"/>
        <v>-78.809691078026361</v>
      </c>
      <c r="L552" s="8">
        <f t="shared" si="109"/>
        <v>12700.562501021521</v>
      </c>
      <c r="N552" s="16">
        <f t="shared" si="116"/>
        <v>3.8036352223508771</v>
      </c>
    </row>
    <row r="553" spans="2:14" x14ac:dyDescent="0.25">
      <c r="B553" s="7">
        <f t="shared" si="110"/>
        <v>153.72000000000054</v>
      </c>
      <c r="C553" s="9">
        <f t="shared" si="112"/>
        <v>-78.809691078026361</v>
      </c>
      <c r="D553" s="10">
        <f t="shared" si="111"/>
        <v>0.24018237637248133</v>
      </c>
      <c r="E553" s="10">
        <f t="shared" si="105"/>
        <v>0.2396376976297572</v>
      </c>
      <c r="F553" s="10">
        <f t="shared" si="106"/>
        <v>0.23965715756937309</v>
      </c>
      <c r="G553" s="10">
        <f t="shared" si="107"/>
        <v>0.23911308067646161</v>
      </c>
      <c r="H553" s="9">
        <f t="shared" si="108"/>
        <v>-78.742589770212163</v>
      </c>
      <c r="I553" s="8">
        <f t="shared" si="113"/>
        <v>12700.562501021521</v>
      </c>
      <c r="J553" s="9">
        <f t="shared" si="114"/>
        <v>-78.809691078026361</v>
      </c>
      <c r="K553" s="9">
        <f t="shared" si="115"/>
        <v>-78.742589770212163</v>
      </c>
      <c r="L553" s="8">
        <f t="shared" si="109"/>
        <v>12678.505181702767</v>
      </c>
      <c r="N553" s="16">
        <f t="shared" si="116"/>
        <v>3.8097365246454666</v>
      </c>
    </row>
    <row r="554" spans="2:14" x14ac:dyDescent="0.25">
      <c r="B554" s="7">
        <f t="shared" si="110"/>
        <v>154.00000000000054</v>
      </c>
      <c r="C554" s="9">
        <f t="shared" si="112"/>
        <v>-78.742589770212163</v>
      </c>
      <c r="D554" s="10">
        <f t="shared" si="111"/>
        <v>0.23911376915466939</v>
      </c>
      <c r="E554" s="10">
        <f t="shared" si="105"/>
        <v>0.23857236998467279</v>
      </c>
      <c r="F554" s="10">
        <f t="shared" si="106"/>
        <v>0.23859172714160265</v>
      </c>
      <c r="G554" s="10">
        <f t="shared" si="107"/>
        <v>0.23805091920031346</v>
      </c>
      <c r="H554" s="9">
        <f t="shared" si="108"/>
        <v>-78.675786769023816</v>
      </c>
      <c r="I554" s="8">
        <f t="shared" si="113"/>
        <v>12678.505181702767</v>
      </c>
      <c r="J554" s="9">
        <f t="shared" si="114"/>
        <v>-78.742589770212163</v>
      </c>
      <c r="K554" s="9">
        <f t="shared" si="115"/>
        <v>-78.675786769023816</v>
      </c>
      <c r="L554" s="8">
        <f t="shared" si="109"/>
        <v>12656.466608987274</v>
      </c>
      <c r="N554" s="16">
        <f t="shared" si="116"/>
        <v>3.8158265344287754</v>
      </c>
    </row>
    <row r="555" spans="2:14" x14ac:dyDescent="0.25">
      <c r="B555" s="7">
        <f t="shared" si="110"/>
        <v>154.28000000000054</v>
      </c>
      <c r="C555" s="9">
        <f t="shared" si="112"/>
        <v>-78.675786769023816</v>
      </c>
      <c r="D555" s="10">
        <f t="shared" si="111"/>
        <v>0.23805160463899991</v>
      </c>
      <c r="E555" s="10">
        <f t="shared" si="105"/>
        <v>0.23751345449657488</v>
      </c>
      <c r="F555" s="10">
        <f t="shared" si="106"/>
        <v>0.23753270975330426</v>
      </c>
      <c r="G555" s="10">
        <f t="shared" si="107"/>
        <v>0.2369951403655241</v>
      </c>
      <c r="H555" s="9">
        <f t="shared" si="108"/>
        <v>-78.609280278926946</v>
      </c>
      <c r="I555" s="8">
        <f t="shared" si="113"/>
        <v>12656.466608987274</v>
      </c>
      <c r="J555" s="9">
        <f t="shared" si="114"/>
        <v>-78.675786769023816</v>
      </c>
      <c r="K555" s="9">
        <f t="shared" si="115"/>
        <v>-78.609280278926946</v>
      </c>
      <c r="L555" s="8">
        <f t="shared" si="109"/>
        <v>12634.446699600561</v>
      </c>
      <c r="N555" s="16">
        <f t="shared" si="116"/>
        <v>3.821905255098788</v>
      </c>
    </row>
    <row r="556" spans="2:14" x14ac:dyDescent="0.25">
      <c r="B556" s="7">
        <f t="shared" si="110"/>
        <v>154.56000000000054</v>
      </c>
      <c r="C556" s="9">
        <f t="shared" si="112"/>
        <v>-78.609280278926946</v>
      </c>
      <c r="D556" s="10">
        <f t="shared" si="111"/>
        <v>0.23699582278798362</v>
      </c>
      <c r="E556" s="10">
        <f t="shared" si="105"/>
        <v>0.23646089149407501</v>
      </c>
      <c r="F556" s="10">
        <f t="shared" si="106"/>
        <v>0.23648004572313722</v>
      </c>
      <c r="G556" s="10">
        <f t="shared" si="107"/>
        <v>0.23594568485441869</v>
      </c>
      <c r="H556" s="9">
        <f t="shared" si="108"/>
        <v>-78.5430685210967</v>
      </c>
      <c r="I556" s="8">
        <f t="shared" si="113"/>
        <v>12634.446699600561</v>
      </c>
      <c r="J556" s="9">
        <f t="shared" si="114"/>
        <v>-78.609280278926946</v>
      </c>
      <c r="K556" s="9">
        <f t="shared" si="115"/>
        <v>-78.5430685210967</v>
      </c>
      <c r="L556" s="8">
        <f t="shared" si="109"/>
        <v>12612.445370768557</v>
      </c>
      <c r="N556" s="16">
        <f t="shared" si="116"/>
        <v>3.8279726899881652</v>
      </c>
    </row>
    <row r="557" spans="2:14" x14ac:dyDescent="0.25">
      <c r="B557" s="7">
        <f t="shared" si="110"/>
        <v>154.84000000000054</v>
      </c>
      <c r="C557" s="9">
        <f t="shared" si="112"/>
        <v>-78.5430685210967</v>
      </c>
      <c r="D557" s="10">
        <f t="shared" si="111"/>
        <v>0.23594636428371663</v>
      </c>
      <c r="E557" s="10">
        <f t="shared" si="105"/>
        <v>0.23541462201977292</v>
      </c>
      <c r="F557" s="10">
        <f t="shared" si="106"/>
        <v>0.23543367608389695</v>
      </c>
      <c r="G557" s="10">
        <f t="shared" si="107"/>
        <v>0.23490249405791866</v>
      </c>
      <c r="H557" s="9">
        <f t="shared" si="108"/>
        <v>-78.477149733217743</v>
      </c>
      <c r="I557" s="8">
        <f t="shared" si="113"/>
        <v>12612.445370768557</v>
      </c>
      <c r="J557" s="9">
        <f t="shared" si="114"/>
        <v>-78.5430685210967</v>
      </c>
      <c r="K557" s="9">
        <f t="shared" si="115"/>
        <v>-78.477149733217743</v>
      </c>
      <c r="L557" s="8">
        <f t="shared" si="109"/>
        <v>12590.462540212953</v>
      </c>
      <c r="N557" s="16">
        <f t="shared" si="116"/>
        <v>3.8340288423647277</v>
      </c>
    </row>
    <row r="558" spans="2:14" x14ac:dyDescent="0.25">
      <c r="B558" s="7">
        <f t="shared" si="110"/>
        <v>155.12000000000054</v>
      </c>
      <c r="C558" s="9">
        <f t="shared" si="112"/>
        <v>-78.477149733217743</v>
      </c>
      <c r="D558" s="10">
        <f t="shared" si="111"/>
        <v>0.23490317051686921</v>
      </c>
      <c r="E558" s="10">
        <f t="shared" si="105"/>
        <v>0.23437458781934117</v>
      </c>
      <c r="F558" s="10">
        <f t="shared" si="106"/>
        <v>0.23439354257158707</v>
      </c>
      <c r="G558" s="10">
        <f t="shared" si="107"/>
        <v>0.23386551006470913</v>
      </c>
      <c r="H558" s="9">
        <f t="shared" si="108"/>
        <v>-78.411522169287451</v>
      </c>
      <c r="I558" s="8">
        <f t="shared" si="113"/>
        <v>12590.462540212953</v>
      </c>
      <c r="J558" s="9">
        <f t="shared" si="114"/>
        <v>-78.477149733217743</v>
      </c>
      <c r="K558" s="9">
        <f t="shared" si="115"/>
        <v>-78.411522169287451</v>
      </c>
      <c r="L558" s="8">
        <f t="shared" si="109"/>
        <v>12568.498126146602</v>
      </c>
      <c r="N558" s="16">
        <f t="shared" si="116"/>
        <v>3.8400737154319304</v>
      </c>
    </row>
    <row r="559" spans="2:14" x14ac:dyDescent="0.25">
      <c r="B559" s="7">
        <f t="shared" si="110"/>
        <v>155.40000000000055</v>
      </c>
      <c r="C559" s="9">
        <f t="shared" si="112"/>
        <v>-78.411522169287451</v>
      </c>
      <c r="D559" s="10">
        <f t="shared" si="111"/>
        <v>0.23386618357591171</v>
      </c>
      <c r="E559" s="10">
        <f t="shared" si="105"/>
        <v>0.23334073133088232</v>
      </c>
      <c r="F559" s="10">
        <f t="shared" si="106"/>
        <v>0.23335958761478992</v>
      </c>
      <c r="G559" s="10">
        <f t="shared" si="107"/>
        <v>0.23283467565071675</v>
      </c>
      <c r="H559" s="9">
        <f t="shared" si="108"/>
        <v>-78.346184099421947</v>
      </c>
      <c r="I559" s="8">
        <f t="shared" si="113"/>
        <v>12568.498126146602</v>
      </c>
      <c r="J559" s="9">
        <f t="shared" si="114"/>
        <v>-78.411522169287451</v>
      </c>
      <c r="K559" s="9">
        <f t="shared" si="115"/>
        <v>-78.346184099421947</v>
      </c>
      <c r="L559" s="8">
        <f t="shared" si="109"/>
        <v>12546.552047268982</v>
      </c>
      <c r="N559" s="16">
        <f t="shared" si="116"/>
        <v>3.8461073123293263</v>
      </c>
    </row>
    <row r="560" spans="2:14" x14ac:dyDescent="0.25">
      <c r="B560" s="7">
        <f t="shared" si="110"/>
        <v>155.68000000000055</v>
      </c>
      <c r="C560" s="9">
        <f t="shared" si="112"/>
        <v>-78.346184099421947</v>
      </c>
      <c r="D560" s="10">
        <f t="shared" si="111"/>
        <v>0.23283534623652563</v>
      </c>
      <c r="E560" s="10">
        <f t="shared" si="105"/>
        <v>0.23231299567441602</v>
      </c>
      <c r="F560" s="10">
        <f t="shared" si="106"/>
        <v>0.23233175432414058</v>
      </c>
      <c r="G560" s="10">
        <f t="shared" si="107"/>
        <v>0.23180993426867416</v>
      </c>
      <c r="H560" s="9">
        <f t="shared" si="108"/>
        <v>-78.281133809665178</v>
      </c>
      <c r="I560" s="8">
        <f t="shared" si="113"/>
        <v>12546.552047268982</v>
      </c>
      <c r="J560" s="9">
        <f t="shared" si="114"/>
        <v>-78.346184099421947</v>
      </c>
      <c r="K560" s="9">
        <f t="shared" si="115"/>
        <v>-78.281133809665178</v>
      </c>
      <c r="L560" s="8">
        <f t="shared" si="109"/>
        <v>12524.624222761709</v>
      </c>
      <c r="N560" s="16">
        <f t="shared" si="116"/>
        <v>3.8521296361330322</v>
      </c>
    </row>
    <row r="561" spans="2:14" x14ac:dyDescent="0.25">
      <c r="B561" s="7">
        <f t="shared" si="110"/>
        <v>155.96000000000055</v>
      </c>
      <c r="C561" s="9">
        <f t="shared" si="112"/>
        <v>-78.281133809665178</v>
      </c>
      <c r="D561" s="10">
        <f t="shared" si="111"/>
        <v>0.23181060195122136</v>
      </c>
      <c r="E561" s="10">
        <f t="shared" si="105"/>
        <v>0.23129132464159946</v>
      </c>
      <c r="F561" s="10">
        <f t="shared" si="106"/>
        <v>0.23130998648205414</v>
      </c>
      <c r="G561" s="10">
        <f t="shared" si="107"/>
        <v>0.23079123003794474</v>
      </c>
      <c r="H561" s="9">
        <f t="shared" si="108"/>
        <v>-78.216369601800807</v>
      </c>
      <c r="I561" s="8">
        <f t="shared" si="113"/>
        <v>12524.624222761709</v>
      </c>
      <c r="J561" s="9">
        <f t="shared" si="114"/>
        <v>-78.281133809665178</v>
      </c>
      <c r="K561" s="9">
        <f t="shared" si="115"/>
        <v>-78.216369601800807</v>
      </c>
      <c r="L561" s="8">
        <f t="shared" si="109"/>
        <v>12502.714572284105</v>
      </c>
      <c r="N561" s="16">
        <f t="shared" si="116"/>
        <v>3.8581406898561799</v>
      </c>
    </row>
    <row r="562" spans="2:14" x14ac:dyDescent="0.25">
      <c r="B562" s="7">
        <f t="shared" si="110"/>
        <v>156.24000000000055</v>
      </c>
      <c r="C562" s="9">
        <f t="shared" si="112"/>
        <v>-78.216369601800807</v>
      </c>
      <c r="D562" s="10">
        <f t="shared" si="111"/>
        <v>0.23079189483914103</v>
      </c>
      <c r="E562" s="10">
        <f t="shared" si="105"/>
        <v>0.2302756626856417</v>
      </c>
      <c r="F562" s="10">
        <f t="shared" si="106"/>
        <v>0.23029422853261822</v>
      </c>
      <c r="G562" s="10">
        <f t="shared" si="107"/>
        <v>0.22977850773453051</v>
      </c>
      <c r="H562" s="9">
        <f t="shared" si="108"/>
        <v>-78.151889793167001</v>
      </c>
      <c r="I562" s="8">
        <f t="shared" si="113"/>
        <v>12502.714572284105</v>
      </c>
      <c r="J562" s="9">
        <f t="shared" si="114"/>
        <v>-78.216369601800807</v>
      </c>
      <c r="K562" s="9">
        <f t="shared" si="115"/>
        <v>-78.151889793167001</v>
      </c>
      <c r="L562" s="8">
        <f t="shared" si="109"/>
        <v>12480.82301596881</v>
      </c>
      <c r="N562" s="16">
        <f t="shared" si="116"/>
        <v>3.8641404764493652</v>
      </c>
    </row>
    <row r="563" spans="2:14" x14ac:dyDescent="0.25">
      <c r="B563" s="7">
        <f t="shared" si="110"/>
        <v>156.52000000000055</v>
      </c>
      <c r="C563" s="9">
        <f t="shared" si="112"/>
        <v>-78.151889793167001</v>
      </c>
      <c r="D563" s="10">
        <f t="shared" si="111"/>
        <v>0.22977916967606937</v>
      </c>
      <c r="E563" s="10">
        <f t="shared" si="105"/>
        <v>0.22926595491138296</v>
      </c>
      <c r="F563" s="10">
        <f t="shared" si="106"/>
        <v>0.22928442557171042</v>
      </c>
      <c r="G563" s="10">
        <f t="shared" si="107"/>
        <v>0.22877171278124458</v>
      </c>
      <c r="H563" s="9">
        <f t="shared" si="108"/>
        <v>-78.08769271647391</v>
      </c>
      <c r="I563" s="8">
        <f t="shared" si="113"/>
        <v>12480.82301596881</v>
      </c>
      <c r="J563" s="9">
        <f t="shared" si="114"/>
        <v>-78.151889793167001</v>
      </c>
      <c r="K563" s="9">
        <f t="shared" si="115"/>
        <v>-78.08769271647391</v>
      </c>
      <c r="L563" s="8">
        <f t="shared" si="109"/>
        <v>12458.949474417461</v>
      </c>
      <c r="N563" s="16">
        <f t="shared" si="116"/>
        <v>3.8701289988010901</v>
      </c>
    </row>
    <row r="564" spans="2:14" x14ac:dyDescent="0.25">
      <c r="B564" s="7">
        <f t="shared" si="110"/>
        <v>156.80000000000055</v>
      </c>
      <c r="C564" s="9">
        <f t="shared" si="112"/>
        <v>-78.08769271647391</v>
      </c>
      <c r="D564" s="10">
        <f t="shared" si="111"/>
        <v>0.22877237188460173</v>
      </c>
      <c r="E564" s="10">
        <f t="shared" si="105"/>
        <v>0.22826214706557751</v>
      </c>
      <c r="F564" s="10">
        <f t="shared" si="106"/>
        <v>0.22828052333722537</v>
      </c>
      <c r="G564" s="10">
        <f t="shared" si="107"/>
        <v>0.22777079123807964</v>
      </c>
      <c r="H564" s="9">
        <f t="shared" si="108"/>
        <v>-78.023776719623925</v>
      </c>
      <c r="I564" s="8">
        <f t="shared" si="113"/>
        <v>12458.949474417461</v>
      </c>
      <c r="J564" s="9">
        <f t="shared" si="114"/>
        <v>-78.08769271647391</v>
      </c>
      <c r="K564" s="9">
        <f t="shared" si="115"/>
        <v>-78.023776719623925</v>
      </c>
      <c r="L564" s="8">
        <f t="shared" si="109"/>
        <v>12437.093868696407</v>
      </c>
      <c r="N564" s="16">
        <f t="shared" si="116"/>
        <v>3.8761062597381968</v>
      </c>
    </row>
    <row r="565" spans="2:14" x14ac:dyDescent="0.25">
      <c r="B565" s="7">
        <f t="shared" si="110"/>
        <v>157.08000000000055</v>
      </c>
      <c r="C565" s="9">
        <f t="shared" si="112"/>
        <v>-78.023776719623925</v>
      </c>
      <c r="D565" s="10">
        <f t="shared" si="111"/>
        <v>0.22777144752450648</v>
      </c>
      <c r="E565" s="10">
        <f t="shared" si="105"/>
        <v>0.22726418552733915</v>
      </c>
      <c r="F565" s="10">
        <f t="shared" si="106"/>
        <v>0.22728246819955261</v>
      </c>
      <c r="G565" s="10">
        <f t="shared" si="107"/>
        <v>0.22677568979272578</v>
      </c>
      <c r="H565" s="9">
        <f t="shared" si="108"/>
        <v>-77.960140165534611</v>
      </c>
      <c r="I565" s="8">
        <f t="shared" si="113"/>
        <v>12437.093868696407</v>
      </c>
      <c r="J565" s="9">
        <f t="shared" si="114"/>
        <v>-78.023776719623925</v>
      </c>
      <c r="K565" s="9">
        <f t="shared" si="115"/>
        <v>-77.960140165534611</v>
      </c>
      <c r="L565" s="8">
        <f t="shared" si="109"/>
        <v>12415.256120332486</v>
      </c>
      <c r="N565" s="16">
        <f t="shared" si="116"/>
        <v>3.8820722620262953</v>
      </c>
    </row>
    <row r="566" spans="2:14" x14ac:dyDescent="0.25">
      <c r="B566" s="7">
        <f t="shared" si="110"/>
        <v>157.36000000000055</v>
      </c>
      <c r="C566" s="9">
        <f t="shared" si="112"/>
        <v>-77.960140165534611</v>
      </c>
      <c r="D566" s="10">
        <f t="shared" si="111"/>
        <v>0.22677634328327639</v>
      </c>
      <c r="E566" s="10">
        <f t="shared" si="105"/>
        <v>0.22627201729876875</v>
      </c>
      <c r="F566" s="10">
        <f t="shared" si="106"/>
        <v>0.2262902071522058</v>
      </c>
      <c r="G566" s="10">
        <f t="shared" si="107"/>
        <v>0.22578635575131728</v>
      </c>
      <c r="H566" s="9">
        <f t="shared" si="108"/>
        <v>-77.896781431964243</v>
      </c>
      <c r="I566" s="8">
        <f t="shared" si="113"/>
        <v>12415.256120332486</v>
      </c>
      <c r="J566" s="9">
        <f t="shared" si="114"/>
        <v>-77.960140165534611</v>
      </c>
      <c r="K566" s="9">
        <f t="shared" si="115"/>
        <v>-77.896781431964243</v>
      </c>
      <c r="L566" s="8">
        <f t="shared" si="109"/>
        <v>12393.436151308835</v>
      </c>
      <c r="N566" s="16">
        <f t="shared" si="116"/>
        <v>3.8880270083701896</v>
      </c>
    </row>
    <row r="567" spans="2:14" x14ac:dyDescent="0.25">
      <c r="B567" s="7">
        <f t="shared" si="110"/>
        <v>157.64000000000055</v>
      </c>
      <c r="C567" s="9">
        <f t="shared" si="112"/>
        <v>-77.896781431964243</v>
      </c>
      <c r="D567" s="10">
        <f t="shared" si="111"/>
        <v>0.22578700646683089</v>
      </c>
      <c r="E567" s="10">
        <f t="shared" si="105"/>
        <v>0.22528558999576295</v>
      </c>
      <c r="F567" s="10">
        <f t="shared" si="106"/>
        <v>0.22530368780259907</v>
      </c>
      <c r="G567" s="10">
        <f t="shared" si="107"/>
        <v>0.22480273702928108</v>
      </c>
      <c r="H567" s="9">
        <f t="shared" si="108"/>
        <v>-77.833698911339908</v>
      </c>
      <c r="I567" s="8">
        <f t="shared" si="113"/>
        <v>12393.436151308835</v>
      </c>
      <c r="J567" s="9">
        <f t="shared" si="114"/>
        <v>-77.896781431964243</v>
      </c>
      <c r="K567" s="9">
        <f t="shared" si="115"/>
        <v>-77.833698911339908</v>
      </c>
      <c r="L567" s="8">
        <f t="shared" si="109"/>
        <v>12371.633884060773</v>
      </c>
      <c r="N567" s="16">
        <f t="shared" si="116"/>
        <v>3.8939705014142918</v>
      </c>
    </row>
    <row r="568" spans="2:14" x14ac:dyDescent="0.25">
      <c r="B568" s="7">
        <f t="shared" si="110"/>
        <v>157.92000000000056</v>
      </c>
      <c r="C568" s="9">
        <f t="shared" si="112"/>
        <v>-77.833698911339908</v>
      </c>
      <c r="D568" s="10">
        <f t="shared" si="111"/>
        <v>0.22480338499038832</v>
      </c>
      <c r="E568" s="10">
        <f t="shared" si="105"/>
        <v>0.22430485183895754</v>
      </c>
      <c r="F568" s="10">
        <f t="shared" si="106"/>
        <v>0.22432285836301488</v>
      </c>
      <c r="G568" s="10">
        <f t="shared" si="107"/>
        <v>0.22382478214239374</v>
      </c>
      <c r="H568" s="9">
        <f t="shared" si="108"/>
        <v>-77.770891010588201</v>
      </c>
      <c r="I568" s="8">
        <f t="shared" si="113"/>
        <v>12371.633884060773</v>
      </c>
      <c r="J568" s="9">
        <f t="shared" si="114"/>
        <v>-77.833698911339908</v>
      </c>
      <c r="K568" s="9">
        <f t="shared" si="115"/>
        <v>-77.770891010588201</v>
      </c>
      <c r="L568" s="8">
        <f t="shared" si="109"/>
        <v>12349.849241471704</v>
      </c>
      <c r="N568" s="16">
        <f t="shared" si="116"/>
        <v>3.899902743743032</v>
      </c>
    </row>
    <row r="569" spans="2:14" x14ac:dyDescent="0.25">
      <c r="B569" s="7">
        <f t="shared" si="110"/>
        <v>158.20000000000056</v>
      </c>
      <c r="C569" s="9">
        <f t="shared" si="112"/>
        <v>-77.770891010588201</v>
      </c>
      <c r="D569" s="10">
        <f t="shared" si="111"/>
        <v>0.22382542736953337</v>
      </c>
      <c r="E569" s="10">
        <f t="shared" si="105"/>
        <v>0.22332975164487487</v>
      </c>
      <c r="F569" s="10">
        <f t="shared" si="106"/>
        <v>0.22334766764173994</v>
      </c>
      <c r="G569" s="10">
        <f t="shared" si="107"/>
        <v>0.22285244019799796</v>
      </c>
      <c r="H569" s="9">
        <f t="shared" si="108"/>
        <v>-77.708356150968299</v>
      </c>
      <c r="I569" s="8">
        <f t="shared" si="113"/>
        <v>12349.849241471704</v>
      </c>
      <c r="J569" s="9">
        <f t="shared" si="114"/>
        <v>-77.770891010588201</v>
      </c>
      <c r="K569" s="9">
        <f t="shared" si="115"/>
        <v>-77.708356150968299</v>
      </c>
      <c r="L569" s="8">
        <f t="shared" si="109"/>
        <v>12328.082146869087</v>
      </c>
      <c r="N569" s="16">
        <f t="shared" si="116"/>
        <v>3.9058237378812679</v>
      </c>
    </row>
    <row r="570" spans="2:14" x14ac:dyDescent="0.25">
      <c r="B570" s="7">
        <f t="shared" si="110"/>
        <v>158.48000000000056</v>
      </c>
      <c r="C570" s="9">
        <f t="shared" si="112"/>
        <v>-77.708356150968299</v>
      </c>
      <c r="D570" s="10">
        <f t="shared" si="111"/>
        <v>0.22285308271139528</v>
      </c>
      <c r="E570" s="10">
        <f t="shared" si="105"/>
        <v>0.22236023881718459</v>
      </c>
      <c r="F570" s="10">
        <f t="shared" si="106"/>
        <v>0.22237806503432608</v>
      </c>
      <c r="G570" s="10">
        <f t="shared" si="107"/>
        <v>0.2218856608863467</v>
      </c>
      <c r="H570" s="9">
        <f t="shared" si="108"/>
        <v>-77.646092767907604</v>
      </c>
      <c r="I570" s="8">
        <f t="shared" si="113"/>
        <v>12328.082146869087</v>
      </c>
      <c r="J570" s="9">
        <f t="shared" si="114"/>
        <v>-77.708356150968299</v>
      </c>
      <c r="K570" s="9">
        <f t="shared" si="115"/>
        <v>-77.646092767907604</v>
      </c>
      <c r="L570" s="8">
        <f t="shared" si="109"/>
        <v>12306.332524020443</v>
      </c>
      <c r="N570" s="16">
        <f t="shared" si="116"/>
        <v>3.9117334862946791</v>
      </c>
    </row>
    <row r="571" spans="2:14" x14ac:dyDescent="0.25">
      <c r="B571" s="7">
        <f t="shared" si="110"/>
        <v>158.76000000000056</v>
      </c>
      <c r="C571" s="9">
        <f t="shared" si="112"/>
        <v>-77.646092767907604</v>
      </c>
      <c r="D571" s="10">
        <f t="shared" si="111"/>
        <v>0.2218863007060379</v>
      </c>
      <c r="E571" s="10">
        <f t="shared" si="105"/>
        <v>0.22139626333818202</v>
      </c>
      <c r="F571" s="10">
        <f t="shared" si="106"/>
        <v>0.22141400051506363</v>
      </c>
      <c r="G571" s="10">
        <f t="shared" si="107"/>
        <v>0.2209243944721318</v>
      </c>
      <c r="H571" s="9">
        <f t="shared" si="108"/>
        <v>-77.584099310839648</v>
      </c>
      <c r="I571" s="8">
        <f t="shared" si="113"/>
        <v>12306.332524020443</v>
      </c>
      <c r="J571" s="9">
        <f t="shared" si="114"/>
        <v>-77.646092767907604</v>
      </c>
      <c r="K571" s="9">
        <f t="shared" si="115"/>
        <v>-77.584099310839648</v>
      </c>
      <c r="L571" s="8">
        <f t="shared" si="109"/>
        <v>12284.600297129418</v>
      </c>
      <c r="N571" s="16">
        <f t="shared" si="116"/>
        <v>3.9176319913901652</v>
      </c>
    </row>
    <row r="572" spans="2:14" x14ac:dyDescent="0.25">
      <c r="B572" s="7">
        <f t="shared" si="110"/>
        <v>159.04000000000056</v>
      </c>
      <c r="C572" s="9">
        <f t="shared" si="112"/>
        <v>-77.584099310839648</v>
      </c>
      <c r="D572" s="10">
        <f t="shared" si="111"/>
        <v>0.22092503161795193</v>
      </c>
      <c r="E572" s="10">
        <f t="shared" si="105"/>
        <v>0.22043777576034643</v>
      </c>
      <c r="F572" s="10">
        <f t="shared" si="106"/>
        <v>0.22045542462853857</v>
      </c>
      <c r="G572" s="10">
        <f t="shared" si="107"/>
        <v>0.21996859178614578</v>
      </c>
      <c r="H572" s="9">
        <f t="shared" si="108"/>
        <v>-77.522374243044496</v>
      </c>
      <c r="I572" s="8">
        <f t="shared" si="113"/>
        <v>12284.600297129418</v>
      </c>
      <c r="J572" s="9">
        <f t="shared" si="114"/>
        <v>-77.584099310839648</v>
      </c>
      <c r="K572" s="9">
        <f t="shared" si="115"/>
        <v>-77.522374243044496</v>
      </c>
      <c r="L572" s="8">
        <f t="shared" si="109"/>
        <v>12262.885390831874</v>
      </c>
      <c r="N572" s="16">
        <f t="shared" si="116"/>
        <v>3.9235192555162302</v>
      </c>
    </row>
    <row r="573" spans="2:14" x14ac:dyDescent="0.25">
      <c r="B573" s="7">
        <f t="shared" si="110"/>
        <v>159.32000000000056</v>
      </c>
      <c r="C573" s="9">
        <f t="shared" si="112"/>
        <v>-77.522374243044496</v>
      </c>
      <c r="D573" s="10">
        <f t="shared" si="111"/>
        <v>0.21996922627774762</v>
      </c>
      <c r="E573" s="10">
        <f t="shared" si="105"/>
        <v>0.21948472719810835</v>
      </c>
      <c r="F573" s="10">
        <f t="shared" si="106"/>
        <v>0.21950228848139969</v>
      </c>
      <c r="G573" s="10">
        <f t="shared" si="107"/>
        <v>0.21901820421711032</v>
      </c>
      <c r="H573" s="9">
        <f t="shared" si="108"/>
        <v>-77.460916041491316</v>
      </c>
      <c r="I573" s="8">
        <f t="shared" si="113"/>
        <v>12262.885390831874</v>
      </c>
      <c r="J573" s="9">
        <f t="shared" si="114"/>
        <v>-77.522374243044496</v>
      </c>
      <c r="K573" s="9">
        <f t="shared" si="115"/>
        <v>-77.460916041491316</v>
      </c>
      <c r="L573" s="8">
        <f t="shared" si="109"/>
        <v>12241.187730192039</v>
      </c>
      <c r="N573" s="16">
        <f t="shared" si="116"/>
        <v>3.9293952809633677</v>
      </c>
    </row>
    <row r="574" spans="2:14" x14ac:dyDescent="0.25">
      <c r="B574" s="7">
        <f t="shared" si="110"/>
        <v>159.60000000000056</v>
      </c>
      <c r="C574" s="9">
        <f t="shared" si="112"/>
        <v>-77.460916041491316</v>
      </c>
      <c r="D574" s="10">
        <f t="shared" si="111"/>
        <v>0.21901883607395037</v>
      </c>
      <c r="E574" s="10">
        <f t="shared" si="105"/>
        <v>0.21853706931972916</v>
      </c>
      <c r="F574" s="10">
        <f t="shared" si="106"/>
        <v>0.21855454373422811</v>
      </c>
      <c r="G574" s="10">
        <f t="shared" si="107"/>
        <v>0.21807318370363069</v>
      </c>
      <c r="H574" s="9">
        <f t="shared" si="108"/>
        <v>-77.399723196683325</v>
      </c>
      <c r="I574" s="8">
        <f t="shared" si="113"/>
        <v>12241.187730192039</v>
      </c>
      <c r="J574" s="9">
        <f t="shared" si="114"/>
        <v>-77.460916041491316</v>
      </c>
      <c r="K574" s="9">
        <f t="shared" si="115"/>
        <v>-77.399723196683325</v>
      </c>
      <c r="L574" s="8">
        <f t="shared" si="109"/>
        <v>12219.507240698695</v>
      </c>
      <c r="N574" s="16">
        <f t="shared" si="116"/>
        <v>3.9352600699644369</v>
      </c>
    </row>
    <row r="575" spans="2:14" x14ac:dyDescent="0.25">
      <c r="B575" s="7">
        <f t="shared" si="110"/>
        <v>159.88000000000056</v>
      </c>
      <c r="C575" s="9">
        <f t="shared" si="112"/>
        <v>-77.399723196683325</v>
      </c>
      <c r="D575" s="10">
        <f t="shared" si="111"/>
        <v>0.21807381294497719</v>
      </c>
      <c r="E575" s="10">
        <f t="shared" si="105"/>
        <v>0.21759475433933512</v>
      </c>
      <c r="F575" s="10">
        <f t="shared" si="106"/>
        <v>0.2176121425935881</v>
      </c>
      <c r="G575" s="10">
        <f t="shared" si="107"/>
        <v>0.21713348272628441</v>
      </c>
      <c r="H575" s="9">
        <f t="shared" si="108"/>
        <v>-77.338794212504922</v>
      </c>
      <c r="I575" s="8">
        <f t="shared" si="113"/>
        <v>12219.507240698695</v>
      </c>
      <c r="J575" s="9">
        <f t="shared" si="114"/>
        <v>-77.399723196683325</v>
      </c>
      <c r="K575" s="9">
        <f t="shared" si="115"/>
        <v>-77.338794212504922</v>
      </c>
      <c r="L575" s="8">
        <f t="shared" si="109"/>
        <v>12197.843848261407</v>
      </c>
      <c r="N575" s="16">
        <f t="shared" si="116"/>
        <v>3.9411136246950376</v>
      </c>
    </row>
    <row r="576" spans="2:14" x14ac:dyDescent="0.25">
      <c r="B576" s="7">
        <f t="shared" si="110"/>
        <v>160.16000000000057</v>
      </c>
      <c r="C576" s="9">
        <f t="shared" si="112"/>
        <v>-77.338794212504922</v>
      </c>
      <c r="D576" s="10">
        <f t="shared" si="111"/>
        <v>0.21713410937122252</v>
      </c>
      <c r="E576" s="10">
        <f t="shared" si="105"/>
        <v>0.2166577350090842</v>
      </c>
      <c r="F576" s="10">
        <f t="shared" si="106"/>
        <v>0.2166750378041751</v>
      </c>
      <c r="G576" s="10">
        <f t="shared" si="107"/>
        <v>0.21619905429988104</v>
      </c>
      <c r="H576" s="9">
        <f t="shared" si="108"/>
        <v>-77.278127606071038</v>
      </c>
      <c r="I576" s="8">
        <f t="shared" si="113"/>
        <v>12197.843848261407</v>
      </c>
      <c r="J576" s="9">
        <f t="shared" si="114"/>
        <v>-77.338794212504922</v>
      </c>
      <c r="K576" s="9">
        <f t="shared" si="115"/>
        <v>-77.278127606071038</v>
      </c>
      <c r="L576" s="8">
        <f t="shared" si="109"/>
        <v>12176.197479206807</v>
      </c>
      <c r="N576" s="16">
        <f t="shared" si="116"/>
        <v>3.9469559472738713</v>
      </c>
    </row>
    <row r="577" spans="2:14" x14ac:dyDescent="0.25">
      <c r="B577" s="7">
        <f t="shared" si="110"/>
        <v>160.44000000000057</v>
      </c>
      <c r="C577" s="9">
        <f t="shared" si="112"/>
        <v>-77.278127606071038</v>
      </c>
      <c r="D577" s="10">
        <f t="shared" si="111"/>
        <v>0.21619967836731893</v>
      </c>
      <c r="E577" s="10">
        <f t="shared" si="105"/>
        <v>0.21572596461149346</v>
      </c>
      <c r="F577" s="10">
        <f t="shared" si="106"/>
        <v>0.21574318264114123</v>
      </c>
      <c r="G577" s="10">
        <f t="shared" si="107"/>
        <v>0.21526985196583034</v>
      </c>
      <c r="H577" s="9">
        <f t="shared" si="108"/>
        <v>-77.217721907578579</v>
      </c>
      <c r="I577" s="8">
        <f t="shared" si="113"/>
        <v>12176.197479206807</v>
      </c>
      <c r="J577" s="9">
        <f t="shared" si="114"/>
        <v>-77.278127606071038</v>
      </c>
      <c r="K577" s="9">
        <f t="shared" si="115"/>
        <v>-77.217721907578579</v>
      </c>
      <c r="L577" s="8">
        <f t="shared" si="109"/>
        <v>12154.568060274896</v>
      </c>
      <c r="N577" s="16">
        <f t="shared" si="116"/>
        <v>3.95278703976311</v>
      </c>
    </row>
    <row r="578" spans="2:14" x14ac:dyDescent="0.25">
      <c r="B578" s="7">
        <f t="shared" si="110"/>
        <v>160.72000000000057</v>
      </c>
      <c r="C578" s="9">
        <f t="shared" si="112"/>
        <v>-77.217721907578579</v>
      </c>
      <c r="D578" s="10">
        <f t="shared" si="111"/>
        <v>0.21527047347448935</v>
      </c>
      <c r="E578" s="10">
        <f t="shared" si="105"/>
        <v>0.21479939695185607</v>
      </c>
      <c r="F578" s="10">
        <f t="shared" si="106"/>
        <v>0.21481653090252589</v>
      </c>
      <c r="G578" s="10">
        <f t="shared" si="107"/>
        <v>0.21434582978464392</v>
      </c>
      <c r="H578" s="9">
        <f t="shared" si="108"/>
        <v>-77.157575660160077</v>
      </c>
      <c r="I578" s="8">
        <f t="shared" si="113"/>
        <v>12154.568060274896</v>
      </c>
      <c r="J578" s="9">
        <f t="shared" si="114"/>
        <v>-77.217721907578579</v>
      </c>
      <c r="K578" s="9">
        <f t="shared" si="115"/>
        <v>-77.157575660160077</v>
      </c>
      <c r="L578" s="8">
        <f t="shared" si="109"/>
        <v>12132.955518615412</v>
      </c>
      <c r="N578" s="16">
        <f t="shared" si="116"/>
        <v>3.9586069041687479</v>
      </c>
    </row>
    <row r="579" spans="2:14" x14ac:dyDescent="0.25">
      <c r="B579" s="7">
        <f t="shared" si="110"/>
        <v>161.00000000000057</v>
      </c>
      <c r="C579" s="9">
        <f t="shared" si="112"/>
        <v>-77.157575660160077</v>
      </c>
      <c r="D579" s="10">
        <f t="shared" si="111"/>
        <v>0.21434644875307188</v>
      </c>
      <c r="E579" s="10">
        <f t="shared" si="105"/>
        <v>0.21387798635083488</v>
      </c>
      <c r="F579" s="10">
        <f t="shared" si="106"/>
        <v>0.21389503690182676</v>
      </c>
      <c r="G579" s="10">
        <f t="shared" si="107"/>
        <v>0.21342694232858234</v>
      </c>
      <c r="H579" s="9">
        <f t="shared" si="108"/>
        <v>-77.097687419739358</v>
      </c>
      <c r="I579" s="8">
        <f t="shared" si="113"/>
        <v>12132.955518615412</v>
      </c>
      <c r="J579" s="9">
        <f t="shared" si="114"/>
        <v>-77.157575660160077</v>
      </c>
      <c r="K579" s="9">
        <f t="shared" si="115"/>
        <v>-77.097687419739358</v>
      </c>
      <c r="L579" s="8">
        <f t="shared" si="109"/>
        <v>12111.359781784226</v>
      </c>
      <c r="N579" s="16">
        <f t="shared" si="116"/>
        <v>3.9644155424409555</v>
      </c>
    </row>
    <row r="580" spans="2:14" x14ac:dyDescent="0.25">
      <c r="B580" s="7">
        <f t="shared" si="110"/>
        <v>161.28000000000057</v>
      </c>
      <c r="C580" s="9">
        <f t="shared" si="112"/>
        <v>-77.097687419739358</v>
      </c>
      <c r="D580" s="10">
        <f t="shared" si="111"/>
        <v>0.21342755877514852</v>
      </c>
      <c r="E580" s="10">
        <f t="shared" ref="E580:E643" si="117">dvdt($C580+h/2*D580,$I580+(h/2)/2*(2*C580+D580*h/2))</f>
        <v>0.21296168763715481</v>
      </c>
      <c r="F580" s="10">
        <f t="shared" ref="F580:F643" si="118">dvdt($C580+h/2*E580,$I580+(h/2)/2*(2*$C580+E580*h/2))</f>
        <v>0.21297865546071476</v>
      </c>
      <c r="G580" s="10">
        <f t="shared" ref="G580:G643" si="119">dvdt($C580+h*F580,$I580+h/2*(2*$C580+F580*h))</f>
        <v>0.21251314467441426</v>
      </c>
      <c r="H580" s="9">
        <f t="shared" ref="H580:H643" si="120">C580+h/6*(D580+2*E580+2*F580+G580)</f>
        <v>-77.038055754889243</v>
      </c>
      <c r="I580" s="8">
        <f t="shared" si="113"/>
        <v>12111.359781784226</v>
      </c>
      <c r="J580" s="9">
        <f t="shared" si="114"/>
        <v>-77.097687419739358</v>
      </c>
      <c r="K580" s="9">
        <f t="shared" si="115"/>
        <v>-77.038055754889243</v>
      </c>
      <c r="L580" s="8">
        <f t="shared" ref="L580:L643" si="121">I580+h/2*(J580+K580)</f>
        <v>12089.780777739777</v>
      </c>
      <c r="N580" s="16">
        <f t="shared" si="116"/>
        <v>3.9702129564744246</v>
      </c>
    </row>
    <row r="581" spans="2:14" x14ac:dyDescent="0.25">
      <c r="B581" s="7">
        <f t="shared" ref="B581:B644" si="122">B580+h</f>
        <v>161.56000000000057</v>
      </c>
      <c r="C581" s="9">
        <f t="shared" si="112"/>
        <v>-77.038055754889243</v>
      </c>
      <c r="D581" s="10">
        <f t="shared" si="111"/>
        <v>0.21251375861730962</v>
      </c>
      <c r="E581" s="10">
        <f t="shared" si="117"/>
        <v>0.21205045614043419</v>
      </c>
      <c r="F581" s="10">
        <f t="shared" si="118"/>
        <v>0.21206734190183632</v>
      </c>
      <c r="G581" s="10">
        <f t="shared" si="119"/>
        <v>0.21160439239629331</v>
      </c>
      <c r="H581" s="9">
        <f t="shared" si="120"/>
        <v>-76.978679246691328</v>
      </c>
      <c r="I581" s="8">
        <f t="shared" si="113"/>
        <v>12089.780777739777</v>
      </c>
      <c r="J581" s="9">
        <f t="shared" si="114"/>
        <v>-77.038055754889243</v>
      </c>
      <c r="K581" s="9">
        <f t="shared" si="115"/>
        <v>-76.978679246691328</v>
      </c>
      <c r="L581" s="8">
        <f t="shared" si="121"/>
        <v>12068.218434839557</v>
      </c>
      <c r="N581" s="16">
        <f t="shared" si="116"/>
        <v>3.9759991481087131</v>
      </c>
    </row>
    <row r="582" spans="2:14" x14ac:dyDescent="0.25">
      <c r="B582" s="7">
        <f t="shared" si="122"/>
        <v>161.84000000000057</v>
      </c>
      <c r="C582" s="9">
        <f t="shared" si="112"/>
        <v>-76.978679246691328</v>
      </c>
      <c r="D582" s="10">
        <f t="shared" ref="D582:D645" si="123">dvdt($C582,$I582)</f>
        <v>0.21160500385355355</v>
      </c>
      <c r="E582" s="10">
        <f t="shared" si="117"/>
        <v>0.21114424768413059</v>
      </c>
      <c r="F582" s="10">
        <f t="shared" si="118"/>
        <v>0.21116105204177288</v>
      </c>
      <c r="G582" s="10">
        <f t="shared" si="119"/>
        <v>0.2107006415587992</v>
      </c>
      <c r="H582" s="9">
        <f t="shared" si="120"/>
        <v>-76.919556488597664</v>
      </c>
      <c r="I582" s="8">
        <f t="shared" si="113"/>
        <v>12068.218434839557</v>
      </c>
      <c r="J582" s="9">
        <f t="shared" si="114"/>
        <v>-76.978679246691328</v>
      </c>
      <c r="K582" s="9">
        <f t="shared" si="115"/>
        <v>-76.919556488597664</v>
      </c>
      <c r="L582" s="8">
        <f t="shared" si="121"/>
        <v>12046.672681836617</v>
      </c>
      <c r="N582" s="16">
        <f t="shared" si="116"/>
        <v>3.9817741191285818</v>
      </c>
    </row>
    <row r="583" spans="2:14" x14ac:dyDescent="0.25">
      <c r="B583" s="7">
        <f t="shared" si="122"/>
        <v>162.12000000000057</v>
      </c>
      <c r="C583" s="9">
        <f t="shared" si="112"/>
        <v>-76.919556488597664</v>
      </c>
      <c r="D583" s="10">
        <f t="shared" si="123"/>
        <v>0.21070125054827685</v>
      </c>
      <c r="E583" s="10">
        <f t="shared" si="117"/>
        <v>0.21024301857862332</v>
      </c>
      <c r="F583" s="10">
        <f t="shared" si="118"/>
        <v>0.21025974218412954</v>
      </c>
      <c r="G583" s="10">
        <f t="shared" si="119"/>
        <v>0.20980184871003199</v>
      </c>
      <c r="H583" s="9">
        <f t="shared" si="120"/>
        <v>-76.860686086294422</v>
      </c>
      <c r="I583" s="8">
        <f t="shared" si="113"/>
        <v>12046.672681836617</v>
      </c>
      <c r="J583" s="9">
        <f t="shared" si="114"/>
        <v>-76.919556488597664</v>
      </c>
      <c r="K583" s="9">
        <f t="shared" si="115"/>
        <v>-76.860686086294422</v>
      </c>
      <c r="L583" s="8">
        <f t="shared" si="121"/>
        <v>12025.143447876131</v>
      </c>
      <c r="N583" s="16">
        <f t="shared" si="116"/>
        <v>3.987537871264323</v>
      </c>
    </row>
    <row r="584" spans="2:14" x14ac:dyDescent="0.25">
      <c r="B584" s="7">
        <f t="shared" si="122"/>
        <v>162.40000000000057</v>
      </c>
      <c r="C584" s="9">
        <f t="shared" si="112"/>
        <v>-76.860686086294422</v>
      </c>
      <c r="D584" s="10">
        <f t="shared" si="123"/>
        <v>0.20980245524942953</v>
      </c>
      <c r="E584" s="10">
        <f t="shared" si="117"/>
        <v>0.20934672561438283</v>
      </c>
      <c r="F584" s="10">
        <f t="shared" si="118"/>
        <v>0.20936336911269365</v>
      </c>
      <c r="G584" s="10">
        <f t="shared" si="119"/>
        <v>0.20890797087489493</v>
      </c>
      <c r="H584" s="9">
        <f t="shared" si="120"/>
        <v>-76.802066657567423</v>
      </c>
      <c r="I584" s="8">
        <f t="shared" si="113"/>
        <v>12025.143447876131</v>
      </c>
      <c r="J584" s="9">
        <f t="shared" si="114"/>
        <v>-76.860686086294422</v>
      </c>
      <c r="K584" s="9">
        <f t="shared" si="115"/>
        <v>-76.802066657567423</v>
      </c>
      <c r="L584" s="8">
        <f t="shared" si="121"/>
        <v>12003.630662491991</v>
      </c>
      <c r="N584" s="16">
        <f t="shared" si="116"/>
        <v>3.9932904061920964</v>
      </c>
    </row>
    <row r="585" spans="2:14" x14ac:dyDescent="0.25">
      <c r="B585" s="7">
        <f t="shared" si="122"/>
        <v>162.68000000000058</v>
      </c>
      <c r="C585" s="9">
        <f t="shared" si="112"/>
        <v>-76.802066657567423</v>
      </c>
      <c r="D585" s="10">
        <f t="shared" si="123"/>
        <v>0.2089085749817291</v>
      </c>
      <c r="E585" s="10">
        <f t="shared" si="117"/>
        <v>0.20845532605529646</v>
      </c>
      <c r="F585" s="10">
        <f t="shared" si="118"/>
        <v>0.20847189008475012</v>
      </c>
      <c r="G585" s="10">
        <f t="shared" si="119"/>
        <v>0.20801896554841168</v>
      </c>
      <c r="H585" s="9">
        <f t="shared" si="120"/>
        <v>-76.743696832169618</v>
      </c>
      <c r="I585" s="8">
        <f t="shared" si="113"/>
        <v>12003.630662491991</v>
      </c>
      <c r="J585" s="9">
        <f t="shared" si="114"/>
        <v>-76.802066657567423</v>
      </c>
      <c r="K585" s="9">
        <f t="shared" si="115"/>
        <v>-76.743696832169618</v>
      </c>
      <c r="L585" s="8">
        <f t="shared" si="121"/>
        <v>11982.134255603427</v>
      </c>
      <c r="N585" s="16">
        <f t="shared" si="116"/>
        <v>3.9990317255342434</v>
      </c>
    </row>
    <row r="586" spans="2:14" x14ac:dyDescent="0.25">
      <c r="B586" s="7">
        <f t="shared" si="122"/>
        <v>162.96000000000058</v>
      </c>
      <c r="C586" s="9">
        <f t="shared" si="112"/>
        <v>-76.743696832169618</v>
      </c>
      <c r="D586" s="10">
        <f t="shared" si="123"/>
        <v>0.20801956724005288</v>
      </c>
      <c r="E586" s="10">
        <f t="shared" si="117"/>
        <v>0.20756877763206613</v>
      </c>
      <c r="F586" s="10">
        <f t="shared" si="118"/>
        <v>0.2075852628244958</v>
      </c>
      <c r="G586" s="10">
        <f t="shared" si="119"/>
        <v>0.20713479068923488</v>
      </c>
      <c r="H586" s="9">
        <f t="shared" si="120"/>
        <v>-76.68557525169031</v>
      </c>
      <c r="I586" s="8">
        <f t="shared" si="113"/>
        <v>11982.134255603427</v>
      </c>
      <c r="J586" s="9">
        <f t="shared" si="114"/>
        <v>-76.743696832169618</v>
      </c>
      <c r="K586" s="9">
        <f t="shared" si="115"/>
        <v>-76.68557525169031</v>
      </c>
      <c r="L586" s="8">
        <f t="shared" si="121"/>
        <v>11960.654157511686</v>
      </c>
      <c r="N586" s="16">
        <f t="shared" si="116"/>
        <v>4.0047618308596133</v>
      </c>
    </row>
    <row r="587" spans="2:14" x14ac:dyDescent="0.25">
      <c r="B587" s="7">
        <f t="shared" si="122"/>
        <v>163.24000000000058</v>
      </c>
      <c r="C587" s="9">
        <f t="shared" si="112"/>
        <v>-76.68557525169031</v>
      </c>
      <c r="D587" s="10">
        <f t="shared" si="123"/>
        <v>0.20713538998289013</v>
      </c>
      <c r="E587" s="10">
        <f t="shared" si="117"/>
        <v>0.20668703853575959</v>
      </c>
      <c r="F587" s="10">
        <f t="shared" si="118"/>
        <v>0.20670344551656736</v>
      </c>
      <c r="G587" s="10">
        <f t="shared" si="119"/>
        <v>0.20625540471321457</v>
      </c>
      <c r="H587" s="9">
        <f t="shared" si="120"/>
        <v>-76.627700569426281</v>
      </c>
      <c r="I587" s="8">
        <f t="shared" si="113"/>
        <v>11960.654157511686</v>
      </c>
      <c r="J587" s="9">
        <f t="shared" si="114"/>
        <v>-76.68557525169031</v>
      </c>
      <c r="K587" s="9">
        <f t="shared" si="115"/>
        <v>-76.627700569426281</v>
      </c>
      <c r="L587" s="8">
        <f t="shared" si="121"/>
        <v>11939.19029889673</v>
      </c>
      <c r="N587" s="16">
        <f t="shared" si="116"/>
        <v>4.0104807236838766</v>
      </c>
    </row>
    <row r="588" spans="2:14" x14ac:dyDescent="0.25">
      <c r="B588" s="7">
        <f t="shared" si="122"/>
        <v>163.52000000000058</v>
      </c>
      <c r="C588" s="9">
        <f t="shared" si="112"/>
        <v>-76.627700569426281</v>
      </c>
      <c r="D588" s="10">
        <f t="shared" si="123"/>
        <v>0.20625600162592916</v>
      </c>
      <c r="E588" s="10">
        <f t="shared" si="117"/>
        <v>0.20581006741142138</v>
      </c>
      <c r="F588" s="10">
        <f t="shared" si="118"/>
        <v>0.20582639679967998</v>
      </c>
      <c r="G588" s="10">
        <f t="shared" si="119"/>
        <v>0.20538076648708356</v>
      </c>
      <c r="H588" s="9">
        <f t="shared" si="120"/>
        <v>-76.570071450254645</v>
      </c>
      <c r="I588" s="8">
        <f t="shared" si="113"/>
        <v>11939.19029889673</v>
      </c>
      <c r="J588" s="9">
        <f t="shared" si="114"/>
        <v>-76.627700569426281</v>
      </c>
      <c r="K588" s="9">
        <f t="shared" si="115"/>
        <v>-76.570071450254645</v>
      </c>
      <c r="L588" s="8">
        <f t="shared" si="121"/>
        <v>11917.742610813975</v>
      </c>
      <c r="N588" s="16">
        <f t="shared" si="116"/>
        <v>4.0161884054698316</v>
      </c>
    </row>
    <row r="589" spans="2:14" x14ac:dyDescent="0.25">
      <c r="B589" s="7">
        <f t="shared" si="122"/>
        <v>163.80000000000058</v>
      </c>
      <c r="C589" s="9">
        <f t="shared" si="112"/>
        <v>-76.570071450254645</v>
      </c>
      <c r="D589" s="10">
        <f t="shared" si="123"/>
        <v>0.20538136103575139</v>
      </c>
      <c r="E589" s="10">
        <f t="shared" si="117"/>
        <v>0.20493782335183205</v>
      </c>
      <c r="F589" s="10">
        <f t="shared" si="118"/>
        <v>0.20495407576036542</v>
      </c>
      <c r="G589" s="10">
        <f t="shared" si="119"/>
        <v>0.20451083532226544</v>
      </c>
      <c r="H589" s="9">
        <f t="shared" si="120"/>
        <v>-76.512686570507469</v>
      </c>
      <c r="I589" s="8">
        <f t="shared" si="113"/>
        <v>11917.742610813975</v>
      </c>
      <c r="J589" s="9">
        <f t="shared" si="114"/>
        <v>-76.570071450254645</v>
      </c>
      <c r="K589" s="9">
        <f t="shared" si="115"/>
        <v>-76.512686570507469</v>
      </c>
      <c r="L589" s="8">
        <f t="shared" si="121"/>
        <v>11896.311024691069</v>
      </c>
      <c r="N589" s="16">
        <f t="shared" si="116"/>
        <v>4.0218848776277154</v>
      </c>
    </row>
    <row r="590" spans="2:14" x14ac:dyDescent="0.25">
      <c r="B590" s="7">
        <f t="shared" si="122"/>
        <v>164.08000000000058</v>
      </c>
      <c r="C590" s="9">
        <f t="shared" si="112"/>
        <v>-76.512686570507469</v>
      </c>
      <c r="D590" s="10">
        <f t="shared" si="123"/>
        <v>0.20451142752361923</v>
      </c>
      <c r="E590" s="10">
        <f t="shared" si="117"/>
        <v>0.20407026589135666</v>
      </c>
      <c r="F590" s="10">
        <f t="shared" si="118"/>
        <v>0.20408644192680561</v>
      </c>
      <c r="G590" s="10">
        <f t="shared" si="119"/>
        <v>0.20364557096875602</v>
      </c>
      <c r="H590" s="9">
        <f t="shared" si="120"/>
        <v>-76.455544617848133</v>
      </c>
      <c r="I590" s="8">
        <f t="shared" si="113"/>
        <v>11896.311024691069</v>
      </c>
      <c r="J590" s="9">
        <f t="shared" si="114"/>
        <v>-76.512686570507469</v>
      </c>
      <c r="K590" s="9">
        <f t="shared" si="115"/>
        <v>-76.455544617848133</v>
      </c>
      <c r="L590" s="8">
        <f t="shared" si="121"/>
        <v>11874.895472324699</v>
      </c>
      <c r="N590" s="16">
        <f t="shared" si="116"/>
        <v>4.0275701415155023</v>
      </c>
    </row>
    <row r="591" spans="2:14" x14ac:dyDescent="0.25">
      <c r="B591" s="7">
        <f t="shared" si="122"/>
        <v>164.36000000000058</v>
      </c>
      <c r="C591" s="9">
        <f t="shared" si="112"/>
        <v>-76.455544617848133</v>
      </c>
      <c r="D591" s="10">
        <f t="shared" si="123"/>
        <v>0.2036461608393865</v>
      </c>
      <c r="E591" s="10">
        <f t="shared" si="117"/>
        <v>0.20320735499988687</v>
      </c>
      <c r="F591" s="10">
        <f t="shared" si="118"/>
        <v>0.20322345526281244</v>
      </c>
      <c r="G591" s="10">
        <f t="shared" si="119"/>
        <v>0.20278493360914307</v>
      </c>
      <c r="H591" s="9">
        <f t="shared" si="120"/>
        <v>-76.398644291149353</v>
      </c>
      <c r="I591" s="8">
        <f t="shared" si="113"/>
        <v>11874.895472324699</v>
      </c>
      <c r="J591" s="9">
        <f t="shared" si="114"/>
        <v>-76.455544617848133</v>
      </c>
      <c r="K591" s="9">
        <f t="shared" si="115"/>
        <v>-76.398644291149353</v>
      </c>
      <c r="L591" s="8">
        <f t="shared" si="121"/>
        <v>11853.495885877439</v>
      </c>
      <c r="N591" s="16">
        <f t="shared" si="116"/>
        <v>4.0332441984392053</v>
      </c>
    </row>
    <row r="592" spans="2:14" x14ac:dyDescent="0.25">
      <c r="B592" s="7">
        <f t="shared" si="122"/>
        <v>164.64000000000058</v>
      </c>
      <c r="C592" s="9">
        <f t="shared" si="112"/>
        <v>-76.398644291149353</v>
      </c>
      <c r="D592" s="10">
        <f t="shared" si="123"/>
        <v>0.20278552116548046</v>
      </c>
      <c r="E592" s="10">
        <f t="shared" si="117"/>
        <v>0.20234905107689652</v>
      </c>
      <c r="F592" s="10">
        <f t="shared" si="118"/>
        <v>0.20236507616184882</v>
      </c>
      <c r="G592" s="10">
        <f t="shared" si="119"/>
        <v>0.2019288838526829</v>
      </c>
      <c r="H592" s="9">
        <f t="shared" si="120"/>
        <v>-76.341984300372886</v>
      </c>
      <c r="I592" s="8">
        <f t="shared" si="113"/>
        <v>11853.495885877439</v>
      </c>
      <c r="J592" s="9">
        <f t="shared" si="114"/>
        <v>-76.398644291149353</v>
      </c>
      <c r="K592" s="9">
        <f t="shared" si="115"/>
        <v>-76.341984300372886</v>
      </c>
      <c r="L592" s="8">
        <f t="shared" si="121"/>
        <v>11832.112197874625</v>
      </c>
      <c r="N592" s="16">
        <f t="shared" si="116"/>
        <v>4.0389070496531643</v>
      </c>
    </row>
    <row r="593" spans="2:14" x14ac:dyDescent="0.25">
      <c r="B593" s="7">
        <f t="shared" si="122"/>
        <v>164.92000000000058</v>
      </c>
      <c r="C593" s="9">
        <f t="shared" si="112"/>
        <v>-76.341984300372886</v>
      </c>
      <c r="D593" s="10">
        <f t="shared" si="123"/>
        <v>0.20192946911101092</v>
      </c>
      <c r="E593" s="10">
        <f t="shared" si="117"/>
        <v>0.20149531494558323</v>
      </c>
      <c r="F593" s="10">
        <f t="shared" si="118"/>
        <v>0.20151126544118059</v>
      </c>
      <c r="G593" s="10">
        <f t="shared" si="119"/>
        <v>0.20107738272950532</v>
      </c>
      <c r="H593" s="9">
        <f t="shared" si="120"/>
        <v>-76.285563366450901</v>
      </c>
      <c r="I593" s="8">
        <f t="shared" si="113"/>
        <v>11832.112197874625</v>
      </c>
      <c r="J593" s="9">
        <f t="shared" si="114"/>
        <v>-76.341984300372886</v>
      </c>
      <c r="K593" s="9">
        <f t="shared" si="115"/>
        <v>-76.285563366450901</v>
      </c>
      <c r="L593" s="8">
        <f t="shared" si="121"/>
        <v>11810.744341201269</v>
      </c>
      <c r="N593" s="16">
        <f t="shared" si="116"/>
        <v>4.0445586963603395</v>
      </c>
    </row>
    <row r="594" spans="2:14" x14ac:dyDescent="0.25">
      <c r="B594" s="7">
        <f t="shared" si="122"/>
        <v>165.20000000000059</v>
      </c>
      <c r="C594" s="9">
        <f t="shared" si="112"/>
        <v>-76.285563366450901</v>
      </c>
      <c r="D594" s="10">
        <f t="shared" si="123"/>
        <v>0.20107796570597075</v>
      </c>
      <c r="E594" s="10">
        <f t="shared" si="117"/>
        <v>0.20064610784712558</v>
      </c>
      <c r="F594" s="10">
        <f t="shared" si="118"/>
        <v>0.20066198433613863</v>
      </c>
      <c r="G594" s="10">
        <f t="shared" si="119"/>
        <v>0.20023039168491819</v>
      </c>
      <c r="H594" s="9">
        <f t="shared" si="120"/>
        <v>-76.229380221168896</v>
      </c>
      <c r="I594" s="8">
        <f t="shared" si="113"/>
        <v>11810.744341201269</v>
      </c>
      <c r="J594" s="9">
        <f t="shared" si="114"/>
        <v>-76.285563366450901</v>
      </c>
      <c r="K594" s="9">
        <f t="shared" si="115"/>
        <v>-76.229380221168896</v>
      </c>
      <c r="L594" s="8">
        <f t="shared" si="121"/>
        <v>11789.392249099003</v>
      </c>
      <c r="N594" s="16">
        <f t="shared" si="116"/>
        <v>4.0501991397125972</v>
      </c>
    </row>
    <row r="595" spans="2:14" x14ac:dyDescent="0.25">
      <c r="B595" s="7">
        <f t="shared" si="122"/>
        <v>165.48000000000059</v>
      </c>
      <c r="C595" s="9">
        <f t="shared" si="112"/>
        <v>-76.229380221168896</v>
      </c>
      <c r="D595" s="10">
        <f t="shared" si="123"/>
        <v>0.20023097239551169</v>
      </c>
      <c r="E595" s="10">
        <f t="shared" si="117"/>
        <v>0.19980139143500325</v>
      </c>
      <c r="F595" s="10">
        <f t="shared" si="118"/>
        <v>0.19981719449441723</v>
      </c>
      <c r="G595" s="10">
        <f t="shared" si="119"/>
        <v>0.19938787257377383</v>
      </c>
      <c r="H595" s="9">
        <f t="shared" si="120"/>
        <v>-76.173433607050256</v>
      </c>
      <c r="I595" s="8">
        <f t="shared" si="113"/>
        <v>11789.392249099003</v>
      </c>
      <c r="J595" s="9">
        <f t="shared" si="114"/>
        <v>-76.229380221168896</v>
      </c>
      <c r="K595" s="9">
        <f t="shared" si="115"/>
        <v>-76.173433607050256</v>
      </c>
      <c r="L595" s="8">
        <f t="shared" si="121"/>
        <v>11768.055855163051</v>
      </c>
      <c r="N595" s="16">
        <f t="shared" si="116"/>
        <v>4.055828380810989</v>
      </c>
    </row>
    <row r="596" spans="2:14" x14ac:dyDescent="0.25">
      <c r="B596" s="7">
        <f t="shared" si="122"/>
        <v>165.76000000000059</v>
      </c>
      <c r="C596" s="9">
        <f t="shared" si="112"/>
        <v>-76.173433607050256</v>
      </c>
      <c r="D596" s="10">
        <f t="shared" si="123"/>
        <v>0.19938845103434821</v>
      </c>
      <c r="E596" s="10">
        <f t="shared" si="117"/>
        <v>0.19896112776943609</v>
      </c>
      <c r="F596" s="10">
        <f t="shared" si="118"/>
        <v>0.19897685797054321</v>
      </c>
      <c r="G596" s="10">
        <f t="shared" si="119"/>
        <v>0.19854978765494241</v>
      </c>
      <c r="H596" s="9">
        <f t="shared" si="120"/>
        <v>-76.117722277242365</v>
      </c>
      <c r="I596" s="8">
        <f t="shared" si="113"/>
        <v>11768.055855163051</v>
      </c>
      <c r="J596" s="9">
        <f t="shared" si="114"/>
        <v>-76.173433607050256</v>
      </c>
      <c r="K596" s="9">
        <f t="shared" si="115"/>
        <v>-76.117722277242365</v>
      </c>
      <c r="L596" s="8">
        <f t="shared" si="121"/>
        <v>11746.73509333925</v>
      </c>
      <c r="N596" s="16">
        <f t="shared" si="116"/>
        <v>4.0614464207060355</v>
      </c>
    </row>
    <row r="597" spans="2:14" x14ac:dyDescent="0.25">
      <c r="B597" s="7">
        <f t="shared" si="122"/>
        <v>166.04000000000059</v>
      </c>
      <c r="C597" s="9">
        <f t="shared" si="112"/>
        <v>-76.117722277242365</v>
      </c>
      <c r="D597" s="10">
        <f t="shared" si="123"/>
        <v>0.19855036388120775</v>
      </c>
      <c r="E597" s="10">
        <f t="shared" si="117"/>
        <v>0.19812527931191798</v>
      </c>
      <c r="F597" s="10">
        <f t="shared" si="118"/>
        <v>0.19814093722037723</v>
      </c>
      <c r="G597" s="10">
        <f t="shared" si="119"/>
        <v>0.19771609958589592</v>
      </c>
      <c r="H597" s="9">
        <f t="shared" si="120"/>
        <v>-76.062244995404214</v>
      </c>
      <c r="I597" s="8">
        <f t="shared" si="113"/>
        <v>11746.73509333925</v>
      </c>
      <c r="J597" s="9">
        <f t="shared" si="114"/>
        <v>-76.117722277242365</v>
      </c>
      <c r="K597" s="9">
        <f t="shared" si="115"/>
        <v>-76.062244995404214</v>
      </c>
      <c r="L597" s="8">
        <f t="shared" si="121"/>
        <v>11725.42989792108</v>
      </c>
      <c r="N597" s="16">
        <f t="shared" si="116"/>
        <v>4.0670532603979899</v>
      </c>
    </row>
    <row r="598" spans="2:14" x14ac:dyDescent="0.25">
      <c r="B598" s="7">
        <f t="shared" si="122"/>
        <v>166.32000000000059</v>
      </c>
      <c r="C598" s="9">
        <f t="shared" si="112"/>
        <v>-76.062244995404214</v>
      </c>
      <c r="D598" s="10">
        <f t="shared" si="123"/>
        <v>0.19771667359341791</v>
      </c>
      <c r="E598" s="10">
        <f t="shared" si="117"/>
        <v>0.1972938089197952</v>
      </c>
      <c r="F598" s="10">
        <f t="shared" si="118"/>
        <v>0.19730939509571888</v>
      </c>
      <c r="G598" s="10">
        <f t="shared" si="119"/>
        <v>0.19688677141734037</v>
      </c>
      <c r="H598" s="9">
        <f t="shared" si="120"/>
        <v>-76.007000535595594</v>
      </c>
      <c r="I598" s="8">
        <f t="shared" si="113"/>
        <v>11725.42989792108</v>
      </c>
      <c r="J598" s="9">
        <f t="shared" si="114"/>
        <v>-76.062244995404214</v>
      </c>
      <c r="K598" s="9">
        <f t="shared" si="115"/>
        <v>-76.007000535595594</v>
      </c>
      <c r="L598" s="8">
        <f t="shared" si="121"/>
        <v>11704.14020354674</v>
      </c>
      <c r="N598" s="16">
        <f t="shared" si="116"/>
        <v>4.0726489008371187</v>
      </c>
    </row>
    <row r="599" spans="2:14" x14ac:dyDescent="0.25">
      <c r="B599" s="7">
        <f t="shared" si="122"/>
        <v>166.60000000000059</v>
      </c>
      <c r="C599" s="9">
        <f t="shared" si="112"/>
        <v>-76.007000535595594</v>
      </c>
      <c r="D599" s="10">
        <f t="shared" si="123"/>
        <v>0.19688734322155893</v>
      </c>
      <c r="E599" s="10">
        <f t="shared" si="117"/>
        <v>0.19646667984101199</v>
      </c>
      <c r="F599" s="10">
        <f t="shared" si="118"/>
        <v>0.19648219483901957</v>
      </c>
      <c r="G599" s="10">
        <f t="shared" si="119"/>
        <v>0.19606176658798091</v>
      </c>
      <c r="H599" s="9">
        <f t="shared" si="120"/>
        <v>-75.951987682167683</v>
      </c>
      <c r="I599" s="8">
        <f t="shared" si="113"/>
        <v>11704.14020354674</v>
      </c>
      <c r="J599" s="9">
        <f t="shared" si="114"/>
        <v>-76.007000535595594</v>
      </c>
      <c r="K599" s="9">
        <f t="shared" si="115"/>
        <v>-75.951987682167683</v>
      </c>
      <c r="L599" s="8">
        <f t="shared" si="121"/>
        <v>11682.865945196254</v>
      </c>
      <c r="N599" s="16">
        <f t="shared" si="116"/>
        <v>4.0782333429239639</v>
      </c>
    </row>
    <row r="600" spans="2:14" x14ac:dyDescent="0.25">
      <c r="B600" s="7">
        <f t="shared" si="122"/>
        <v>166.88000000000059</v>
      </c>
      <c r="C600" s="9">
        <f t="shared" ref="C600:C663" si="124">H599</f>
        <v>-75.951987682167683</v>
      </c>
      <c r="D600" s="10">
        <f t="shared" si="123"/>
        <v>0.19606233620418881</v>
      </c>
      <c r="E600" s="10">
        <f t="shared" si="117"/>
        <v>0.19564385570884671</v>
      </c>
      <c r="F600" s="10">
        <f t="shared" si="118"/>
        <v>0.19565930007814511</v>
      </c>
      <c r="G600" s="10">
        <f t="shared" si="119"/>
        <v>0.19524104891932295</v>
      </c>
      <c r="H600" s="9">
        <f t="shared" si="120"/>
        <v>-75.897205229655128</v>
      </c>
      <c r="I600" s="8">
        <f t="shared" ref="I600:I663" si="125">L599</f>
        <v>11682.865945196254</v>
      </c>
      <c r="J600" s="9">
        <f t="shared" ref="J600:J663" si="126">C600</f>
        <v>-75.951987682167683</v>
      </c>
      <c r="K600" s="9">
        <f t="shared" ref="K600:K663" si="127">H600</f>
        <v>-75.897205229655128</v>
      </c>
      <c r="L600" s="8">
        <f t="shared" si="121"/>
        <v>11661.607058188598</v>
      </c>
      <c r="N600" s="16">
        <f t="shared" ref="N600:N663" si="128">C_y(I600)</f>
        <v>4.0838065875096037</v>
      </c>
    </row>
    <row r="601" spans="2:14" x14ac:dyDescent="0.25">
      <c r="B601" s="7">
        <f t="shared" si="122"/>
        <v>167.16000000000059</v>
      </c>
      <c r="C601" s="9">
        <f t="shared" si="124"/>
        <v>-75.897205229655128</v>
      </c>
      <c r="D601" s="10">
        <f t="shared" si="123"/>
        <v>0.19524161636268109</v>
      </c>
      <c r="E601" s="10">
        <f t="shared" si="117"/>
        <v>0.19482530053680339</v>
      </c>
      <c r="F601" s="10">
        <f t="shared" si="118"/>
        <v>0.19484067482126086</v>
      </c>
      <c r="G601" s="10">
        <f t="shared" si="119"/>
        <v>0.19442458261058326</v>
      </c>
      <c r="H601" s="9">
        <f t="shared" si="120"/>
        <v>-75.842651982669622</v>
      </c>
      <c r="I601" s="8">
        <f t="shared" si="125"/>
        <v>11661.607058188598</v>
      </c>
      <c r="J601" s="9">
        <f t="shared" si="126"/>
        <v>-75.897205229655128</v>
      </c>
      <c r="K601" s="9">
        <f t="shared" si="127"/>
        <v>-75.842651982669622</v>
      </c>
      <c r="L601" s="8">
        <f t="shared" si="121"/>
        <v>11640.363478178873</v>
      </c>
      <c r="N601" s="16">
        <f t="shared" si="128"/>
        <v>4.0893686353959184</v>
      </c>
    </row>
    <row r="602" spans="2:14" x14ac:dyDescent="0.25">
      <c r="B602" s="7">
        <f t="shared" si="122"/>
        <v>167.44000000000059</v>
      </c>
      <c r="C602" s="9">
        <f t="shared" si="124"/>
        <v>-75.842651982669622</v>
      </c>
      <c r="D602" s="10">
        <f t="shared" si="123"/>
        <v>0.19442514789612708</v>
      </c>
      <c r="E602" s="10">
        <f t="shared" si="117"/>
        <v>0.19401097871355291</v>
      </c>
      <c r="F602" s="10">
        <f t="shared" si="118"/>
        <v>0.19402628345176706</v>
      </c>
      <c r="G602" s="10">
        <f t="shared" si="119"/>
        <v>0.19361233223369959</v>
      </c>
      <c r="H602" s="9">
        <f t="shared" si="120"/>
        <v>-75.788326755794799</v>
      </c>
      <c r="I602" s="8">
        <f t="shared" si="125"/>
        <v>11640.363478178873</v>
      </c>
      <c r="J602" s="9">
        <f t="shared" si="126"/>
        <v>-75.842651982669622</v>
      </c>
      <c r="K602" s="9">
        <f t="shared" si="127"/>
        <v>-75.788326755794799</v>
      </c>
      <c r="L602" s="8">
        <f t="shared" si="121"/>
        <v>11619.135141155488</v>
      </c>
      <c r="N602" s="16">
        <f t="shared" si="128"/>
        <v>4.0949194873358392</v>
      </c>
    </row>
    <row r="603" spans="2:14" x14ac:dyDescent="0.25">
      <c r="B603" s="7">
        <f t="shared" si="122"/>
        <v>167.7200000000006</v>
      </c>
      <c r="C603" s="9">
        <f t="shared" si="124"/>
        <v>-75.788326755794799</v>
      </c>
      <c r="D603" s="10">
        <f t="shared" si="123"/>
        <v>0.19361289537632348</v>
      </c>
      <c r="E603" s="10">
        <f t="shared" si="117"/>
        <v>0.19320085499796602</v>
      </c>
      <c r="F603" s="10">
        <f t="shared" si="118"/>
        <v>0.19321609072331614</v>
      </c>
      <c r="G603" s="10">
        <f t="shared" si="119"/>
        <v>0.19280426272837253</v>
      </c>
      <c r="H603" s="9">
        <f t="shared" si="120"/>
        <v>-75.734228373482594</v>
      </c>
      <c r="I603" s="8">
        <f t="shared" si="125"/>
        <v>11619.135141155488</v>
      </c>
      <c r="J603" s="9">
        <f t="shared" si="126"/>
        <v>-75.788326755794799</v>
      </c>
      <c r="K603" s="9">
        <f t="shared" si="127"/>
        <v>-75.734228373482594</v>
      </c>
      <c r="L603" s="8">
        <f t="shared" si="121"/>
        <v>11597.921983437389</v>
      </c>
      <c r="N603" s="16">
        <f t="shared" si="128"/>
        <v>4.1004591440336045</v>
      </c>
    </row>
    <row r="604" spans="2:14" x14ac:dyDescent="0.25">
      <c r="B604" s="7">
        <f t="shared" si="122"/>
        <v>168.0000000000006</v>
      </c>
      <c r="C604" s="9">
        <f t="shared" si="124"/>
        <v>-75.734228373482594</v>
      </c>
      <c r="D604" s="10">
        <f t="shared" si="123"/>
        <v>0.19280482374284735</v>
      </c>
      <c r="E604" s="10">
        <f t="shared" si="117"/>
        <v>0.19239489451422867</v>
      </c>
      <c r="F604" s="10">
        <f t="shared" si="118"/>
        <v>0.1924100617549469</v>
      </c>
      <c r="G604" s="10">
        <f t="shared" si="119"/>
        <v>0.19200033939722422</v>
      </c>
      <c r="H604" s="9">
        <f t="shared" si="120"/>
        <v>-75.680355669950927</v>
      </c>
      <c r="I604" s="8">
        <f t="shared" si="125"/>
        <v>11597.921983437389</v>
      </c>
      <c r="J604" s="9">
        <f t="shared" si="126"/>
        <v>-75.734228373482594</v>
      </c>
      <c r="K604" s="9">
        <f t="shared" si="127"/>
        <v>-75.680355669950927</v>
      </c>
      <c r="L604" s="8">
        <f t="shared" si="121"/>
        <v>11576.723941671307</v>
      </c>
      <c r="N604" s="16">
        <f t="shared" si="128"/>
        <v>4.1059876061450087</v>
      </c>
    </row>
    <row r="605" spans="2:14" x14ac:dyDescent="0.25">
      <c r="B605" s="7">
        <f t="shared" si="122"/>
        <v>168.2800000000006</v>
      </c>
      <c r="C605" s="9">
        <f t="shared" si="124"/>
        <v>-75.680355669950927</v>
      </c>
      <c r="D605" s="10">
        <f t="shared" si="123"/>
        <v>0.19200089829818601</v>
      </c>
      <c r="E605" s="10">
        <f t="shared" si="117"/>
        <v>0.19159306274700011</v>
      </c>
      <c r="F605" s="10">
        <f t="shared" si="118"/>
        <v>0.19160816202625622</v>
      </c>
      <c r="G605" s="10">
        <f t="shared" si="119"/>
        <v>0.19120052790102815</v>
      </c>
      <c r="H605" s="9">
        <f t="shared" si="120"/>
        <v>-75.62670748908279</v>
      </c>
      <c r="I605" s="8">
        <f t="shared" si="125"/>
        <v>11576.723941671307</v>
      </c>
      <c r="J605" s="9">
        <f t="shared" si="126"/>
        <v>-75.680355669950927</v>
      </c>
      <c r="K605" s="9">
        <f t="shared" si="127"/>
        <v>-75.62670748908279</v>
      </c>
      <c r="L605" s="8">
        <f t="shared" si="121"/>
        <v>11555.540952829042</v>
      </c>
      <c r="N605" s="16">
        <f t="shared" si="128"/>
        <v>4.1115048742776432</v>
      </c>
    </row>
    <row r="606" spans="2:14" x14ac:dyDescent="0.25">
      <c r="B606" s="7">
        <f t="shared" si="122"/>
        <v>168.5600000000006</v>
      </c>
      <c r="C606" s="9">
        <f t="shared" si="124"/>
        <v>-75.62670748908279</v>
      </c>
      <c r="D606" s="10">
        <f t="shared" si="123"/>
        <v>0.19120108470299285</v>
      </c>
      <c r="E606" s="10">
        <f t="shared" si="117"/>
        <v>0.19079532553671411</v>
      </c>
      <c r="F606" s="10">
        <f t="shared" si="118"/>
        <v>0.19081035737265861</v>
      </c>
      <c r="G606" s="10">
        <f t="shared" si="119"/>
        <v>0.19040479425399925</v>
      </c>
      <c r="H606" s="9">
        <f t="shared" si="120"/>
        <v>-75.573282684326585</v>
      </c>
      <c r="I606" s="8">
        <f t="shared" si="125"/>
        <v>11555.540952829042</v>
      </c>
      <c r="J606" s="9">
        <f t="shared" si="126"/>
        <v>-75.62670748908279</v>
      </c>
      <c r="K606" s="9">
        <f t="shared" si="127"/>
        <v>-75.573282684326585</v>
      </c>
      <c r="L606" s="8">
        <f t="shared" si="121"/>
        <v>11534.372954204764</v>
      </c>
      <c r="N606" s="16">
        <f t="shared" si="128"/>
        <v>4.1170109489911475</v>
      </c>
    </row>
    <row r="607" spans="2:14" x14ac:dyDescent="0.25">
      <c r="B607" s="7">
        <f t="shared" si="122"/>
        <v>168.8400000000006</v>
      </c>
      <c r="C607" s="9">
        <f t="shared" si="124"/>
        <v>-75.573282684326585</v>
      </c>
      <c r="D607" s="10">
        <f t="shared" si="123"/>
        <v>0.19040534897135086</v>
      </c>
      <c r="E607" s="10">
        <f t="shared" si="117"/>
        <v>0.19000164907489436</v>
      </c>
      <c r="F607" s="10">
        <f t="shared" si="118"/>
        <v>0.19001661398072028</v>
      </c>
      <c r="G607" s="10">
        <f t="shared" si="119"/>
        <v>0.18961310481916704</v>
      </c>
      <c r="H607" s="9">
        <f t="shared" si="120"/>
        <v>-75.520080118597832</v>
      </c>
      <c r="I607" s="8">
        <f t="shared" si="125"/>
        <v>11534.372954204764</v>
      </c>
      <c r="J607" s="9">
        <f t="shared" si="126"/>
        <v>-75.573282684326585</v>
      </c>
      <c r="K607" s="9">
        <f t="shared" si="127"/>
        <v>-75.520080118597832</v>
      </c>
      <c r="L607" s="8">
        <f t="shared" si="121"/>
        <v>11513.219883412354</v>
      </c>
      <c r="N607" s="16">
        <f t="shared" si="128"/>
        <v>4.1225058307974374</v>
      </c>
    </row>
    <row r="608" spans="2:14" x14ac:dyDescent="0.25">
      <c r="B608" s="7">
        <f t="shared" si="122"/>
        <v>169.1200000000006</v>
      </c>
      <c r="C608" s="9">
        <f t="shared" si="124"/>
        <v>-75.520080118597832</v>
      </c>
      <c r="D608" s="10">
        <f t="shared" si="123"/>
        <v>0.18961365746617415</v>
      </c>
      <c r="E608" s="10">
        <f t="shared" si="117"/>
        <v>0.18921199989955051</v>
      </c>
      <c r="F608" s="10">
        <f t="shared" si="118"/>
        <v>0.1892268983835772</v>
      </c>
      <c r="G608" s="10">
        <f t="shared" si="119"/>
        <v>0.18882542630382962</v>
      </c>
      <c r="H608" s="9">
        <f t="shared" si="120"/>
        <v>-75.467098664182146</v>
      </c>
      <c r="I608" s="8">
        <f t="shared" si="125"/>
        <v>11513.219883412354</v>
      </c>
      <c r="J608" s="9">
        <f t="shared" si="126"/>
        <v>-75.520080118597832</v>
      </c>
      <c r="K608" s="9">
        <f t="shared" si="127"/>
        <v>-75.467098664182146</v>
      </c>
      <c r="L608" s="8">
        <f t="shared" si="121"/>
        <v>11492.081678382765</v>
      </c>
      <c r="N608" s="16">
        <f t="shared" si="128"/>
        <v>4.1279895201609502</v>
      </c>
    </row>
    <row r="609" spans="2:14" x14ac:dyDescent="0.25">
      <c r="B609" s="7">
        <f t="shared" si="122"/>
        <v>169.4000000000006</v>
      </c>
      <c r="C609" s="9">
        <f t="shared" si="124"/>
        <v>-75.467098664182146</v>
      </c>
      <c r="D609" s="10">
        <f t="shared" si="123"/>
        <v>0.1888259768946389</v>
      </c>
      <c r="E609" s="10">
        <f t="shared" si="117"/>
        <v>0.18842634489070406</v>
      </c>
      <c r="F609" s="10">
        <f t="shared" si="118"/>
        <v>0.18844117745641345</v>
      </c>
      <c r="G609" s="10">
        <f t="shared" si="119"/>
        <v>0.18804172575506772</v>
      </c>
      <c r="H609" s="9">
        <f t="shared" si="120"/>
        <v>-75.41433720263943</v>
      </c>
      <c r="I609" s="8">
        <f t="shared" si="125"/>
        <v>11492.081678382765</v>
      </c>
      <c r="J609" s="9">
        <f t="shared" si="126"/>
        <v>-75.467098664182146</v>
      </c>
      <c r="K609" s="9">
        <f t="shared" si="127"/>
        <v>-75.41433720263943</v>
      </c>
      <c r="L609" s="8">
        <f t="shared" si="121"/>
        <v>11470.958277361409</v>
      </c>
      <c r="N609" s="16">
        <f t="shared" si="128"/>
        <v>4.1334620174988697</v>
      </c>
    </row>
    <row r="610" spans="2:14" x14ac:dyDescent="0.25">
      <c r="B610" s="7">
        <f t="shared" si="122"/>
        <v>169.6800000000006</v>
      </c>
      <c r="C610" s="9">
        <f t="shared" si="124"/>
        <v>-75.41433720263943</v>
      </c>
      <c r="D610" s="10">
        <f t="shared" si="123"/>
        <v>0.18804227430369516</v>
      </c>
      <c r="E610" s="10">
        <f t="shared" si="117"/>
        <v>0.18764465126588828</v>
      </c>
      <c r="F610" s="10">
        <f t="shared" si="118"/>
        <v>0.18765941841199768</v>
      </c>
      <c r="G610" s="10">
        <f t="shared" si="119"/>
        <v>0.18726197055532354</v>
      </c>
      <c r="H610" s="9">
        <f t="shared" si="120"/>
        <v>-75.361794624709404</v>
      </c>
      <c r="I610" s="8">
        <f t="shared" si="125"/>
        <v>11470.958277361409</v>
      </c>
      <c r="J610" s="9">
        <f t="shared" si="126"/>
        <v>-75.41433720263943</v>
      </c>
      <c r="K610" s="9">
        <f t="shared" si="127"/>
        <v>-75.361794624709404</v>
      </c>
      <c r="L610" s="8">
        <f t="shared" si="121"/>
        <v>11449.84961890558</v>
      </c>
      <c r="N610" s="16">
        <f t="shared" si="128"/>
        <v>4.1389233231813574</v>
      </c>
    </row>
    <row r="611" spans="2:14" x14ac:dyDescent="0.25">
      <c r="B611" s="7">
        <f t="shared" si="122"/>
        <v>169.9600000000006</v>
      </c>
      <c r="C611" s="9">
        <f t="shared" si="124"/>
        <v>-75.361794624709404</v>
      </c>
      <c r="D611" s="10">
        <f t="shared" si="123"/>
        <v>0.18726251707567587</v>
      </c>
      <c r="E611" s="10">
        <f t="shared" si="117"/>
        <v>0.1868668865758116</v>
      </c>
      <c r="F611" s="10">
        <f t="shared" si="118"/>
        <v>0.18688158879633807</v>
      </c>
      <c r="G611" s="10">
        <f t="shared" si="119"/>
        <v>0.18648612841807194</v>
      </c>
      <c r="H611" s="9">
        <f t="shared" si="120"/>
        <v>-75.309469830218291</v>
      </c>
      <c r="I611" s="8">
        <f t="shared" si="125"/>
        <v>11449.84961890558</v>
      </c>
      <c r="J611" s="9">
        <f t="shared" si="126"/>
        <v>-75.361794624709404</v>
      </c>
      <c r="K611" s="9">
        <f t="shared" si="127"/>
        <v>-75.309469830218291</v>
      </c>
      <c r="L611" s="8">
        <f t="shared" si="121"/>
        <v>11428.755641881891</v>
      </c>
      <c r="N611" s="16">
        <f t="shared" si="128"/>
        <v>4.1443734375317831</v>
      </c>
    </row>
    <row r="612" spans="2:14" x14ac:dyDescent="0.25">
      <c r="B612" s="7">
        <f t="shared" si="122"/>
        <v>170.24000000000061</v>
      </c>
      <c r="C612" s="9">
        <f t="shared" si="124"/>
        <v>-75.309469830218291</v>
      </c>
      <c r="D612" s="10">
        <f t="shared" si="123"/>
        <v>0.18648667292392726</v>
      </c>
      <c r="E612" s="10">
        <f t="shared" si="117"/>
        <v>0.18609301870002812</v>
      </c>
      <c r="F612" s="10">
        <f t="shared" si="118"/>
        <v>0.18610765648432762</v>
      </c>
      <c r="G612" s="10">
        <f t="shared" si="119"/>
        <v>0.18571416738352267</v>
      </c>
      <c r="H612" s="9">
        <f t="shared" si="120"/>
        <v>-75.257361727986734</v>
      </c>
      <c r="I612" s="8">
        <f t="shared" si="125"/>
        <v>11428.755641881891</v>
      </c>
      <c r="J612" s="9">
        <f t="shared" si="126"/>
        <v>-75.309469830218291</v>
      </c>
      <c r="K612" s="9">
        <f t="shared" si="127"/>
        <v>-75.257361727986734</v>
      </c>
      <c r="L612" s="8">
        <f t="shared" si="121"/>
        <v>11407.676285463742</v>
      </c>
      <c r="N612" s="16">
        <f t="shared" si="128"/>
        <v>4.1498123608269388</v>
      </c>
    </row>
    <row r="613" spans="2:14" x14ac:dyDescent="0.25">
      <c r="B613" s="7">
        <f t="shared" si="122"/>
        <v>170.52000000000061</v>
      </c>
      <c r="C613" s="9">
        <f t="shared" si="124"/>
        <v>-75.257361727986734</v>
      </c>
      <c r="D613" s="10">
        <f t="shared" si="123"/>
        <v>0.18571470988855665</v>
      </c>
      <c r="E613" s="10">
        <f t="shared" si="117"/>
        <v>0.18532301584269648</v>
      </c>
      <c r="F613" s="10">
        <f t="shared" si="118"/>
        <v>0.18533758967554301</v>
      </c>
      <c r="G613" s="10">
        <f t="shared" si="119"/>
        <v>0.18494605581443532</v>
      </c>
      <c r="H613" s="9">
        <f t="shared" si="120"/>
        <v>-75.205469235738889</v>
      </c>
      <c r="I613" s="8">
        <f t="shared" si="125"/>
        <v>11407.676285463742</v>
      </c>
      <c r="J613" s="9">
        <f t="shared" si="126"/>
        <v>-75.257361727986734</v>
      </c>
      <c r="K613" s="9">
        <f t="shared" si="127"/>
        <v>-75.205469235738889</v>
      </c>
      <c r="L613" s="8">
        <f t="shared" si="121"/>
        <v>11386.61148912882</v>
      </c>
      <c r="N613" s="16">
        <f t="shared" si="128"/>
        <v>4.1552400932972686</v>
      </c>
    </row>
    <row r="614" spans="2:14" x14ac:dyDescent="0.25">
      <c r="B614" s="7">
        <f t="shared" si="122"/>
        <v>170.80000000000061</v>
      </c>
      <c r="C614" s="9">
        <f t="shared" si="124"/>
        <v>-75.205469235738889</v>
      </c>
      <c r="D614" s="10">
        <f t="shared" si="123"/>
        <v>0.18494659633219754</v>
      </c>
      <c r="E614" s="10">
        <f t="shared" si="117"/>
        <v>0.18455684652840773</v>
      </c>
      <c r="F614" s="10">
        <f t="shared" si="118"/>
        <v>0.18457135689003915</v>
      </c>
      <c r="G614" s="10">
        <f t="shared" si="119"/>
        <v>0.18418176239194953</v>
      </c>
      <c r="H614" s="9">
        <f t="shared" si="120"/>
        <v>-75.153791280012712</v>
      </c>
      <c r="I614" s="8">
        <f t="shared" si="125"/>
        <v>11386.61148912882</v>
      </c>
      <c r="J614" s="9">
        <f t="shared" si="126"/>
        <v>-75.205469235738889</v>
      </c>
      <c r="K614" s="9">
        <f t="shared" si="127"/>
        <v>-75.153791280012712</v>
      </c>
      <c r="L614" s="8">
        <f t="shared" si="121"/>
        <v>11365.561192656614</v>
      </c>
      <c r="N614" s="16">
        <f t="shared" si="128"/>
        <v>4.1606566351270766</v>
      </c>
    </row>
    <row r="615" spans="2:14" x14ac:dyDescent="0.25">
      <c r="B615" s="7">
        <f t="shared" si="122"/>
        <v>171.08000000000061</v>
      </c>
      <c r="C615" s="9">
        <f t="shared" si="124"/>
        <v>-75.153791280012712</v>
      </c>
      <c r="D615" s="10">
        <f t="shared" si="123"/>
        <v>0.18418230093587909</v>
      </c>
      <c r="E615" s="10">
        <f t="shared" si="117"/>
        <v>0.18379447959806225</v>
      </c>
      <c r="F615" s="10">
        <f t="shared" si="118"/>
        <v>0.18380892696423537</v>
      </c>
      <c r="G615" s="10">
        <f t="shared" si="119"/>
        <v>0.18342125611151197</v>
      </c>
      <c r="H615" s="9">
        <f t="shared" si="120"/>
        <v>-75.102326796071353</v>
      </c>
      <c r="I615" s="8">
        <f t="shared" si="125"/>
        <v>11365.561192656614</v>
      </c>
      <c r="J615" s="9">
        <f t="shared" si="126"/>
        <v>-75.153791280012712</v>
      </c>
      <c r="K615" s="9">
        <f t="shared" si="127"/>
        <v>-75.102326796071353</v>
      </c>
      <c r="L615" s="8">
        <f t="shared" si="121"/>
        <v>11344.525336125962</v>
      </c>
      <c r="N615" s="16">
        <f t="shared" si="128"/>
        <v>4.1660619864547455</v>
      </c>
    </row>
    <row r="616" spans="2:14" x14ac:dyDescent="0.25">
      <c r="B616" s="7">
        <f t="shared" si="122"/>
        <v>171.36000000000061</v>
      </c>
      <c r="C616" s="9">
        <f t="shared" si="124"/>
        <v>-75.102326796071353</v>
      </c>
      <c r="D616" s="10">
        <f t="shared" si="123"/>
        <v>0.1834217926949373</v>
      </c>
      <c r="E616" s="10">
        <f t="shared" si="117"/>
        <v>0.18303588420482103</v>
      </c>
      <c r="F616" s="10">
        <f t="shared" si="118"/>
        <v>0.18305026904687413</v>
      </c>
      <c r="G616" s="10">
        <f t="shared" si="119"/>
        <v>0.1826645062788671</v>
      </c>
      <c r="H616" s="9">
        <f t="shared" si="120"/>
        <v>-75.051074727815745</v>
      </c>
      <c r="I616" s="8">
        <f t="shared" si="125"/>
        <v>11344.525336125962</v>
      </c>
      <c r="J616" s="9">
        <f t="shared" si="126"/>
        <v>-75.102326796071353</v>
      </c>
      <c r="K616" s="9">
        <f t="shared" si="127"/>
        <v>-75.051074727815745</v>
      </c>
      <c r="L616" s="8">
        <f t="shared" si="121"/>
        <v>11323.503859912618</v>
      </c>
      <c r="N616" s="16">
        <f t="shared" si="128"/>
        <v>4.1714561473729477</v>
      </c>
    </row>
    <row r="617" spans="2:14" x14ac:dyDescent="0.25">
      <c r="B617" s="7">
        <f t="shared" si="122"/>
        <v>171.64000000000061</v>
      </c>
      <c r="C617" s="9">
        <f t="shared" si="124"/>
        <v>-75.051074727815745</v>
      </c>
      <c r="D617" s="10">
        <f t="shared" si="123"/>
        <v>0.18266504091499899</v>
      </c>
      <c r="E617" s="10">
        <f t="shared" si="117"/>
        <v>0.18228102981013006</v>
      </c>
      <c r="F617" s="10">
        <f t="shared" si="118"/>
        <v>0.18229535259503082</v>
      </c>
      <c r="G617" s="10">
        <f t="shared" si="119"/>
        <v>0.18191148250607159</v>
      </c>
      <c r="H617" s="9">
        <f t="shared" si="120"/>
        <v>-75.000034027698277</v>
      </c>
      <c r="I617" s="8">
        <f t="shared" si="125"/>
        <v>11323.503859912618</v>
      </c>
      <c r="J617" s="9">
        <f t="shared" si="126"/>
        <v>-75.051074727815745</v>
      </c>
      <c r="K617" s="9">
        <f t="shared" si="127"/>
        <v>-75.000034027698277</v>
      </c>
      <c r="L617" s="8">
        <f t="shared" si="121"/>
        <v>11302.496704686846</v>
      </c>
      <c r="N617" s="16">
        <f t="shared" si="128"/>
        <v>4.1768391179288518</v>
      </c>
    </row>
    <row r="618" spans="2:14" x14ac:dyDescent="0.25">
      <c r="B618" s="7">
        <f t="shared" si="122"/>
        <v>171.92000000000061</v>
      </c>
      <c r="C618" s="9">
        <f t="shared" si="124"/>
        <v>-75.000034027698277</v>
      </c>
      <c r="D618" s="10">
        <f t="shared" si="123"/>
        <v>0.18191201520802208</v>
      </c>
      <c r="E618" s="10">
        <f t="shared" si="117"/>
        <v>0.18152988617978008</v>
      </c>
      <c r="F618" s="10">
        <f t="shared" si="118"/>
        <v>0.18154414737017366</v>
      </c>
      <c r="G618" s="10">
        <f t="shared" si="119"/>
        <v>0.18116215470763081</v>
      </c>
      <c r="H618" s="9">
        <f t="shared" si="120"/>
        <v>-74.94920365663755</v>
      </c>
      <c r="I618" s="8">
        <f t="shared" si="125"/>
        <v>11302.496704686846</v>
      </c>
      <c r="J618" s="9">
        <f t="shared" si="126"/>
        <v>-75.000034027698277</v>
      </c>
      <c r="K618" s="9">
        <f t="shared" si="127"/>
        <v>-74.94920365663755</v>
      </c>
      <c r="L618" s="8">
        <f t="shared" si="121"/>
        <v>11281.503811411039</v>
      </c>
      <c r="N618" s="16">
        <f t="shared" si="128"/>
        <v>4.1822108981243273</v>
      </c>
    </row>
    <row r="619" spans="2:14" x14ac:dyDescent="0.25">
      <c r="B619" s="7">
        <f t="shared" si="122"/>
        <v>172.20000000000061</v>
      </c>
      <c r="C619" s="9">
        <f t="shared" si="124"/>
        <v>-74.94920365663755</v>
      </c>
      <c r="D619" s="10">
        <f t="shared" si="123"/>
        <v>0.18116268548839481</v>
      </c>
      <c r="E619" s="10">
        <f t="shared" si="117"/>
        <v>0.18078242338003428</v>
      </c>
      <c r="F619" s="10">
        <f t="shared" si="118"/>
        <v>0.18079662343431066</v>
      </c>
      <c r="G619" s="10">
        <f t="shared" si="119"/>
        <v>0.18041649309663105</v>
      </c>
      <c r="H619" s="9">
        <f t="shared" si="120"/>
        <v>-74.898582583934243</v>
      </c>
      <c r="I619" s="8">
        <f t="shared" si="125"/>
        <v>11281.503811411039</v>
      </c>
      <c r="J619" s="9">
        <f t="shared" si="126"/>
        <v>-74.94920365663755</v>
      </c>
      <c r="K619" s="9">
        <f t="shared" si="127"/>
        <v>-74.898582583934243</v>
      </c>
      <c r="L619" s="8">
        <f t="shared" si="121"/>
        <v>11260.525121337359</v>
      </c>
      <c r="N619" s="16">
        <f t="shared" si="128"/>
        <v>4.1875714879161476</v>
      </c>
    </row>
    <row r="620" spans="2:14" x14ac:dyDescent="0.25">
      <c r="B620" s="7">
        <f t="shared" si="122"/>
        <v>172.48000000000062</v>
      </c>
      <c r="C620" s="9">
        <f t="shared" si="124"/>
        <v>-74.898582583934243</v>
      </c>
      <c r="D620" s="10">
        <f t="shared" si="123"/>
        <v>0.18041702196910198</v>
      </c>
      <c r="E620" s="10">
        <f t="shared" si="117"/>
        <v>0.18003861177383496</v>
      </c>
      <c r="F620" s="10">
        <f t="shared" si="118"/>
        <v>0.18005275114617497</v>
      </c>
      <c r="G620" s="10">
        <f t="shared" si="119"/>
        <v>0.17967446818097893</v>
      </c>
      <c r="H620" s="9">
        <f t="shared" si="120"/>
        <v>-74.848169787188041</v>
      </c>
      <c r="I620" s="8">
        <f t="shared" si="125"/>
        <v>11260.525121337359</v>
      </c>
      <c r="J620" s="9">
        <f t="shared" si="126"/>
        <v>-74.898582583934243</v>
      </c>
      <c r="K620" s="9">
        <f t="shared" si="127"/>
        <v>-74.848169787188041</v>
      </c>
      <c r="L620" s="8">
        <f t="shared" si="121"/>
        <v>11239.560576005402</v>
      </c>
      <c r="N620" s="16">
        <f t="shared" si="128"/>
        <v>4.1929208872161912</v>
      </c>
    </row>
    <row r="621" spans="2:14" x14ac:dyDescent="0.25">
      <c r="B621" s="7">
        <f t="shared" si="122"/>
        <v>172.76000000000062</v>
      </c>
      <c r="C621" s="9">
        <f t="shared" si="124"/>
        <v>-74.848169787188041</v>
      </c>
      <c r="D621" s="10">
        <f t="shared" si="123"/>
        <v>0.17967499515793789</v>
      </c>
      <c r="E621" s="10">
        <f t="shared" si="117"/>
        <v>0.17929842201704418</v>
      </c>
      <c r="F621" s="10">
        <f t="shared" si="118"/>
        <v>0.17931250115745426</v>
      </c>
      <c r="G621" s="10">
        <f t="shared" si="119"/>
        <v>0.1789360507596576</v>
      </c>
      <c r="H621" s="9">
        <f t="shared" si="120"/>
        <v>-74.797964252215607</v>
      </c>
      <c r="I621" s="8">
        <f t="shared" si="125"/>
        <v>11239.560576005402</v>
      </c>
      <c r="J621" s="9">
        <f t="shared" si="126"/>
        <v>-74.848169787188041</v>
      </c>
      <c r="K621" s="9">
        <f t="shared" si="127"/>
        <v>-74.797964252215607</v>
      </c>
      <c r="L621" s="8">
        <f t="shared" si="121"/>
        <v>11218.610117239885</v>
      </c>
      <c r="N621" s="16">
        <f t="shared" si="128"/>
        <v>4.1982590958916344</v>
      </c>
    </row>
    <row r="622" spans="2:14" x14ac:dyDescent="0.25">
      <c r="B622" s="7">
        <f t="shared" si="122"/>
        <v>173.04000000000062</v>
      </c>
      <c r="C622" s="9">
        <f t="shared" si="124"/>
        <v>-74.797964252215607</v>
      </c>
      <c r="D622" s="10">
        <f t="shared" si="123"/>
        <v>0.17893657585378431</v>
      </c>
      <c r="E622" s="10">
        <f t="shared" si="117"/>
        <v>0.17856182505473644</v>
      </c>
      <c r="F622" s="10">
        <f t="shared" si="118"/>
        <v>0.17857584440912697</v>
      </c>
      <c r="G622" s="10">
        <f t="shared" si="119"/>
        <v>0.17820121191907951</v>
      </c>
      <c r="H622" s="9">
        <f t="shared" si="120"/>
        <v>-74.747964972969584</v>
      </c>
      <c r="I622" s="8">
        <f t="shared" si="125"/>
        <v>11218.610117239885</v>
      </c>
      <c r="J622" s="9">
        <f t="shared" si="126"/>
        <v>-74.797964252215607</v>
      </c>
      <c r="K622" s="9">
        <f t="shared" si="127"/>
        <v>-74.747964972969584</v>
      </c>
      <c r="L622" s="8">
        <f t="shared" si="121"/>
        <v>11197.673687148359</v>
      </c>
      <c r="N622" s="16">
        <f t="shared" si="128"/>
        <v>4.203586113765148</v>
      </c>
    </row>
    <row r="623" spans="2:14" x14ac:dyDescent="0.25">
      <c r="B623" s="7">
        <f t="shared" si="122"/>
        <v>173.32000000000062</v>
      </c>
      <c r="C623" s="9">
        <f t="shared" si="124"/>
        <v>-74.747964972969584</v>
      </c>
      <c r="D623" s="10">
        <f t="shared" si="123"/>
        <v>0.17820173514294668</v>
      </c>
      <c r="E623" s="10">
        <f t="shared" si="117"/>
        <v>0.17782879211756977</v>
      </c>
      <c r="F623" s="10">
        <f t="shared" si="118"/>
        <v>0.17784275212778827</v>
      </c>
      <c r="G623" s="10">
        <f t="shared" si="119"/>
        <v>0.17746992302945852</v>
      </c>
      <c r="H623" s="9">
        <f t="shared" si="120"/>
        <v>-74.698170951458636</v>
      </c>
      <c r="I623" s="8">
        <f t="shared" si="125"/>
        <v>11197.673687148359</v>
      </c>
      <c r="J623" s="9">
        <f t="shared" si="126"/>
        <v>-74.747964972969584</v>
      </c>
      <c r="K623" s="9">
        <f t="shared" si="127"/>
        <v>-74.698170951458636</v>
      </c>
      <c r="L623" s="8">
        <f t="shared" si="121"/>
        <v>11176.751228118939</v>
      </c>
      <c r="N623" s="16">
        <f t="shared" si="128"/>
        <v>4.2089019406150898</v>
      </c>
    </row>
    <row r="624" spans="2:14" x14ac:dyDescent="0.25">
      <c r="B624" s="7">
        <f t="shared" si="122"/>
        <v>173.60000000000062</v>
      </c>
      <c r="C624" s="9">
        <f t="shared" si="124"/>
        <v>-74.698170951458636</v>
      </c>
      <c r="D624" s="10">
        <f t="shared" si="123"/>
        <v>0.17747044439553805</v>
      </c>
      <c r="E624" s="10">
        <f t="shared" si="117"/>
        <v>0.17709929471821631</v>
      </c>
      <c r="F624" s="10">
        <f t="shared" si="118"/>
        <v>0.17711319582208979</v>
      </c>
      <c r="G624" s="10">
        <f t="shared" si="119"/>
        <v>0.17674215574125549</v>
      </c>
      <c r="H624" s="9">
        <f t="shared" si="120"/>
        <v>-74.648581197668491</v>
      </c>
      <c r="I624" s="8">
        <f t="shared" si="125"/>
        <v>11176.751228118939</v>
      </c>
      <c r="J624" s="9">
        <f t="shared" si="126"/>
        <v>-74.698170951458636</v>
      </c>
      <c r="K624" s="9">
        <f t="shared" si="127"/>
        <v>-74.648581197668491</v>
      </c>
      <c r="L624" s="8">
        <f t="shared" si="121"/>
        <v>11155.842682818062</v>
      </c>
      <c r="N624" s="16">
        <f t="shared" si="128"/>
        <v>4.2142065761756911</v>
      </c>
    </row>
    <row r="625" spans="2:14" x14ac:dyDescent="0.25">
      <c r="B625" s="7">
        <f t="shared" si="122"/>
        <v>173.88000000000062</v>
      </c>
      <c r="C625" s="9">
        <f t="shared" si="124"/>
        <v>-74.648581197668491</v>
      </c>
      <c r="D625" s="10">
        <f t="shared" si="123"/>
        <v>0.17674267526192267</v>
      </c>
      <c r="E625" s="10">
        <f t="shared" si="117"/>
        <v>0.17637330464779383</v>
      </c>
      <c r="F625" s="10">
        <f t="shared" si="118"/>
        <v>0.17638714727919924</v>
      </c>
      <c r="G625" s="10">
        <f t="shared" si="119"/>
        <v>0.17601788198168217</v>
      </c>
      <c r="H625" s="9">
        <f t="shared" si="120"/>
        <v>-74.599194729483941</v>
      </c>
      <c r="I625" s="8">
        <f t="shared" si="125"/>
        <v>11155.842682818062</v>
      </c>
      <c r="J625" s="9">
        <f t="shared" si="126"/>
        <v>-74.648581197668491</v>
      </c>
      <c r="K625" s="9">
        <f t="shared" si="127"/>
        <v>-74.599194729483941</v>
      </c>
      <c r="L625" s="8">
        <f t="shared" si="121"/>
        <v>11134.94799418826</v>
      </c>
      <c r="N625" s="16">
        <f t="shared" si="128"/>
        <v>4.2195000201372421</v>
      </c>
    </row>
    <row r="626" spans="2:14" x14ac:dyDescent="0.25">
      <c r="B626" s="7">
        <f t="shared" si="122"/>
        <v>174.16000000000062</v>
      </c>
      <c r="C626" s="9">
        <f t="shared" si="124"/>
        <v>-74.599194729483941</v>
      </c>
      <c r="D626" s="10">
        <f t="shared" si="123"/>
        <v>0.17601839966920668</v>
      </c>
      <c r="E626" s="10">
        <f t="shared" si="117"/>
        <v>0.17565079397242761</v>
      </c>
      <c r="F626" s="10">
        <f t="shared" si="118"/>
        <v>0.17566457856131582</v>
      </c>
      <c r="G626" s="10">
        <f t="shared" si="119"/>
        <v>0.17529707395123628</v>
      </c>
      <c r="H626" s="9">
        <f t="shared" si="120"/>
        <v>-74.550010572611839</v>
      </c>
      <c r="I626" s="8">
        <f t="shared" si="125"/>
        <v>11134.94799418826</v>
      </c>
      <c r="J626" s="9">
        <f t="shared" si="126"/>
        <v>-74.599194729483941</v>
      </c>
      <c r="K626" s="9">
        <f t="shared" si="127"/>
        <v>-74.550010572611839</v>
      </c>
      <c r="L626" s="8">
        <f t="shared" si="121"/>
        <v>11114.067105445967</v>
      </c>
      <c r="N626" s="16">
        <f t="shared" si="128"/>
        <v>4.2247822721462773</v>
      </c>
    </row>
    <row r="627" spans="2:14" x14ac:dyDescent="0.25">
      <c r="B627" s="7">
        <f t="shared" si="122"/>
        <v>174.44000000000062</v>
      </c>
      <c r="C627" s="9">
        <f t="shared" si="124"/>
        <v>-74.550010572611839</v>
      </c>
      <c r="D627" s="10">
        <f t="shared" si="123"/>
        <v>0.17529758981779009</v>
      </c>
      <c r="E627" s="10">
        <f t="shared" si="117"/>
        <v>0.17493173502978879</v>
      </c>
      <c r="F627" s="10">
        <f t="shared" si="118"/>
        <v>0.17494546200224761</v>
      </c>
      <c r="G627" s="10">
        <f t="shared" si="119"/>
        <v>0.17457970412030113</v>
      </c>
      <c r="H627" s="9">
        <f t="shared" si="120"/>
        <v>-74.501027760505067</v>
      </c>
      <c r="I627" s="8">
        <f t="shared" si="125"/>
        <v>11114.067105445967</v>
      </c>
      <c r="J627" s="9">
        <f t="shared" si="126"/>
        <v>-74.550010572611839</v>
      </c>
      <c r="K627" s="9">
        <f t="shared" si="127"/>
        <v>-74.501027760505067</v>
      </c>
      <c r="L627" s="8">
        <f t="shared" si="121"/>
        <v>11093.199960079332</v>
      </c>
      <c r="N627" s="16">
        <f t="shared" si="128"/>
        <v>4.2300533318057569</v>
      </c>
    </row>
    <row r="628" spans="2:14" x14ac:dyDescent="0.25">
      <c r="B628" s="7">
        <f t="shared" si="122"/>
        <v>174.72000000000062</v>
      </c>
      <c r="C628" s="9">
        <f t="shared" si="124"/>
        <v>-74.501027760505067</v>
      </c>
      <c r="D628" s="10">
        <f t="shared" si="123"/>
        <v>0.17458021817795516</v>
      </c>
      <c r="E628" s="10">
        <f t="shared" si="117"/>
        <v>0.17421610042573837</v>
      </c>
      <c r="F628" s="10">
        <f t="shared" si="118"/>
        <v>0.17422977020402858</v>
      </c>
      <c r="G628" s="10">
        <f t="shared" si="119"/>
        <v>0.17386574522579321</v>
      </c>
      <c r="H628" s="9">
        <f t="shared" si="120"/>
        <v>-74.452245334287454</v>
      </c>
      <c r="I628" s="8">
        <f t="shared" si="125"/>
        <v>11093.199960079332</v>
      </c>
      <c r="J628" s="9">
        <f t="shared" si="126"/>
        <v>-74.501027760505067</v>
      </c>
      <c r="K628" s="9">
        <f t="shared" si="127"/>
        <v>-74.452245334287454</v>
      </c>
      <c r="L628" s="8">
        <f t="shared" si="121"/>
        <v>11072.346501846061</v>
      </c>
      <c r="N628" s="16">
        <f t="shared" si="128"/>
        <v>4.2353131986752413</v>
      </c>
    </row>
    <row r="629" spans="2:14" x14ac:dyDescent="0.25">
      <c r="B629" s="7">
        <f t="shared" si="122"/>
        <v>175.00000000000063</v>
      </c>
      <c r="C629" s="9">
        <f t="shared" si="124"/>
        <v>-74.452245334287454</v>
      </c>
      <c r="D629" s="10">
        <f t="shared" si="123"/>
        <v>0.17386625748653323</v>
      </c>
      <c r="E629" s="10">
        <f t="shared" si="117"/>
        <v>0.17350386303099227</v>
      </c>
      <c r="F629" s="10">
        <f t="shared" si="118"/>
        <v>0.17351747603360221</v>
      </c>
      <c r="G629" s="10">
        <f t="shared" si="119"/>
        <v>0.173155170267876</v>
      </c>
      <c r="H629" s="9">
        <f t="shared" si="120"/>
        <v>-74.403662342679553</v>
      </c>
      <c r="I629" s="8">
        <f t="shared" si="125"/>
        <v>11072.346501846061</v>
      </c>
      <c r="J629" s="9">
        <f t="shared" si="126"/>
        <v>-74.452245334287454</v>
      </c>
      <c r="K629" s="9">
        <f t="shared" si="127"/>
        <v>-74.403662342679553</v>
      </c>
      <c r="L629" s="8">
        <f t="shared" si="121"/>
        <v>11051.506674771286</v>
      </c>
      <c r="N629" s="16">
        <f t="shared" si="128"/>
        <v>4.2405618722710718</v>
      </c>
    </row>
    <row r="630" spans="2:14" x14ac:dyDescent="0.25">
      <c r="B630" s="7">
        <f t="shared" si="122"/>
        <v>175.28000000000063</v>
      </c>
      <c r="C630" s="9">
        <f t="shared" si="124"/>
        <v>-74.403662342679553</v>
      </c>
      <c r="D630" s="10">
        <f t="shared" si="123"/>
        <v>0.17315568074357851</v>
      </c>
      <c r="E630" s="10">
        <f t="shared" si="117"/>
        <v>0.17279499597784981</v>
      </c>
      <c r="F630" s="10">
        <f t="shared" si="118"/>
        <v>0.17280855261953326</v>
      </c>
      <c r="G630" s="10">
        <f t="shared" si="119"/>
        <v>0.17244795250668174</v>
      </c>
      <c r="H630" s="9">
        <f t="shared" si="120"/>
        <v>-74.355277841925457</v>
      </c>
      <c r="I630" s="8">
        <f t="shared" si="125"/>
        <v>11051.506674771286</v>
      </c>
      <c r="J630" s="9">
        <f t="shared" si="126"/>
        <v>-74.403662342679553</v>
      </c>
      <c r="K630" s="9">
        <f t="shared" si="127"/>
        <v>-74.355277841925457</v>
      </c>
      <c r="L630" s="8">
        <f t="shared" si="121"/>
        <v>11030.680423145441</v>
      </c>
      <c r="N630" s="16">
        <f t="shared" si="128"/>
        <v>4.2457993520665411</v>
      </c>
    </row>
    <row r="631" spans="2:14" x14ac:dyDescent="0.25">
      <c r="B631" s="7">
        <f t="shared" si="122"/>
        <v>175.56000000000063</v>
      </c>
      <c r="C631" s="9">
        <f t="shared" si="124"/>
        <v>-74.355277841925457</v>
      </c>
      <c r="D631" s="10">
        <f t="shared" si="123"/>
        <v>0.17244846120913254</v>
      </c>
      <c r="E631" s="10">
        <f t="shared" si="117"/>
        <v>0.17208947265696384</v>
      </c>
      <c r="F631" s="10">
        <f t="shared" si="118"/>
        <v>0.17210297334878014</v>
      </c>
      <c r="G631" s="10">
        <f t="shared" si="119"/>
        <v>0.17174406545911666</v>
      </c>
      <c r="H631" s="9">
        <f t="shared" si="120"/>
        <v>-74.307090895720407</v>
      </c>
      <c r="I631" s="8">
        <f t="shared" si="125"/>
        <v>11030.680423145441</v>
      </c>
      <c r="J631" s="9">
        <f t="shared" si="126"/>
        <v>-74.355277841925457</v>
      </c>
      <c r="K631" s="9">
        <f t="shared" si="127"/>
        <v>-74.307090895720407</v>
      </c>
      <c r="L631" s="8">
        <f t="shared" si="121"/>
        <v>11009.867691522169</v>
      </c>
      <c r="N631" s="16">
        <f t="shared" si="128"/>
        <v>4.2510256374920639</v>
      </c>
    </row>
    <row r="632" spans="2:14" x14ac:dyDescent="0.25">
      <c r="B632" s="7">
        <f t="shared" si="122"/>
        <v>175.84000000000063</v>
      </c>
      <c r="C632" s="9">
        <f t="shared" si="124"/>
        <v>-74.307090895720407</v>
      </c>
      <c r="D632" s="10">
        <f t="shared" si="123"/>
        <v>0.17174457240001281</v>
      </c>
      <c r="E632" s="10">
        <f t="shared" si="117"/>
        <v>0.17138726671414117</v>
      </c>
      <c r="F632" s="10">
        <f t="shared" si="118"/>
        <v>0.17140071186351491</v>
      </c>
      <c r="G632" s="10">
        <f t="shared" si="119"/>
        <v>0.1710434828957102</v>
      </c>
      <c r="H632" s="9">
        <f t="shared" si="120"/>
        <v>-74.259100575139357</v>
      </c>
      <c r="I632" s="8">
        <f t="shared" si="125"/>
        <v>11009.867691522169</v>
      </c>
      <c r="J632" s="9">
        <f t="shared" si="126"/>
        <v>-74.307090895720407</v>
      </c>
      <c r="K632" s="9">
        <f t="shared" si="127"/>
        <v>-74.259100575139357</v>
      </c>
      <c r="L632" s="8">
        <f t="shared" si="121"/>
        <v>10989.06842471625</v>
      </c>
      <c r="N632" s="16">
        <f t="shared" si="128"/>
        <v>4.2562407279353485</v>
      </c>
    </row>
    <row r="633" spans="2:14" x14ac:dyDescent="0.25">
      <c r="B633" s="7">
        <f t="shared" si="122"/>
        <v>176.12000000000063</v>
      </c>
      <c r="C633" s="9">
        <f t="shared" si="124"/>
        <v>-74.259100575139357</v>
      </c>
      <c r="D633" s="10">
        <f t="shared" si="123"/>
        <v>0.17104398808664539</v>
      </c>
      <c r="E633" s="10">
        <f t="shared" si="117"/>
        <v>0.17068835204723476</v>
      </c>
      <c r="F633" s="10">
        <f t="shared" si="118"/>
        <v>0.17070174205797883</v>
      </c>
      <c r="G633" s="10">
        <f t="shared" si="119"/>
        <v>0.17034617883748099</v>
      </c>
      <c r="H633" s="9">
        <f t="shared" si="120"/>
        <v>-74.211305958566413</v>
      </c>
      <c r="I633" s="8">
        <f t="shared" si="125"/>
        <v>10989.06842471625</v>
      </c>
      <c r="J633" s="9">
        <f t="shared" si="126"/>
        <v>-74.259100575139357</v>
      </c>
      <c r="K633" s="9">
        <f t="shared" si="127"/>
        <v>-74.211305958566413</v>
      </c>
      <c r="L633" s="8">
        <f t="shared" si="121"/>
        <v>10968.282567801531</v>
      </c>
      <c r="N633" s="16">
        <f t="shared" si="128"/>
        <v>4.2614446227415579</v>
      </c>
    </row>
    <row r="634" spans="2:14" x14ac:dyDescent="0.25">
      <c r="B634" s="7">
        <f t="shared" si="122"/>
        <v>176.40000000000063</v>
      </c>
      <c r="C634" s="9">
        <f t="shared" si="124"/>
        <v>-74.211305958566413</v>
      </c>
      <c r="D634" s="10">
        <f t="shared" si="123"/>
        <v>0.17034668228997074</v>
      </c>
      <c r="E634" s="10">
        <f t="shared" si="117"/>
        <v>0.16999270280304266</v>
      </c>
      <c r="F634" s="10">
        <f t="shared" si="118"/>
        <v>0.17000603807542064</v>
      </c>
      <c r="G634" s="10">
        <f t="shared" si="119"/>
        <v>0.16965212755289846</v>
      </c>
      <c r="H634" s="9">
        <f t="shared" si="120"/>
        <v>-74.163706131625091</v>
      </c>
      <c r="I634" s="8">
        <f t="shared" si="125"/>
        <v>10968.282567801531</v>
      </c>
      <c r="J634" s="9">
        <f t="shared" si="126"/>
        <v>-74.211305958566413</v>
      </c>
      <c r="K634" s="9">
        <f t="shared" si="127"/>
        <v>-74.163706131625091</v>
      </c>
      <c r="L634" s="8">
        <f t="shared" si="121"/>
        <v>10947.510066108904</v>
      </c>
      <c r="N634" s="16">
        <f t="shared" si="128"/>
        <v>4.2666373212134792</v>
      </c>
    </row>
    <row r="635" spans="2:14" x14ac:dyDescent="0.25">
      <c r="B635" s="7">
        <f t="shared" si="122"/>
        <v>176.68000000000063</v>
      </c>
      <c r="C635" s="9">
        <f t="shared" si="124"/>
        <v>-74.163706131625091</v>
      </c>
      <c r="D635" s="10">
        <f t="shared" si="123"/>
        <v>0.16965262927835842</v>
      </c>
      <c r="E635" s="10">
        <f t="shared" si="117"/>
        <v>0.16930029337424896</v>
      </c>
      <c r="F635" s="10">
        <f t="shared" si="118"/>
        <v>0.16931357430499686</v>
      </c>
      <c r="G635" s="10">
        <f t="shared" si="119"/>
        <v>0.1689613035548288</v>
      </c>
      <c r="H635" s="9">
        <f t="shared" si="120"/>
        <v>-74.116300187109474</v>
      </c>
      <c r="I635" s="8">
        <f t="shared" si="125"/>
        <v>10947.510066108904</v>
      </c>
      <c r="J635" s="9">
        <f t="shared" si="126"/>
        <v>-74.163706131625091</v>
      </c>
      <c r="K635" s="9">
        <f t="shared" si="127"/>
        <v>-74.116300187109474</v>
      </c>
      <c r="L635" s="8">
        <f t="shared" si="121"/>
        <v>10926.750865224281</v>
      </c>
      <c r="N635" s="16">
        <f t="shared" si="128"/>
        <v>4.2718188226116816</v>
      </c>
    </row>
    <row r="636" spans="2:14" x14ac:dyDescent="0.25">
      <c r="B636" s="7">
        <f t="shared" si="122"/>
        <v>176.96000000000063</v>
      </c>
      <c r="C636" s="9">
        <f t="shared" si="124"/>
        <v>-74.116300187109474</v>
      </c>
      <c r="D636" s="10">
        <f t="shared" si="123"/>
        <v>0.16896180356459106</v>
      </c>
      <c r="E636" s="10">
        <f t="shared" si="117"/>
        <v>0.1686110983964399</v>
      </c>
      <c r="F636" s="10">
        <f t="shared" si="118"/>
        <v>0.16862432537882449</v>
      </c>
      <c r="G636" s="10">
        <f t="shared" si="119"/>
        <v>0.1682736815975856</v>
      </c>
      <c r="H636" s="9">
        <f t="shared" si="120"/>
        <v>-74.069087224916217</v>
      </c>
      <c r="I636" s="8">
        <f t="shared" si="125"/>
        <v>10926.750865224281</v>
      </c>
      <c r="J636" s="9">
        <f t="shared" si="126"/>
        <v>-74.116300187109474</v>
      </c>
      <c r="K636" s="9">
        <f t="shared" si="127"/>
        <v>-74.069087224916217</v>
      </c>
      <c r="L636" s="8">
        <f t="shared" si="121"/>
        <v>10906.004910986598</v>
      </c>
      <c r="N636" s="16">
        <f t="shared" si="128"/>
        <v>4.2769891261546764</v>
      </c>
    </row>
    <row r="637" spans="2:14" x14ac:dyDescent="0.25">
      <c r="B637" s="7">
        <f t="shared" si="122"/>
        <v>177.24000000000063</v>
      </c>
      <c r="C637" s="9">
        <f t="shared" si="124"/>
        <v>-74.069087224916217</v>
      </c>
      <c r="D637" s="10">
        <f t="shared" si="123"/>
        <v>0.1682741799028909</v>
      </c>
      <c r="E637" s="10">
        <f t="shared" si="117"/>
        <v>0.16792509274515258</v>
      </c>
      <c r="F637" s="10">
        <f t="shared" si="118"/>
        <v>0.16793826616900065</v>
      </c>
      <c r="G637" s="10">
        <f t="shared" si="119"/>
        <v>0.16758923667397019</v>
      </c>
      <c r="H637" s="9">
        <f t="shared" si="120"/>
        <v>-74.022066351977315</v>
      </c>
      <c r="I637" s="8">
        <f t="shared" si="125"/>
        <v>10906.004910986598</v>
      </c>
      <c r="J637" s="9">
        <f t="shared" si="126"/>
        <v>-74.069087224916217</v>
      </c>
      <c r="K637" s="9">
        <f t="shared" si="127"/>
        <v>-74.022066351977315</v>
      </c>
      <c r="L637" s="8">
        <f t="shared" si="121"/>
        <v>10885.272149485832</v>
      </c>
      <c r="N637" s="16">
        <f t="shared" si="128"/>
        <v>4.2821482310190744</v>
      </c>
    </row>
    <row r="638" spans="2:14" x14ac:dyDescent="0.25">
      <c r="B638" s="7">
        <f t="shared" si="122"/>
        <v>177.52000000000064</v>
      </c>
      <c r="C638" s="9">
        <f t="shared" si="124"/>
        <v>-74.022066351977315</v>
      </c>
      <c r="D638" s="10">
        <f t="shared" si="123"/>
        <v>0.16758973328596963</v>
      </c>
      <c r="E638" s="10">
        <f t="shared" si="117"/>
        <v>0.16724225153293604</v>
      </c>
      <c r="F638" s="10">
        <f t="shared" si="118"/>
        <v>0.16725537178467906</v>
      </c>
      <c r="G638" s="10">
        <f t="shared" si="119"/>
        <v>0.16690794401238354</v>
      </c>
      <c r="H638" s="9">
        <f t="shared" si="120"/>
        <v>-73.975236682193753</v>
      </c>
      <c r="I638" s="8">
        <f t="shared" si="125"/>
        <v>10885.272149485832</v>
      </c>
      <c r="J638" s="9">
        <f t="shared" si="126"/>
        <v>-74.022066351977315</v>
      </c>
      <c r="K638" s="9">
        <f t="shared" si="127"/>
        <v>-73.975236682193753</v>
      </c>
      <c r="L638" s="8">
        <f t="shared" si="121"/>
        <v>10864.552527061049</v>
      </c>
      <c r="N638" s="16">
        <f t="shared" si="128"/>
        <v>4.287296136339739</v>
      </c>
    </row>
    <row r="639" spans="2:14" x14ac:dyDescent="0.25">
      <c r="B639" s="7">
        <f t="shared" si="122"/>
        <v>177.80000000000064</v>
      </c>
      <c r="C639" s="9">
        <f t="shared" si="124"/>
        <v>-73.975236682193753</v>
      </c>
      <c r="D639" s="10">
        <f t="shared" si="123"/>
        <v>0.16690843894214538</v>
      </c>
      <c r="E639" s="10">
        <f t="shared" si="117"/>
        <v>0.16656255010649146</v>
      </c>
      <c r="F639" s="10">
        <f t="shared" si="118"/>
        <v>0.16657561756920633</v>
      </c>
      <c r="G639" s="10">
        <f t="shared" si="119"/>
        <v>0.16622977907398173</v>
      </c>
      <c r="H639" s="9">
        <f t="shared" si="120"/>
        <v>-73.928597336369933</v>
      </c>
      <c r="I639" s="8">
        <f t="shared" si="125"/>
        <v>10864.552527061049</v>
      </c>
      <c r="J639" s="9">
        <f t="shared" si="126"/>
        <v>-73.975236682193753</v>
      </c>
      <c r="K639" s="9">
        <f t="shared" si="127"/>
        <v>-73.928597336369933</v>
      </c>
      <c r="L639" s="8">
        <f t="shared" si="121"/>
        <v>10843.84599029845</v>
      </c>
      <c r="N639" s="16">
        <f t="shared" si="128"/>
        <v>4.2924328412099415</v>
      </c>
    </row>
    <row r="640" spans="2:14" x14ac:dyDescent="0.25">
      <c r="B640" s="7">
        <f t="shared" si="122"/>
        <v>178.08000000000064</v>
      </c>
      <c r="C640" s="9">
        <f t="shared" si="124"/>
        <v>-73.928597336369933</v>
      </c>
      <c r="D640" s="10">
        <f t="shared" si="123"/>
        <v>0.1662302723324878</v>
      </c>
      <c r="E640" s="10">
        <f t="shared" si="117"/>
        <v>0.16588596404384948</v>
      </c>
      <c r="F640" s="10">
        <f t="shared" si="118"/>
        <v>0.1658989790972932</v>
      </c>
      <c r="G640" s="10">
        <f t="shared" si="119"/>
        <v>0.16555471754986331</v>
      </c>
      <c r="H640" s="9">
        <f t="shared" si="120"/>
        <v>-73.88214744214892</v>
      </c>
      <c r="I640" s="8">
        <f t="shared" si="125"/>
        <v>10843.84599029845</v>
      </c>
      <c r="J640" s="9">
        <f t="shared" si="126"/>
        <v>-73.928597336369933</v>
      </c>
      <c r="K640" s="9">
        <f t="shared" si="127"/>
        <v>-73.88214744214892</v>
      </c>
      <c r="L640" s="8">
        <f t="shared" si="121"/>
        <v>10823.152486029458</v>
      </c>
      <c r="N640" s="16">
        <f t="shared" si="128"/>
        <v>4.2975583446815095</v>
      </c>
    </row>
    <row r="641" spans="2:14" x14ac:dyDescent="0.25">
      <c r="B641" s="7">
        <f t="shared" si="122"/>
        <v>178.36000000000064</v>
      </c>
      <c r="C641" s="9">
        <f t="shared" si="124"/>
        <v>-73.88214744214892</v>
      </c>
      <c r="D641" s="10">
        <f t="shared" si="123"/>
        <v>0.16555520914800539</v>
      </c>
      <c r="E641" s="10">
        <f t="shared" si="117"/>
        <v>0.16521246915157253</v>
      </c>
      <c r="F641" s="10">
        <f t="shared" si="118"/>
        <v>0.16522543217221908</v>
      </c>
      <c r="G641" s="10">
        <f t="shared" si="119"/>
        <v>0.16488273535827844</v>
      </c>
      <c r="H641" s="9">
        <f t="shared" si="120"/>
        <v>-73.835886133948406</v>
      </c>
      <c r="I641" s="8">
        <f t="shared" si="125"/>
        <v>10823.152486029458</v>
      </c>
      <c r="J641" s="9">
        <f t="shared" si="126"/>
        <v>-73.88214744214892</v>
      </c>
      <c r="K641" s="9">
        <f t="shared" si="127"/>
        <v>-73.835886133948406</v>
      </c>
      <c r="L641" s="8">
        <f t="shared" si="121"/>
        <v>10802.471961328803</v>
      </c>
      <c r="N641" s="16">
        <f t="shared" si="128"/>
        <v>4.3026726457649733</v>
      </c>
    </row>
    <row r="642" spans="2:14" x14ac:dyDescent="0.25">
      <c r="B642" s="7">
        <f t="shared" si="122"/>
        <v>178.64000000000064</v>
      </c>
      <c r="C642" s="9">
        <f t="shared" si="124"/>
        <v>-73.835886133948406</v>
      </c>
      <c r="D642" s="10">
        <f t="shared" si="123"/>
        <v>0.16488322530687483</v>
      </c>
      <c r="E642" s="10">
        <f t="shared" si="117"/>
        <v>0.16454204146198703</v>
      </c>
      <c r="F642" s="10">
        <f t="shared" si="118"/>
        <v>0.16455495282307595</v>
      </c>
      <c r="G642" s="10">
        <f t="shared" si="119"/>
        <v>0.16421380864193194</v>
      </c>
      <c r="H642" s="9">
        <f t="shared" si="120"/>
        <v>-73.78981255289753</v>
      </c>
      <c r="I642" s="8">
        <f t="shared" si="125"/>
        <v>10802.471961328803</v>
      </c>
      <c r="J642" s="9">
        <f t="shared" si="126"/>
        <v>-73.835886133948406</v>
      </c>
      <c r="K642" s="9">
        <f t="shared" si="127"/>
        <v>-73.78981255289753</v>
      </c>
      <c r="L642" s="8">
        <f t="shared" si="121"/>
        <v>10781.804363512645</v>
      </c>
      <c r="N642" s="16">
        <f t="shared" si="128"/>
        <v>4.3077757434297164</v>
      </c>
    </row>
    <row r="643" spans="2:14" x14ac:dyDescent="0.25">
      <c r="B643" s="7">
        <f t="shared" si="122"/>
        <v>178.92000000000064</v>
      </c>
      <c r="C643" s="9">
        <f t="shared" si="124"/>
        <v>-73.78981255289753</v>
      </c>
      <c r="D643" s="10">
        <f t="shared" si="123"/>
        <v>0.16421429695171033</v>
      </c>
      <c r="E643" s="10">
        <f t="shared" si="117"/>
        <v>0.16387465723049888</v>
      </c>
      <c r="F643" s="10">
        <f t="shared" si="118"/>
        <v>0.16388751730205717</v>
      </c>
      <c r="G643" s="10">
        <f t="shared" si="119"/>
        <v>0.1635479137652604</v>
      </c>
      <c r="H643" s="9">
        <f t="shared" si="120"/>
        <v>-73.74392584677436</v>
      </c>
      <c r="I643" s="8">
        <f t="shared" si="125"/>
        <v>10781.804363512645</v>
      </c>
      <c r="J643" s="9">
        <f t="shared" si="126"/>
        <v>-73.78981255289753</v>
      </c>
      <c r="K643" s="9">
        <f t="shared" si="127"/>
        <v>-73.74392584677436</v>
      </c>
      <c r="L643" s="8">
        <f t="shared" si="121"/>
        <v>10761.149640136691</v>
      </c>
      <c r="N643" s="16">
        <f t="shared" si="128"/>
        <v>4.312867636604115</v>
      </c>
    </row>
    <row r="644" spans="2:14" x14ac:dyDescent="0.25">
      <c r="B644" s="7">
        <f t="shared" si="122"/>
        <v>179.20000000000064</v>
      </c>
      <c r="C644" s="9">
        <f t="shared" si="124"/>
        <v>-73.74392584677436</v>
      </c>
      <c r="D644" s="10">
        <f t="shared" si="123"/>
        <v>0.16354840044686417</v>
      </c>
      <c r="E644" s="10">
        <f t="shared" ref="E644:E707" si="129">dvdt($C644+h/2*D644,$I644+(h/2)/2*(2*C644+D644*h/2))</f>
        <v>0.16321029293289227</v>
      </c>
      <c r="F644" s="10">
        <f t="shared" ref="F644:F707" si="130">dvdt($C644+h/2*E644,$I644+(h/2)/2*(2*$C644+E644*h/2))</f>
        <v>0.16322310208179749</v>
      </c>
      <c r="G644" s="10">
        <f t="shared" ref="G644:G707" si="131">dvdt($C644+h*F644,$I644+h/2*(2*$C644+F644*h))</f>
        <v>0.16288502731177698</v>
      </c>
      <c r="H644" s="9">
        <f t="shared" ref="H644:H707" si="132">C644+h/6*(D644+2*E644+2*F644+G644)</f>
        <v>-73.698225169944251</v>
      </c>
      <c r="I644" s="8">
        <f t="shared" si="125"/>
        <v>10761.149640136691</v>
      </c>
      <c r="J644" s="9">
        <f t="shared" si="126"/>
        <v>-73.74392584677436</v>
      </c>
      <c r="K644" s="9">
        <f t="shared" si="127"/>
        <v>-73.698225169944251</v>
      </c>
      <c r="L644" s="8">
        <f t="shared" ref="L644:L707" si="133">I644+h/2*(J644+K644)</f>
        <v>10740.507738994351</v>
      </c>
      <c r="N644" s="16">
        <f t="shared" si="128"/>
        <v>4.3179483241756831</v>
      </c>
    </row>
    <row r="645" spans="2:14" x14ac:dyDescent="0.25">
      <c r="B645" s="7">
        <f t="shared" ref="B645:B708" si="134">B644+h</f>
        <v>179.48000000000064</v>
      </c>
      <c r="C645" s="9">
        <f t="shared" si="124"/>
        <v>-73.698225169944251</v>
      </c>
      <c r="D645" s="10">
        <f t="shared" si="123"/>
        <v>0.1628855123757815</v>
      </c>
      <c r="E645" s="10">
        <f t="shared" si="129"/>
        <v>0.16254892526273265</v>
      </c>
      <c r="F645" s="10">
        <f t="shared" si="130"/>
        <v>0.162561683852711</v>
      </c>
      <c r="G645" s="10">
        <f t="shared" si="131"/>
        <v>0.16222512608149228</v>
      </c>
      <c r="H645" s="9">
        <f t="shared" si="132"/>
        <v>-73.652709683298809</v>
      </c>
      <c r="I645" s="8">
        <f t="shared" si="125"/>
        <v>10740.507738994351</v>
      </c>
      <c r="J645" s="9">
        <f t="shared" si="126"/>
        <v>-73.698225169944251</v>
      </c>
      <c r="K645" s="9">
        <f t="shared" si="127"/>
        <v>-73.652709683298809</v>
      </c>
      <c r="L645" s="8">
        <f t="shared" si="133"/>
        <v>10719.878608114897</v>
      </c>
      <c r="N645" s="16">
        <f t="shared" si="128"/>
        <v>4.323017804991208</v>
      </c>
    </row>
    <row r="646" spans="2:14" x14ac:dyDescent="0.25">
      <c r="B646" s="7">
        <f t="shared" si="134"/>
        <v>179.76000000000064</v>
      </c>
      <c r="C646" s="9">
        <f t="shared" si="124"/>
        <v>-73.652709683298809</v>
      </c>
      <c r="D646" s="10">
        <f t="shared" ref="D646:D709" si="135">dvdt($C646,$I646)</f>
        <v>0.16222560953837956</v>
      </c>
      <c r="E646" s="10">
        <f t="shared" si="129"/>
        <v>0.16189053112872209</v>
      </c>
      <c r="F646" s="10">
        <f t="shared" si="130"/>
        <v>0.16190323952040689</v>
      </c>
      <c r="G646" s="10">
        <f t="shared" si="131"/>
        <v>0.16156818708828008</v>
      </c>
      <c r="H646" s="9">
        <f t="shared" si="132"/>
        <v>-73.607378554195648</v>
      </c>
      <c r="I646" s="8">
        <f t="shared" si="125"/>
        <v>10719.878608114897</v>
      </c>
      <c r="J646" s="9">
        <f t="shared" si="126"/>
        <v>-73.652709683298809</v>
      </c>
      <c r="K646" s="9">
        <f t="shared" si="127"/>
        <v>-73.607378554195648</v>
      </c>
      <c r="L646" s="8">
        <f t="shared" si="133"/>
        <v>10699.262195761648</v>
      </c>
      <c r="N646" s="16">
        <f t="shared" si="128"/>
        <v>4.3280760778568936</v>
      </c>
    </row>
    <row r="647" spans="2:14" x14ac:dyDescent="0.25">
      <c r="B647" s="7">
        <f t="shared" si="134"/>
        <v>180.04000000000065</v>
      </c>
      <c r="C647" s="9">
        <f t="shared" si="124"/>
        <v>-73.607378554195648</v>
      </c>
      <c r="D647" s="10">
        <f t="shared" si="135"/>
        <v>0.16156866894845814</v>
      </c>
      <c r="E647" s="10">
        <f t="shared" si="129"/>
        <v>0.16123508765216307</v>
      </c>
      <c r="F647" s="10">
        <f t="shared" si="130"/>
        <v>0.16124774620314017</v>
      </c>
      <c r="G647" s="10">
        <f t="shared" si="131"/>
        <v>0.16091418755737111</v>
      </c>
      <c r="H647" s="9">
        <f t="shared" si="132"/>
        <v>-73.562230956398878</v>
      </c>
      <c r="I647" s="8">
        <f t="shared" si="125"/>
        <v>10699.262195761648</v>
      </c>
      <c r="J647" s="9">
        <f t="shared" si="126"/>
        <v>-73.607378554195648</v>
      </c>
      <c r="K647" s="9">
        <f t="shared" si="127"/>
        <v>-73.562230956398878</v>
      </c>
      <c r="L647" s="8">
        <f t="shared" si="133"/>
        <v>10678.658450430165</v>
      </c>
      <c r="N647" s="16">
        <f t="shared" si="128"/>
        <v>4.3331231415384908</v>
      </c>
    </row>
    <row r="648" spans="2:14" x14ac:dyDescent="0.25">
      <c r="B648" s="7">
        <f t="shared" si="134"/>
        <v>180.32000000000065</v>
      </c>
      <c r="C648" s="9">
        <f t="shared" si="124"/>
        <v>-73.562230956398878</v>
      </c>
      <c r="D648" s="10">
        <f t="shared" si="135"/>
        <v>0.16091466783116729</v>
      </c>
      <c r="E648" s="10">
        <f t="shared" si="129"/>
        <v>0.16058257216442989</v>
      </c>
      <c r="F648" s="10">
        <f t="shared" si="130"/>
        <v>0.16059518122925093</v>
      </c>
      <c r="G648" s="10">
        <f t="shared" si="131"/>
        <v>0.16026310492282944</v>
      </c>
      <c r="H648" s="9">
        <f t="shared" si="132"/>
        <v>-73.517266070020284</v>
      </c>
      <c r="I648" s="8">
        <f t="shared" si="125"/>
        <v>10678.658450430165</v>
      </c>
      <c r="J648" s="9">
        <f t="shared" si="126"/>
        <v>-73.562230956398878</v>
      </c>
      <c r="K648" s="9">
        <f t="shared" si="127"/>
        <v>-73.517266070020284</v>
      </c>
      <c r="L648" s="8">
        <f t="shared" si="133"/>
        <v>10658.067320846465</v>
      </c>
      <c r="N648" s="16">
        <f t="shared" si="128"/>
        <v>4.3381589947614341</v>
      </c>
    </row>
    <row r="649" spans="2:14" x14ac:dyDescent="0.25">
      <c r="B649" s="7">
        <f t="shared" si="134"/>
        <v>180.60000000000065</v>
      </c>
      <c r="C649" s="9">
        <f t="shared" si="124"/>
        <v>-73.517266070020284</v>
      </c>
      <c r="D649" s="10">
        <f t="shared" si="135"/>
        <v>0.16026358362049783</v>
      </c>
      <c r="E649" s="10">
        <f t="shared" si="129"/>
        <v>0.15993296220447845</v>
      </c>
      <c r="F649" s="10">
        <f t="shared" si="130"/>
        <v>0.15994552213470337</v>
      </c>
      <c r="G649" s="10">
        <f t="shared" si="131"/>
        <v>0.15961491682508019</v>
      </c>
      <c r="H649" s="9">
        <f t="shared" si="132"/>
        <v>-73.472483081461164</v>
      </c>
      <c r="I649" s="8">
        <f t="shared" si="125"/>
        <v>10658.067320846465</v>
      </c>
      <c r="J649" s="9">
        <f t="shared" si="126"/>
        <v>-73.517266070020284</v>
      </c>
      <c r="K649" s="9">
        <f t="shared" si="127"/>
        <v>-73.472483081461164</v>
      </c>
      <c r="L649" s="8">
        <f t="shared" si="133"/>
        <v>10637.488755965258</v>
      </c>
      <c r="N649" s="16">
        <f t="shared" si="128"/>
        <v>4.3431836362109726</v>
      </c>
    </row>
    <row r="650" spans="2:14" x14ac:dyDescent="0.25">
      <c r="B650" s="7">
        <f t="shared" si="134"/>
        <v>180.88000000000065</v>
      </c>
      <c r="C650" s="9">
        <f t="shared" si="124"/>
        <v>-73.472483081461164</v>
      </c>
      <c r="D650" s="10">
        <f t="shared" si="135"/>
        <v>0.15961539395679566</v>
      </c>
      <c r="E650" s="10">
        <f t="shared" si="129"/>
        <v>0.15928623551637897</v>
      </c>
      <c r="F650" s="10">
        <f t="shared" si="130"/>
        <v>0.15929874666061727</v>
      </c>
      <c r="G650" s="10">
        <f t="shared" si="131"/>
        <v>0.15896960110848093</v>
      </c>
      <c r="H650" s="9">
        <f t="shared" si="132"/>
        <v>-73.427881183354927</v>
      </c>
      <c r="I650" s="8">
        <f t="shared" si="125"/>
        <v>10637.488755965258</v>
      </c>
      <c r="J650" s="9">
        <f t="shared" si="126"/>
        <v>-73.472483081461164</v>
      </c>
      <c r="K650" s="9">
        <f t="shared" si="127"/>
        <v>-73.427881183354927</v>
      </c>
      <c r="L650" s="8">
        <f t="shared" si="133"/>
        <v>10616.922704968183</v>
      </c>
      <c r="N650" s="16">
        <f t="shared" si="128"/>
        <v>4.3481970645322985</v>
      </c>
    </row>
    <row r="651" spans="2:14" x14ac:dyDescent="0.25">
      <c r="B651" s="7">
        <f t="shared" si="134"/>
        <v>181.16000000000065</v>
      </c>
      <c r="C651" s="9">
        <f t="shared" si="124"/>
        <v>-73.427881183354927</v>
      </c>
      <c r="D651" s="10">
        <f t="shared" si="135"/>
        <v>0.1589700766843386</v>
      </c>
      <c r="E651" s="10">
        <f t="shared" si="129"/>
        <v>0.15864237004691609</v>
      </c>
      <c r="F651" s="10">
        <f t="shared" si="130"/>
        <v>0.15865483275085168</v>
      </c>
      <c r="G651" s="10">
        <f t="shared" si="131"/>
        <v>0.15832713581889471</v>
      </c>
      <c r="H651" s="9">
        <f t="shared" si="132"/>
        <v>-73.383459574510312</v>
      </c>
      <c r="I651" s="8">
        <f t="shared" si="125"/>
        <v>10616.922704968183</v>
      </c>
      <c r="J651" s="9">
        <f t="shared" si="126"/>
        <v>-73.427881183354927</v>
      </c>
      <c r="K651" s="9">
        <f t="shared" si="127"/>
        <v>-73.383459574510312</v>
      </c>
      <c r="L651" s="8">
        <f t="shared" si="133"/>
        <v>10596.369117262082</v>
      </c>
      <c r="N651" s="16">
        <f t="shared" si="128"/>
        <v>4.3531992783306768</v>
      </c>
    </row>
    <row r="652" spans="2:14" x14ac:dyDescent="0.25">
      <c r="B652" s="7">
        <f t="shared" si="134"/>
        <v>181.44000000000065</v>
      </c>
      <c r="C652" s="9">
        <f t="shared" si="124"/>
        <v>-73.383459574510312</v>
      </c>
      <c r="D652" s="10">
        <f t="shared" si="135"/>
        <v>0.15832760984892302</v>
      </c>
      <c r="E652" s="10">
        <f t="shared" si="129"/>
        <v>0.15800134394317972</v>
      </c>
      <c r="F652" s="10">
        <f t="shared" si="130"/>
        <v>0.15801375854960079</v>
      </c>
      <c r="G652" s="10">
        <f t="shared" si="131"/>
        <v>0.15768749920134253</v>
      </c>
      <c r="H652" s="9">
        <f t="shared" si="132"/>
        <v>-73.339217459855305</v>
      </c>
      <c r="I652" s="8">
        <f t="shared" si="125"/>
        <v>10596.369117262082</v>
      </c>
      <c r="J652" s="9">
        <f t="shared" si="126"/>
        <v>-73.383459574510312</v>
      </c>
      <c r="K652" s="9">
        <f t="shared" si="127"/>
        <v>-73.339217459855305</v>
      </c>
      <c r="L652" s="8">
        <f t="shared" si="133"/>
        <v>10575.82794247727</v>
      </c>
      <c r="N652" s="16">
        <f t="shared" si="128"/>
        <v>4.3581902761715705</v>
      </c>
    </row>
    <row r="653" spans="2:14" x14ac:dyDescent="0.25">
      <c r="B653" s="7">
        <f t="shared" si="134"/>
        <v>181.72000000000065</v>
      </c>
      <c r="C653" s="9">
        <f t="shared" si="124"/>
        <v>-73.339217459855305</v>
      </c>
      <c r="D653" s="10">
        <f t="shared" si="135"/>
        <v>0.1576879716954897</v>
      </c>
      <c r="E653" s="10">
        <f t="shared" si="129"/>
        <v>0.15736313555021864</v>
      </c>
      <c r="F653" s="10">
        <f t="shared" si="130"/>
        <v>0.15737550239906314</v>
      </c>
      <c r="G653" s="10">
        <f t="shared" si="131"/>
        <v>0.15705066969765447</v>
      </c>
      <c r="H653" s="9">
        <f t="shared" si="132"/>
        <v>-73.295154050381697</v>
      </c>
      <c r="I653" s="8">
        <f t="shared" si="125"/>
        <v>10575.82794247727</v>
      </c>
      <c r="J653" s="9">
        <f t="shared" si="126"/>
        <v>-73.339217459855305</v>
      </c>
      <c r="K653" s="9">
        <f t="shared" si="127"/>
        <v>-73.295154050381697</v>
      </c>
      <c r="L653" s="8">
        <f t="shared" si="133"/>
        <v>10555.299130465837</v>
      </c>
      <c r="N653" s="16">
        <f t="shared" si="128"/>
        <v>4.3631700565807616</v>
      </c>
    </row>
    <row r="654" spans="2:14" x14ac:dyDescent="0.25">
      <c r="B654" s="7">
        <f t="shared" si="134"/>
        <v>182.00000000000065</v>
      </c>
      <c r="C654" s="9">
        <f t="shared" si="124"/>
        <v>-73.295154050381697</v>
      </c>
      <c r="D654" s="10">
        <f t="shared" si="135"/>
        <v>0.15705114066579545</v>
      </c>
      <c r="E654" s="10">
        <f t="shared" si="129"/>
        <v>0.1567277234087199</v>
      </c>
      <c r="F654" s="10">
        <f t="shared" si="130"/>
        <v>0.15674004283709736</v>
      </c>
      <c r="G654" s="10">
        <f t="shared" si="131"/>
        <v>0.15641662594415137</v>
      </c>
      <c r="H654" s="9">
        <f t="shared" si="132"/>
        <v>-73.251268563090292</v>
      </c>
      <c r="I654" s="8">
        <f t="shared" si="125"/>
        <v>10555.299130465837</v>
      </c>
      <c r="J654" s="9">
        <f t="shared" si="126"/>
        <v>-73.295154050381697</v>
      </c>
      <c r="K654" s="9">
        <f t="shared" si="127"/>
        <v>-73.251268563090292</v>
      </c>
      <c r="L654" s="8">
        <f t="shared" si="133"/>
        <v>10534.782631299951</v>
      </c>
      <c r="N654" s="16">
        <f t="shared" si="128"/>
        <v>4.3681386180444797</v>
      </c>
    </row>
    <row r="655" spans="2:14" x14ac:dyDescent="0.25">
      <c r="B655" s="7">
        <f t="shared" si="134"/>
        <v>182.28000000000065</v>
      </c>
      <c r="C655" s="9">
        <f t="shared" si="124"/>
        <v>-73.251268563090292</v>
      </c>
      <c r="D655" s="10">
        <f t="shared" si="135"/>
        <v>0.15641709539608967</v>
      </c>
      <c r="E655" s="10">
        <f t="shared" si="129"/>
        <v>0.15609508625270932</v>
      </c>
      <c r="F655" s="10">
        <f t="shared" si="130"/>
        <v>0.15610735859493113</v>
      </c>
      <c r="G655" s="10">
        <f t="shared" si="131"/>
        <v>0.15578534676939118</v>
      </c>
      <c r="H655" s="9">
        <f t="shared" si="132"/>
        <v>-73.207560220936784</v>
      </c>
      <c r="I655" s="8">
        <f t="shared" si="125"/>
        <v>10534.782631299951</v>
      </c>
      <c r="J655" s="9">
        <f t="shared" si="126"/>
        <v>-73.251268563090292</v>
      </c>
      <c r="K655" s="9">
        <f t="shared" si="127"/>
        <v>-73.207560220936784</v>
      </c>
      <c r="L655" s="8">
        <f t="shared" si="133"/>
        <v>10514.278395270188</v>
      </c>
      <c r="N655" s="16">
        <f t="shared" si="128"/>
        <v>4.3730959590095146</v>
      </c>
    </row>
    <row r="656" spans="2:14" x14ac:dyDescent="0.25">
      <c r="B656" s="7">
        <f t="shared" si="134"/>
        <v>182.56000000000066</v>
      </c>
      <c r="C656" s="9">
        <f t="shared" si="124"/>
        <v>-73.207560220936784</v>
      </c>
      <c r="D656" s="10">
        <f t="shared" si="135"/>
        <v>0.15578581471485256</v>
      </c>
      <c r="E656" s="10">
        <f t="shared" si="129"/>
        <v>0.1554652030073074</v>
      </c>
      <c r="F656" s="10">
        <f t="shared" si="130"/>
        <v>0.15547742859492708</v>
      </c>
      <c r="G656" s="10">
        <f t="shared" si="131"/>
        <v>0.1551568111919065</v>
      </c>
      <c r="H656" s="9">
        <f t="shared" si="132"/>
        <v>-73.164028252778266</v>
      </c>
      <c r="I656" s="8">
        <f t="shared" si="125"/>
        <v>10514.278395270188</v>
      </c>
      <c r="J656" s="9">
        <f t="shared" si="126"/>
        <v>-73.207560220936784</v>
      </c>
      <c r="K656" s="9">
        <f t="shared" si="127"/>
        <v>-73.164028252778266</v>
      </c>
      <c r="L656" s="8">
        <f t="shared" si="133"/>
        <v>10493.786372883867</v>
      </c>
      <c r="N656" s="16">
        <f t="shared" si="128"/>
        <v>4.3780420778833395</v>
      </c>
    </row>
    <row r="657" spans="2:14" x14ac:dyDescent="0.25">
      <c r="B657" s="7">
        <f t="shared" si="134"/>
        <v>182.84000000000066</v>
      </c>
      <c r="C657" s="9">
        <f t="shared" si="124"/>
        <v>-73.164028252778266</v>
      </c>
      <c r="D657" s="10">
        <f t="shared" si="135"/>
        <v>0.15515727764056034</v>
      </c>
      <c r="E657" s="10">
        <f t="shared" si="129"/>
        <v>0.15483805278649232</v>
      </c>
      <c r="F657" s="10">
        <f t="shared" si="130"/>
        <v>0.15485023194833383</v>
      </c>
      <c r="G657" s="10">
        <f t="shared" si="131"/>
        <v>0.15453099841800907</v>
      </c>
      <c r="H657" s="9">
        <f t="shared" si="132"/>
        <v>-73.120671893320278</v>
      </c>
      <c r="I657" s="8">
        <f t="shared" si="125"/>
        <v>10493.786372883867</v>
      </c>
      <c r="J657" s="9">
        <f t="shared" si="126"/>
        <v>-73.164028252778266</v>
      </c>
      <c r="K657" s="9">
        <f t="shared" si="127"/>
        <v>-73.120671893320278</v>
      </c>
      <c r="L657" s="8">
        <f t="shared" si="133"/>
        <v>10473.306514863414</v>
      </c>
      <c r="N657" s="16">
        <f t="shared" si="128"/>
        <v>4.3829769730342285</v>
      </c>
    </row>
    <row r="658" spans="2:14" x14ac:dyDescent="0.25">
      <c r="B658" s="7">
        <f t="shared" si="134"/>
        <v>183.12000000000066</v>
      </c>
      <c r="C658" s="9">
        <f t="shared" si="124"/>
        <v>-73.120671893320278</v>
      </c>
      <c r="D658" s="10">
        <f t="shared" si="135"/>
        <v>0.15453146337943829</v>
      </c>
      <c r="E658" s="10">
        <f t="shared" si="129"/>
        <v>0.15421361489089883</v>
      </c>
      <c r="F658" s="10">
        <f t="shared" si="130"/>
        <v>0.15422574795307556</v>
      </c>
      <c r="G658" s="10">
        <f t="shared" si="131"/>
        <v>0.15390788783959741</v>
      </c>
      <c r="H658" s="9">
        <f t="shared" si="132"/>
        <v>-73.077490383064614</v>
      </c>
      <c r="I658" s="8">
        <f t="shared" si="125"/>
        <v>10473.306514863414</v>
      </c>
      <c r="J658" s="9">
        <f t="shared" si="126"/>
        <v>-73.120671893320278</v>
      </c>
      <c r="K658" s="9">
        <f t="shared" si="127"/>
        <v>-73.077490383064614</v>
      </c>
      <c r="L658" s="8">
        <f t="shared" si="133"/>
        <v>10452.83877214472</v>
      </c>
      <c r="N658" s="16">
        <f t="shared" si="128"/>
        <v>4.3879006427913643</v>
      </c>
    </row>
    <row r="659" spans="2:14" x14ac:dyDescent="0.25">
      <c r="B659" s="7">
        <f t="shared" si="134"/>
        <v>183.40000000000066</v>
      </c>
      <c r="C659" s="9">
        <f t="shared" si="124"/>
        <v>-73.077490383064614</v>
      </c>
      <c r="D659" s="10">
        <f t="shared" si="135"/>
        <v>0.15390835132332195</v>
      </c>
      <c r="E659" s="10">
        <f t="shared" si="129"/>
        <v>0.15359186880565659</v>
      </c>
      <c r="F659" s="10">
        <f t="shared" si="130"/>
        <v>0.15360395609162017</v>
      </c>
      <c r="G659" s="10">
        <f t="shared" si="131"/>
        <v>0.15328745903199548</v>
      </c>
      <c r="H659" s="9">
        <f t="shared" si="132"/>
        <v>-73.03448296825762</v>
      </c>
      <c r="I659" s="8">
        <f t="shared" si="125"/>
        <v>10452.83877214472</v>
      </c>
      <c r="J659" s="9">
        <f t="shared" si="126"/>
        <v>-73.077490383064614</v>
      </c>
      <c r="K659" s="9">
        <f t="shared" si="127"/>
        <v>-73.03448296825762</v>
      </c>
      <c r="L659" s="8">
        <f t="shared" si="133"/>
        <v>10432.383095875535</v>
      </c>
      <c r="N659" s="16">
        <f t="shared" si="128"/>
        <v>4.3928130854449616</v>
      </c>
    </row>
    <row r="660" spans="2:14" x14ac:dyDescent="0.25">
      <c r="B660" s="7">
        <f t="shared" si="134"/>
        <v>183.68000000000066</v>
      </c>
      <c r="C660" s="9">
        <f t="shared" si="124"/>
        <v>-73.03448296825762</v>
      </c>
      <c r="D660" s="10">
        <f t="shared" si="135"/>
        <v>0.15328792104747169</v>
      </c>
      <c r="E660" s="10">
        <f t="shared" si="129"/>
        <v>0.15297279419825902</v>
      </c>
      <c r="F660" s="10">
        <f t="shared" si="130"/>
        <v>0.15298483602881427</v>
      </c>
      <c r="G660" s="10">
        <f t="shared" si="131"/>
        <v>0.1526696917518513</v>
      </c>
      <c r="H660" s="9">
        <f t="shared" si="132"/>
        <v>-72.991648900839124</v>
      </c>
      <c r="I660" s="8">
        <f t="shared" si="125"/>
        <v>10432.383095875535</v>
      </c>
      <c r="J660" s="9">
        <f t="shared" si="126"/>
        <v>-73.03448296825762</v>
      </c>
      <c r="K660" s="9">
        <f t="shared" si="127"/>
        <v>-72.991648900839124</v>
      </c>
      <c r="L660" s="8">
        <f t="shared" si="133"/>
        <v>10411.939437413861</v>
      </c>
      <c r="N660" s="16">
        <f t="shared" si="128"/>
        <v>4.3977142992463687</v>
      </c>
    </row>
    <row r="661" spans="2:14" x14ac:dyDescent="0.25">
      <c r="B661" s="7">
        <f t="shared" si="134"/>
        <v>183.96000000000066</v>
      </c>
      <c r="C661" s="9">
        <f t="shared" si="124"/>
        <v>-72.991648900839124</v>
      </c>
      <c r="D661" s="10">
        <f t="shared" si="135"/>
        <v>0.15267015230846015</v>
      </c>
      <c r="E661" s="10">
        <f t="shared" si="129"/>
        <v>0.15235637091643139</v>
      </c>
      <c r="F661" s="10">
        <f t="shared" si="130"/>
        <v>0.15236836760977193</v>
      </c>
      <c r="G661" s="10">
        <f t="shared" si="131"/>
        <v>0.1520545659350272</v>
      </c>
      <c r="H661" s="9">
        <f t="shared" si="132"/>
        <v>-72.948987438391981</v>
      </c>
      <c r="I661" s="8">
        <f t="shared" si="125"/>
        <v>10411.939437413861</v>
      </c>
      <c r="J661" s="9">
        <f t="shared" si="126"/>
        <v>-72.991648900839124</v>
      </c>
      <c r="K661" s="9">
        <f t="shared" si="127"/>
        <v>-72.948987438391981</v>
      </c>
      <c r="L661" s="8">
        <f t="shared" si="133"/>
        <v>10391.507748326369</v>
      </c>
      <c r="N661" s="16">
        <f t="shared" si="128"/>
        <v>4.4026042824081824</v>
      </c>
    </row>
    <row r="662" spans="2:14" x14ac:dyDescent="0.25">
      <c r="B662" s="7">
        <f t="shared" si="134"/>
        <v>184.24000000000066</v>
      </c>
      <c r="C662" s="9">
        <f t="shared" si="124"/>
        <v>-72.948987438391981</v>
      </c>
      <c r="D662" s="10">
        <f t="shared" si="135"/>
        <v>0.15205502504207757</v>
      </c>
      <c r="E662" s="10">
        <f t="shared" si="129"/>
        <v>0.15174257898607807</v>
      </c>
      <c r="F662" s="10">
        <f t="shared" si="130"/>
        <v>0.15175453085781934</v>
      </c>
      <c r="G662" s="10">
        <f t="shared" si="131"/>
        <v>0.15144206169452556</v>
      </c>
      <c r="H662" s="9">
        <f t="shared" si="132"/>
        <v>-72.906497844092172</v>
      </c>
      <c r="I662" s="8">
        <f t="shared" si="125"/>
        <v>10391.507748326369</v>
      </c>
      <c r="J662" s="9">
        <f t="shared" si="126"/>
        <v>-72.948987438391981</v>
      </c>
      <c r="K662" s="9">
        <f t="shared" si="127"/>
        <v>-72.906497844092172</v>
      </c>
      <c r="L662" s="8">
        <f t="shared" si="133"/>
        <v>10371.087980386821</v>
      </c>
      <c r="N662" s="16">
        <f t="shared" si="128"/>
        <v>4.4074830331043531</v>
      </c>
    </row>
    <row r="663" spans="2:14" x14ac:dyDescent="0.25">
      <c r="B663" s="7">
        <f t="shared" si="134"/>
        <v>184.52000000000066</v>
      </c>
      <c r="C663" s="9">
        <f t="shared" si="124"/>
        <v>-72.906497844092172</v>
      </c>
      <c r="D663" s="10">
        <f t="shared" si="135"/>
        <v>0.15144251936127179</v>
      </c>
      <c r="E663" s="10">
        <f t="shared" si="129"/>
        <v>0.15113139860920902</v>
      </c>
      <c r="F663" s="10">
        <f t="shared" si="130"/>
        <v>0.15114330597240441</v>
      </c>
      <c r="G663" s="10">
        <f t="shared" si="131"/>
        <v>0.15083215931847013</v>
      </c>
      <c r="H663" s="9">
        <f t="shared" si="132"/>
        <v>-72.864179386659501</v>
      </c>
      <c r="I663" s="8">
        <f t="shared" si="125"/>
        <v>10371.087980386821</v>
      </c>
      <c r="J663" s="9">
        <f t="shared" si="126"/>
        <v>-72.906497844092172</v>
      </c>
      <c r="K663" s="9">
        <f t="shared" si="127"/>
        <v>-72.864179386659501</v>
      </c>
      <c r="L663" s="8">
        <f t="shared" si="133"/>
        <v>10350.680085574515</v>
      </c>
      <c r="N663" s="16">
        <f t="shared" si="128"/>
        <v>4.4123505494702959</v>
      </c>
    </row>
    <row r="664" spans="2:14" x14ac:dyDescent="0.25">
      <c r="B664" s="7">
        <f t="shared" si="134"/>
        <v>184.80000000000067</v>
      </c>
      <c r="C664" s="9">
        <f t="shared" ref="C664:C727" si="136">H663</f>
        <v>-72.864179386659501</v>
      </c>
      <c r="D664" s="10">
        <f t="shared" si="135"/>
        <v>0.1508326155540958</v>
      </c>
      <c r="E664" s="10">
        <f t="shared" si="129"/>
        <v>0.15052281016193689</v>
      </c>
      <c r="F664" s="10">
        <f t="shared" si="130"/>
        <v>0.15053467332711343</v>
      </c>
      <c r="G664" s="10">
        <f t="shared" si="131"/>
        <v>0.15022483926808763</v>
      </c>
      <c r="H664" s="9">
        <f t="shared" si="132"/>
        <v>-72.822031340308826</v>
      </c>
      <c r="I664" s="8">
        <f t="shared" ref="I664:I727" si="137">L663</f>
        <v>10350.680085574515</v>
      </c>
      <c r="J664" s="9">
        <f t="shared" ref="J664:J727" si="138">C664</f>
        <v>-72.864179386659501</v>
      </c>
      <c r="K664" s="9">
        <f t="shared" ref="K664:K727" si="139">H664</f>
        <v>-72.822031340308826</v>
      </c>
      <c r="L664" s="8">
        <f t="shared" si="133"/>
        <v>10330.284016072739</v>
      </c>
      <c r="N664" s="16">
        <f t="shared" ref="N664:N727" si="140">C_y(I664)</f>
        <v>4.4172068296029865</v>
      </c>
    </row>
    <row r="665" spans="2:14" x14ac:dyDescent="0.25">
      <c r="B665" s="7">
        <f t="shared" si="134"/>
        <v>185.08000000000067</v>
      </c>
      <c r="C665" s="9">
        <f t="shared" si="136"/>
        <v>-72.822031340308826</v>
      </c>
      <c r="D665" s="10">
        <f t="shared" si="135"/>
        <v>0.15022529408170532</v>
      </c>
      <c r="E665" s="10">
        <f t="shared" si="129"/>
        <v>0.14991679419244741</v>
      </c>
      <c r="F665" s="10">
        <f t="shared" si="130"/>
        <v>0.14992861346763756</v>
      </c>
      <c r="G665" s="10">
        <f t="shared" si="131"/>
        <v>0.14962008217571438</v>
      </c>
      <c r="H665" s="9">
        <f t="shared" si="132"/>
        <v>-72.780052984701868</v>
      </c>
      <c r="I665" s="8">
        <f t="shared" si="137"/>
        <v>10330.284016072739</v>
      </c>
      <c r="J665" s="9">
        <f t="shared" si="138"/>
        <v>-72.822031340308826</v>
      </c>
      <c r="K665" s="9">
        <f t="shared" si="139"/>
        <v>-72.780052984701868</v>
      </c>
      <c r="L665" s="8">
        <f t="shared" si="133"/>
        <v>10309.899724267238</v>
      </c>
      <c r="N665" s="16">
        <f t="shared" si="140"/>
        <v>4.4220518715610702</v>
      </c>
    </row>
    <row r="666" spans="2:14" x14ac:dyDescent="0.25">
      <c r="B666" s="7">
        <f t="shared" si="134"/>
        <v>185.36000000000067</v>
      </c>
      <c r="C666" s="9">
        <f t="shared" si="136"/>
        <v>-72.780052984701868</v>
      </c>
      <c r="D666" s="10">
        <f t="shared" si="135"/>
        <v>0.14962053557637336</v>
      </c>
      <c r="E666" s="10">
        <f t="shared" si="129"/>
        <v>0.14931333141906242</v>
      </c>
      <c r="F666" s="10">
        <f t="shared" si="130"/>
        <v>0.14932510710982047</v>
      </c>
      <c r="G666" s="10">
        <f t="shared" si="131"/>
        <v>0.14901786884283633</v>
      </c>
      <c r="H666" s="9">
        <f t="shared" si="132"/>
        <v>-72.738243604899608</v>
      </c>
      <c r="I666" s="8">
        <f t="shared" si="137"/>
        <v>10309.899724267238</v>
      </c>
      <c r="J666" s="9">
        <f t="shared" si="138"/>
        <v>-72.780052984701868</v>
      </c>
      <c r="K666" s="9">
        <f t="shared" si="139"/>
        <v>-72.738243604899608</v>
      </c>
      <c r="L666" s="8">
        <f t="shared" si="133"/>
        <v>10289.527162744693</v>
      </c>
      <c r="N666" s="16">
        <f t="shared" si="140"/>
        <v>4.4268856733649624</v>
      </c>
    </row>
    <row r="667" spans="2:14" x14ac:dyDescent="0.25">
      <c r="B667" s="7">
        <f t="shared" si="134"/>
        <v>185.64000000000067</v>
      </c>
      <c r="C667" s="9">
        <f t="shared" si="136"/>
        <v>-72.738243604899608</v>
      </c>
      <c r="D667" s="10">
        <f t="shared" si="135"/>
        <v>0.1490183208395357</v>
      </c>
      <c r="E667" s="10">
        <f t="shared" si="129"/>
        <v>0.14871240272827566</v>
      </c>
      <c r="F667" s="10">
        <f t="shared" si="130"/>
        <v>0.14872413513772206</v>
      </c>
      <c r="G667" s="10">
        <f t="shared" si="131"/>
        <v>0.14841818023819597</v>
      </c>
      <c r="H667" s="9">
        <f t="shared" si="132"/>
        <v>-72.696602491315161</v>
      </c>
      <c r="I667" s="8">
        <f t="shared" si="137"/>
        <v>10289.527162744693</v>
      </c>
      <c r="J667" s="9">
        <f t="shared" si="138"/>
        <v>-72.738243604899608</v>
      </c>
      <c r="K667" s="9">
        <f t="shared" si="139"/>
        <v>-72.696602491315161</v>
      </c>
      <c r="L667" s="8">
        <f t="shared" si="133"/>
        <v>10269.166284291223</v>
      </c>
      <c r="N667" s="16">
        <f t="shared" si="140"/>
        <v>4.4317082329969457</v>
      </c>
    </row>
    <row r="668" spans="2:14" x14ac:dyDescent="0.25">
      <c r="B668" s="7">
        <f t="shared" si="134"/>
        <v>185.92000000000067</v>
      </c>
      <c r="C668" s="9">
        <f t="shared" si="136"/>
        <v>-72.696602491315161</v>
      </c>
      <c r="D668" s="10">
        <f t="shared" si="135"/>
        <v>0.14841863083985113</v>
      </c>
      <c r="E668" s="10">
        <f t="shared" si="129"/>
        <v>0.148113989172838</v>
      </c>
      <c r="F668" s="10">
        <f t="shared" si="130"/>
        <v>0.14812567860166792</v>
      </c>
      <c r="G668" s="10">
        <f t="shared" si="131"/>
        <v>0.14782099749582606</v>
      </c>
      <c r="H668" s="9">
        <f t="shared" si="132"/>
        <v>-72.655128939667208</v>
      </c>
      <c r="I668" s="8">
        <f t="shared" si="137"/>
        <v>10269.166284291223</v>
      </c>
      <c r="J668" s="9">
        <f t="shared" si="138"/>
        <v>-72.696602491315161</v>
      </c>
      <c r="K668" s="9">
        <f t="shared" si="139"/>
        <v>-72.655128939667208</v>
      </c>
      <c r="L668" s="8">
        <f t="shared" si="133"/>
        <v>10248.817041890885</v>
      </c>
      <c r="N668" s="16">
        <f t="shared" si="140"/>
        <v>4.4365195484012672</v>
      </c>
    </row>
    <row r="669" spans="2:14" x14ac:dyDescent="0.25">
      <c r="B669" s="7">
        <f t="shared" si="134"/>
        <v>186.20000000000067</v>
      </c>
      <c r="C669" s="9">
        <f t="shared" si="136"/>
        <v>-72.655128939667208</v>
      </c>
      <c r="D669" s="10">
        <f t="shared" si="135"/>
        <v>0.14782144671130384</v>
      </c>
      <c r="E669" s="10">
        <f t="shared" si="129"/>
        <v>0.14751807196987293</v>
      </c>
      <c r="F669" s="10">
        <f t="shared" si="130"/>
        <v>0.14752971871638695</v>
      </c>
      <c r="G669" s="10">
        <f t="shared" si="131"/>
        <v>0.14722630191321859</v>
      </c>
      <c r="H669" s="9">
        <f t="shared" si="132"/>
        <v>-72.613822250934007</v>
      </c>
      <c r="I669" s="8">
        <f t="shared" si="137"/>
        <v>10248.817041890885</v>
      </c>
      <c r="J669" s="9">
        <f t="shared" si="138"/>
        <v>-72.655128939667208</v>
      </c>
      <c r="K669" s="9">
        <f t="shared" si="139"/>
        <v>-72.613822250934007</v>
      </c>
      <c r="L669" s="8">
        <f t="shared" si="133"/>
        <v>10228.479388724201</v>
      </c>
      <c r="N669" s="16">
        <f t="shared" si="140"/>
        <v>4.4413196174842398</v>
      </c>
    </row>
    <row r="670" spans="2:14" x14ac:dyDescent="0.25">
      <c r="B670" s="7">
        <f t="shared" si="134"/>
        <v>186.48000000000067</v>
      </c>
      <c r="C670" s="9">
        <f t="shared" si="136"/>
        <v>-72.613822250934007</v>
      </c>
      <c r="D670" s="10">
        <f t="shared" si="135"/>
        <v>0.14722674975131514</v>
      </c>
      <c r="E670" s="10">
        <f t="shared" si="129"/>
        <v>0.14692463249899324</v>
      </c>
      <c r="F670" s="10">
        <f t="shared" si="130"/>
        <v>0.14693623685913212</v>
      </c>
      <c r="G670" s="10">
        <f t="shared" si="131"/>
        <v>0.14663407494944841</v>
      </c>
      <c r="H670" s="9">
        <f t="shared" si="132"/>
        <v>-72.572681731307881</v>
      </c>
      <c r="I670" s="8">
        <f t="shared" si="137"/>
        <v>10228.479388724201</v>
      </c>
      <c r="J670" s="9">
        <f t="shared" si="138"/>
        <v>-72.613822250934007</v>
      </c>
      <c r="K670" s="9">
        <f t="shared" si="139"/>
        <v>-72.572681731307881</v>
      </c>
      <c r="L670" s="8">
        <f t="shared" si="133"/>
        <v>10208.153278166687</v>
      </c>
      <c r="N670" s="16">
        <f t="shared" si="140"/>
        <v>4.4461084381143285</v>
      </c>
    </row>
    <row r="671" spans="2:14" x14ac:dyDescent="0.25">
      <c r="B671" s="7">
        <f t="shared" si="134"/>
        <v>186.76000000000067</v>
      </c>
      <c r="C671" s="9">
        <f t="shared" si="136"/>
        <v>-72.572681731307881</v>
      </c>
      <c r="D671" s="10">
        <f t="shared" si="135"/>
        <v>0.14663452141890476</v>
      </c>
      <c r="E671" s="10">
        <f t="shared" si="129"/>
        <v>0.14633365230047105</v>
      </c>
      <c r="F671" s="10">
        <f t="shared" si="130"/>
        <v>0.14634521456784266</v>
      </c>
      <c r="G671" s="10">
        <f t="shared" si="131"/>
        <v>0.14604429822334139</v>
      </c>
      <c r="H671" s="9">
        <f t="shared" si="132"/>
        <v>-72.531706692150195</v>
      </c>
      <c r="I671" s="8">
        <f t="shared" si="137"/>
        <v>10208.153278166687</v>
      </c>
      <c r="J671" s="9">
        <f t="shared" si="138"/>
        <v>-72.572681731307881</v>
      </c>
      <c r="K671" s="9">
        <f t="shared" si="139"/>
        <v>-72.531706692150195</v>
      </c>
      <c r="L671" s="8">
        <f t="shared" si="133"/>
        <v>10187.838663787403</v>
      </c>
      <c r="N671" s="16">
        <f t="shared" si="140"/>
        <v>4.4508860081222528</v>
      </c>
    </row>
    <row r="672" spans="2:14" x14ac:dyDescent="0.25">
      <c r="B672" s="7">
        <f t="shared" si="134"/>
        <v>187.04000000000067</v>
      </c>
      <c r="C672" s="9">
        <f t="shared" si="136"/>
        <v>-72.531706692150195</v>
      </c>
      <c r="D672" s="10">
        <f t="shared" si="135"/>
        <v>0.14604474333283327</v>
      </c>
      <c r="E672" s="10">
        <f t="shared" si="129"/>
        <v>0.14574511307341989</v>
      </c>
      <c r="F672" s="10">
        <f t="shared" si="130"/>
        <v>0.14575663353930282</v>
      </c>
      <c r="G672" s="10">
        <f t="shared" si="131"/>
        <v>0.14545695351167245</v>
      </c>
      <c r="H672" s="9">
        <f t="shared" si="132"/>
        <v>-72.490896449946931</v>
      </c>
      <c r="I672" s="8">
        <f t="shared" si="137"/>
        <v>10187.838663787403</v>
      </c>
      <c r="J672" s="9">
        <f t="shared" si="138"/>
        <v>-72.531706692150195</v>
      </c>
      <c r="K672" s="9">
        <f t="shared" si="139"/>
        <v>-72.490896449946931</v>
      </c>
      <c r="L672" s="8">
        <f t="shared" si="133"/>
        <v>10167.535499347508</v>
      </c>
      <c r="N672" s="16">
        <f t="shared" si="140"/>
        <v>4.4556523253010694</v>
      </c>
    </row>
    <row r="673" spans="2:14" x14ac:dyDescent="0.25">
      <c r="B673" s="7">
        <f t="shared" si="134"/>
        <v>187.32000000000068</v>
      </c>
      <c r="C673" s="9">
        <f t="shared" si="136"/>
        <v>-72.490896449946931</v>
      </c>
      <c r="D673" s="10">
        <f t="shared" si="135"/>
        <v>0.14545739726982182</v>
      </c>
      <c r="E673" s="10">
        <f t="shared" si="129"/>
        <v>0.14515899667398585</v>
      </c>
      <c r="F673" s="10">
        <f t="shared" si="130"/>
        <v>0.14517047562738417</v>
      </c>
      <c r="G673" s="10">
        <f t="shared" si="131"/>
        <v>0.14487202274739169</v>
      </c>
      <c r="H673" s="9">
        <f t="shared" si="132"/>
        <v>-72.450250326264666</v>
      </c>
      <c r="I673" s="8">
        <f t="shared" si="137"/>
        <v>10167.535499347508</v>
      </c>
      <c r="J673" s="9">
        <f t="shared" si="138"/>
        <v>-72.490896449946931</v>
      </c>
      <c r="K673" s="9">
        <f t="shared" si="139"/>
        <v>-72.450250326264666</v>
      </c>
      <c r="L673" s="8">
        <f t="shared" si="133"/>
        <v>10147.243738798839</v>
      </c>
      <c r="N673" s="16">
        <f t="shared" si="140"/>
        <v>4.460407387406268</v>
      </c>
    </row>
    <row r="674" spans="2:14" x14ac:dyDescent="0.25">
      <c r="B674" s="7">
        <f t="shared" si="134"/>
        <v>187.60000000000068</v>
      </c>
      <c r="C674" s="9">
        <f t="shared" si="136"/>
        <v>-72.450250326264666</v>
      </c>
      <c r="D674" s="10">
        <f t="shared" si="135"/>
        <v>0.14487246516275071</v>
      </c>
      <c r="E674" s="10">
        <f t="shared" si="129"/>
        <v>0.14457528511359266</v>
      </c>
      <c r="F674" s="10">
        <f t="shared" si="130"/>
        <v>0.14458672284123786</v>
      </c>
      <c r="G674" s="10">
        <f t="shared" si="131"/>
        <v>0.14428948801783215</v>
      </c>
      <c r="H674" s="9">
        <f t="shared" si="132"/>
        <v>-72.409767647707127</v>
      </c>
      <c r="I674" s="8">
        <f t="shared" si="137"/>
        <v>10147.243738798839</v>
      </c>
      <c r="J674" s="9">
        <f t="shared" si="138"/>
        <v>-72.450250326264666</v>
      </c>
      <c r="K674" s="9">
        <f t="shared" si="139"/>
        <v>-72.409767647707127</v>
      </c>
      <c r="L674" s="8">
        <f t="shared" si="133"/>
        <v>10126.963336282482</v>
      </c>
      <c r="N674" s="16">
        <f t="shared" si="140"/>
        <v>4.4651511921558571</v>
      </c>
    </row>
    <row r="675" spans="2:14" x14ac:dyDescent="0.25">
      <c r="B675" s="7">
        <f t="shared" si="134"/>
        <v>187.88000000000068</v>
      </c>
      <c r="C675" s="9">
        <f t="shared" si="136"/>
        <v>-72.409767647707127</v>
      </c>
      <c r="D675" s="10">
        <f t="shared" si="135"/>
        <v>0.14428992909891239</v>
      </c>
      <c r="E675" s="10">
        <f t="shared" si="129"/>
        <v>0.1439939605571951</v>
      </c>
      <c r="F675" s="10">
        <f t="shared" si="130"/>
        <v>0.14400535734357162</v>
      </c>
      <c r="G675" s="10">
        <f t="shared" si="131"/>
        <v>0.14370933156302876</v>
      </c>
      <c r="H675" s="9">
        <f t="shared" si="132"/>
        <v>-72.369447745872165</v>
      </c>
      <c r="I675" s="8">
        <f t="shared" si="137"/>
        <v>10126.963336282482</v>
      </c>
      <c r="J675" s="9">
        <f t="shared" si="138"/>
        <v>-72.409767647707127</v>
      </c>
      <c r="K675" s="9">
        <f t="shared" si="139"/>
        <v>-72.369447745872165</v>
      </c>
      <c r="L675" s="8">
        <f t="shared" si="133"/>
        <v>10106.694246127381</v>
      </c>
      <c r="N675" s="16">
        <f t="shared" si="140"/>
        <v>4.4698837372304521</v>
      </c>
    </row>
    <row r="676" spans="2:14" x14ac:dyDescent="0.25">
      <c r="B676" s="7">
        <f t="shared" si="134"/>
        <v>188.16000000000068</v>
      </c>
      <c r="C676" s="9">
        <f t="shared" si="136"/>
        <v>-72.369447745872165</v>
      </c>
      <c r="D676" s="10">
        <f t="shared" si="135"/>
        <v>0.14370977131825577</v>
      </c>
      <c r="E676" s="10">
        <f t="shared" si="129"/>
        <v>0.14341500532151846</v>
      </c>
      <c r="F676" s="10">
        <f t="shared" si="130"/>
        <v>0.1434263614489151</v>
      </c>
      <c r="G676" s="10">
        <f t="shared" si="131"/>
        <v>0.14313153577393384</v>
      </c>
      <c r="H676" s="9">
        <f t="shared" si="132"/>
        <v>-72.329289957309285</v>
      </c>
      <c r="I676" s="8">
        <f t="shared" si="137"/>
        <v>10106.694246127381</v>
      </c>
      <c r="J676" s="9">
        <f t="shared" si="138"/>
        <v>-72.369447745872165</v>
      </c>
      <c r="K676" s="9">
        <f t="shared" si="139"/>
        <v>-72.329289957309285</v>
      </c>
      <c r="L676" s="8">
        <f t="shared" si="133"/>
        <v>10086.436422848936</v>
      </c>
      <c r="N676" s="16">
        <f t="shared" si="140"/>
        <v>4.4746050202733567</v>
      </c>
    </row>
    <row r="677" spans="2:14" x14ac:dyDescent="0.25">
      <c r="B677" s="7">
        <f t="shared" si="134"/>
        <v>188.44000000000068</v>
      </c>
      <c r="C677" s="9">
        <f t="shared" si="136"/>
        <v>-72.329289957309285</v>
      </c>
      <c r="D677" s="10">
        <f t="shared" si="135"/>
        <v>0.14313197421169785</v>
      </c>
      <c r="E677" s="10">
        <f t="shared" si="129"/>
        <v>0.14283840187340893</v>
      </c>
      <c r="F677" s="10">
        <f t="shared" si="130"/>
        <v>0.14284971762190535</v>
      </c>
      <c r="G677" s="10">
        <f t="shared" si="131"/>
        <v>0.14255608319079499</v>
      </c>
      <c r="H677" s="9">
        <f t="shared" si="132"/>
        <v>-72.289293623477604</v>
      </c>
      <c r="I677" s="8">
        <f t="shared" si="137"/>
        <v>10086.436422848936</v>
      </c>
      <c r="J677" s="9">
        <f t="shared" si="138"/>
        <v>-72.329289957309285</v>
      </c>
      <c r="K677" s="9">
        <f t="shared" si="139"/>
        <v>-72.289293623477604</v>
      </c>
      <c r="L677" s="8">
        <f t="shared" si="133"/>
        <v>10066.189821147625</v>
      </c>
      <c r="N677" s="16">
        <f t="shared" si="140"/>
        <v>4.4793150388906531</v>
      </c>
    </row>
    <row r="678" spans="2:14" x14ac:dyDescent="0.25">
      <c r="B678" s="7">
        <f t="shared" si="134"/>
        <v>188.72000000000068</v>
      </c>
      <c r="C678" s="9">
        <f t="shared" si="136"/>
        <v>-72.289293623477604</v>
      </c>
      <c r="D678" s="10">
        <f t="shared" si="135"/>
        <v>0.14255652031941732</v>
      </c>
      <c r="E678" s="10">
        <f t="shared" si="129"/>
        <v>0.14226413282812383</v>
      </c>
      <c r="F678" s="10">
        <f t="shared" si="130"/>
        <v>0.1422754084756363</v>
      </c>
      <c r="G678" s="10">
        <f t="shared" si="131"/>
        <v>0.14198295650142867</v>
      </c>
      <c r="H678" s="9">
        <f t="shared" si="132"/>
        <v>-72.24945809070428</v>
      </c>
      <c r="I678" s="8">
        <f t="shared" si="137"/>
        <v>10066.189821147625</v>
      </c>
      <c r="J678" s="9">
        <f t="shared" si="138"/>
        <v>-72.289293623477604</v>
      </c>
      <c r="K678" s="9">
        <f t="shared" si="139"/>
        <v>-72.24945809070428</v>
      </c>
      <c r="L678" s="8">
        <f t="shared" si="133"/>
        <v>10045.95439590764</v>
      </c>
      <c r="N678" s="16">
        <f t="shared" si="140"/>
        <v>4.4840137906512796</v>
      </c>
    </row>
    <row r="679" spans="2:14" x14ac:dyDescent="0.25">
      <c r="B679" s="7">
        <f t="shared" si="134"/>
        <v>189.00000000000068</v>
      </c>
      <c r="C679" s="9">
        <f t="shared" si="136"/>
        <v>-72.24945809070428</v>
      </c>
      <c r="D679" s="10">
        <f t="shared" si="135"/>
        <v>0.14198339232918897</v>
      </c>
      <c r="E679" s="10">
        <f t="shared" si="129"/>
        <v>0.14169218094766506</v>
      </c>
      <c r="F679" s="10">
        <f t="shared" si="130"/>
        <v>0.14170341676997447</v>
      </c>
      <c r="G679" s="10">
        <f t="shared" si="131"/>
        <v>0.14141213853962559</v>
      </c>
      <c r="H679" s="9">
        <f t="shared" si="132"/>
        <v>-72.209782710143429</v>
      </c>
      <c r="I679" s="8">
        <f t="shared" si="137"/>
        <v>10045.95439590764</v>
      </c>
      <c r="J679" s="9">
        <f t="shared" si="138"/>
        <v>-72.24945809070428</v>
      </c>
      <c r="K679" s="9">
        <f t="shared" si="139"/>
        <v>-72.209782710143429</v>
      </c>
      <c r="L679" s="8">
        <f t="shared" si="133"/>
        <v>10025.730102195521</v>
      </c>
      <c r="N679" s="16">
        <f t="shared" si="140"/>
        <v>4.4887012730871145</v>
      </c>
    </row>
    <row r="680" spans="2:14" x14ac:dyDescent="0.25">
      <c r="B680" s="7">
        <f t="shared" si="134"/>
        <v>189.28000000000068</v>
      </c>
      <c r="C680" s="9">
        <f t="shared" si="136"/>
        <v>-72.209782710143429</v>
      </c>
      <c r="D680" s="10">
        <f t="shared" si="135"/>
        <v>0.1414125730747301</v>
      </c>
      <c r="E680" s="10">
        <f t="shared" si="129"/>
        <v>0.14112252913917037</v>
      </c>
      <c r="F680" s="10">
        <f t="shared" si="130"/>
        <v>0.1411337254099172</v>
      </c>
      <c r="G680" s="10">
        <f t="shared" si="131"/>
        <v>0.14084361228346973</v>
      </c>
      <c r="H680" s="9">
        <f t="shared" si="132"/>
        <v>-72.170266837735468</v>
      </c>
      <c r="I680" s="8">
        <f t="shared" si="137"/>
        <v>10025.730102195521</v>
      </c>
      <c r="J680" s="9">
        <f t="shared" si="138"/>
        <v>-72.209782710143429</v>
      </c>
      <c r="K680" s="9">
        <f t="shared" si="139"/>
        <v>-72.170266837735468</v>
      </c>
      <c r="L680" s="8">
        <f t="shared" si="133"/>
        <v>10005.516895258817</v>
      </c>
      <c r="N680" s="16">
        <f t="shared" si="140"/>
        <v>4.4933774836930516</v>
      </c>
    </row>
    <row r="681" spans="2:14" x14ac:dyDescent="0.25">
      <c r="B681" s="7">
        <f t="shared" si="134"/>
        <v>189.56000000000068</v>
      </c>
      <c r="C681" s="9">
        <f t="shared" si="136"/>
        <v>-72.170266837735468</v>
      </c>
      <c r="D681" s="10">
        <f t="shared" si="135"/>
        <v>0.14084404553407659</v>
      </c>
      <c r="E681" s="10">
        <f t="shared" si="129"/>
        <v>0.14055516045326419</v>
      </c>
      <c r="F681" s="10">
        <f t="shared" si="130"/>
        <v>0.14056631744400244</v>
      </c>
      <c r="G681" s="10">
        <f t="shared" si="131"/>
        <v>0.14027736085376841</v>
      </c>
      <c r="H681" s="9">
        <f t="shared" si="132"/>
        <v>-72.130909834166957</v>
      </c>
      <c r="I681" s="8">
        <f t="shared" si="137"/>
        <v>10005.516895258817</v>
      </c>
      <c r="J681" s="9">
        <f t="shared" si="138"/>
        <v>-72.170266837735468</v>
      </c>
      <c r="K681" s="9">
        <f t="shared" si="139"/>
        <v>-72.130909834166957</v>
      </c>
      <c r="L681" s="8">
        <f t="shared" si="133"/>
        <v>9985.3147305247512</v>
      </c>
      <c r="N681" s="16">
        <f t="shared" si="140"/>
        <v>4.4980424199270814</v>
      </c>
    </row>
    <row r="682" spans="2:14" x14ac:dyDescent="0.25">
      <c r="B682" s="7">
        <f t="shared" si="134"/>
        <v>189.84000000000069</v>
      </c>
      <c r="C682" s="9">
        <f t="shared" si="136"/>
        <v>-72.130909834166957</v>
      </c>
      <c r="D682" s="10">
        <f t="shared" si="135"/>
        <v>0.14027779282798347</v>
      </c>
      <c r="E682" s="10">
        <f t="shared" si="129"/>
        <v>0.13999005808248693</v>
      </c>
      <c r="F682" s="10">
        <f t="shared" si="130"/>
        <v>0.14000117606269283</v>
      </c>
      <c r="G682" s="10">
        <f t="shared" si="131"/>
        <v>0.13971336751246138</v>
      </c>
      <c r="H682" s="9">
        <f t="shared" si="132"/>
        <v>-72.091711064830847</v>
      </c>
      <c r="I682" s="8">
        <f t="shared" si="137"/>
        <v>9985.3147305247512</v>
      </c>
      <c r="J682" s="9">
        <f t="shared" si="138"/>
        <v>-72.130909834166957</v>
      </c>
      <c r="K682" s="9">
        <f t="shared" si="139"/>
        <v>-72.091711064830847</v>
      </c>
      <c r="L682" s="8">
        <f t="shared" si="133"/>
        <v>9965.1235635988924</v>
      </c>
      <c r="N682" s="16">
        <f t="shared" si="140"/>
        <v>4.5026960792103683</v>
      </c>
    </row>
    <row r="683" spans="2:14" x14ac:dyDescent="0.25">
      <c r="B683" s="7">
        <f t="shared" si="134"/>
        <v>190.12000000000069</v>
      </c>
      <c r="C683" s="9">
        <f t="shared" si="136"/>
        <v>-72.091711064830847</v>
      </c>
      <c r="D683" s="10">
        <f t="shared" si="135"/>
        <v>0.1397137982183301</v>
      </c>
      <c r="E683" s="10">
        <f t="shared" si="129"/>
        <v>0.1394272053597172</v>
      </c>
      <c r="F683" s="10">
        <f t="shared" si="130"/>
        <v>0.13943828459680035</v>
      </c>
      <c r="G683" s="10">
        <f t="shared" si="131"/>
        <v>0.13915161566104917</v>
      </c>
      <c r="H683" s="9">
        <f t="shared" si="132"/>
        <v>-72.052669899787205</v>
      </c>
      <c r="I683" s="8">
        <f t="shared" si="137"/>
        <v>9965.1235635988924</v>
      </c>
      <c r="J683" s="9">
        <f t="shared" si="138"/>
        <v>-72.091711064830847</v>
      </c>
      <c r="K683" s="9">
        <f t="shared" si="139"/>
        <v>-72.052669899787205</v>
      </c>
      <c r="L683" s="8">
        <f t="shared" si="133"/>
        <v>9944.9433502638458</v>
      </c>
      <c r="N683" s="16">
        <f t="shared" si="140"/>
        <v>4.5073384589273218</v>
      </c>
    </row>
    <row r="684" spans="2:14" x14ac:dyDescent="0.25">
      <c r="B684" s="7">
        <f t="shared" si="134"/>
        <v>190.40000000000069</v>
      </c>
      <c r="C684" s="9">
        <f t="shared" si="136"/>
        <v>-72.052669899787205</v>
      </c>
      <c r="D684" s="10">
        <f t="shared" si="135"/>
        <v>0.13915204510656812</v>
      </c>
      <c r="E684" s="10">
        <f t="shared" si="129"/>
        <v>0.13886658575660646</v>
      </c>
      <c r="F684" s="10">
        <f t="shared" si="130"/>
        <v>0.13887762651595614</v>
      </c>
      <c r="G684" s="10">
        <f t="shared" si="131"/>
        <v>0.13859208883904997</v>
      </c>
      <c r="H684" s="9">
        <f t="shared" si="132"/>
        <v>-72.013785713724303</v>
      </c>
      <c r="I684" s="8">
        <f t="shared" si="137"/>
        <v>9944.9433502638458</v>
      </c>
      <c r="J684" s="9">
        <f t="shared" si="138"/>
        <v>-72.052669899787205</v>
      </c>
      <c r="K684" s="9">
        <f t="shared" si="139"/>
        <v>-72.013785713724303</v>
      </c>
      <c r="L684" s="8">
        <f t="shared" si="133"/>
        <v>9924.7740464779545</v>
      </c>
      <c r="N684" s="16">
        <f t="shared" si="140"/>
        <v>4.5119695564256741</v>
      </c>
    </row>
    <row r="685" spans="2:14" x14ac:dyDescent="0.25">
      <c r="B685" s="7">
        <f t="shared" si="134"/>
        <v>190.68000000000069</v>
      </c>
      <c r="C685" s="9">
        <f t="shared" si="136"/>
        <v>-72.013785713724303</v>
      </c>
      <c r="D685" s="10">
        <f t="shared" si="135"/>
        <v>0.13859251703216263</v>
      </c>
      <c r="E685" s="10">
        <f t="shared" si="129"/>
        <v>0.13830818288204869</v>
      </c>
      <c r="F685" s="10">
        <f t="shared" si="130"/>
        <v>0.13831918542704111</v>
      </c>
      <c r="G685" s="10">
        <f t="shared" si="131"/>
        <v>0.13803477072248022</v>
      </c>
      <c r="H685" s="9">
        <f t="shared" si="132"/>
        <v>-71.975057885920236</v>
      </c>
      <c r="I685" s="8">
        <f t="shared" si="137"/>
        <v>9924.7740464779545</v>
      </c>
      <c r="J685" s="9">
        <f t="shared" si="138"/>
        <v>-72.013785713724303</v>
      </c>
      <c r="K685" s="9">
        <f t="shared" si="139"/>
        <v>-71.975057885920236</v>
      </c>
      <c r="L685" s="8">
        <f t="shared" si="133"/>
        <v>9904.6156083740043</v>
      </c>
      <c r="N685" s="16">
        <f t="shared" si="140"/>
        <v>4.5165893690165522</v>
      </c>
    </row>
    <row r="686" spans="2:14" x14ac:dyDescent="0.25">
      <c r="B686" s="7">
        <f t="shared" si="134"/>
        <v>190.96000000000069</v>
      </c>
      <c r="C686" s="9">
        <f t="shared" si="136"/>
        <v>-71.975057885920236</v>
      </c>
      <c r="D686" s="10">
        <f t="shared" si="135"/>
        <v>0.13803519767107295</v>
      </c>
      <c r="E686" s="10">
        <f t="shared" si="129"/>
        <v>0.13775198048066817</v>
      </c>
      <c r="F686" s="10">
        <f t="shared" si="130"/>
        <v>0.13776294507269365</v>
      </c>
      <c r="G686" s="10">
        <f t="shared" si="131"/>
        <v>0.1374796451223427</v>
      </c>
      <c r="H686" s="9">
        <f t="shared" si="132"/>
        <v>-71.936485800204892</v>
      </c>
      <c r="I686" s="8">
        <f t="shared" si="137"/>
        <v>9904.6156083740043</v>
      </c>
      <c r="J686" s="9">
        <f t="shared" si="138"/>
        <v>-71.975057885920236</v>
      </c>
      <c r="K686" s="9">
        <f t="shared" si="139"/>
        <v>-71.936485800204892</v>
      </c>
      <c r="L686" s="8">
        <f t="shared" si="133"/>
        <v>9884.4679922579471</v>
      </c>
      <c r="N686" s="16">
        <f t="shared" si="140"/>
        <v>4.521197893974545</v>
      </c>
    </row>
    <row r="687" spans="2:14" x14ac:dyDescent="0.25">
      <c r="B687" s="7">
        <f t="shared" si="134"/>
        <v>191.24000000000069</v>
      </c>
      <c r="C687" s="9">
        <f t="shared" si="136"/>
        <v>-71.936485800204892</v>
      </c>
      <c r="D687" s="10">
        <f t="shared" si="135"/>
        <v>0.13748007083425418</v>
      </c>
      <c r="E687" s="10">
        <f t="shared" si="129"/>
        <v>0.13719796243133131</v>
      </c>
      <c r="F687" s="10">
        <f t="shared" si="130"/>
        <v>0.13720888932979577</v>
      </c>
      <c r="G687" s="10">
        <f t="shared" si="131"/>
        <v>0.13692669598314061</v>
      </c>
      <c r="H687" s="9">
        <f t="shared" si="132"/>
        <v>-71.898068844922378</v>
      </c>
      <c r="I687" s="8">
        <f t="shared" si="137"/>
        <v>9884.4679922579471</v>
      </c>
      <c r="J687" s="9">
        <f t="shared" si="138"/>
        <v>-71.936485800204892</v>
      </c>
      <c r="K687" s="9">
        <f t="shared" si="139"/>
        <v>-71.898068844922378</v>
      </c>
      <c r="L687" s="8">
        <f t="shared" si="133"/>
        <v>9864.3311546076293</v>
      </c>
      <c r="N687" s="16">
        <f t="shared" si="140"/>
        <v>4.5257951285377791</v>
      </c>
    </row>
    <row r="688" spans="2:14" x14ac:dyDescent="0.25">
      <c r="B688" s="7">
        <f t="shared" si="134"/>
        <v>191.52000000000069</v>
      </c>
      <c r="C688" s="9">
        <f t="shared" si="136"/>
        <v>-71.898068844922378</v>
      </c>
      <c r="D688" s="10">
        <f t="shared" si="135"/>
        <v>0.13692712046616159</v>
      </c>
      <c r="E688" s="10">
        <f t="shared" si="129"/>
        <v>0.13664611274565949</v>
      </c>
      <c r="F688" s="10">
        <f t="shared" si="130"/>
        <v>0.13665700220802743</v>
      </c>
      <c r="G688" s="10">
        <f t="shared" si="131"/>
        <v>0.13637590738142474</v>
      </c>
      <c r="H688" s="9">
        <f t="shared" si="132"/>
        <v>-71.859806412893818</v>
      </c>
      <c r="I688" s="8">
        <f t="shared" si="137"/>
        <v>9864.3311546076293</v>
      </c>
      <c r="J688" s="9">
        <f t="shared" si="138"/>
        <v>-71.898068844922378</v>
      </c>
      <c r="K688" s="9">
        <f t="shared" si="139"/>
        <v>-71.859806412893818</v>
      </c>
      <c r="L688" s="8">
        <f t="shared" si="133"/>
        <v>9844.2050520715347</v>
      </c>
      <c r="N688" s="16">
        <f t="shared" si="140"/>
        <v>4.530381069907981</v>
      </c>
    </row>
    <row r="689" spans="2:14" x14ac:dyDescent="0.25">
      <c r="B689" s="7">
        <f t="shared" si="134"/>
        <v>191.80000000000069</v>
      </c>
      <c r="C689" s="9">
        <f t="shared" si="136"/>
        <v>-71.859806412893818</v>
      </c>
      <c r="D689" s="10">
        <f t="shared" si="135"/>
        <v>0.13637633064328419</v>
      </c>
      <c r="E689" s="10">
        <f t="shared" si="129"/>
        <v>0.13609641556655591</v>
      </c>
      <c r="F689" s="10">
        <f t="shared" si="130"/>
        <v>0.13610726784837382</v>
      </c>
      <c r="G689" s="10">
        <f t="shared" si="131"/>
        <v>0.13582726352431448</v>
      </c>
      <c r="H689" s="9">
        <f t="shared" si="132"/>
        <v>-71.821697901380603</v>
      </c>
      <c r="I689" s="8">
        <f t="shared" si="137"/>
        <v>9844.2050520715347</v>
      </c>
      <c r="J689" s="9">
        <f t="shared" si="138"/>
        <v>-71.859806412893818</v>
      </c>
      <c r="K689" s="9">
        <f t="shared" si="139"/>
        <v>-71.821697901380603</v>
      </c>
      <c r="L689" s="8">
        <f t="shared" si="133"/>
        <v>9824.0896414675371</v>
      </c>
      <c r="N689" s="16">
        <f t="shared" si="140"/>
        <v>4.5349557152505477</v>
      </c>
    </row>
    <row r="690" spans="2:14" x14ac:dyDescent="0.25">
      <c r="B690" s="7">
        <f t="shared" si="134"/>
        <v>192.08000000000069</v>
      </c>
      <c r="C690" s="9">
        <f t="shared" si="136"/>
        <v>-71.821697901380603</v>
      </c>
      <c r="D690" s="10">
        <f t="shared" si="135"/>
        <v>0.13582768557269689</v>
      </c>
      <c r="E690" s="10">
        <f t="shared" si="129"/>
        <v>0.13554885516680679</v>
      </c>
      <c r="F690" s="10">
        <f t="shared" si="130"/>
        <v>0.13555967052169546</v>
      </c>
      <c r="G690" s="10">
        <f t="shared" si="131"/>
        <v>0.13528074874809495</v>
      </c>
      <c r="H690" s="9">
        <f t="shared" si="132"/>
        <v>-71.783742712048038</v>
      </c>
      <c r="I690" s="8">
        <f t="shared" si="137"/>
        <v>9824.0896414675371</v>
      </c>
      <c r="J690" s="9">
        <f t="shared" si="138"/>
        <v>-71.821697901380603</v>
      </c>
      <c r="K690" s="9">
        <f t="shared" si="139"/>
        <v>-71.783742712048038</v>
      </c>
      <c r="L690" s="8">
        <f t="shared" si="133"/>
        <v>9803.9848797816576</v>
      </c>
      <c r="N690" s="16">
        <f t="shared" si="140"/>
        <v>4.5395190616946115</v>
      </c>
    </row>
    <row r="691" spans="2:14" x14ac:dyDescent="0.25">
      <c r="B691" s="7">
        <f t="shared" si="134"/>
        <v>192.3600000000007</v>
      </c>
      <c r="C691" s="9">
        <f t="shared" si="136"/>
        <v>-71.783742712048038</v>
      </c>
      <c r="D691" s="10">
        <f t="shared" si="135"/>
        <v>0.1352811695906363</v>
      </c>
      <c r="E691" s="10">
        <f t="shared" si="129"/>
        <v>0.13500341594761833</v>
      </c>
      <c r="F691" s="10">
        <f t="shared" si="130"/>
        <v>0.13501419462732578</v>
      </c>
      <c r="G691" s="10">
        <f t="shared" si="131"/>
        <v>0.13473634751679633</v>
      </c>
      <c r="H691" s="9">
        <f t="shared" si="132"/>
        <v>-71.745940250929365</v>
      </c>
      <c r="I691" s="8">
        <f t="shared" si="137"/>
        <v>9803.9848797816576</v>
      </c>
      <c r="J691" s="9">
        <f t="shared" si="138"/>
        <v>-71.783742712048038</v>
      </c>
      <c r="K691" s="9">
        <f t="shared" si="139"/>
        <v>-71.745940250929365</v>
      </c>
      <c r="L691" s="8">
        <f t="shared" si="133"/>
        <v>9783.8907241668403</v>
      </c>
      <c r="N691" s="16">
        <f t="shared" si="140"/>
        <v>4.5440711063331047</v>
      </c>
    </row>
    <row r="692" spans="2:14" x14ac:dyDescent="0.25">
      <c r="B692" s="7">
        <f t="shared" si="134"/>
        <v>192.6400000000007</v>
      </c>
      <c r="C692" s="9">
        <f t="shared" si="136"/>
        <v>-71.745940250929365</v>
      </c>
      <c r="D692" s="10">
        <f t="shared" si="135"/>
        <v>0.13473676716107791</v>
      </c>
      <c r="E692" s="10">
        <f t="shared" si="129"/>
        <v>0.13446008243723803</v>
      </c>
      <c r="F692" s="10">
        <f t="shared" si="130"/>
        <v>0.13447082469163979</v>
      </c>
      <c r="G692" s="10">
        <f t="shared" si="131"/>
        <v>0.13419404442078678</v>
      </c>
      <c r="H692" s="9">
        <f t="shared" si="132"/>
        <v>-71.708289928390187</v>
      </c>
      <c r="I692" s="8">
        <f t="shared" si="137"/>
        <v>9783.8907241668403</v>
      </c>
      <c r="J692" s="9">
        <f t="shared" si="138"/>
        <v>-71.745940250929365</v>
      </c>
      <c r="K692" s="9">
        <f t="shared" si="139"/>
        <v>-71.708289928390187</v>
      </c>
      <c r="L692" s="8">
        <f t="shared" si="133"/>
        <v>9763.8071319417359</v>
      </c>
      <c r="N692" s="16">
        <f t="shared" si="140"/>
        <v>4.5486118462228209</v>
      </c>
    </row>
    <row r="693" spans="2:14" x14ac:dyDescent="0.25">
      <c r="B693" s="7">
        <f t="shared" si="134"/>
        <v>192.9200000000007</v>
      </c>
      <c r="C693" s="9">
        <f t="shared" si="136"/>
        <v>-71.708289928390187</v>
      </c>
      <c r="D693" s="10">
        <f t="shared" si="135"/>
        <v>0.13419446287435063</v>
      </c>
      <c r="E693" s="10">
        <f t="shared" si="129"/>
        <v>0.13391883928956488</v>
      </c>
      <c r="F693" s="10">
        <f t="shared" si="130"/>
        <v>0.13392954536668791</v>
      </c>
      <c r="G693" s="10">
        <f t="shared" si="131"/>
        <v>0.13365382417541805</v>
      </c>
      <c r="H693" s="9">
        <f t="shared" si="132"/>
        <v>-71.670791159093284</v>
      </c>
      <c r="I693" s="8">
        <f t="shared" si="137"/>
        <v>9763.8071319417359</v>
      </c>
      <c r="J693" s="9">
        <f t="shared" si="138"/>
        <v>-71.708289928390187</v>
      </c>
      <c r="K693" s="9">
        <f t="shared" si="139"/>
        <v>-71.670791159093284</v>
      </c>
      <c r="L693" s="8">
        <f t="shared" si="133"/>
        <v>9743.7340605894879</v>
      </c>
      <c r="N693" s="16">
        <f t="shared" si="140"/>
        <v>4.55314127838448</v>
      </c>
    </row>
    <row r="694" spans="2:14" x14ac:dyDescent="0.25">
      <c r="B694" s="7">
        <f t="shared" si="134"/>
        <v>193.2000000000007</v>
      </c>
      <c r="C694" s="9">
        <f t="shared" si="136"/>
        <v>-71.670791159093284</v>
      </c>
      <c r="D694" s="10">
        <f t="shared" si="135"/>
        <v>0.13365424144574528</v>
      </c>
      <c r="E694" s="10">
        <f t="shared" si="129"/>
        <v>0.13337967128276759</v>
      </c>
      <c r="F694" s="10">
        <f t="shared" si="130"/>
        <v>0.13339034142881023</v>
      </c>
      <c r="G694" s="10">
        <f t="shared" si="131"/>
        <v>0.13311567161964213</v>
      </c>
      <c r="H694" s="9">
        <f t="shared" si="132"/>
        <v>-71.633443361963813</v>
      </c>
      <c r="I694" s="8">
        <f t="shared" si="137"/>
        <v>9743.7340605894879</v>
      </c>
      <c r="J694" s="9">
        <f t="shared" si="138"/>
        <v>-71.670791159093284</v>
      </c>
      <c r="K694" s="9">
        <f t="shared" si="139"/>
        <v>-71.633443361963813</v>
      </c>
      <c r="L694" s="8">
        <f t="shared" si="133"/>
        <v>9723.6714677565396</v>
      </c>
      <c r="N694" s="16">
        <f t="shared" si="140"/>
        <v>4.557659399802783</v>
      </c>
    </row>
    <row r="695" spans="2:14" x14ac:dyDescent="0.25">
      <c r="B695" s="7">
        <f t="shared" si="134"/>
        <v>193.4800000000007</v>
      </c>
      <c r="C695" s="9">
        <f t="shared" si="136"/>
        <v>-71.633443361963813</v>
      </c>
      <c r="D695" s="10">
        <f t="shared" si="135"/>
        <v>0.13311608771417213</v>
      </c>
      <c r="E695" s="10">
        <f t="shared" si="129"/>
        <v>0.13284256331794886</v>
      </c>
      <c r="F695" s="10">
        <f t="shared" si="130"/>
        <v>0.13285319777729918</v>
      </c>
      <c r="G695" s="10">
        <f t="shared" si="131"/>
        <v>0.13257957171467846</v>
      </c>
      <c r="H695" s="9">
        <f t="shared" si="132"/>
        <v>-71.596245960154917</v>
      </c>
      <c r="I695" s="8">
        <f t="shared" si="137"/>
        <v>9723.6714677565396</v>
      </c>
      <c r="J695" s="9">
        <f t="shared" si="138"/>
        <v>-71.633443361963813</v>
      </c>
      <c r="K695" s="9">
        <f t="shared" si="139"/>
        <v>-71.596245960154917</v>
      </c>
      <c r="L695" s="8">
        <f t="shared" si="133"/>
        <v>9703.6193112514429</v>
      </c>
      <c r="N695" s="16">
        <f t="shared" si="140"/>
        <v>4.562166207426479</v>
      </c>
    </row>
    <row r="696" spans="2:14" x14ac:dyDescent="0.25">
      <c r="B696" s="7">
        <f t="shared" si="134"/>
        <v>193.7600000000007</v>
      </c>
      <c r="C696" s="9">
        <f t="shared" si="136"/>
        <v>-71.596245960154917</v>
      </c>
      <c r="D696" s="10">
        <f t="shared" si="135"/>
        <v>0.13257998664080889</v>
      </c>
      <c r="E696" s="10">
        <f t="shared" si="129"/>
        <v>0.13230750041780798</v>
      </c>
      <c r="F696" s="10">
        <f t="shared" si="130"/>
        <v>0.13231809943306774</v>
      </c>
      <c r="G696" s="10">
        <f t="shared" si="131"/>
        <v>0.13204550954269939</v>
      </c>
      <c r="H696" s="9">
        <f t="shared" si="132"/>
        <v>-71.559198381013601</v>
      </c>
      <c r="I696" s="8">
        <f t="shared" si="137"/>
        <v>9703.6193112514429</v>
      </c>
      <c r="J696" s="9">
        <f t="shared" si="138"/>
        <v>-71.596245960154917</v>
      </c>
      <c r="K696" s="9">
        <f t="shared" si="139"/>
        <v>-71.559198381013601</v>
      </c>
      <c r="L696" s="8">
        <f t="shared" si="133"/>
        <v>9683.577549043679</v>
      </c>
      <c r="N696" s="16">
        <f t="shared" si="140"/>
        <v>4.5666616981684154</v>
      </c>
    </row>
    <row r="697" spans="2:14" x14ac:dyDescent="0.25">
      <c r="B697" s="7">
        <f t="shared" si="134"/>
        <v>194.0400000000007</v>
      </c>
      <c r="C697" s="9">
        <f t="shared" si="136"/>
        <v>-71.559198381013601</v>
      </c>
      <c r="D697" s="10">
        <f t="shared" si="135"/>
        <v>0.13204592330776432</v>
      </c>
      <c r="E697" s="10">
        <f t="shared" si="129"/>
        <v>0.1317744677253081</v>
      </c>
      <c r="F697" s="10">
        <f t="shared" si="130"/>
        <v>0.13178503153729967</v>
      </c>
      <c r="G697" s="10">
        <f t="shared" si="131"/>
        <v>0.13151347030548613</v>
      </c>
      <c r="H697" s="9">
        <f t="shared" si="132"/>
        <v>-71.522300056047143</v>
      </c>
      <c r="I697" s="8">
        <f t="shared" si="137"/>
        <v>9683.577549043679</v>
      </c>
      <c r="J697" s="9">
        <f t="shared" si="138"/>
        <v>-71.559198381013601</v>
      </c>
      <c r="K697" s="9">
        <f t="shared" si="139"/>
        <v>-71.522300056047143</v>
      </c>
      <c r="L697" s="8">
        <f t="shared" si="133"/>
        <v>9663.5461392624911</v>
      </c>
      <c r="N697" s="16">
        <f t="shared" si="140"/>
        <v>4.5711458689055986</v>
      </c>
    </row>
    <row r="698" spans="2:14" x14ac:dyDescent="0.25">
      <c r="B698" s="7">
        <f t="shared" si="134"/>
        <v>194.3200000000007</v>
      </c>
      <c r="C698" s="9">
        <f t="shared" si="136"/>
        <v>-71.522300056047143</v>
      </c>
      <c r="D698" s="10">
        <f t="shared" si="135"/>
        <v>0.13151388291679106</v>
      </c>
      <c r="E698" s="10">
        <f t="shared" si="129"/>
        <v>0.13124345050239328</v>
      </c>
      <c r="F698" s="10">
        <f t="shared" si="130"/>
        <v>0.13125397935018762</v>
      </c>
      <c r="G698" s="10">
        <f t="shared" si="131"/>
        <v>0.13098343932317522</v>
      </c>
      <c r="H698" s="9">
        <f t="shared" si="132"/>
        <v>-71.485550420889709</v>
      </c>
      <c r="I698" s="8">
        <f t="shared" si="137"/>
        <v>9663.5461392624911</v>
      </c>
      <c r="J698" s="9">
        <f t="shared" si="138"/>
        <v>-71.522300056047143</v>
      </c>
      <c r="K698" s="9">
        <f t="shared" si="139"/>
        <v>-71.485550420889709</v>
      </c>
      <c r="L698" s="8">
        <f t="shared" si="133"/>
        <v>9643.5250401957201</v>
      </c>
      <c r="N698" s="16">
        <f t="shared" si="140"/>
        <v>4.5756187164792497</v>
      </c>
    </row>
    <row r="699" spans="2:14" x14ac:dyDescent="0.25">
      <c r="B699" s="7">
        <f t="shared" si="134"/>
        <v>194.6000000000007</v>
      </c>
      <c r="C699" s="9">
        <f t="shared" si="136"/>
        <v>-71.485550420889709</v>
      </c>
      <c r="D699" s="10">
        <f t="shared" si="135"/>
        <v>0.13098385078796954</v>
      </c>
      <c r="E699" s="10">
        <f t="shared" si="129"/>
        <v>0.13071443412869241</v>
      </c>
      <c r="F699" s="10">
        <f t="shared" si="130"/>
        <v>0.13072492824962997</v>
      </c>
      <c r="G699" s="10">
        <f t="shared" si="131"/>
        <v>0.13045540203295392</v>
      </c>
      <c r="H699" s="9">
        <f t="shared" si="132"/>
        <v>-71.448948915269426</v>
      </c>
      <c r="I699" s="8">
        <f t="shared" si="137"/>
        <v>9643.5250401957201</v>
      </c>
      <c r="J699" s="9">
        <f t="shared" si="138"/>
        <v>-71.485550420889709</v>
      </c>
      <c r="K699" s="9">
        <f t="shared" si="139"/>
        <v>-71.448948915269426</v>
      </c>
      <c r="L699" s="8">
        <f t="shared" si="133"/>
        <v>9623.5142102886584</v>
      </c>
      <c r="N699" s="16">
        <f t="shared" si="140"/>
        <v>4.5800802376948564</v>
      </c>
    </row>
    <row r="700" spans="2:14" x14ac:dyDescent="0.25">
      <c r="B700" s="7">
        <f t="shared" si="134"/>
        <v>194.88000000000071</v>
      </c>
      <c r="C700" s="9">
        <f t="shared" si="136"/>
        <v>-71.448948915269426</v>
      </c>
      <c r="D700" s="10">
        <f t="shared" si="135"/>
        <v>0.13045581235844436</v>
      </c>
      <c r="E700" s="10">
        <f t="shared" si="129"/>
        <v>0.13018740410024926</v>
      </c>
      <c r="F700" s="10">
        <f t="shared" si="130"/>
        <v>0.13019786372994652</v>
      </c>
      <c r="G700" s="10">
        <f t="shared" si="131"/>
        <v>0.12992934398780748</v>
      </c>
      <c r="H700" s="9">
        <f t="shared" si="132"/>
        <v>-71.412494982975787</v>
      </c>
      <c r="I700" s="8">
        <f t="shared" si="137"/>
        <v>9623.5142102886584</v>
      </c>
      <c r="J700" s="9">
        <f t="shared" si="138"/>
        <v>-71.448948915269426</v>
      </c>
      <c r="K700" s="9">
        <f t="shared" si="139"/>
        <v>-71.412494982975787</v>
      </c>
      <c r="L700" s="8">
        <f t="shared" si="133"/>
        <v>9603.5136081429046</v>
      </c>
      <c r="N700" s="16">
        <f t="shared" si="140"/>
        <v>4.5845304293222293</v>
      </c>
    </row>
    <row r="701" spans="2:14" x14ac:dyDescent="0.25">
      <c r="B701" s="7">
        <f t="shared" si="134"/>
        <v>195.16000000000071</v>
      </c>
      <c r="C701" s="9">
        <f t="shared" si="136"/>
        <v>-71.412494982975787</v>
      </c>
      <c r="D701" s="10">
        <f t="shared" si="135"/>
        <v>0.12992975318115196</v>
      </c>
      <c r="E701" s="10">
        <f t="shared" si="129"/>
        <v>0.12966234602827487</v>
      </c>
      <c r="F701" s="10">
        <f t="shared" si="130"/>
        <v>0.12967277140064734</v>
      </c>
      <c r="G701" s="10">
        <f t="shared" si="131"/>
        <v>0.1294052508552653</v>
      </c>
      <c r="H701" s="9">
        <f t="shared" si="132"/>
        <v>-71.376188071827386</v>
      </c>
      <c r="I701" s="8">
        <f t="shared" si="137"/>
        <v>9603.5136081429046</v>
      </c>
      <c r="J701" s="9">
        <f t="shared" si="138"/>
        <v>-71.412494982975787</v>
      </c>
      <c r="K701" s="9">
        <f t="shared" si="139"/>
        <v>-71.376188071827386</v>
      </c>
      <c r="L701" s="8">
        <f t="shared" si="133"/>
        <v>9583.5231925152329</v>
      </c>
      <c r="N701" s="16">
        <f t="shared" si="140"/>
        <v>4.5889692880955488</v>
      </c>
    </row>
    <row r="702" spans="2:14" x14ac:dyDescent="0.25">
      <c r="B702" s="7">
        <f t="shared" si="134"/>
        <v>195.44000000000071</v>
      </c>
      <c r="C702" s="9">
        <f t="shared" si="136"/>
        <v>-71.376188071827386</v>
      </c>
      <c r="D702" s="10">
        <f t="shared" si="135"/>
        <v>0.12940565892357883</v>
      </c>
      <c r="E702" s="10">
        <f t="shared" si="129"/>
        <v>0.1291392456378925</v>
      </c>
      <c r="F702" s="10">
        <f t="shared" si="130"/>
        <v>0.12914963698518328</v>
      </c>
      <c r="G702" s="10">
        <f t="shared" si="131"/>
        <v>0.12888310841617429</v>
      </c>
      <c r="H702" s="9">
        <f t="shared" si="132"/>
        <v>-71.340027633640048</v>
      </c>
      <c r="I702" s="8">
        <f t="shared" si="137"/>
        <v>9583.5231925152329</v>
      </c>
      <c r="J702" s="9">
        <f t="shared" si="138"/>
        <v>-71.376188071827386</v>
      </c>
      <c r="K702" s="9">
        <f t="shared" si="139"/>
        <v>-71.340027633640048</v>
      </c>
      <c r="L702" s="8">
        <f t="shared" si="133"/>
        <v>9563.5429223164683</v>
      </c>
      <c r="N702" s="16">
        <f t="shared" si="140"/>
        <v>4.5933968107134193</v>
      </c>
    </row>
    <row r="703" spans="2:14" x14ac:dyDescent="0.25">
      <c r="B703" s="7">
        <f t="shared" si="134"/>
        <v>195.72000000000071</v>
      </c>
      <c r="C703" s="9">
        <f t="shared" si="136"/>
        <v>-71.340027633640048</v>
      </c>
      <c r="D703" s="10">
        <f t="shared" si="135"/>
        <v>0.12888351536653453</v>
      </c>
      <c r="E703" s="10">
        <f t="shared" si="129"/>
        <v>0.12861808876694247</v>
      </c>
      <c r="F703" s="10">
        <f t="shared" si="130"/>
        <v>0.12862844631972153</v>
      </c>
      <c r="G703" s="10">
        <f t="shared" si="131"/>
        <v>0.12836290256350019</v>
      </c>
      <c r="H703" s="9">
        <f t="shared" si="132"/>
        <v>-71.304013124195222</v>
      </c>
      <c r="I703" s="8">
        <f t="shared" si="137"/>
        <v>9563.5429223164683</v>
      </c>
      <c r="J703" s="9">
        <f t="shared" si="138"/>
        <v>-71.340027633640048</v>
      </c>
      <c r="K703" s="9">
        <f t="shared" si="139"/>
        <v>-71.304013124195222</v>
      </c>
      <c r="L703" s="8">
        <f t="shared" si="133"/>
        <v>9543.5727566103706</v>
      </c>
      <c r="N703" s="16">
        <f t="shared" si="140"/>
        <v>4.5978129938389172</v>
      </c>
    </row>
    <row r="704" spans="2:14" x14ac:dyDescent="0.25">
      <c r="B704" s="7">
        <f t="shared" si="134"/>
        <v>196.00000000000071</v>
      </c>
      <c r="C704" s="9">
        <f t="shared" si="136"/>
        <v>-71.304013124195222</v>
      </c>
      <c r="D704" s="10">
        <f t="shared" si="135"/>
        <v>0.12836330840292748</v>
      </c>
      <c r="E704" s="10">
        <f t="shared" si="129"/>
        <v>0.12809886136473561</v>
      </c>
      <c r="F704" s="10">
        <f t="shared" si="130"/>
        <v>0.12810918535193086</v>
      </c>
      <c r="G704" s="10">
        <f t="shared" si="131"/>
        <v>0.1278446193010829</v>
      </c>
      <c r="H704" s="9">
        <f t="shared" si="132"/>
        <v>-71.268144003208818</v>
      </c>
      <c r="I704" s="8">
        <f t="shared" si="137"/>
        <v>9543.5727566103706</v>
      </c>
      <c r="J704" s="9">
        <f t="shared" si="138"/>
        <v>-71.304013124195222</v>
      </c>
      <c r="K704" s="9">
        <f t="shared" si="139"/>
        <v>-71.268144003208818</v>
      </c>
      <c r="L704" s="8">
        <f t="shared" si="133"/>
        <v>9523.6126546125342</v>
      </c>
      <c r="N704" s="16">
        <f t="shared" si="140"/>
        <v>4.6022178340996414</v>
      </c>
    </row>
    <row r="705" spans="2:14" x14ac:dyDescent="0.25">
      <c r="B705" s="7">
        <f t="shared" si="134"/>
        <v>196.28000000000071</v>
      </c>
      <c r="C705" s="9">
        <f t="shared" si="136"/>
        <v>-71.268144003208818</v>
      </c>
      <c r="D705" s="10">
        <f t="shared" si="135"/>
        <v>0.12784502403656595</v>
      </c>
      <c r="E705" s="10">
        <f t="shared" si="129"/>
        <v>0.1275815494909027</v>
      </c>
      <c r="F705" s="10">
        <f t="shared" si="130"/>
        <v>0.12759184013980696</v>
      </c>
      <c r="G705" s="10">
        <f t="shared" si="131"/>
        <v>0.12732824474249113</v>
      </c>
      <c r="H705" s="9">
        <f t="shared" si="132"/>
        <v>-71.232419734300265</v>
      </c>
      <c r="I705" s="8">
        <f t="shared" si="137"/>
        <v>9523.6126546125342</v>
      </c>
      <c r="J705" s="9">
        <f t="shared" si="138"/>
        <v>-71.268144003208818</v>
      </c>
      <c r="K705" s="9">
        <f t="shared" si="139"/>
        <v>-71.232419734300265</v>
      </c>
      <c r="L705" s="8">
        <f t="shared" si="133"/>
        <v>9503.6625756892827</v>
      </c>
      <c r="N705" s="16">
        <f t="shared" si="140"/>
        <v>4.6066113280877543</v>
      </c>
    </row>
    <row r="706" spans="2:14" x14ac:dyDescent="0.25">
      <c r="B706" s="7">
        <f t="shared" si="134"/>
        <v>196.56000000000071</v>
      </c>
      <c r="C706" s="9">
        <f t="shared" si="136"/>
        <v>-71.232419734300265</v>
      </c>
      <c r="D706" s="10">
        <f t="shared" si="135"/>
        <v>0.12732864838097074</v>
      </c>
      <c r="E706" s="10">
        <f t="shared" si="129"/>
        <v>0.12706613931416791</v>
      </c>
      <c r="F706" s="10">
        <f t="shared" si="130"/>
        <v>0.12707639685046046</v>
      </c>
      <c r="G706" s="10">
        <f t="shared" si="131"/>
        <v>0.12681376510983394</v>
      </c>
      <c r="H706" s="9">
        <f t="shared" si="132"/>
        <v>-71.196839784961995</v>
      </c>
      <c r="I706" s="8">
        <f t="shared" si="137"/>
        <v>9503.6625756892827</v>
      </c>
      <c r="J706" s="9">
        <f t="shared" si="138"/>
        <v>-71.232419734300265</v>
      </c>
      <c r="K706" s="9">
        <f t="shared" si="139"/>
        <v>-71.196839784961995</v>
      </c>
      <c r="L706" s="8">
        <f t="shared" si="133"/>
        <v>9483.7224793565856</v>
      </c>
      <c r="N706" s="16">
        <f t="shared" si="140"/>
        <v>4.6109934723600343</v>
      </c>
    </row>
    <row r="707" spans="2:14" x14ac:dyDescent="0.25">
      <c r="B707" s="7">
        <f t="shared" si="134"/>
        <v>196.84000000000071</v>
      </c>
      <c r="C707" s="9">
        <f t="shared" si="136"/>
        <v>-71.196839784961995</v>
      </c>
      <c r="D707" s="10">
        <f t="shared" si="135"/>
        <v>0.12681416765820308</v>
      </c>
      <c r="E707" s="10">
        <f t="shared" si="129"/>
        <v>0.12655261711121854</v>
      </c>
      <c r="F707" s="10">
        <f t="shared" si="130"/>
        <v>0.12656284175898416</v>
      </c>
      <c r="G707" s="10">
        <f t="shared" si="131"/>
        <v>0.12630116673259151</v>
      </c>
      <c r="H707" s="9">
        <f t="shared" si="132"/>
        <v>-71.161403626529207</v>
      </c>
      <c r="I707" s="8">
        <f t="shared" si="137"/>
        <v>9483.7224793565856</v>
      </c>
      <c r="J707" s="9">
        <f t="shared" si="138"/>
        <v>-71.196839784961995</v>
      </c>
      <c r="K707" s="9">
        <f t="shared" si="139"/>
        <v>-71.161403626529207</v>
      </c>
      <c r="L707" s="8">
        <f t="shared" si="133"/>
        <v>9463.7923252789769</v>
      </c>
      <c r="N707" s="16">
        <f t="shared" si="140"/>
        <v>4.6153642634379164</v>
      </c>
    </row>
    <row r="708" spans="2:14" x14ac:dyDescent="0.25">
      <c r="B708" s="7">
        <f t="shared" si="134"/>
        <v>197.12000000000072</v>
      </c>
      <c r="C708" s="9">
        <f t="shared" si="136"/>
        <v>-71.161403626529207</v>
      </c>
      <c r="D708" s="10">
        <f t="shared" si="135"/>
        <v>0.12630156819770882</v>
      </c>
      <c r="E708" s="10">
        <f t="shared" ref="E708:E771" si="141">dvdt($C708+h/2*D708,$I708+(h/2)/2*(2*C708+D708*h/2))</f>
        <v>0.12604096926554198</v>
      </c>
      <c r="F708" s="10">
        <f t="shared" ref="F708:F771" si="142">dvdt($C708+h/2*E708,$I708+(h/2)/2*(2*$C708+E708*h/2))</f>
        <v>0.12605116124728472</v>
      </c>
      <c r="G708" s="10">
        <f t="shared" ref="G708:G771" si="143">dvdt($C708+h*F708,$I708+h/2*(2*$C708+F708*h))</f>
        <v>0.12579043604648898</v>
      </c>
      <c r="H708" s="9">
        <f t="shared" ref="H708:H771" si="144">C708+h/6*(D708+2*E708+2*F708+G708)</f>
        <v>-71.126110734149947</v>
      </c>
      <c r="I708" s="8">
        <f t="shared" si="137"/>
        <v>9463.7923252789769</v>
      </c>
      <c r="J708" s="9">
        <f t="shared" si="138"/>
        <v>-71.161403626529207</v>
      </c>
      <c r="K708" s="9">
        <f t="shared" si="139"/>
        <v>-71.126110734149947</v>
      </c>
      <c r="L708" s="8">
        <f t="shared" ref="L708:L771" si="145">I708+h/2*(J708+K708)</f>
        <v>9443.8720732684815</v>
      </c>
      <c r="N708" s="16">
        <f t="shared" si="140"/>
        <v>4.6197236978075367</v>
      </c>
    </row>
    <row r="709" spans="2:14" x14ac:dyDescent="0.25">
      <c r="B709" s="7">
        <f t="shared" ref="B709:B772" si="146">B708+h</f>
        <v>197.40000000000072</v>
      </c>
      <c r="C709" s="9">
        <f t="shared" si="136"/>
        <v>-71.126110734149947</v>
      </c>
      <c r="D709" s="10">
        <f t="shared" si="135"/>
        <v>0.12579083643517061</v>
      </c>
      <c r="E709" s="10">
        <f t="shared" si="141"/>
        <v>0.12553118226628726</v>
      </c>
      <c r="F709" s="10">
        <f t="shared" si="142"/>
        <v>0.12554134180294368</v>
      </c>
      <c r="G709" s="10">
        <f t="shared" si="143"/>
        <v>0.12528155959235718</v>
      </c>
      <c r="H709" s="9">
        <f t="shared" si="144"/>
        <v>-71.090960586755529</v>
      </c>
      <c r="I709" s="8">
        <f t="shared" si="137"/>
        <v>9443.8720732684815</v>
      </c>
      <c r="J709" s="9">
        <f t="shared" si="138"/>
        <v>-71.126110734149947</v>
      </c>
      <c r="K709" s="9">
        <f t="shared" si="139"/>
        <v>-71.090960586755529</v>
      </c>
      <c r="L709" s="8">
        <f t="shared" si="145"/>
        <v>9423.9616832835545</v>
      </c>
      <c r="N709" s="16">
        <f t="shared" si="140"/>
        <v>4.6240717719197759</v>
      </c>
    </row>
    <row r="710" spans="2:14" x14ac:dyDescent="0.25">
      <c r="B710" s="7">
        <f t="shared" si="146"/>
        <v>197.68000000000072</v>
      </c>
      <c r="C710" s="9">
        <f t="shared" si="136"/>
        <v>-71.090960586755529</v>
      </c>
      <c r="D710" s="10">
        <f t="shared" ref="D710:D773" si="147">dvdt($C710,$I710)</f>
        <v>0.12528195891137489</v>
      </c>
      <c r="E710" s="10">
        <f t="shared" si="141"/>
        <v>0.1250232427071393</v>
      </c>
      <c r="F710" s="10">
        <f t="shared" si="142"/>
        <v>0.12503337001809844</v>
      </c>
      <c r="G710" s="10">
        <f t="shared" si="143"/>
        <v>0.12477452401501951</v>
      </c>
      <c r="H710" s="9">
        <f t="shared" si="144"/>
        <v>-71.055952667031278</v>
      </c>
      <c r="I710" s="8">
        <f t="shared" si="137"/>
        <v>9423.9616832835545</v>
      </c>
      <c r="J710" s="9">
        <f t="shared" si="138"/>
        <v>-71.090960586755529</v>
      </c>
      <c r="K710" s="9">
        <f t="shared" si="139"/>
        <v>-71.055952667031278</v>
      </c>
      <c r="L710" s="8">
        <f t="shared" si="145"/>
        <v>9404.061115428025</v>
      </c>
      <c r="N710" s="16">
        <f t="shared" si="140"/>
        <v>4.6284084821902978</v>
      </c>
    </row>
    <row r="711" spans="2:14" x14ac:dyDescent="0.25">
      <c r="B711" s="7">
        <f t="shared" si="146"/>
        <v>197.96000000000072</v>
      </c>
      <c r="C711" s="9">
        <f t="shared" si="136"/>
        <v>-71.055952667031278</v>
      </c>
      <c r="D711" s="10">
        <f t="shared" si="147"/>
        <v>0.12477492227110423</v>
      </c>
      <c r="E711" s="10">
        <f t="shared" si="141"/>
        <v>0.12451713728522175</v>
      </c>
      <c r="F711" s="10">
        <f t="shared" si="142"/>
        <v>0.1245272325883405</v>
      </c>
      <c r="G711" s="10">
        <f t="shared" si="143"/>
        <v>0.12426931606217846</v>
      </c>
      <c r="H711" s="9">
        <f t="shared" si="144"/>
        <v>-71.021086461387526</v>
      </c>
      <c r="I711" s="8">
        <f t="shared" si="137"/>
        <v>9404.061115428025</v>
      </c>
      <c r="J711" s="9">
        <f t="shared" si="138"/>
        <v>-71.055952667031278</v>
      </c>
      <c r="K711" s="9">
        <f t="shared" si="139"/>
        <v>-71.021086461387526</v>
      </c>
      <c r="L711" s="8">
        <f t="shared" si="145"/>
        <v>9384.1703299500459</v>
      </c>
      <c r="N711" s="16">
        <f t="shared" si="140"/>
        <v>4.6327338249995913</v>
      </c>
    </row>
    <row r="712" spans="2:14" x14ac:dyDescent="0.25">
      <c r="B712" s="7">
        <f t="shared" si="146"/>
        <v>198.24000000000072</v>
      </c>
      <c r="C712" s="9">
        <f t="shared" si="136"/>
        <v>-71.021086461387526</v>
      </c>
      <c r="D712" s="10">
        <f t="shared" si="147"/>
        <v>0.12426971326202391</v>
      </c>
      <c r="E712" s="10">
        <f t="shared" si="141"/>
        <v>0.12401285279997989</v>
      </c>
      <c r="F712" s="10">
        <f t="shared" si="142"/>
        <v>0.12402291631159305</v>
      </c>
      <c r="G712" s="10">
        <f t="shared" si="143"/>
        <v>0.12376592258333342</v>
      </c>
      <c r="H712" s="9">
        <f t="shared" si="144"/>
        <v>-70.98636145993099</v>
      </c>
      <c r="I712" s="8">
        <f t="shared" si="137"/>
        <v>9384.1703299500459</v>
      </c>
      <c r="J712" s="9">
        <f t="shared" si="138"/>
        <v>-71.021086461387526</v>
      </c>
      <c r="K712" s="9">
        <f t="shared" si="139"/>
        <v>-70.98636145993099</v>
      </c>
      <c r="L712" s="8">
        <f t="shared" si="145"/>
        <v>9364.2892872410612</v>
      </c>
      <c r="N712" s="16">
        <f t="shared" si="140"/>
        <v>4.637047796693011</v>
      </c>
    </row>
    <row r="713" spans="2:14" x14ac:dyDescent="0.25">
      <c r="B713" s="7">
        <f t="shared" si="146"/>
        <v>198.52000000000072</v>
      </c>
      <c r="C713" s="9">
        <f t="shared" si="136"/>
        <v>-70.98636145993099</v>
      </c>
      <c r="D713" s="10">
        <f t="shared" si="147"/>
        <v>0.12376631873358857</v>
      </c>
      <c r="E713" s="10">
        <f t="shared" si="141"/>
        <v>0.12351037615209602</v>
      </c>
      <c r="F713" s="10">
        <f t="shared" si="142"/>
        <v>0.12352040808704401</v>
      </c>
      <c r="G713" s="10">
        <f t="shared" si="143"/>
        <v>0.12326433052870922</v>
      </c>
      <c r="H713" s="9">
        <f t="shared" si="144"/>
        <v>-70.951777156436435</v>
      </c>
      <c r="I713" s="8">
        <f t="shared" si="137"/>
        <v>9364.2892872410612</v>
      </c>
      <c r="J713" s="9">
        <f t="shared" si="138"/>
        <v>-70.98636145993099</v>
      </c>
      <c r="K713" s="9">
        <f t="shared" si="139"/>
        <v>-70.951777156436435</v>
      </c>
      <c r="L713" s="8">
        <f t="shared" si="145"/>
        <v>9344.4179478347705</v>
      </c>
      <c r="N713" s="16">
        <f t="shared" si="140"/>
        <v>4.6413503935808089</v>
      </c>
    </row>
    <row r="714" spans="2:14" x14ac:dyDescent="0.25">
      <c r="B714" s="7">
        <f t="shared" si="146"/>
        <v>198.80000000000072</v>
      </c>
      <c r="C714" s="9">
        <f t="shared" si="136"/>
        <v>-70.951777156436435</v>
      </c>
      <c r="D714" s="10">
        <f t="shared" si="147"/>
        <v>0.12326472563598356</v>
      </c>
      <c r="E714" s="10">
        <f t="shared" si="141"/>
        <v>0.12300969434246013</v>
      </c>
      <c r="F714" s="10">
        <f t="shared" si="142"/>
        <v>0.12301969491409478</v>
      </c>
      <c r="G714" s="10">
        <f t="shared" si="143"/>
        <v>0.12276452694816885</v>
      </c>
      <c r="H714" s="9">
        <f t="shared" si="144"/>
        <v>-70.917333048318568</v>
      </c>
      <c r="I714" s="8">
        <f t="shared" si="137"/>
        <v>9344.4179478347705</v>
      </c>
      <c r="J714" s="9">
        <f t="shared" si="138"/>
        <v>-70.951777156436435</v>
      </c>
      <c r="K714" s="9">
        <f t="shared" si="139"/>
        <v>-70.917333048318568</v>
      </c>
      <c r="L714" s="8">
        <f t="shared" si="145"/>
        <v>9324.5562724061056</v>
      </c>
      <c r="N714" s="16">
        <f t="shared" si="140"/>
        <v>4.6456416119381778</v>
      </c>
    </row>
    <row r="715" spans="2:14" x14ac:dyDescent="0.25">
      <c r="B715" s="7">
        <f t="shared" si="146"/>
        <v>199.08000000000072</v>
      </c>
      <c r="C715" s="9">
        <f t="shared" si="136"/>
        <v>-70.917333048318568</v>
      </c>
      <c r="D715" s="10">
        <f t="shared" si="147"/>
        <v>0.12276492101904016</v>
      </c>
      <c r="E715" s="10">
        <f t="shared" si="141"/>
        <v>0.12251079447105298</v>
      </c>
      <c r="F715" s="10">
        <f t="shared" si="142"/>
        <v>0.12252076389125215</v>
      </c>
      <c r="G715" s="10">
        <f t="shared" si="143"/>
        <v>0.12226649899019577</v>
      </c>
      <c r="H715" s="9">
        <f t="shared" si="144"/>
        <v>-70.883028636604323</v>
      </c>
      <c r="I715" s="8">
        <f t="shared" si="137"/>
        <v>9324.5562724061056</v>
      </c>
      <c r="J715" s="9">
        <f t="shared" si="138"/>
        <v>-70.917333048318568</v>
      </c>
      <c r="K715" s="9">
        <f t="shared" si="139"/>
        <v>-70.883028636604323</v>
      </c>
      <c r="L715" s="8">
        <f t="shared" si="145"/>
        <v>9304.7042217702165</v>
      </c>
      <c r="N715" s="16">
        <f t="shared" si="140"/>
        <v>4.6499214480052853</v>
      </c>
    </row>
    <row r="716" spans="2:14" x14ac:dyDescent="0.25">
      <c r="B716" s="7">
        <f t="shared" si="146"/>
        <v>199.36000000000072</v>
      </c>
      <c r="C716" s="9">
        <f t="shared" si="136"/>
        <v>-70.883028636604323</v>
      </c>
      <c r="D716" s="10">
        <f t="shared" si="147"/>
        <v>0.12226689203119039</v>
      </c>
      <c r="E716" s="10">
        <f t="shared" si="141"/>
        <v>0.12201366373593493</v>
      </c>
      <c r="F716" s="10">
        <f t="shared" si="142"/>
        <v>0.12202360221512401</v>
      </c>
      <c r="G716" s="10">
        <f t="shared" si="143"/>
        <v>0.12177023390080974</v>
      </c>
      <c r="H716" s="9">
        <f t="shared" si="144"/>
        <v>-70.848863425905392</v>
      </c>
      <c r="I716" s="8">
        <f t="shared" si="137"/>
        <v>9304.7042217702165</v>
      </c>
      <c r="J716" s="9">
        <f t="shared" si="138"/>
        <v>-70.883028636604323</v>
      </c>
      <c r="K716" s="9">
        <f t="shared" si="139"/>
        <v>-70.848863425905392</v>
      </c>
      <c r="L716" s="8">
        <f t="shared" si="145"/>
        <v>9284.8617568814643</v>
      </c>
      <c r="N716" s="16">
        <f t="shared" si="140"/>
        <v>4.6541898979873055</v>
      </c>
    </row>
    <row r="717" spans="2:14" x14ac:dyDescent="0.25">
      <c r="B717" s="7">
        <f t="shared" si="146"/>
        <v>199.64000000000073</v>
      </c>
      <c r="C717" s="9">
        <f t="shared" si="136"/>
        <v>-70.848863425905392</v>
      </c>
      <c r="D717" s="10">
        <f t="shared" si="147"/>
        <v>0.12177062591842797</v>
      </c>
      <c r="E717" s="10">
        <f t="shared" si="141"/>
        <v>0.12151828943221318</v>
      </c>
      <c r="F717" s="10">
        <f t="shared" si="142"/>
        <v>0.12152819717937158</v>
      </c>
      <c r="G717" s="10">
        <f t="shared" si="143"/>
        <v>0.12127571902258825</v>
      </c>
      <c r="H717" s="9">
        <f t="shared" si="144"/>
        <v>-70.814836924391059</v>
      </c>
      <c r="I717" s="8">
        <f t="shared" si="137"/>
        <v>9284.8617568814643</v>
      </c>
      <c r="J717" s="9">
        <f t="shared" si="138"/>
        <v>-70.848863425905392</v>
      </c>
      <c r="K717" s="9">
        <f t="shared" si="139"/>
        <v>-70.814836924391059</v>
      </c>
      <c r="L717" s="8">
        <f t="shared" si="145"/>
        <v>9265.0288388324225</v>
      </c>
      <c r="N717" s="16">
        <f t="shared" si="140"/>
        <v>4.6584469580544541</v>
      </c>
    </row>
    <row r="718" spans="2:14" x14ac:dyDescent="0.25">
      <c r="B718" s="7">
        <f t="shared" si="146"/>
        <v>199.92000000000073</v>
      </c>
      <c r="C718" s="9">
        <f t="shared" si="136"/>
        <v>-70.814836924391059</v>
      </c>
      <c r="D718" s="10">
        <f t="shared" si="147"/>
        <v>0.12127611002328263</v>
      </c>
      <c r="E718" s="10">
        <f t="shared" si="141"/>
        <v>0.12102465895100124</v>
      </c>
      <c r="F718" s="10">
        <f t="shared" si="142"/>
        <v>0.12103453617368849</v>
      </c>
      <c r="G718" s="10">
        <f t="shared" si="143"/>
        <v>0.12078294179361752</v>
      </c>
      <c r="H718" s="9">
        <f t="shared" si="144"/>
        <v>-70.780948643761306</v>
      </c>
      <c r="I718" s="8">
        <f t="shared" si="137"/>
        <v>9265.0288388324225</v>
      </c>
      <c r="J718" s="9">
        <f t="shared" si="138"/>
        <v>-70.814836924391059</v>
      </c>
      <c r="K718" s="9">
        <f t="shared" si="139"/>
        <v>-70.780948643761306</v>
      </c>
      <c r="L718" s="8">
        <f t="shared" si="145"/>
        <v>9245.2054288528816</v>
      </c>
      <c r="N718" s="16">
        <f t="shared" si="140"/>
        <v>4.6626926243420206</v>
      </c>
    </row>
    <row r="719" spans="2:14" x14ac:dyDescent="0.25">
      <c r="B719" s="7">
        <f t="shared" si="146"/>
        <v>200.20000000000073</v>
      </c>
      <c r="C719" s="9">
        <f t="shared" si="136"/>
        <v>-70.780948643761306</v>
      </c>
      <c r="D719" s="10">
        <f t="shared" si="147"/>
        <v>0.12078333178381005</v>
      </c>
      <c r="E719" s="10">
        <f t="shared" si="141"/>
        <v>0.12053275977843812</v>
      </c>
      <c r="F719" s="10">
        <f t="shared" si="142"/>
        <v>0.12054260668279258</v>
      </c>
      <c r="G719" s="10">
        <f t="shared" si="143"/>
        <v>0.12029188974649904</v>
      </c>
      <c r="H719" s="9">
        <f t="shared" si="144"/>
        <v>-70.747198099220171</v>
      </c>
      <c r="I719" s="8">
        <f t="shared" si="137"/>
        <v>9245.2054288528816</v>
      </c>
      <c r="J719" s="9">
        <f t="shared" si="138"/>
        <v>-70.780948643761306</v>
      </c>
      <c r="K719" s="9">
        <f t="shared" si="139"/>
        <v>-70.747198099220171</v>
      </c>
      <c r="L719" s="8">
        <f t="shared" si="145"/>
        <v>9225.3914883088637</v>
      </c>
      <c r="N719" s="16">
        <f t="shared" si="140"/>
        <v>4.6669268929504026</v>
      </c>
    </row>
    <row r="720" spans="2:14" x14ac:dyDescent="0.25">
      <c r="B720" s="7">
        <f t="shared" si="146"/>
        <v>200.48000000000073</v>
      </c>
      <c r="C720" s="9">
        <f t="shared" si="136"/>
        <v>-70.747198099220171</v>
      </c>
      <c r="D720" s="10">
        <f t="shared" si="147"/>
        <v>0.12029227873256382</v>
      </c>
      <c r="E720" s="10">
        <f t="shared" si="141"/>
        <v>0.12004257949465352</v>
      </c>
      <c r="F720" s="10">
        <f t="shared" si="142"/>
        <v>0.12005239628542042</v>
      </c>
      <c r="G720" s="10">
        <f t="shared" si="143"/>
        <v>0.11980255050735114</v>
      </c>
      <c r="H720" s="9">
        <f t="shared" si="144"/>
        <v>-70.7135848094495</v>
      </c>
      <c r="I720" s="8">
        <f t="shared" si="137"/>
        <v>9225.3914883088637</v>
      </c>
      <c r="J720" s="9">
        <f t="shared" si="138"/>
        <v>-70.747198099220171</v>
      </c>
      <c r="K720" s="9">
        <f t="shared" si="139"/>
        <v>-70.7135848094495</v>
      </c>
      <c r="L720" s="8">
        <f t="shared" si="145"/>
        <v>9205.5869787016491</v>
      </c>
      <c r="N720" s="16">
        <f t="shared" si="140"/>
        <v>4.6711497599451297</v>
      </c>
    </row>
    <row r="721" spans="2:14" x14ac:dyDescent="0.25">
      <c r="B721" s="7">
        <f t="shared" si="146"/>
        <v>200.76000000000073</v>
      </c>
      <c r="C721" s="9">
        <f t="shared" si="136"/>
        <v>-70.7135848094495</v>
      </c>
      <c r="D721" s="10">
        <f t="shared" si="147"/>
        <v>0.11980293849563725</v>
      </c>
      <c r="E721" s="10">
        <f t="shared" si="141"/>
        <v>0.11955410577281807</v>
      </c>
      <c r="F721" s="10">
        <f t="shared" si="142"/>
        <v>0.11956389265335997</v>
      </c>
      <c r="G721" s="10">
        <f t="shared" si="143"/>
        <v>0.11931491179485032</v>
      </c>
      <c r="H721" s="9">
        <f t="shared" si="144"/>
        <v>-70.68010829658283</v>
      </c>
      <c r="I721" s="8">
        <f t="shared" si="137"/>
        <v>9205.5869787016491</v>
      </c>
      <c r="J721" s="9">
        <f t="shared" si="138"/>
        <v>-70.7135848094495</v>
      </c>
      <c r="K721" s="9">
        <f t="shared" si="139"/>
        <v>-70.68010829658283</v>
      </c>
      <c r="L721" s="8">
        <f t="shared" si="145"/>
        <v>9185.7918616668048</v>
      </c>
      <c r="N721" s="16">
        <f t="shared" si="140"/>
        <v>4.6753612213568978</v>
      </c>
    </row>
    <row r="722" spans="2:14" x14ac:dyDescent="0.25">
      <c r="B722" s="7">
        <f t="shared" si="146"/>
        <v>201.04000000000073</v>
      </c>
      <c r="C722" s="9">
        <f t="shared" si="136"/>
        <v>-70.68010829658283</v>
      </c>
      <c r="D722" s="10">
        <f t="shared" si="147"/>
        <v>0.11931529879166242</v>
      </c>
      <c r="E722" s="10">
        <f t="shared" si="141"/>
        <v>0.11906732637814281</v>
      </c>
      <c r="F722" s="10">
        <f t="shared" si="142"/>
        <v>0.11907708355044856</v>
      </c>
      <c r="G722" s="10">
        <f t="shared" si="143"/>
        <v>0.11882896141924042</v>
      </c>
      <c r="H722" s="9">
        <f t="shared" si="144"/>
        <v>-70.646768086179648</v>
      </c>
      <c r="I722" s="8">
        <f t="shared" si="137"/>
        <v>9185.7918616668048</v>
      </c>
      <c r="J722" s="9">
        <f t="shared" si="138"/>
        <v>-70.68010829658283</v>
      </c>
      <c r="K722" s="9">
        <f t="shared" si="139"/>
        <v>-70.646768086179648</v>
      </c>
      <c r="L722" s="8">
        <f t="shared" si="145"/>
        <v>9166.0060989732174</v>
      </c>
      <c r="N722" s="16">
        <f t="shared" si="140"/>
        <v>4.679561273181597</v>
      </c>
    </row>
    <row r="723" spans="2:14" x14ac:dyDescent="0.25">
      <c r="B723" s="7">
        <f t="shared" si="146"/>
        <v>201.32000000000073</v>
      </c>
      <c r="C723" s="9">
        <f t="shared" si="136"/>
        <v>-70.646768086179648</v>
      </c>
      <c r="D723" s="10">
        <f t="shared" si="147"/>
        <v>0.11882934743084628</v>
      </c>
      <c r="E723" s="10">
        <f t="shared" si="141"/>
        <v>0.11858222916693754</v>
      </c>
      <c r="F723" s="10">
        <f t="shared" si="142"/>
        <v>0.11859195683164063</v>
      </c>
      <c r="G723" s="10">
        <f t="shared" si="143"/>
        <v>0.11834468728137566</v>
      </c>
      <c r="H723" s="9">
        <f t="shared" si="144"/>
        <v>-70.613563707199873</v>
      </c>
      <c r="I723" s="8">
        <f t="shared" si="137"/>
        <v>9166.0060989732174</v>
      </c>
      <c r="J723" s="9">
        <f t="shared" si="138"/>
        <v>-70.646768086179648</v>
      </c>
      <c r="K723" s="9">
        <f t="shared" si="139"/>
        <v>-70.613563707199873</v>
      </c>
      <c r="L723" s="8">
        <f t="shared" si="145"/>
        <v>9146.2296525221445</v>
      </c>
      <c r="N723" s="16">
        <f t="shared" si="140"/>
        <v>4.6837499113803354</v>
      </c>
    </row>
    <row r="724" spans="2:14" x14ac:dyDescent="0.25">
      <c r="B724" s="7">
        <f t="shared" si="146"/>
        <v>201.60000000000073</v>
      </c>
      <c r="C724" s="9">
        <f t="shared" si="136"/>
        <v>-70.613563707199873</v>
      </c>
      <c r="D724" s="10">
        <f t="shared" si="147"/>
        <v>0.11834507231401593</v>
      </c>
      <c r="E724" s="10">
        <f t="shared" si="141"/>
        <v>0.1180988020856435</v>
      </c>
      <c r="F724" s="10">
        <f t="shared" si="142"/>
        <v>0.11810850044203867</v>
      </c>
      <c r="G724" s="10">
        <f t="shared" si="143"/>
        <v>0.11786207737179454</v>
      </c>
      <c r="H724" s="9">
        <f t="shared" si="144"/>
        <v>-70.580494691978615</v>
      </c>
      <c r="I724" s="8">
        <f t="shared" si="137"/>
        <v>9146.2296525221445</v>
      </c>
      <c r="J724" s="9">
        <f t="shared" si="138"/>
        <v>-70.613563707199873</v>
      </c>
      <c r="K724" s="9">
        <f t="shared" si="139"/>
        <v>-70.580494691978615</v>
      </c>
      <c r="L724" s="8">
        <f t="shared" si="145"/>
        <v>9126.4624843462589</v>
      </c>
      <c r="N724" s="16">
        <f t="shared" si="140"/>
        <v>4.6879271318794684</v>
      </c>
    </row>
    <row r="725" spans="2:14" x14ac:dyDescent="0.25">
      <c r="B725" s="7">
        <f t="shared" si="146"/>
        <v>201.88000000000073</v>
      </c>
      <c r="C725" s="9">
        <f t="shared" si="136"/>
        <v>-70.580494691978615</v>
      </c>
      <c r="D725" s="10">
        <f t="shared" si="147"/>
        <v>0.1178624614316668</v>
      </c>
      <c r="E725" s="10">
        <f t="shared" si="141"/>
        <v>0.11761703316989501</v>
      </c>
      <c r="F725" s="10">
        <f t="shared" si="142"/>
        <v>0.11762670241594132</v>
      </c>
      <c r="G725" s="10">
        <f t="shared" si="143"/>
        <v>0.11738111976977088</v>
      </c>
      <c r="H725" s="9">
        <f t="shared" si="144"/>
        <v>-70.547560576201207</v>
      </c>
      <c r="I725" s="8">
        <f t="shared" si="137"/>
        <v>9126.4624843462589</v>
      </c>
      <c r="J725" s="9">
        <f t="shared" si="138"/>
        <v>-70.580494691978615</v>
      </c>
      <c r="K725" s="9">
        <f t="shared" si="139"/>
        <v>-70.547560576201207</v>
      </c>
      <c r="L725" s="8">
        <f t="shared" si="145"/>
        <v>9106.7045566087145</v>
      </c>
      <c r="N725" s="16">
        <f t="shared" si="140"/>
        <v>4.6920929305706212</v>
      </c>
    </row>
    <row r="726" spans="2:14" x14ac:dyDescent="0.25">
      <c r="B726" s="7">
        <f t="shared" si="146"/>
        <v>202.16000000000074</v>
      </c>
      <c r="C726" s="9">
        <f t="shared" si="136"/>
        <v>-70.547560576201207</v>
      </c>
      <c r="D726" s="10">
        <f t="shared" si="147"/>
        <v>0.11738150286303541</v>
      </c>
      <c r="E726" s="10">
        <f t="shared" si="141"/>
        <v>0.11713691054360577</v>
      </c>
      <c r="F726" s="10">
        <f t="shared" si="142"/>
        <v>0.1171465508759512</v>
      </c>
      <c r="G726" s="10">
        <f t="shared" si="143"/>
        <v>0.11690180264237686</v>
      </c>
      <c r="H726" s="9">
        <f t="shared" si="144"/>
        <v>-70.514760898878464</v>
      </c>
      <c r="I726" s="8">
        <f t="shared" si="137"/>
        <v>9106.7045566087145</v>
      </c>
      <c r="J726" s="9">
        <f t="shared" si="138"/>
        <v>-70.547560576201207</v>
      </c>
      <c r="K726" s="9">
        <f t="shared" si="139"/>
        <v>-70.514760898878464</v>
      </c>
      <c r="L726" s="8">
        <f t="shared" si="145"/>
        <v>9086.955831602203</v>
      </c>
      <c r="N726" s="16">
        <f t="shared" si="140"/>
        <v>4.6962473033107148</v>
      </c>
    </row>
    <row r="727" spans="2:14" x14ac:dyDescent="0.25">
      <c r="B727" s="7">
        <f t="shared" si="146"/>
        <v>202.44000000000074</v>
      </c>
      <c r="C727" s="9">
        <f t="shared" si="136"/>
        <v>-70.514760898878464</v>
      </c>
      <c r="D727" s="10">
        <f t="shared" si="147"/>
        <v>0.11690218477516444</v>
      </c>
      <c r="E727" s="10">
        <f t="shared" si="141"/>
        <v>0.1166584224180203</v>
      </c>
      <c r="F727" s="10">
        <f t="shared" si="142"/>
        <v>0.11666803403201464</v>
      </c>
      <c r="G727" s="10">
        <f t="shared" si="143"/>
        <v>0.11642411424359608</v>
      </c>
      <c r="H727" s="9">
        <f t="shared" si="144"/>
        <v>-70.482095202322256</v>
      </c>
      <c r="I727" s="8">
        <f t="shared" si="137"/>
        <v>9086.955831602203</v>
      </c>
      <c r="J727" s="9">
        <f t="shared" si="138"/>
        <v>-70.514760898878464</v>
      </c>
      <c r="K727" s="9">
        <f t="shared" si="139"/>
        <v>-70.482095202322256</v>
      </c>
      <c r="L727" s="8">
        <f t="shared" si="145"/>
        <v>9067.2162717480351</v>
      </c>
      <c r="N727" s="16">
        <f t="shared" si="140"/>
        <v>4.7003902459219882</v>
      </c>
    </row>
    <row r="728" spans="2:14" x14ac:dyDescent="0.25">
      <c r="B728" s="7">
        <f t="shared" si="146"/>
        <v>202.72000000000074</v>
      </c>
      <c r="C728" s="9">
        <f t="shared" ref="C728:C791" si="148">H727</f>
        <v>-70.482095202322256</v>
      </c>
      <c r="D728" s="10">
        <f t="shared" si="147"/>
        <v>0.11642449542200174</v>
      </c>
      <c r="E728" s="10">
        <f t="shared" si="141"/>
        <v>0.11618155709082746</v>
      </c>
      <c r="F728" s="10">
        <f t="shared" si="142"/>
        <v>0.11619114018052176</v>
      </c>
      <c r="G728" s="10">
        <f t="shared" si="143"/>
        <v>0.11594804291340231</v>
      </c>
      <c r="H728" s="9">
        <f t="shared" si="144"/>
        <v>-70.449563032121276</v>
      </c>
      <c r="I728" s="8">
        <f t="shared" ref="I728:I791" si="149">L727</f>
        <v>9067.2162717480351</v>
      </c>
      <c r="J728" s="9">
        <f t="shared" ref="J728:J791" si="150">C728</f>
        <v>-70.482095202322256</v>
      </c>
      <c r="K728" s="9">
        <f t="shared" ref="K728:K791" si="151">H728</f>
        <v>-70.449563032121276</v>
      </c>
      <c r="L728" s="8">
        <f t="shared" si="145"/>
        <v>9047.4858395952124</v>
      </c>
      <c r="N728" s="16">
        <f t="shared" ref="N728:N791" si="152">C_y(I728)</f>
        <v>4.7045217541920215</v>
      </c>
    </row>
    <row r="729" spans="2:14" x14ac:dyDescent="0.25">
      <c r="B729" s="7">
        <f t="shared" si="146"/>
        <v>203.00000000000074</v>
      </c>
      <c r="C729" s="9">
        <f t="shared" si="148"/>
        <v>-70.449563032121276</v>
      </c>
      <c r="D729" s="10">
        <f t="shared" si="147"/>
        <v>0.11594842314347953</v>
      </c>
      <c r="E729" s="10">
        <f t="shared" si="141"/>
        <v>0.11570630294526188</v>
      </c>
      <c r="F729" s="10">
        <f t="shared" si="142"/>
        <v>0.11571585770343278</v>
      </c>
      <c r="G729" s="10">
        <f t="shared" si="143"/>
        <v>0.11547357707686559</v>
      </c>
      <c r="H729" s="9">
        <f t="shared" si="144"/>
        <v>-70.41716393711711</v>
      </c>
      <c r="I729" s="8">
        <f t="shared" si="149"/>
        <v>9047.4858395952124</v>
      </c>
      <c r="J729" s="9">
        <f t="shared" si="150"/>
        <v>-70.449563032121276</v>
      </c>
      <c r="K729" s="9">
        <f t="shared" si="151"/>
        <v>-70.41716393711711</v>
      </c>
      <c r="L729" s="8">
        <f t="shared" si="145"/>
        <v>9027.7644978195185</v>
      </c>
      <c r="N729" s="16">
        <f t="shared" si="152"/>
        <v>4.7086418238737524</v>
      </c>
    </row>
    <row r="730" spans="2:14" x14ac:dyDescent="0.25">
      <c r="B730" s="7">
        <f t="shared" si="146"/>
        <v>203.28000000000074</v>
      </c>
      <c r="C730" s="9">
        <f t="shared" si="148"/>
        <v>-70.41716393711711</v>
      </c>
      <c r="D730" s="10">
        <f t="shared" si="147"/>
        <v>0.11547395636464354</v>
      </c>
      <c r="E730" s="10">
        <f t="shared" si="141"/>
        <v>0.11523264844920317</v>
      </c>
      <c r="F730" s="10">
        <f t="shared" si="142"/>
        <v>0.11524217506737051</v>
      </c>
      <c r="G730" s="10">
        <f t="shared" si="143"/>
        <v>0.11500070524328268</v>
      </c>
      <c r="H730" s="9">
        <f t="shared" si="144"/>
        <v>-70.384897469380533</v>
      </c>
      <c r="I730" s="8">
        <f t="shared" si="149"/>
        <v>9027.7644978195185</v>
      </c>
      <c r="J730" s="9">
        <f t="shared" si="150"/>
        <v>-70.41716393711711</v>
      </c>
      <c r="K730" s="9">
        <f t="shared" si="151"/>
        <v>-70.384897469380533</v>
      </c>
      <c r="L730" s="8">
        <f t="shared" si="145"/>
        <v>9008.0522092226092</v>
      </c>
      <c r="N730" s="16">
        <f t="shared" si="152"/>
        <v>4.7127504506855038</v>
      </c>
    </row>
    <row r="731" spans="2:14" x14ac:dyDescent="0.25">
      <c r="B731" s="7">
        <f t="shared" si="146"/>
        <v>203.56000000000074</v>
      </c>
      <c r="C731" s="9">
        <f t="shared" si="148"/>
        <v>-70.384897469380533</v>
      </c>
      <c r="D731" s="10">
        <f t="shared" si="147"/>
        <v>0.11500108359475486</v>
      </c>
      <c r="E731" s="10">
        <f t="shared" si="141"/>
        <v>0.11476058215431434</v>
      </c>
      <c r="F731" s="10">
        <f t="shared" si="142"/>
        <v>0.11477008082274001</v>
      </c>
      <c r="G731" s="10">
        <f t="shared" si="143"/>
        <v>0.11452941600529359</v>
      </c>
      <c r="H731" s="9">
        <f t="shared" si="144"/>
        <v>-70.352763184188007</v>
      </c>
      <c r="I731" s="8">
        <f t="shared" si="149"/>
        <v>9008.0522092226092</v>
      </c>
      <c r="J731" s="9">
        <f t="shared" si="150"/>
        <v>-70.384897469380533</v>
      </c>
      <c r="K731" s="9">
        <f t="shared" si="151"/>
        <v>-70.352763184188007</v>
      </c>
      <c r="L731" s="8">
        <f t="shared" si="145"/>
        <v>8988.3489367311104</v>
      </c>
      <c r="N731" s="16">
        <f t="shared" si="152"/>
        <v>4.716847630310995</v>
      </c>
    </row>
    <row r="732" spans="2:14" x14ac:dyDescent="0.25">
      <c r="B732" s="7">
        <f t="shared" si="146"/>
        <v>203.84000000000074</v>
      </c>
      <c r="C732" s="9">
        <f t="shared" si="148"/>
        <v>-70.352763184188007</v>
      </c>
      <c r="D732" s="10">
        <f t="shared" si="147"/>
        <v>0.11452979342641498</v>
      </c>
      <c r="E732" s="10">
        <f t="shared" si="141"/>
        <v>0.11429009269516278</v>
      </c>
      <c r="F732" s="10">
        <f t="shared" si="142"/>
        <v>0.1142995636028723</v>
      </c>
      <c r="G732" s="10">
        <f t="shared" si="143"/>
        <v>0.11405969803801441</v>
      </c>
      <c r="H732" s="9">
        <f t="shared" si="144"/>
        <v>-70.320760639998511</v>
      </c>
      <c r="I732" s="8">
        <f t="shared" si="149"/>
        <v>8988.3489367311104</v>
      </c>
      <c r="J732" s="9">
        <f t="shared" si="150"/>
        <v>-70.352763184188007</v>
      </c>
      <c r="K732" s="9">
        <f t="shared" si="151"/>
        <v>-70.320760639998511</v>
      </c>
      <c r="L732" s="8">
        <f t="shared" si="145"/>
        <v>8968.6546433957246</v>
      </c>
      <c r="N732" s="16">
        <f t="shared" si="152"/>
        <v>4.7209333583993649</v>
      </c>
    </row>
    <row r="733" spans="2:14" x14ac:dyDescent="0.25">
      <c r="B733" s="7">
        <f t="shared" si="146"/>
        <v>204.12000000000074</v>
      </c>
      <c r="C733" s="9">
        <f t="shared" si="148"/>
        <v>-70.320760639998511</v>
      </c>
      <c r="D733" s="10">
        <f t="shared" si="147"/>
        <v>0.1140600745347099</v>
      </c>
      <c r="E733" s="10">
        <f t="shared" si="141"/>
        <v>0.11382116878835095</v>
      </c>
      <c r="F733" s="10">
        <f t="shared" si="142"/>
        <v>0.11383061212314831</v>
      </c>
      <c r="G733" s="10">
        <f t="shared" si="143"/>
        <v>0.11359154009819582</v>
      </c>
      <c r="H733" s="9">
        <f t="shared" si="144"/>
        <v>-70.28888939843057</v>
      </c>
      <c r="I733" s="8">
        <f t="shared" si="149"/>
        <v>8968.6546433957246</v>
      </c>
      <c r="J733" s="9">
        <f t="shared" si="150"/>
        <v>-70.320760639998511</v>
      </c>
      <c r="K733" s="9">
        <f t="shared" si="151"/>
        <v>-70.28888939843057</v>
      </c>
      <c r="L733" s="8">
        <f t="shared" si="145"/>
        <v>8948.969292390344</v>
      </c>
      <c r="N733" s="16">
        <f t="shared" si="152"/>
        <v>4.7250076305651856</v>
      </c>
    </row>
    <row r="734" spans="2:14" x14ac:dyDescent="0.25">
      <c r="B734" s="7">
        <f t="shared" si="146"/>
        <v>204.40000000000074</v>
      </c>
      <c r="C734" s="9">
        <f t="shared" si="148"/>
        <v>-70.28888939843057</v>
      </c>
      <c r="D734" s="10">
        <f t="shared" si="147"/>
        <v>0.11359191567636727</v>
      </c>
      <c r="E734" s="10">
        <f t="shared" si="141"/>
        <v>0.11335379923171156</v>
      </c>
      <c r="F734" s="10">
        <f t="shared" si="142"/>
        <v>0.113363215180179</v>
      </c>
      <c r="G734" s="10">
        <f t="shared" si="143"/>
        <v>0.11312493102338719</v>
      </c>
      <c r="H734" s="9">
        <f t="shared" si="144"/>
        <v>-70.257149024239467</v>
      </c>
      <c r="I734" s="8">
        <f t="shared" si="149"/>
        <v>8948.969292390344</v>
      </c>
      <c r="J734" s="9">
        <f t="shared" si="150"/>
        <v>-70.28888939843057</v>
      </c>
      <c r="K734" s="9">
        <f t="shared" si="151"/>
        <v>-70.257149024239467</v>
      </c>
      <c r="L734" s="8">
        <f t="shared" si="145"/>
        <v>8929.292847011171</v>
      </c>
      <c r="N734" s="16">
        <f t="shared" si="152"/>
        <v>4.7290704423884833</v>
      </c>
    </row>
    <row r="735" spans="2:14" x14ac:dyDescent="0.25">
      <c r="B735" s="7">
        <f t="shared" si="146"/>
        <v>204.68000000000075</v>
      </c>
      <c r="C735" s="9">
        <f t="shared" si="148"/>
        <v>-70.257149024239467</v>
      </c>
      <c r="D735" s="10">
        <f t="shared" si="147"/>
        <v>0.11312530568888259</v>
      </c>
      <c r="E735" s="10">
        <f t="shared" si="141"/>
        <v>0.11288797290340968</v>
      </c>
      <c r="F735" s="10">
        <f t="shared" si="142"/>
        <v>0.11289736165093281</v>
      </c>
      <c r="G735" s="10">
        <f t="shared" si="143"/>
        <v>0.11265985973106821</v>
      </c>
      <c r="H735" s="9">
        <f t="shared" si="144"/>
        <v>-70.225539085294798</v>
      </c>
      <c r="I735" s="8">
        <f t="shared" si="149"/>
        <v>8929.292847011171</v>
      </c>
      <c r="J735" s="9">
        <f t="shared" si="150"/>
        <v>-70.257149024239467</v>
      </c>
      <c r="K735" s="9">
        <f t="shared" si="151"/>
        <v>-70.225539085294798</v>
      </c>
      <c r="L735" s="8">
        <f t="shared" si="145"/>
        <v>8909.6252706758369</v>
      </c>
      <c r="N735" s="16">
        <f t="shared" si="152"/>
        <v>4.7331217894147448</v>
      </c>
    </row>
    <row r="736" spans="2:14" x14ac:dyDescent="0.25">
      <c r="B736" s="7">
        <f t="shared" si="146"/>
        <v>204.96000000000075</v>
      </c>
      <c r="C736" s="9">
        <f t="shared" si="148"/>
        <v>-70.225539085294798</v>
      </c>
      <c r="D736" s="10">
        <f t="shared" si="147"/>
        <v>0.11266023348972211</v>
      </c>
      <c r="E736" s="10">
        <f t="shared" si="141"/>
        <v>0.11242367876116648</v>
      </c>
      <c r="F736" s="10">
        <f t="shared" si="142"/>
        <v>0.11243304049194011</v>
      </c>
      <c r="G736" s="10">
        <f t="shared" si="143"/>
        <v>0.11219631521786048</v>
      </c>
      <c r="H736" s="9">
        <f t="shared" si="144"/>
        <v>-70.194059152558154</v>
      </c>
      <c r="I736" s="8">
        <f t="shared" si="149"/>
        <v>8909.6252706758369</v>
      </c>
      <c r="J736" s="9">
        <f t="shared" si="150"/>
        <v>-70.225539085294798</v>
      </c>
      <c r="K736" s="9">
        <f t="shared" si="151"/>
        <v>-70.194059152558154</v>
      </c>
      <c r="L736" s="8">
        <f t="shared" si="145"/>
        <v>8889.966526922537</v>
      </c>
      <c r="N736" s="16">
        <f t="shared" si="152"/>
        <v>4.7371616671549424</v>
      </c>
    </row>
    <row r="737" spans="2:14" x14ac:dyDescent="0.25">
      <c r="B737" s="7">
        <f t="shared" si="146"/>
        <v>205.24000000000075</v>
      </c>
      <c r="C737" s="9">
        <f t="shared" si="148"/>
        <v>-70.194059152558154</v>
      </c>
      <c r="D737" s="10">
        <f t="shared" si="147"/>
        <v>0.1121966880754669</v>
      </c>
      <c r="E737" s="10">
        <f t="shared" si="141"/>
        <v>0.11196090584140465</v>
      </c>
      <c r="F737" s="10">
        <f t="shared" si="142"/>
        <v>0.11197024073844962</v>
      </c>
      <c r="G737" s="10">
        <f t="shared" si="143"/>
        <v>0.1117342865586916</v>
      </c>
      <c r="H737" s="9">
        <f t="shared" si="144"/>
        <v>-70.162708800061111</v>
      </c>
      <c r="I737" s="8">
        <f t="shared" si="149"/>
        <v>8889.966526922537</v>
      </c>
      <c r="J737" s="9">
        <f t="shared" si="150"/>
        <v>-70.194059152558154</v>
      </c>
      <c r="K737" s="9">
        <f t="shared" si="151"/>
        <v>-70.162708800061111</v>
      </c>
      <c r="L737" s="8">
        <f t="shared" si="145"/>
        <v>8870.316579409171</v>
      </c>
      <c r="N737" s="16">
        <f t="shared" si="152"/>
        <v>4.741190071085537</v>
      </c>
    </row>
    <row r="738" spans="2:14" x14ac:dyDescent="0.25">
      <c r="B738" s="7">
        <f t="shared" si="146"/>
        <v>205.52000000000075</v>
      </c>
      <c r="C738" s="9">
        <f t="shared" si="148"/>
        <v>-70.162708800061111</v>
      </c>
      <c r="D738" s="10">
        <f t="shared" si="147"/>
        <v>0.11173465852102124</v>
      </c>
      <c r="E738" s="10">
        <f t="shared" si="141"/>
        <v>0.11149964325845385</v>
      </c>
      <c r="F738" s="10">
        <f t="shared" si="142"/>
        <v>0.11150895150361524</v>
      </c>
      <c r="G738" s="10">
        <f t="shared" si="143"/>
        <v>0.11127376290600381</v>
      </c>
      <c r="H738" s="9">
        <f t="shared" si="144"/>
        <v>-70.13148760488339</v>
      </c>
      <c r="I738" s="8">
        <f t="shared" si="149"/>
        <v>8870.316579409171</v>
      </c>
      <c r="J738" s="9">
        <f t="shared" si="150"/>
        <v>-70.162708800061111</v>
      </c>
      <c r="K738" s="9">
        <f t="shared" si="151"/>
        <v>-70.13148760488339</v>
      </c>
      <c r="L738" s="8">
        <f t="shared" si="145"/>
        <v>8850.6753919124785</v>
      </c>
      <c r="N738" s="16">
        <f t="shared" si="152"/>
        <v>4.7452069966484984</v>
      </c>
    </row>
    <row r="739" spans="2:14" x14ac:dyDescent="0.25">
      <c r="B739" s="7">
        <f t="shared" si="146"/>
        <v>205.80000000000075</v>
      </c>
      <c r="C739" s="9">
        <f t="shared" si="148"/>
        <v>-70.13148760488339</v>
      </c>
      <c r="D739" s="10">
        <f t="shared" si="147"/>
        <v>0.11127413397878445</v>
      </c>
      <c r="E739" s="10">
        <f t="shared" si="141"/>
        <v>0.111039880203741</v>
      </c>
      <c r="F739" s="10">
        <f t="shared" si="142"/>
        <v>0.11104916197771594</v>
      </c>
      <c r="G739" s="10">
        <f t="shared" si="143"/>
        <v>0.11081473348894083</v>
      </c>
      <c r="H739" s="9">
        <f t="shared" si="144"/>
        <v>-70.100395147131294</v>
      </c>
      <c r="I739" s="8">
        <f t="shared" si="149"/>
        <v>8850.6753919124785</v>
      </c>
      <c r="J739" s="9">
        <f t="shared" si="150"/>
        <v>-70.13148760488339</v>
      </c>
      <c r="K739" s="9">
        <f t="shared" si="151"/>
        <v>-70.100395147131294</v>
      </c>
      <c r="L739" s="8">
        <f t="shared" si="145"/>
        <v>8831.0429283271969</v>
      </c>
      <c r="N739" s="16">
        <f t="shared" si="152"/>
        <v>4.7492124392513091</v>
      </c>
    </row>
    <row r="740" spans="2:14" x14ac:dyDescent="0.25">
      <c r="B740" s="7">
        <f t="shared" si="146"/>
        <v>206.08000000000075</v>
      </c>
      <c r="C740" s="9">
        <f t="shared" si="148"/>
        <v>-70.100395147131294</v>
      </c>
      <c r="D740" s="10">
        <f t="shared" si="147"/>
        <v>0.11081510367787663</v>
      </c>
      <c r="E740" s="10">
        <f t="shared" si="141"/>
        <v>0.11058160594500399</v>
      </c>
      <c r="F740" s="10">
        <f t="shared" si="142"/>
        <v>0.11059086142735233</v>
      </c>
      <c r="G740" s="10">
        <f t="shared" si="143"/>
        <v>0.11035718761256889</v>
      </c>
      <c r="H740" s="9">
        <f t="shared" si="144"/>
        <v>-70.069431009916315</v>
      </c>
      <c r="I740" s="8">
        <f t="shared" si="149"/>
        <v>8831.0429283271969</v>
      </c>
      <c r="J740" s="9">
        <f t="shared" si="150"/>
        <v>-70.100395147131294</v>
      </c>
      <c r="K740" s="9">
        <f t="shared" si="151"/>
        <v>-70.069431009916315</v>
      </c>
      <c r="L740" s="8">
        <f t="shared" si="145"/>
        <v>8811.4191526652103</v>
      </c>
      <c r="N740" s="16">
        <f t="shared" si="152"/>
        <v>4.7532063942669813</v>
      </c>
    </row>
    <row r="741" spans="2:14" x14ac:dyDescent="0.25">
      <c r="B741" s="7">
        <f t="shared" si="146"/>
        <v>206.36000000000075</v>
      </c>
      <c r="C741" s="9">
        <f t="shared" si="148"/>
        <v>-70.069431009916315</v>
      </c>
      <c r="D741" s="10">
        <f t="shared" si="147"/>
        <v>0.11035755692333071</v>
      </c>
      <c r="E741" s="10">
        <f t="shared" si="141"/>
        <v>0.11012480982550629</v>
      </c>
      <c r="F741" s="10">
        <f t="shared" si="142"/>
        <v>0.11013403919464762</v>
      </c>
      <c r="G741" s="10">
        <f t="shared" si="143"/>
        <v>0.10990111465709353</v>
      </c>
      <c r="H741" s="9">
        <f t="shared" si="144"/>
        <v>-70.038594779334019</v>
      </c>
      <c r="I741" s="8">
        <f t="shared" si="149"/>
        <v>8811.4191526652103</v>
      </c>
      <c r="J741" s="9">
        <f t="shared" si="150"/>
        <v>-70.069431009916315</v>
      </c>
      <c r="K741" s="9">
        <f t="shared" si="151"/>
        <v>-70.038594779334019</v>
      </c>
      <c r="L741" s="8">
        <f t="shared" si="145"/>
        <v>8791.804029054716</v>
      </c>
      <c r="N741" s="16">
        <f t="shared" si="152"/>
        <v>4.7571888570340617</v>
      </c>
    </row>
    <row r="742" spans="2:14" x14ac:dyDescent="0.25">
      <c r="B742" s="7">
        <f t="shared" si="146"/>
        <v>206.64000000000075</v>
      </c>
      <c r="C742" s="9">
        <f t="shared" si="148"/>
        <v>-70.038594779334019</v>
      </c>
      <c r="D742" s="10">
        <f t="shared" si="147"/>
        <v>0.1099014830953305</v>
      </c>
      <c r="E742" s="10">
        <f t="shared" si="141"/>
        <v>0.10966948126326115</v>
      </c>
      <c r="F742" s="10">
        <f t="shared" si="142"/>
        <v>0.10967868469649546</v>
      </c>
      <c r="G742" s="10">
        <f t="shared" si="143"/>
        <v>0.10944650407709711</v>
      </c>
      <c r="H742" s="9">
        <f t="shared" si="144"/>
        <v>-70.007886044443069</v>
      </c>
      <c r="I742" s="8">
        <f t="shared" si="149"/>
        <v>8791.804029054716</v>
      </c>
      <c r="J742" s="9">
        <f t="shared" si="150"/>
        <v>-70.038594779334019</v>
      </c>
      <c r="K742" s="9">
        <f t="shared" si="151"/>
        <v>-70.007886044443069</v>
      </c>
      <c r="L742" s="8">
        <f t="shared" si="145"/>
        <v>8772.1975217393865</v>
      </c>
      <c r="N742" s="16">
        <f t="shared" si="152"/>
        <v>4.7611598228566416</v>
      </c>
    </row>
    <row r="743" spans="2:14" x14ac:dyDescent="0.25">
      <c r="B743" s="7">
        <f t="shared" si="146"/>
        <v>206.92000000000075</v>
      </c>
      <c r="C743" s="9">
        <f t="shared" si="148"/>
        <v>-70.007886044443069</v>
      </c>
      <c r="D743" s="10">
        <f t="shared" si="147"/>
        <v>0.10944687164842083</v>
      </c>
      <c r="E743" s="10">
        <f t="shared" si="141"/>
        <v>0.10921560975026545</v>
      </c>
      <c r="F743" s="10">
        <f t="shared" si="142"/>
        <v>0.10922478742379002</v>
      </c>
      <c r="G743" s="10">
        <f t="shared" si="143"/>
        <v>0.10899334540076525</v>
      </c>
      <c r="H743" s="9">
        <f t="shared" si="144"/>
        <v>-69.977304397244524</v>
      </c>
      <c r="I743" s="8">
        <f t="shared" si="149"/>
        <v>8772.1975217393865</v>
      </c>
      <c r="J743" s="9">
        <f t="shared" si="150"/>
        <v>-70.007886044443069</v>
      </c>
      <c r="K743" s="9">
        <f t="shared" si="151"/>
        <v>-69.977304397244524</v>
      </c>
      <c r="L743" s="8">
        <f t="shared" si="145"/>
        <v>8752.5995950775505</v>
      </c>
      <c r="N743" s="16">
        <f t="shared" si="152"/>
        <v>4.7651192870043637</v>
      </c>
    </row>
    <row r="744" spans="2:14" x14ac:dyDescent="0.25">
      <c r="B744" s="7">
        <f t="shared" si="146"/>
        <v>207.20000000000076</v>
      </c>
      <c r="C744" s="9">
        <f t="shared" si="148"/>
        <v>-69.977304397244524</v>
      </c>
      <c r="D744" s="10">
        <f t="shared" si="147"/>
        <v>0.10899371211075171</v>
      </c>
      <c r="E744" s="10">
        <f t="shared" si="141"/>
        <v>0.10876318485173056</v>
      </c>
      <c r="F744" s="10">
        <f t="shared" si="142"/>
        <v>0.10877233694063698</v>
      </c>
      <c r="G744" s="10">
        <f t="shared" si="143"/>
        <v>0.10854162822913602</v>
      </c>
      <c r="H744" s="9">
        <f t="shared" si="144"/>
        <v>-69.946849432661381</v>
      </c>
      <c r="I744" s="8">
        <f t="shared" si="149"/>
        <v>8752.5995950775505</v>
      </c>
      <c r="J744" s="9">
        <f t="shared" si="150"/>
        <v>-69.977304397244524</v>
      </c>
      <c r="K744" s="9">
        <f t="shared" si="151"/>
        <v>-69.946849432661381</v>
      </c>
      <c r="L744" s="8">
        <f t="shared" si="145"/>
        <v>8733.0102135413636</v>
      </c>
      <c r="N744" s="16">
        <f t="shared" si="152"/>
        <v>4.7690672447124278</v>
      </c>
    </row>
    <row r="745" spans="2:14" x14ac:dyDescent="0.25">
      <c r="B745" s="7">
        <f t="shared" si="146"/>
        <v>207.48000000000076</v>
      </c>
      <c r="C745" s="9">
        <f t="shared" si="148"/>
        <v>-69.946849432661381</v>
      </c>
      <c r="D745" s="10">
        <f t="shared" si="147"/>
        <v>0.10854199408334655</v>
      </c>
      <c r="E745" s="10">
        <f t="shared" si="141"/>
        <v>0.10831219620535726</v>
      </c>
      <c r="F745" s="10">
        <f t="shared" si="142"/>
        <v>0.10832132288365796</v>
      </c>
      <c r="G745" s="10">
        <f t="shared" si="143"/>
        <v>0.10809134223536121</v>
      </c>
      <c r="H745" s="9">
        <f t="shared" si="144"/>
        <v>-69.916520748518195</v>
      </c>
      <c r="I745" s="8">
        <f t="shared" si="149"/>
        <v>8733.0102135413636</v>
      </c>
      <c r="J745" s="9">
        <f t="shared" si="150"/>
        <v>-69.946849432661381</v>
      </c>
      <c r="K745" s="9">
        <f t="shared" si="151"/>
        <v>-69.916520748518195</v>
      </c>
      <c r="L745" s="8">
        <f t="shared" si="145"/>
        <v>8713.4293417159988</v>
      </c>
      <c r="N745" s="16">
        <f t="shared" si="152"/>
        <v>4.7730036911816018</v>
      </c>
    </row>
    <row r="746" spans="2:14" x14ac:dyDescent="0.25">
      <c r="B746" s="7">
        <f t="shared" si="146"/>
        <v>207.76000000000076</v>
      </c>
      <c r="C746" s="9">
        <f t="shared" si="148"/>
        <v>-69.916520748518195</v>
      </c>
      <c r="D746" s="10">
        <f t="shared" si="147"/>
        <v>0.1080917072393118</v>
      </c>
      <c r="E746" s="10">
        <f t="shared" si="141"/>
        <v>0.10786263352057078</v>
      </c>
      <c r="F746" s="10">
        <f t="shared" si="142"/>
        <v>0.10787173496119276</v>
      </c>
      <c r="G746" s="10">
        <f t="shared" si="143"/>
        <v>0.1076424771639512</v>
      </c>
      <c r="H746" s="9">
        <f t="shared" si="144"/>
        <v>-69.886317945521071</v>
      </c>
      <c r="I746" s="8">
        <f t="shared" si="149"/>
        <v>8713.4293417159988</v>
      </c>
      <c r="J746" s="9">
        <f t="shared" si="150"/>
        <v>-69.916520748518195</v>
      </c>
      <c r="K746" s="9">
        <f t="shared" si="151"/>
        <v>-69.886317945521071</v>
      </c>
      <c r="L746" s="8">
        <f t="shared" si="145"/>
        <v>8693.8569442988337</v>
      </c>
      <c r="N746" s="16">
        <f t="shared" si="152"/>
        <v>4.7769286215782163</v>
      </c>
    </row>
    <row r="747" spans="2:14" x14ac:dyDescent="0.25">
      <c r="B747" s="7">
        <f t="shared" si="146"/>
        <v>208.04000000000076</v>
      </c>
      <c r="C747" s="9">
        <f t="shared" si="148"/>
        <v>-69.886317945521071</v>
      </c>
      <c r="D747" s="10">
        <f t="shared" si="147"/>
        <v>0.10764284132314317</v>
      </c>
      <c r="E747" s="10">
        <f t="shared" si="141"/>
        <v>0.10741448657779427</v>
      </c>
      <c r="F747" s="10">
        <f t="shared" si="142"/>
        <v>0.10742356295260327</v>
      </c>
      <c r="G747" s="10">
        <f t="shared" si="143"/>
        <v>0.10719502283007264</v>
      </c>
      <c r="H747" s="9">
        <f t="shared" si="144"/>
        <v>-69.856240627237753</v>
      </c>
      <c r="I747" s="8">
        <f t="shared" si="149"/>
        <v>8693.8569442988337</v>
      </c>
      <c r="J747" s="9">
        <f t="shared" si="150"/>
        <v>-69.886317945521071</v>
      </c>
      <c r="K747" s="9">
        <f t="shared" si="151"/>
        <v>-69.856240627237753</v>
      </c>
      <c r="L747" s="8">
        <f t="shared" si="145"/>
        <v>8674.2929860986478</v>
      </c>
      <c r="N747" s="16">
        <f t="shared" si="152"/>
        <v>4.7808420310341786</v>
      </c>
    </row>
    <row r="748" spans="2:14" x14ac:dyDescent="0.25">
      <c r="B748" s="7">
        <f t="shared" si="146"/>
        <v>208.32000000000076</v>
      </c>
      <c r="C748" s="9">
        <f t="shared" si="148"/>
        <v>-69.856240627237753</v>
      </c>
      <c r="D748" s="10">
        <f t="shared" si="147"/>
        <v>0.10719538614997316</v>
      </c>
      <c r="E748" s="10">
        <f t="shared" si="141"/>
        <v>0.10696774522773944</v>
      </c>
      <c r="F748" s="10">
        <f t="shared" si="142"/>
        <v>0.10697679670754798</v>
      </c>
      <c r="G748" s="10">
        <f t="shared" si="143"/>
        <v>0.10674896911879768</v>
      </c>
      <c r="H748" s="9">
        <f t="shared" si="144"/>
        <v>-69.826288400077914</v>
      </c>
      <c r="I748" s="8">
        <f t="shared" si="149"/>
        <v>8674.2929860986478</v>
      </c>
      <c r="J748" s="9">
        <f t="shared" si="150"/>
        <v>-69.856240627237753</v>
      </c>
      <c r="K748" s="9">
        <f t="shared" si="151"/>
        <v>-69.826288400077914</v>
      </c>
      <c r="L748" s="8">
        <f t="shared" si="145"/>
        <v>8654.7374320348245</v>
      </c>
      <c r="N748" s="16">
        <f t="shared" si="152"/>
        <v>4.7847439146469686</v>
      </c>
    </row>
    <row r="749" spans="2:14" x14ac:dyDescent="0.25">
      <c r="B749" s="7">
        <f t="shared" si="146"/>
        <v>208.60000000000076</v>
      </c>
      <c r="C749" s="9">
        <f t="shared" si="148"/>
        <v>-69.826288400077914</v>
      </c>
      <c r="D749" s="10">
        <f t="shared" si="147"/>
        <v>0.10674933160484733</v>
      </c>
      <c r="E749" s="10">
        <f t="shared" si="141"/>
        <v>0.10652239939065608</v>
      </c>
      <c r="F749" s="10">
        <f t="shared" si="142"/>
        <v>0.1065314261452258</v>
      </c>
      <c r="G749" s="10">
        <f t="shared" si="143"/>
        <v>0.10630430598441769</v>
      </c>
      <c r="H749" s="9">
        <f t="shared" si="144"/>
        <v>-69.79646087327373</v>
      </c>
      <c r="I749" s="8">
        <f t="shared" si="149"/>
        <v>8654.7374320348245</v>
      </c>
      <c r="J749" s="9">
        <f t="shared" si="150"/>
        <v>-69.826288400077914</v>
      </c>
      <c r="K749" s="9">
        <f t="shared" si="151"/>
        <v>-69.79646087327373</v>
      </c>
      <c r="L749" s="8">
        <f t="shared" si="145"/>
        <v>8635.1902471365556</v>
      </c>
      <c r="N749" s="16">
        <f t="shared" si="152"/>
        <v>4.7886342674796438</v>
      </c>
    </row>
    <row r="750" spans="2:14" x14ac:dyDescent="0.25">
      <c r="B750" s="7">
        <f t="shared" si="146"/>
        <v>208.88000000000076</v>
      </c>
      <c r="C750" s="9">
        <f t="shared" si="148"/>
        <v>-69.79646087327373</v>
      </c>
      <c r="D750" s="10">
        <f t="shared" si="147"/>
        <v>0.10630466764202293</v>
      </c>
      <c r="E750" s="10">
        <f t="shared" si="141"/>
        <v>0.10607843905564728</v>
      </c>
      <c r="F750" s="10">
        <f t="shared" si="142"/>
        <v>0.10608744125371505</v>
      </c>
      <c r="G750" s="10">
        <f t="shared" si="143"/>
        <v>0.10586102344971073</v>
      </c>
      <c r="H750" s="9">
        <f t="shared" si="144"/>
        <v>-69.76675765886057</v>
      </c>
      <c r="I750" s="8">
        <f t="shared" si="149"/>
        <v>8635.1902471365556</v>
      </c>
      <c r="J750" s="9">
        <f t="shared" si="150"/>
        <v>-69.79646087327373</v>
      </c>
      <c r="K750" s="9">
        <f t="shared" si="151"/>
        <v>-69.76675765886057</v>
      </c>
      <c r="L750" s="8">
        <f t="shared" si="145"/>
        <v>8615.6513965420563</v>
      </c>
      <c r="N750" s="16">
        <f t="shared" si="152"/>
        <v>4.7925130845608397</v>
      </c>
    </row>
    <row r="751" spans="2:14" x14ac:dyDescent="0.25">
      <c r="B751" s="7">
        <f t="shared" si="146"/>
        <v>209.16000000000076</v>
      </c>
      <c r="C751" s="9">
        <f t="shared" si="148"/>
        <v>-69.76675765886057</v>
      </c>
      <c r="D751" s="10">
        <f t="shared" si="147"/>
        <v>0.1058613842842567</v>
      </c>
      <c r="E751" s="10">
        <f t="shared" si="141"/>
        <v>0.10563585427996283</v>
      </c>
      <c r="F751" s="10">
        <f t="shared" si="142"/>
        <v>0.10564483208923288</v>
      </c>
      <c r="G751" s="10">
        <f t="shared" si="143"/>
        <v>0.10541911160526264</v>
      </c>
      <c r="H751" s="9">
        <f t="shared" si="144"/>
        <v>-69.737178371657933</v>
      </c>
      <c r="I751" s="8">
        <f t="shared" si="149"/>
        <v>8615.6513965420563</v>
      </c>
      <c r="J751" s="9">
        <f t="shared" si="150"/>
        <v>-69.76675765886057</v>
      </c>
      <c r="K751" s="9">
        <f t="shared" si="151"/>
        <v>-69.737178371657933</v>
      </c>
      <c r="L751" s="8">
        <f t="shared" si="145"/>
        <v>8596.1208454977841</v>
      </c>
      <c r="N751" s="16">
        <f t="shared" si="152"/>
        <v>4.796380360884771</v>
      </c>
    </row>
    <row r="752" spans="2:14" x14ac:dyDescent="0.25">
      <c r="B752" s="7">
        <f t="shared" si="146"/>
        <v>209.44000000000077</v>
      </c>
      <c r="C752" s="9">
        <f t="shared" si="148"/>
        <v>-69.737178371657933</v>
      </c>
      <c r="D752" s="10">
        <f t="shared" si="147"/>
        <v>0.10541947162210237</v>
      </c>
      <c r="E752" s="10">
        <f t="shared" si="141"/>
        <v>0.10519463518830093</v>
      </c>
      <c r="F752" s="10">
        <f t="shared" si="142"/>
        <v>0.10520358877546705</v>
      </c>
      <c r="G752" s="10">
        <f t="shared" si="143"/>
        <v>0.10497856060876305</v>
      </c>
      <c r="H752" s="9">
        <f t="shared" si="144"/>
        <v>-69.70772262925054</v>
      </c>
      <c r="I752" s="8">
        <f t="shared" si="149"/>
        <v>8596.1208454977841</v>
      </c>
      <c r="J752" s="9">
        <f t="shared" si="150"/>
        <v>-69.737178371657933</v>
      </c>
      <c r="K752" s="9">
        <f t="shared" si="151"/>
        <v>-69.70772262925054</v>
      </c>
      <c r="L752" s="8">
        <f t="shared" si="145"/>
        <v>8576.598559357657</v>
      </c>
      <c r="N752" s="16">
        <f t="shared" si="152"/>
        <v>4.8002360914112261</v>
      </c>
    </row>
    <row r="753" spans="2:14" x14ac:dyDescent="0.25">
      <c r="B753" s="7">
        <f t="shared" si="146"/>
        <v>209.72000000000077</v>
      </c>
      <c r="C753" s="9">
        <f t="shared" si="148"/>
        <v>-69.70772262925054</v>
      </c>
      <c r="D753" s="10">
        <f t="shared" si="147"/>
        <v>0.10497891981323204</v>
      </c>
      <c r="E753" s="10">
        <f t="shared" si="141"/>
        <v>0.10475477197212436</v>
      </c>
      <c r="F753" s="10">
        <f t="shared" si="142"/>
        <v>0.10476370150287859</v>
      </c>
      <c r="G753" s="10">
        <f t="shared" si="143"/>
        <v>0.10453936068433972</v>
      </c>
      <c r="H753" s="9">
        <f t="shared" si="144"/>
        <v>-69.678390051969657</v>
      </c>
      <c r="I753" s="8">
        <f t="shared" si="149"/>
        <v>8576.598559357657</v>
      </c>
      <c r="J753" s="9">
        <f t="shared" si="150"/>
        <v>-69.70772262925054</v>
      </c>
      <c r="K753" s="9">
        <f t="shared" si="151"/>
        <v>-69.678390051969657</v>
      </c>
      <c r="L753" s="8">
        <f t="shared" si="145"/>
        <v>8557.0845035822858</v>
      </c>
      <c r="N753" s="16">
        <f t="shared" si="152"/>
        <v>4.8040802710655743</v>
      </c>
    </row>
    <row r="754" spans="2:14" x14ac:dyDescent="0.25">
      <c r="B754" s="7">
        <f t="shared" si="146"/>
        <v>210.00000000000077</v>
      </c>
      <c r="C754" s="9">
        <f t="shared" si="148"/>
        <v>-69.678390051969657</v>
      </c>
      <c r="D754" s="10">
        <f t="shared" si="147"/>
        <v>0.10453971908173486</v>
      </c>
      <c r="E754" s="10">
        <f t="shared" si="141"/>
        <v>0.10431625488897962</v>
      </c>
      <c r="F754" s="10">
        <f t="shared" si="142"/>
        <v>0.1043251605280085</v>
      </c>
      <c r="G754" s="10">
        <f t="shared" si="143"/>
        <v>0.1041015021218604</v>
      </c>
      <c r="H754" s="9">
        <f t="shared" si="144"/>
        <v>-69.649180262874566</v>
      </c>
      <c r="I754" s="8">
        <f t="shared" si="149"/>
        <v>8557.0845035822858</v>
      </c>
      <c r="J754" s="9">
        <f t="shared" si="150"/>
        <v>-69.678390051969657</v>
      </c>
      <c r="K754" s="9">
        <f t="shared" si="151"/>
        <v>-69.649180262874566</v>
      </c>
      <c r="L754" s="8">
        <f t="shared" si="145"/>
        <v>8537.5786437382085</v>
      </c>
      <c r="N754" s="16">
        <f t="shared" si="152"/>
        <v>4.8079128947387524</v>
      </c>
    </row>
    <row r="755" spans="2:14" x14ac:dyDescent="0.25">
      <c r="B755" s="7">
        <f t="shared" si="146"/>
        <v>210.28000000000077</v>
      </c>
      <c r="C755" s="9">
        <f t="shared" si="148"/>
        <v>-69.649180262874566</v>
      </c>
      <c r="D755" s="10">
        <f t="shared" si="147"/>
        <v>0.10410185971745531</v>
      </c>
      <c r="E755" s="10">
        <f t="shared" si="141"/>
        <v>0.10387907426180876</v>
      </c>
      <c r="F755" s="10">
        <f t="shared" si="142"/>
        <v>0.10388795617283558</v>
      </c>
      <c r="G755" s="10">
        <f t="shared" si="143"/>
        <v>0.10366497527627211</v>
      </c>
      <c r="H755" s="9">
        <f t="shared" si="144"/>
        <v>-69.620092887734288</v>
      </c>
      <c r="I755" s="8">
        <f t="shared" si="149"/>
        <v>8537.5786437382085</v>
      </c>
      <c r="J755" s="9">
        <f t="shared" si="150"/>
        <v>-69.649180262874566</v>
      </c>
      <c r="K755" s="9">
        <f t="shared" si="151"/>
        <v>-69.620092887734288</v>
      </c>
      <c r="L755" s="8">
        <f t="shared" si="145"/>
        <v>8518.080945497124</v>
      </c>
      <c r="N755" s="16">
        <f t="shared" si="152"/>
        <v>4.811733957287271</v>
      </c>
    </row>
    <row r="756" spans="2:14" x14ac:dyDescent="0.25">
      <c r="B756" s="7">
        <f t="shared" si="146"/>
        <v>210.56000000000077</v>
      </c>
      <c r="C756" s="9">
        <f t="shared" si="148"/>
        <v>-69.620092887734288</v>
      </c>
      <c r="D756" s="10">
        <f t="shared" si="147"/>
        <v>0.10366533207532108</v>
      </c>
      <c r="E756" s="10">
        <f t="shared" si="141"/>
        <v>0.10344322047832245</v>
      </c>
      <c r="F756" s="10">
        <f t="shared" si="142"/>
        <v>0.10345207882408007</v>
      </c>
      <c r="G756" s="10">
        <f t="shared" si="143"/>
        <v>0.10322977056695741</v>
      </c>
      <c r="H756" s="9">
        <f t="shared" si="144"/>
        <v>-69.591127555009422</v>
      </c>
      <c r="I756" s="8">
        <f t="shared" si="149"/>
        <v>8518.080945497124</v>
      </c>
      <c r="J756" s="9">
        <f t="shared" si="150"/>
        <v>-69.620092887734288</v>
      </c>
      <c r="K756" s="9">
        <f t="shared" si="151"/>
        <v>-69.591127555009422</v>
      </c>
      <c r="L756" s="8">
        <f t="shared" si="145"/>
        <v>8498.5913746351398</v>
      </c>
      <c r="N756" s="16">
        <f t="shared" si="152"/>
        <v>4.8155434535332038</v>
      </c>
    </row>
    <row r="757" spans="2:14" x14ac:dyDescent="0.25">
      <c r="B757" s="7">
        <f t="shared" si="146"/>
        <v>210.84000000000077</v>
      </c>
      <c r="C757" s="9">
        <f t="shared" si="148"/>
        <v>-69.591127555009422</v>
      </c>
      <c r="D757" s="10">
        <f t="shared" si="147"/>
        <v>0.10323012657467764</v>
      </c>
      <c r="E757" s="10">
        <f t="shared" si="141"/>
        <v>0.10300868399030275</v>
      </c>
      <c r="F757" s="10">
        <f t="shared" si="142"/>
        <v>0.10301751893256191</v>
      </c>
      <c r="G757" s="10">
        <f t="shared" si="143"/>
        <v>0.1027958784770452</v>
      </c>
      <c r="H757" s="9">
        <f t="shared" si="144"/>
        <v>-69.562283895834213</v>
      </c>
      <c r="I757" s="8">
        <f t="shared" si="149"/>
        <v>8498.5913746351398</v>
      </c>
      <c r="J757" s="9">
        <f t="shared" si="150"/>
        <v>-69.591127555009422</v>
      </c>
      <c r="K757" s="9">
        <f t="shared" si="151"/>
        <v>-69.562283895834213</v>
      </c>
      <c r="L757" s="8">
        <f t="shared" si="145"/>
        <v>8479.1098970320218</v>
      </c>
      <c r="N757" s="16">
        <f t="shared" si="152"/>
        <v>4.8193413782641841</v>
      </c>
    </row>
    <row r="758" spans="2:14" x14ac:dyDescent="0.25">
      <c r="B758" s="7">
        <f t="shared" si="146"/>
        <v>211.12000000000077</v>
      </c>
      <c r="C758" s="9">
        <f t="shared" si="148"/>
        <v>-69.562283895834213</v>
      </c>
      <c r="D758" s="10">
        <f t="shared" si="147"/>
        <v>0.10279623369864017</v>
      </c>
      <c r="E758" s="10">
        <f t="shared" si="141"/>
        <v>0.10257545531298115</v>
      </c>
      <c r="F758" s="10">
        <f t="shared" si="142"/>
        <v>0.10258426701255685</v>
      </c>
      <c r="G758" s="10">
        <f t="shared" si="143"/>
        <v>0.10236328955279413</v>
      </c>
      <c r="H758" s="9">
        <f t="shared" si="144"/>
        <v>-69.533561543998758</v>
      </c>
      <c r="I758" s="8">
        <f t="shared" si="149"/>
        <v>8479.1098970320218</v>
      </c>
      <c r="J758" s="9">
        <f t="shared" si="150"/>
        <v>-69.562283895834213</v>
      </c>
      <c r="K758" s="9">
        <f t="shared" si="151"/>
        <v>-69.533561543998758</v>
      </c>
      <c r="L758" s="8">
        <f t="shared" si="145"/>
        <v>8459.6364786704453</v>
      </c>
      <c r="N758" s="16">
        <f t="shared" si="152"/>
        <v>4.8231277262334009</v>
      </c>
    </row>
    <row r="759" spans="2:14" x14ac:dyDescent="0.25">
      <c r="B759" s="7">
        <f t="shared" si="146"/>
        <v>211.40000000000077</v>
      </c>
      <c r="C759" s="9">
        <f t="shared" si="148"/>
        <v>-69.533561543998758</v>
      </c>
      <c r="D759" s="10">
        <f t="shared" si="147"/>
        <v>0.10236364399343005</v>
      </c>
      <c r="E759" s="10">
        <f t="shared" si="141"/>
        <v>0.10214352502435481</v>
      </c>
      <c r="F759" s="10">
        <f t="shared" si="142"/>
        <v>0.10215231364112337</v>
      </c>
      <c r="G759" s="10">
        <f t="shared" si="143"/>
        <v>0.10193199440293307</v>
      </c>
      <c r="H759" s="9">
        <f t="shared" si="144"/>
        <v>-69.504960135931483</v>
      </c>
      <c r="I759" s="8">
        <f t="shared" si="149"/>
        <v>8459.6364786704453</v>
      </c>
      <c r="J759" s="9">
        <f t="shared" si="150"/>
        <v>-69.533561543998758</v>
      </c>
      <c r="K759" s="9">
        <f t="shared" si="151"/>
        <v>-69.504960135931483</v>
      </c>
      <c r="L759" s="8">
        <f t="shared" si="145"/>
        <v>8440.1710856352547</v>
      </c>
      <c r="N759" s="16">
        <f t="shared" si="152"/>
        <v>4.8269024921595882</v>
      </c>
    </row>
    <row r="760" spans="2:14" x14ac:dyDescent="0.25">
      <c r="B760" s="7">
        <f t="shared" si="146"/>
        <v>211.68000000000077</v>
      </c>
      <c r="C760" s="9">
        <f t="shared" si="148"/>
        <v>-69.504960135931483</v>
      </c>
      <c r="D760" s="10">
        <f t="shared" si="147"/>
        <v>0.10193234806775635</v>
      </c>
      <c r="E760" s="10">
        <f t="shared" si="141"/>
        <v>0.10171288376460111</v>
      </c>
      <c r="F760" s="10">
        <f t="shared" si="142"/>
        <v>0.10172164945749265</v>
      </c>
      <c r="G760" s="10">
        <f t="shared" si="143"/>
        <v>0.10150198369803455</v>
      </c>
      <c r="H760" s="9">
        <f t="shared" si="144"/>
        <v>-69.476479310681682</v>
      </c>
      <c r="I760" s="8">
        <f t="shared" si="149"/>
        <v>8440.1710856352547</v>
      </c>
      <c r="J760" s="9">
        <f t="shared" si="150"/>
        <v>-69.504960135931483</v>
      </c>
      <c r="K760" s="9">
        <f t="shared" si="151"/>
        <v>-69.476479310681682</v>
      </c>
      <c r="L760" s="8">
        <f t="shared" si="145"/>
        <v>8420.7136841127285</v>
      </c>
      <c r="N760" s="16">
        <f t="shared" si="152"/>
        <v>4.8306656707270195</v>
      </c>
    </row>
    <row r="761" spans="2:14" x14ac:dyDescent="0.25">
      <c r="B761" s="7">
        <f t="shared" si="146"/>
        <v>211.96000000000078</v>
      </c>
      <c r="C761" s="9">
        <f t="shared" si="148"/>
        <v>-69.476479310681682</v>
      </c>
      <c r="D761" s="10">
        <f t="shared" si="147"/>
        <v>0.10150233659216762</v>
      </c>
      <c r="E761" s="10">
        <f t="shared" si="141"/>
        <v>0.10128352223540424</v>
      </c>
      <c r="F761" s="10">
        <f t="shared" si="142"/>
        <v>0.10129226516243704</v>
      </c>
      <c r="G761" s="10">
        <f t="shared" si="143"/>
        <v>0.10107324816988243</v>
      </c>
      <c r="H761" s="9">
        <f t="shared" si="144"/>
        <v>-69.448118709902317</v>
      </c>
      <c r="I761" s="8">
        <f t="shared" si="149"/>
        <v>8420.7136841127285</v>
      </c>
      <c r="J761" s="9">
        <f t="shared" si="150"/>
        <v>-69.476479310681682</v>
      </c>
      <c r="K761" s="9">
        <f t="shared" si="151"/>
        <v>-69.448118709902317</v>
      </c>
      <c r="L761" s="8">
        <f t="shared" si="145"/>
        <v>8401.2642403898462</v>
      </c>
      <c r="N761" s="16">
        <f t="shared" si="152"/>
        <v>4.8344172565855006</v>
      </c>
    </row>
    <row r="762" spans="2:14" x14ac:dyDescent="0.25">
      <c r="B762" s="7">
        <f t="shared" si="146"/>
        <v>212.24000000000078</v>
      </c>
      <c r="C762" s="9">
        <f t="shared" si="148"/>
        <v>-69.448118709902317</v>
      </c>
      <c r="D762" s="10">
        <f t="shared" si="147"/>
        <v>0.10107360029842229</v>
      </c>
      <c r="E762" s="10">
        <f t="shared" si="141"/>
        <v>0.10085543119936127</v>
      </c>
      <c r="F762" s="10">
        <f t="shared" si="142"/>
        <v>0.10086415151761667</v>
      </c>
      <c r="G762" s="10">
        <f t="shared" si="143"/>
        <v>0.10064577861086087</v>
      </c>
      <c r="H762" s="9">
        <f t="shared" si="144"/>
        <v>-69.419877977832968</v>
      </c>
      <c r="I762" s="8">
        <f t="shared" si="149"/>
        <v>8401.2642403898462</v>
      </c>
      <c r="J762" s="9">
        <f t="shared" si="150"/>
        <v>-69.448118709902317</v>
      </c>
      <c r="K762" s="9">
        <f t="shared" si="151"/>
        <v>-69.419877977832968</v>
      </c>
      <c r="L762" s="8">
        <f t="shared" si="145"/>
        <v>8381.8227208535627</v>
      </c>
      <c r="N762" s="16">
        <f t="shared" si="152"/>
        <v>4.8381572443503549</v>
      </c>
    </row>
    <row r="763" spans="2:14" x14ac:dyDescent="0.25">
      <c r="B763" s="7">
        <f t="shared" si="146"/>
        <v>212.52000000000078</v>
      </c>
      <c r="C763" s="9">
        <f t="shared" si="148"/>
        <v>-69.419877977832968</v>
      </c>
      <c r="D763" s="10">
        <f t="shared" si="147"/>
        <v>0.10064612997887626</v>
      </c>
      <c r="E763" s="10">
        <f t="shared" si="141"/>
        <v>0.10042860147933452</v>
      </c>
      <c r="F763" s="10">
        <f t="shared" si="142"/>
        <v>0.1004372993449959</v>
      </c>
      <c r="G763" s="10">
        <f t="shared" si="143"/>
        <v>0.10021956587332505</v>
      </c>
      <c r="H763" s="9">
        <f t="shared" si="144"/>
        <v>-69.391756761282934</v>
      </c>
      <c r="I763" s="8">
        <f t="shared" si="149"/>
        <v>8381.8227208535627</v>
      </c>
      <c r="J763" s="9">
        <f t="shared" si="150"/>
        <v>-69.419877977832968</v>
      </c>
      <c r="K763" s="9">
        <f t="shared" si="151"/>
        <v>-69.391756761282934</v>
      </c>
      <c r="L763" s="8">
        <f t="shared" si="145"/>
        <v>8362.3890919900859</v>
      </c>
      <c r="N763" s="16">
        <f t="shared" si="152"/>
        <v>4.8418856286024168</v>
      </c>
    </row>
    <row r="764" spans="2:14" x14ac:dyDescent="0.25">
      <c r="B764" s="7">
        <f t="shared" si="146"/>
        <v>212.80000000000078</v>
      </c>
      <c r="C764" s="9">
        <f t="shared" si="148"/>
        <v>-69.391756761282934</v>
      </c>
      <c r="D764" s="10">
        <f t="shared" si="147"/>
        <v>0.10021991648586678</v>
      </c>
      <c r="E764" s="10">
        <f t="shared" si="141"/>
        <v>0.10000302395786999</v>
      </c>
      <c r="F764" s="10">
        <f t="shared" si="142"/>
        <v>0.10001169952621755</v>
      </c>
      <c r="G764" s="10">
        <f t="shared" si="143"/>
        <v>9.9794600869007349E-2</v>
      </c>
      <c r="H764" s="9">
        <f t="shared" si="144"/>
        <v>-69.363754709614525</v>
      </c>
      <c r="I764" s="8">
        <f t="shared" si="149"/>
        <v>8362.3890919900859</v>
      </c>
      <c r="J764" s="9">
        <f t="shared" si="150"/>
        <v>-69.391756761282934</v>
      </c>
      <c r="K764" s="9">
        <f t="shared" si="151"/>
        <v>-69.363754709614525</v>
      </c>
      <c r="L764" s="8">
        <f t="shared" si="145"/>
        <v>8342.9633203841604</v>
      </c>
      <c r="N764" s="16">
        <f t="shared" si="152"/>
        <v>4.8456024038880221</v>
      </c>
    </row>
    <row r="765" spans="2:14" x14ac:dyDescent="0.25">
      <c r="B765" s="7">
        <f t="shared" si="146"/>
        <v>213.08000000000078</v>
      </c>
      <c r="C765" s="9">
        <f t="shared" si="148"/>
        <v>-69.363754709614525</v>
      </c>
      <c r="D765" s="10">
        <f t="shared" si="147"/>
        <v>9.9794950731091875E-2</v>
      </c>
      <c r="E765" s="10">
        <f t="shared" si="141"/>
        <v>9.9578689576559798E-2</v>
      </c>
      <c r="F765" s="10">
        <f t="shared" si="142"/>
        <v>9.9587343001991235E-2</v>
      </c>
      <c r="G765" s="10">
        <f t="shared" si="143"/>
        <v>9.9370874568398521E-2</v>
      </c>
      <c r="H765" s="9">
        <f t="shared" si="144"/>
        <v>-69.335871474726545</v>
      </c>
      <c r="I765" s="8">
        <f t="shared" si="149"/>
        <v>8342.9633203841604</v>
      </c>
      <c r="J765" s="9">
        <f t="shared" si="150"/>
        <v>-69.363754709614525</v>
      </c>
      <c r="K765" s="9">
        <f t="shared" si="151"/>
        <v>-69.335871474726545</v>
      </c>
      <c r="L765" s="8">
        <f t="shared" si="145"/>
        <v>8323.5453727183522</v>
      </c>
      <c r="N765" s="16">
        <f t="shared" si="152"/>
        <v>4.8493075647189903</v>
      </c>
    </row>
    <row r="766" spans="2:14" x14ac:dyDescent="0.25">
      <c r="B766" s="7">
        <f t="shared" si="146"/>
        <v>213.36000000000078</v>
      </c>
      <c r="C766" s="9">
        <f t="shared" si="148"/>
        <v>-69.335871474726545</v>
      </c>
      <c r="D766" s="10">
        <f t="shared" si="147"/>
        <v>9.9371223685028195E-2</v>
      </c>
      <c r="E766" s="10">
        <f t="shared" si="141"/>
        <v>9.9155589335481395E-2</v>
      </c>
      <c r="F766" s="10">
        <f t="shared" si="142"/>
        <v>9.9164220771498598E-2</v>
      </c>
      <c r="G766" s="10">
        <f t="shared" si="143"/>
        <v>9.8948378000170992E-2</v>
      </c>
      <c r="H766" s="9">
        <f t="shared" si="144"/>
        <v>-69.308106711037922</v>
      </c>
      <c r="I766" s="8">
        <f t="shared" si="149"/>
        <v>8323.5453727183522</v>
      </c>
      <c r="J766" s="9">
        <f t="shared" si="150"/>
        <v>-69.335871474726545</v>
      </c>
      <c r="K766" s="9">
        <f t="shared" si="151"/>
        <v>-69.308106711037922</v>
      </c>
      <c r="L766" s="8">
        <f t="shared" si="145"/>
        <v>8304.135215772345</v>
      </c>
      <c r="N766" s="16">
        <f t="shared" si="152"/>
        <v>4.8530011055726172</v>
      </c>
    </row>
    <row r="767" spans="2:14" x14ac:dyDescent="0.25">
      <c r="B767" s="7">
        <f t="shared" si="146"/>
        <v>213.64000000000078</v>
      </c>
      <c r="C767" s="9">
        <f t="shared" si="148"/>
        <v>-69.308106711037922</v>
      </c>
      <c r="D767" s="10">
        <f t="shared" si="147"/>
        <v>9.8948726376325832E-2</v>
      </c>
      <c r="E767" s="10">
        <f t="shared" si="141"/>
        <v>9.8733714292582153E-2</v>
      </c>
      <c r="F767" s="10">
        <f t="shared" si="142"/>
        <v>9.8742323891820888E-2</v>
      </c>
      <c r="G767" s="10">
        <f t="shared" si="143"/>
        <v>9.8527102250583518E-2</v>
      </c>
      <c r="H767" s="9">
        <f t="shared" si="144"/>
        <v>-69.280460075471453</v>
      </c>
      <c r="I767" s="8">
        <f t="shared" si="149"/>
        <v>8304.135215772345</v>
      </c>
      <c r="J767" s="9">
        <f t="shared" si="150"/>
        <v>-69.308106711037922</v>
      </c>
      <c r="K767" s="9">
        <f t="shared" si="151"/>
        <v>-69.280460075471453</v>
      </c>
      <c r="L767" s="8">
        <f t="shared" si="145"/>
        <v>8284.7328164222345</v>
      </c>
      <c r="N767" s="16">
        <f t="shared" si="152"/>
        <v>4.8566830208916567</v>
      </c>
    </row>
    <row r="768" spans="2:14" x14ac:dyDescent="0.25">
      <c r="B768" s="7">
        <f t="shared" si="146"/>
        <v>213.92000000000078</v>
      </c>
      <c r="C768" s="9">
        <f t="shared" si="148"/>
        <v>-69.280460075471453</v>
      </c>
      <c r="D768" s="10">
        <f t="shared" si="147"/>
        <v>9.8527449891208888E-2</v>
      </c>
      <c r="E768" s="10">
        <f t="shared" si="141"/>
        <v>9.8313055563081356E-2</v>
      </c>
      <c r="F768" s="10">
        <f t="shared" si="142"/>
        <v>9.8321643477313481E-2</v>
      </c>
      <c r="G768" s="10">
        <f t="shared" si="143"/>
        <v>9.8107038462883489E-2</v>
      </c>
      <c r="H768" s="9">
        <f t="shared" si="144"/>
        <v>-69.252931227437827</v>
      </c>
      <c r="I768" s="8">
        <f t="shared" si="149"/>
        <v>8284.7328164222345</v>
      </c>
      <c r="J768" s="9">
        <f t="shared" si="150"/>
        <v>-69.280460075471453</v>
      </c>
      <c r="K768" s="9">
        <f t="shared" si="151"/>
        <v>-69.252931227437827</v>
      </c>
      <c r="L768" s="8">
        <f t="shared" si="145"/>
        <v>8265.3381416398279</v>
      </c>
      <c r="N768" s="16">
        <f t="shared" si="152"/>
        <v>4.860353305084308</v>
      </c>
    </row>
    <row r="769" spans="2:14" x14ac:dyDescent="0.25">
      <c r="B769" s="7">
        <f t="shared" si="146"/>
        <v>214.20000000000078</v>
      </c>
      <c r="C769" s="9">
        <f t="shared" si="148"/>
        <v>-69.252931227437827</v>
      </c>
      <c r="D769" s="10">
        <f t="shared" si="147"/>
        <v>9.8107385372912637E-2</v>
      </c>
      <c r="E769" s="10">
        <f t="shared" si="141"/>
        <v>9.7893604318926311E-2</v>
      </c>
      <c r="F769" s="10">
        <f t="shared" si="142"/>
        <v>9.7902170699064761E-2</v>
      </c>
      <c r="G769" s="10">
        <f t="shared" si="143"/>
        <v>9.7688177836753293E-2</v>
      </c>
      <c r="H769" s="9">
        <f t="shared" si="144"/>
        <v>-69.225519828819699</v>
      </c>
      <c r="I769" s="8">
        <f t="shared" si="149"/>
        <v>8265.3381416398279</v>
      </c>
      <c r="J769" s="9">
        <f t="shared" si="150"/>
        <v>-69.252931227437827</v>
      </c>
      <c r="K769" s="9">
        <f t="shared" si="151"/>
        <v>-69.225519828819699</v>
      </c>
      <c r="L769" s="8">
        <f t="shared" si="145"/>
        <v>8245.951158491951</v>
      </c>
      <c r="N769" s="16">
        <f t="shared" si="152"/>
        <v>4.8640119525242005</v>
      </c>
    </row>
    <row r="770" spans="2:14" x14ac:dyDescent="0.25">
      <c r="B770" s="7">
        <f t="shared" si="146"/>
        <v>214.48000000000079</v>
      </c>
      <c r="C770" s="9">
        <f t="shared" si="148"/>
        <v>-69.225519828819699</v>
      </c>
      <c r="D770" s="10">
        <f t="shared" si="147"/>
        <v>9.7688524021092266E-2</v>
      </c>
      <c r="E770" s="10">
        <f t="shared" si="141"/>
        <v>9.7475351788178288E-2</v>
      </c>
      <c r="F770" s="10">
        <f t="shared" si="142"/>
        <v>9.7483896784296878E-2</v>
      </c>
      <c r="G770" s="10">
        <f t="shared" si="143"/>
        <v>9.7270511627720796E-2</v>
      </c>
      <c r="H770" s="9">
        <f t="shared" si="144"/>
        <v>-69.198225543955985</v>
      </c>
      <c r="I770" s="8">
        <f t="shared" si="149"/>
        <v>8245.951158491951</v>
      </c>
      <c r="J770" s="9">
        <f t="shared" si="150"/>
        <v>-69.225519828819699</v>
      </c>
      <c r="K770" s="9">
        <f t="shared" si="151"/>
        <v>-69.198225543955985</v>
      </c>
      <c r="L770" s="8">
        <f t="shared" si="145"/>
        <v>8226.5718341397624</v>
      </c>
      <c r="N770" s="16">
        <f t="shared" si="152"/>
        <v>4.8676589575503781</v>
      </c>
    </row>
    <row r="771" spans="2:14" x14ac:dyDescent="0.25">
      <c r="B771" s="7">
        <f t="shared" si="146"/>
        <v>214.76000000000079</v>
      </c>
      <c r="C771" s="9">
        <f t="shared" si="148"/>
        <v>-69.198225543955985</v>
      </c>
      <c r="D771" s="10">
        <f t="shared" si="147"/>
        <v>9.7270857091251148E-2</v>
      </c>
      <c r="E771" s="10">
        <f t="shared" si="141"/>
        <v>9.7058289254478153E-2</v>
      </c>
      <c r="F771" s="10">
        <f t="shared" si="142"/>
        <v>9.7066813015795395E-2</v>
      </c>
      <c r="G771" s="10">
        <f t="shared" si="143"/>
        <v>9.6854031146598893E-2</v>
      </c>
      <c r="H771" s="9">
        <f t="shared" si="144"/>
        <v>-69.171048039626328</v>
      </c>
      <c r="I771" s="8">
        <f t="shared" si="149"/>
        <v>8226.5718341397624</v>
      </c>
      <c r="J771" s="9">
        <f t="shared" si="150"/>
        <v>-69.198225543955985</v>
      </c>
      <c r="K771" s="9">
        <f t="shared" si="151"/>
        <v>-69.171048039626328</v>
      </c>
      <c r="L771" s="8">
        <f t="shared" si="145"/>
        <v>8207.2001358380603</v>
      </c>
      <c r="N771" s="16">
        <f t="shared" si="152"/>
        <v>4.8712943144672796</v>
      </c>
    </row>
    <row r="772" spans="2:14" x14ac:dyDescent="0.25">
      <c r="B772" s="7">
        <f t="shared" si="146"/>
        <v>215.04000000000079</v>
      </c>
      <c r="C772" s="9">
        <f t="shared" si="148"/>
        <v>-69.171048039626328</v>
      </c>
      <c r="D772" s="10">
        <f t="shared" si="147"/>
        <v>9.6854375894181569E-2</v>
      </c>
      <c r="E772" s="10">
        <f t="shared" ref="E772:E835" si="153">dvdt($C772+h/2*D772,$I772+(h/2)/2*(2*C772+D772*h/2))</f>
        <v>9.6642408056453688E-2</v>
      </c>
      <c r="F772" s="10">
        <f t="shared" ref="F772:F835" si="154">dvdt($C772+h/2*E772,$I772+(h/2)/2*(2*$C772+E772*h/2))</f>
        <v>9.6650910731373538E-2</v>
      </c>
      <c r="G772" s="10">
        <f t="shared" ref="G772:G835" si="155">dvdt($C772+h*F772,$I772+h/2*(2*$C772+F772*h))</f>
        <v>9.6438727758928755E-2</v>
      </c>
      <c r="H772" s="9">
        <f t="shared" ref="H772:H835" si="156">C772+h/6*(D772+2*E772+2*F772+G772)</f>
        <v>-69.143986985035653</v>
      </c>
      <c r="I772" s="8">
        <f t="shared" si="149"/>
        <v>8207.2001358380603</v>
      </c>
      <c r="J772" s="9">
        <f t="shared" si="150"/>
        <v>-69.171048039626328</v>
      </c>
      <c r="K772" s="9">
        <f t="shared" si="151"/>
        <v>-69.143986985035653</v>
      </c>
      <c r="L772" s="8">
        <f t="shared" ref="L772:L835" si="157">I772+h/2*(J772+K772)</f>
        <v>8187.8360309346081</v>
      </c>
      <c r="N772" s="16">
        <f t="shared" si="152"/>
        <v>4.8749180175447195</v>
      </c>
    </row>
    <row r="773" spans="2:14" x14ac:dyDescent="0.25">
      <c r="B773" s="7">
        <f t="shared" ref="B773:B836" si="158">B772+h</f>
        <v>215.32000000000079</v>
      </c>
      <c r="C773" s="9">
        <f t="shared" si="148"/>
        <v>-69.143986985035653</v>
      </c>
      <c r="D773" s="10">
        <f t="shared" si="147"/>
        <v>9.6439071795401315E-2</v>
      </c>
      <c r="E773" s="10">
        <f t="shared" si="153"/>
        <v>9.6227699587188201E-2</v>
      </c>
      <c r="F773" s="10">
        <f t="shared" si="154"/>
        <v>9.6236181323279379E-2</v>
      </c>
      <c r="G773" s="10">
        <f t="shared" si="155"/>
        <v>9.6024592884420737E-2</v>
      </c>
      <c r="H773" s="9">
        <f t="shared" si="156"/>
        <v>-69.117042051798947</v>
      </c>
      <c r="I773" s="8">
        <f t="shared" si="149"/>
        <v>8187.8360309346081</v>
      </c>
      <c r="J773" s="9">
        <f t="shared" si="150"/>
        <v>-69.143986985035653</v>
      </c>
      <c r="K773" s="9">
        <f t="shared" si="151"/>
        <v>-69.117042051798947</v>
      </c>
      <c r="L773" s="8">
        <f t="shared" si="157"/>
        <v>8168.4794868694516</v>
      </c>
      <c r="N773" s="16">
        <f t="shared" si="152"/>
        <v>4.8785300610178748</v>
      </c>
    </row>
    <row r="774" spans="2:14" x14ac:dyDescent="0.25">
      <c r="B774" s="7">
        <f t="shared" si="158"/>
        <v>215.60000000000079</v>
      </c>
      <c r="C774" s="9">
        <f t="shared" si="148"/>
        <v>-69.117042051798947</v>
      </c>
      <c r="D774" s="10">
        <f t="shared" ref="D774:D837" si="159">dvdt($C774,$I774)</f>
        <v>9.6024936214598205E-2</v>
      </c>
      <c r="E774" s="10">
        <f t="shared" si="153"/>
        <v>9.5814155293644621E-2</v>
      </c>
      <c r="F774" s="10">
        <f t="shared" si="154"/>
        <v>9.5822616237673311E-2</v>
      </c>
      <c r="G774" s="10">
        <f t="shared" si="155"/>
        <v>9.5611617996401332E-2</v>
      </c>
      <c r="H774" s="9">
        <f t="shared" si="156"/>
        <v>-69.09021291392618</v>
      </c>
      <c r="I774" s="8">
        <f t="shared" si="149"/>
        <v>8168.4794868694516</v>
      </c>
      <c r="J774" s="9">
        <f t="shared" si="150"/>
        <v>-69.117042051798947</v>
      </c>
      <c r="K774" s="9">
        <f t="shared" si="151"/>
        <v>-69.09021291392618</v>
      </c>
      <c r="L774" s="8">
        <f t="shared" si="157"/>
        <v>8149.1304711742505</v>
      </c>
      <c r="N774" s="16">
        <f t="shared" si="152"/>
        <v>4.88213043908726</v>
      </c>
    </row>
    <row r="775" spans="2:14" x14ac:dyDescent="0.25">
      <c r="B775" s="7">
        <f t="shared" si="158"/>
        <v>215.88000000000079</v>
      </c>
      <c r="C775" s="9">
        <f t="shared" si="148"/>
        <v>-69.09021291392618</v>
      </c>
      <c r="D775" s="10">
        <f t="shared" si="159"/>
        <v>9.5611960625085535E-2</v>
      </c>
      <c r="E775" s="10">
        <f t="shared" si="153"/>
        <v>9.5401766676154201E-2</v>
      </c>
      <c r="F775" s="10">
        <f t="shared" si="154"/>
        <v>9.5410206974068421E-2</v>
      </c>
      <c r="G775" s="10">
        <f t="shared" si="155"/>
        <v>9.5199794621295783E-2</v>
      </c>
      <c r="H775" s="9">
        <f t="shared" si="156"/>
        <v>-69.063499247807329</v>
      </c>
      <c r="I775" s="8">
        <f t="shared" si="149"/>
        <v>8149.1304711742505</v>
      </c>
      <c r="J775" s="9">
        <f t="shared" si="150"/>
        <v>-69.09021291392618</v>
      </c>
      <c r="K775" s="9">
        <f t="shared" si="151"/>
        <v>-69.063499247807329</v>
      </c>
      <c r="L775" s="8">
        <f t="shared" si="157"/>
        <v>8129.788951471608</v>
      </c>
      <c r="N775" s="16">
        <f t="shared" si="152"/>
        <v>4.8857191459187073</v>
      </c>
    </row>
    <row r="776" spans="2:14" x14ac:dyDescent="0.25">
      <c r="B776" s="7">
        <f t="shared" si="158"/>
        <v>216.16000000000079</v>
      </c>
      <c r="C776" s="9">
        <f t="shared" si="148"/>
        <v>-69.063499247807329</v>
      </c>
      <c r="D776" s="10">
        <f t="shared" si="159"/>
        <v>9.5200136553254933E-2</v>
      </c>
      <c r="E776" s="10">
        <f t="shared" si="153"/>
        <v>9.4990525287828212E-2</v>
      </c>
      <c r="F776" s="10">
        <f t="shared" si="154"/>
        <v>9.4998945084785111E-2</v>
      </c>
      <c r="G776" s="10">
        <f t="shared" si="155"/>
        <v>9.4789114338056549E-2</v>
      </c>
      <c r="H776" s="9">
        <f t="shared" si="156"/>
        <v>-69.036900732197623</v>
      </c>
      <c r="I776" s="8">
        <f t="shared" si="149"/>
        <v>8129.788951471608</v>
      </c>
      <c r="J776" s="9">
        <f t="shared" si="150"/>
        <v>-69.063499247807329</v>
      </c>
      <c r="K776" s="9">
        <f t="shared" si="151"/>
        <v>-69.036900732197623</v>
      </c>
      <c r="L776" s="8">
        <f t="shared" si="157"/>
        <v>8110.4548954744077</v>
      </c>
      <c r="N776" s="16">
        <f t="shared" si="152"/>
        <v>4.8892961756433486</v>
      </c>
    </row>
    <row r="777" spans="2:14" x14ac:dyDescent="0.25">
      <c r="B777" s="7">
        <f t="shared" si="158"/>
        <v>216.44000000000079</v>
      </c>
      <c r="C777" s="9">
        <f t="shared" si="148"/>
        <v>-69.036900732197623</v>
      </c>
      <c r="D777" s="10">
        <f t="shared" si="159"/>
        <v>9.4789455578040083E-2</v>
      </c>
      <c r="E777" s="10">
        <f t="shared" si="153"/>
        <v>9.458042273406457E-2</v>
      </c>
      <c r="F777" s="10">
        <f t="shared" si="154"/>
        <v>9.4588822174430293E-2</v>
      </c>
      <c r="G777" s="10">
        <f t="shared" si="155"/>
        <v>9.4379568777639963E-2</v>
      </c>
      <c r="H777" s="9">
        <f t="shared" si="156"/>
        <v>-69.010417048202896</v>
      </c>
      <c r="I777" s="8">
        <f t="shared" si="149"/>
        <v>8110.4548954744077</v>
      </c>
      <c r="J777" s="9">
        <f t="shared" si="150"/>
        <v>-69.036900732197623</v>
      </c>
      <c r="K777" s="9">
        <f t="shared" si="151"/>
        <v>-69.010417048202896</v>
      </c>
      <c r="L777" s="8">
        <f t="shared" si="157"/>
        <v>8091.1282709851521</v>
      </c>
      <c r="N777" s="16">
        <f t="shared" si="152"/>
        <v>4.8928615223575891</v>
      </c>
    </row>
    <row r="778" spans="2:14" x14ac:dyDescent="0.25">
      <c r="B778" s="7">
        <f t="shared" si="158"/>
        <v>216.72000000000079</v>
      </c>
      <c r="C778" s="9">
        <f t="shared" si="148"/>
        <v>-69.010417048202896</v>
      </c>
      <c r="D778" s="10">
        <f t="shared" si="159"/>
        <v>9.4379909330382109E-2</v>
      </c>
      <c r="E778" s="10">
        <f t="shared" si="153"/>
        <v>9.4171450672005511E-2</v>
      </c>
      <c r="F778" s="10">
        <f t="shared" si="154"/>
        <v>9.417982989935543E-2</v>
      </c>
      <c r="G778" s="10">
        <f t="shared" si="155"/>
        <v>9.397114962250494E-2</v>
      </c>
      <c r="H778" s="9">
        <f t="shared" si="156"/>
        <v>-68.984047879265106</v>
      </c>
      <c r="I778" s="8">
        <f t="shared" si="149"/>
        <v>8091.1282709851521</v>
      </c>
      <c r="J778" s="9">
        <f t="shared" si="150"/>
        <v>-69.010417048202896</v>
      </c>
      <c r="K778" s="9">
        <f t="shared" si="151"/>
        <v>-68.984047879265106</v>
      </c>
      <c r="L778" s="8">
        <f t="shared" si="157"/>
        <v>8071.8090458953066</v>
      </c>
      <c r="N778" s="16">
        <f t="shared" si="152"/>
        <v>4.8964151801230846</v>
      </c>
    </row>
    <row r="779" spans="2:14" x14ac:dyDescent="0.25">
      <c r="B779" s="7">
        <f t="shared" si="158"/>
        <v>217.0000000000008</v>
      </c>
      <c r="C779" s="9">
        <f t="shared" si="148"/>
        <v>-68.984047879265106</v>
      </c>
      <c r="D779" s="10">
        <f t="shared" si="159"/>
        <v>9.3971489492711849E-2</v>
      </c>
      <c r="E779" s="10">
        <f t="shared" si="153"/>
        <v>9.3763600809999473E-2</v>
      </c>
      <c r="F779" s="10">
        <f t="shared" si="154"/>
        <v>9.3771959967144797E-2</v>
      </c>
      <c r="G779" s="10">
        <f t="shared" si="155"/>
        <v>9.3563848606048675E-2</v>
      </c>
      <c r="H779" s="9">
        <f t="shared" si="156"/>
        <v>-68.957792911147962</v>
      </c>
      <c r="I779" s="8">
        <f t="shared" si="149"/>
        <v>8071.8090458953066</v>
      </c>
      <c r="J779" s="9">
        <f t="shared" si="150"/>
        <v>-68.984047879265106</v>
      </c>
      <c r="K779" s="9">
        <f t="shared" si="151"/>
        <v>-68.957792911147962</v>
      </c>
      <c r="L779" s="8">
        <f t="shared" si="157"/>
        <v>8052.4971881846486</v>
      </c>
      <c r="N779" s="16">
        <f t="shared" si="152"/>
        <v>4.8999571429667217</v>
      </c>
    </row>
    <row r="780" spans="2:14" x14ac:dyDescent="0.25">
      <c r="B780" s="7">
        <f t="shared" si="158"/>
        <v>217.2800000000008</v>
      </c>
      <c r="C780" s="9">
        <f t="shared" si="148"/>
        <v>-68.957792911147962</v>
      </c>
      <c r="D780" s="10">
        <f t="shared" si="159"/>
        <v>9.3564187798413384E-2</v>
      </c>
      <c r="E780" s="10">
        <f t="shared" si="153"/>
        <v>9.3356864907098727E-2</v>
      </c>
      <c r="F780" s="10">
        <f t="shared" si="154"/>
        <v>9.3365204136082708E-2</v>
      </c>
      <c r="G780" s="10">
        <f t="shared" si="155"/>
        <v>9.3157657512135089E-2</v>
      </c>
      <c r="H780" s="9">
        <f t="shared" si="156"/>
        <v>-68.931651831922778</v>
      </c>
      <c r="I780" s="8">
        <f t="shared" si="149"/>
        <v>8052.4971881846486</v>
      </c>
      <c r="J780" s="9">
        <f t="shared" si="150"/>
        <v>-68.957792911147962</v>
      </c>
      <c r="K780" s="9">
        <f t="shared" si="151"/>
        <v>-68.931651831922778</v>
      </c>
      <c r="L780" s="8">
        <f t="shared" si="157"/>
        <v>8033.1926659206183</v>
      </c>
      <c r="N780" s="16">
        <f t="shared" si="152"/>
        <v>4.9034874048805888</v>
      </c>
    </row>
    <row r="781" spans="2:14" x14ac:dyDescent="0.25">
      <c r="B781" s="7">
        <f t="shared" si="158"/>
        <v>217.5600000000008</v>
      </c>
      <c r="C781" s="9">
        <f t="shared" si="148"/>
        <v>-68.931651831922778</v>
      </c>
      <c r="D781" s="10">
        <f t="shared" si="159"/>
        <v>9.3157996031321078E-2</v>
      </c>
      <c r="E781" s="10">
        <f t="shared" si="153"/>
        <v>9.2951234772548158E-2</v>
      </c>
      <c r="F781" s="10">
        <f t="shared" si="154"/>
        <v>9.2959554214648327E-2</v>
      </c>
      <c r="G781" s="10">
        <f t="shared" si="155"/>
        <v>9.2752568174537739E-2</v>
      </c>
      <c r="H781" s="9">
        <f t="shared" si="156"/>
        <v>-68.905624331954371</v>
      </c>
      <c r="I781" s="8">
        <f t="shared" si="149"/>
        <v>8033.1926659206183</v>
      </c>
      <c r="J781" s="9">
        <f t="shared" si="150"/>
        <v>-68.931651831922778</v>
      </c>
      <c r="K781" s="9">
        <f t="shared" si="151"/>
        <v>-68.905624331954371</v>
      </c>
      <c r="L781" s="8">
        <f t="shared" si="157"/>
        <v>8013.8954472576752</v>
      </c>
      <c r="N781" s="16">
        <f t="shared" si="152"/>
        <v>4.9070059598219515</v>
      </c>
    </row>
    <row r="782" spans="2:14" x14ac:dyDescent="0.25">
      <c r="B782" s="7">
        <f t="shared" si="158"/>
        <v>217.8400000000008</v>
      </c>
      <c r="C782" s="9">
        <f t="shared" si="148"/>
        <v>-68.905624331954371</v>
      </c>
      <c r="D782" s="10">
        <f t="shared" si="159"/>
        <v>9.275290602519469E-2</v>
      </c>
      <c r="E782" s="10">
        <f t="shared" si="153"/>
        <v>9.2546702265246888E-2</v>
      </c>
      <c r="F782" s="10">
        <f t="shared" si="154"/>
        <v>9.2555002060994027E-2</v>
      </c>
      <c r="G782" s="10">
        <f t="shared" si="155"/>
        <v>9.234857247647496E-2</v>
      </c>
      <c r="H782" s="9">
        <f t="shared" si="156"/>
        <v>-68.879710103887177</v>
      </c>
      <c r="I782" s="8">
        <f t="shared" si="149"/>
        <v>8013.8954472576752</v>
      </c>
      <c r="J782" s="9">
        <f t="shared" si="150"/>
        <v>-68.905624331954371</v>
      </c>
      <c r="K782" s="9">
        <f t="shared" si="151"/>
        <v>-68.879710103887177</v>
      </c>
      <c r="L782" s="8">
        <f t="shared" si="157"/>
        <v>7994.6055004366572</v>
      </c>
      <c r="N782" s="16">
        <f t="shared" si="152"/>
        <v>4.9105128017132262</v>
      </c>
    </row>
    <row r="783" spans="2:14" x14ac:dyDescent="0.25">
      <c r="B783" s="7">
        <f t="shared" si="158"/>
        <v>218.1200000000008</v>
      </c>
      <c r="C783" s="9">
        <f t="shared" si="148"/>
        <v>-68.879710103887177</v>
      </c>
      <c r="D783" s="10">
        <f t="shared" si="159"/>
        <v>9.2348909663228729E-2</v>
      </c>
      <c r="E783" s="10">
        <f t="shared" si="153"/>
        <v>9.214325929328325E-2</v>
      </c>
      <c r="F783" s="10">
        <f t="shared" si="154"/>
        <v>9.2151539582463193E-2</v>
      </c>
      <c r="G783" s="10">
        <f t="shared" si="155"/>
        <v>9.1945662350074731E-2</v>
      </c>
      <c r="H783" s="9">
        <f t="shared" si="156"/>
        <v>-68.853908842631483</v>
      </c>
      <c r="I783" s="8">
        <f t="shared" si="149"/>
        <v>7994.6055004366572</v>
      </c>
      <c r="J783" s="9">
        <f t="shared" si="150"/>
        <v>-68.879710103887177</v>
      </c>
      <c r="K783" s="9">
        <f t="shared" si="151"/>
        <v>-68.853908842631483</v>
      </c>
      <c r="L783" s="8">
        <f t="shared" si="157"/>
        <v>7975.3227937841448</v>
      </c>
      <c r="N783" s="16">
        <f t="shared" si="152"/>
        <v>4.9140079244419566</v>
      </c>
    </row>
    <row r="784" spans="2:14" x14ac:dyDescent="0.25">
      <c r="B784" s="7">
        <f t="shared" si="158"/>
        <v>218.4000000000008</v>
      </c>
      <c r="C784" s="9">
        <f t="shared" si="148"/>
        <v>-68.853908842631483</v>
      </c>
      <c r="D784" s="10">
        <f t="shared" si="159"/>
        <v>9.1945998877535379E-2</v>
      </c>
      <c r="E784" s="10">
        <f t="shared" si="153"/>
        <v>9.1740897813415725E-2</v>
      </c>
      <c r="F784" s="10">
        <f t="shared" si="154"/>
        <v>9.17491587350725E-2</v>
      </c>
      <c r="G784" s="10">
        <f t="shared" si="155"/>
        <v>9.1543829775907998E-2</v>
      </c>
      <c r="H784" s="9">
        <f t="shared" si="156"/>
        <v>-68.828220245349797</v>
      </c>
      <c r="I784" s="8">
        <f t="shared" si="149"/>
        <v>7975.3227937841448</v>
      </c>
      <c r="J784" s="9">
        <f t="shared" si="150"/>
        <v>-68.853908842631483</v>
      </c>
      <c r="K784" s="9">
        <f t="shared" si="151"/>
        <v>-68.828220245349797</v>
      </c>
      <c r="L784" s="8">
        <f t="shared" si="157"/>
        <v>7956.0472957118272</v>
      </c>
      <c r="N784" s="16">
        <f t="shared" si="152"/>
        <v>4.9174913218607781</v>
      </c>
    </row>
    <row r="785" spans="2:14" x14ac:dyDescent="0.25">
      <c r="B785" s="7">
        <f t="shared" si="158"/>
        <v>218.6800000000008</v>
      </c>
      <c r="C785" s="9">
        <f t="shared" si="148"/>
        <v>-68.828220245349797</v>
      </c>
      <c r="D785" s="10">
        <f t="shared" si="159"/>
        <v>9.1544165648661593E-2</v>
      </c>
      <c r="E785" s="10">
        <f t="shared" si="153"/>
        <v>9.1339609830573987E-2</v>
      </c>
      <c r="F785" s="10">
        <f t="shared" si="154"/>
        <v>9.1347851523029391E-2</v>
      </c>
      <c r="G785" s="10">
        <f t="shared" si="155"/>
        <v>9.1143066782469112E-2</v>
      </c>
      <c r="H785" s="9">
        <f t="shared" si="156"/>
        <v>-68.802644011443348</v>
      </c>
      <c r="I785" s="8">
        <f t="shared" si="149"/>
        <v>7956.0472957118272</v>
      </c>
      <c r="J785" s="9">
        <f t="shared" si="150"/>
        <v>-68.828220245349797</v>
      </c>
      <c r="K785" s="9">
        <f t="shared" si="151"/>
        <v>-68.802644011443348</v>
      </c>
      <c r="L785" s="8">
        <f t="shared" si="157"/>
        <v>7936.7789747158758</v>
      </c>
      <c r="N785" s="16">
        <f t="shared" si="152"/>
        <v>4.9209629877873962</v>
      </c>
    </row>
    <row r="786" spans="2:14" x14ac:dyDescent="0.25">
      <c r="B786" s="7">
        <f t="shared" si="158"/>
        <v>218.9600000000008</v>
      </c>
      <c r="C786" s="9">
        <f t="shared" si="148"/>
        <v>-68.802644011443348</v>
      </c>
      <c r="D786" s="10">
        <f t="shared" si="159"/>
        <v>9.1143402005088109E-2</v>
      </c>
      <c r="E786" s="10">
        <f t="shared" si="153"/>
        <v>9.0939387397380236E-2</v>
      </c>
      <c r="F786" s="10">
        <f t="shared" si="154"/>
        <v>9.0947609998231635E-2</v>
      </c>
      <c r="G786" s="10">
        <f t="shared" si="155"/>
        <v>9.0743365445711377E-2</v>
      </c>
      <c r="H786" s="9">
        <f t="shared" si="156"/>
        <v>-68.777179842538715</v>
      </c>
      <c r="I786" s="8">
        <f t="shared" si="149"/>
        <v>7936.7789747158758</v>
      </c>
      <c r="J786" s="9">
        <f t="shared" si="150"/>
        <v>-68.802644011443348</v>
      </c>
      <c r="K786" s="9">
        <f t="shared" si="151"/>
        <v>-68.777179842538715</v>
      </c>
      <c r="L786" s="8">
        <f t="shared" si="157"/>
        <v>7917.5177993763182</v>
      </c>
      <c r="N786" s="16">
        <f t="shared" si="152"/>
        <v>4.924422916004553</v>
      </c>
    </row>
    <row r="787" spans="2:14" x14ac:dyDescent="0.25">
      <c r="B787" s="7">
        <f t="shared" si="158"/>
        <v>219.2400000000008</v>
      </c>
      <c r="C787" s="9">
        <f t="shared" si="148"/>
        <v>-68.777179842538715</v>
      </c>
      <c r="D787" s="10">
        <f t="shared" si="159"/>
        <v>9.074370002273939E-2</v>
      </c>
      <c r="E787" s="10">
        <f t="shared" si="153"/>
        <v>9.0540222613658419E-2</v>
      </c>
      <c r="F787" s="10">
        <f t="shared" si="154"/>
        <v>9.0548426259791967E-2</v>
      </c>
      <c r="G787" s="10">
        <f t="shared" si="155"/>
        <v>9.0344717888547754E-2</v>
      </c>
      <c r="H787" s="9">
        <f t="shared" si="156"/>
        <v>-68.751827442474664</v>
      </c>
      <c r="I787" s="8">
        <f t="shared" si="149"/>
        <v>7917.5177993763182</v>
      </c>
      <c r="J787" s="9">
        <f t="shared" si="150"/>
        <v>-68.777179842538715</v>
      </c>
      <c r="K787" s="9">
        <f t="shared" si="151"/>
        <v>-68.751827442474664</v>
      </c>
      <c r="L787" s="8">
        <f t="shared" si="157"/>
        <v>7898.2637383564161</v>
      </c>
      <c r="N787" s="16">
        <f t="shared" si="152"/>
        <v>4.9278711002599982</v>
      </c>
    </row>
    <row r="788" spans="2:14" x14ac:dyDescent="0.25">
      <c r="B788" s="7">
        <f t="shared" si="158"/>
        <v>219.52000000000081</v>
      </c>
      <c r="C788" s="9">
        <f t="shared" si="148"/>
        <v>-68.751827442474664</v>
      </c>
      <c r="D788" s="10">
        <f t="shared" si="159"/>
        <v>9.0345051824516964E-2</v>
      </c>
      <c r="E788" s="10">
        <f t="shared" si="153"/>
        <v>9.0142107625964696E-2</v>
      </c>
      <c r="F788" s="10">
        <f t="shared" si="154"/>
        <v>9.0150292453547345E-2</v>
      </c>
      <c r="G788" s="10">
        <f t="shared" si="155"/>
        <v>8.9947116280386111E-2</v>
      </c>
      <c r="H788" s="9">
        <f t="shared" si="156"/>
        <v>-68.726586517289007</v>
      </c>
      <c r="I788" s="8">
        <f t="shared" si="149"/>
        <v>7898.2637383564161</v>
      </c>
      <c r="J788" s="9">
        <f t="shared" si="150"/>
        <v>-68.751827442474664</v>
      </c>
      <c r="K788" s="9">
        <f t="shared" si="151"/>
        <v>-68.726586517289007</v>
      </c>
      <c r="L788" s="8">
        <f t="shared" si="157"/>
        <v>7879.0167604020489</v>
      </c>
      <c r="N788" s="16">
        <f t="shared" si="152"/>
        <v>4.9313075342664572</v>
      </c>
    </row>
    <row r="789" spans="2:14" x14ac:dyDescent="0.25">
      <c r="B789" s="7">
        <f t="shared" si="158"/>
        <v>219.80000000000081</v>
      </c>
      <c r="C789" s="9">
        <f t="shared" si="148"/>
        <v>-68.726586517289007</v>
      </c>
      <c r="D789" s="10">
        <f t="shared" si="159"/>
        <v>8.9947449579804314E-2</v>
      </c>
      <c r="E789" s="10">
        <f t="shared" si="153"/>
        <v>8.9745034627091935E-2</v>
      </c>
      <c r="F789" s="10">
        <f t="shared" si="154"/>
        <v>8.97532007715965E-2</v>
      </c>
      <c r="G789" s="10">
        <f t="shared" si="155"/>
        <v>8.9550552836642872E-2</v>
      </c>
      <c r="H789" s="9">
        <f t="shared" si="156"/>
        <v>-68.701456775205699</v>
      </c>
      <c r="I789" s="8">
        <f t="shared" si="149"/>
        <v>7879.0167604020489</v>
      </c>
      <c r="J789" s="9">
        <f t="shared" si="150"/>
        <v>-68.726586517289007</v>
      </c>
      <c r="K789" s="9">
        <f t="shared" si="151"/>
        <v>-68.701456775205699</v>
      </c>
      <c r="L789" s="8">
        <f t="shared" si="157"/>
        <v>7859.7768343410999</v>
      </c>
      <c r="N789" s="16">
        <f t="shared" si="152"/>
        <v>4.9347322117015988</v>
      </c>
    </row>
    <row r="790" spans="2:14" x14ac:dyDescent="0.25">
      <c r="B790" s="7">
        <f t="shared" si="158"/>
        <v>220.08000000000081</v>
      </c>
      <c r="C790" s="9">
        <f t="shared" si="148"/>
        <v>-68.701456775205699</v>
      </c>
      <c r="D790" s="10">
        <f t="shared" si="159"/>
        <v>8.9550885504009275E-2</v>
      </c>
      <c r="E790" s="10">
        <f t="shared" si="153"/>
        <v>8.9348995855625543E-2</v>
      </c>
      <c r="F790" s="10">
        <f t="shared" si="154"/>
        <v>8.9357143451835555E-2</v>
      </c>
      <c r="G790" s="10">
        <f t="shared" si="155"/>
        <v>8.9155019818289966E-2</v>
      </c>
      <c r="H790" s="9">
        <f t="shared" si="156"/>
        <v>-68.676437926621958</v>
      </c>
      <c r="I790" s="8">
        <f t="shared" si="149"/>
        <v>7859.7768343410999</v>
      </c>
      <c r="J790" s="9">
        <f t="shared" si="150"/>
        <v>-68.701456775205699</v>
      </c>
      <c r="K790" s="9">
        <f t="shared" si="151"/>
        <v>-68.676437926621958</v>
      </c>
      <c r="L790" s="8">
        <f t="shared" si="157"/>
        <v>7840.5439290828435</v>
      </c>
      <c r="N790" s="16">
        <f t="shared" si="152"/>
        <v>4.9381451262080036</v>
      </c>
    </row>
    <row r="791" spans="2:14" x14ac:dyDescent="0.25">
      <c r="B791" s="7">
        <f t="shared" si="158"/>
        <v>220.36000000000081</v>
      </c>
      <c r="C791" s="9">
        <f t="shared" si="148"/>
        <v>-68.676437926621958</v>
      </c>
      <c r="D791" s="10">
        <f t="shared" si="159"/>
        <v>8.9155351858075688E-2</v>
      </c>
      <c r="E791" s="10">
        <f t="shared" si="153"/>
        <v>8.8953983595446734E-2</v>
      </c>
      <c r="F791" s="10">
        <f t="shared" si="154"/>
        <v>8.8962112777450558E-2</v>
      </c>
      <c r="G791" s="10">
        <f t="shared" si="155"/>
        <v>8.8760509531386894E-2</v>
      </c>
      <c r="H791" s="9">
        <f t="shared" si="156"/>
        <v>-68.651529684095649</v>
      </c>
      <c r="I791" s="8">
        <f t="shared" si="149"/>
        <v>7840.5439290828435</v>
      </c>
      <c r="J791" s="9">
        <f t="shared" si="150"/>
        <v>-68.676437926621958</v>
      </c>
      <c r="K791" s="9">
        <f t="shared" si="151"/>
        <v>-68.651529684095649</v>
      </c>
      <c r="L791" s="8">
        <f t="shared" si="157"/>
        <v>7821.3180136173432</v>
      </c>
      <c r="N791" s="16">
        <f t="shared" si="152"/>
        <v>4.9415462713931282</v>
      </c>
    </row>
    <row r="792" spans="2:14" x14ac:dyDescent="0.25">
      <c r="B792" s="7">
        <f t="shared" si="158"/>
        <v>220.64000000000081</v>
      </c>
      <c r="C792" s="9">
        <f t="shared" ref="C792:C855" si="160">H791</f>
        <v>-68.651529684095649</v>
      </c>
      <c r="D792" s="10">
        <f t="shared" si="159"/>
        <v>8.8760840948044345E-2</v>
      </c>
      <c r="E792" s="10">
        <f t="shared" si="153"/>
        <v>8.855999017530064E-2</v>
      </c>
      <c r="F792" s="10">
        <f t="shared" si="154"/>
        <v>8.8568101076515818E-2</v>
      </c>
      <c r="G792" s="10">
        <f t="shared" si="155"/>
        <v>8.836701432660099E-2</v>
      </c>
      <c r="H792" s="9">
        <f t="shared" si="156"/>
        <v>-68.626731762332668</v>
      </c>
      <c r="I792" s="8">
        <f t="shared" ref="I792:I855" si="161">L791</f>
        <v>7821.3180136173432</v>
      </c>
      <c r="J792" s="9">
        <f t="shared" ref="J792:J855" si="162">C792</f>
        <v>-68.651529684095649</v>
      </c>
      <c r="K792" s="9">
        <f t="shared" ref="K792:K855" si="163">H792</f>
        <v>-68.626731762332668</v>
      </c>
      <c r="L792" s="8">
        <f t="shared" si="157"/>
        <v>7802.0990570148433</v>
      </c>
      <c r="N792" s="16">
        <f t="shared" ref="N792:N855" si="164">C_y(I792)</f>
        <v>4.9449356408292733</v>
      </c>
    </row>
    <row r="793" spans="2:14" x14ac:dyDescent="0.25">
      <c r="B793" s="7">
        <f t="shared" si="158"/>
        <v>220.92000000000081</v>
      </c>
      <c r="C793" s="9">
        <f t="shared" si="160"/>
        <v>-68.626731762332668</v>
      </c>
      <c r="D793" s="10">
        <f t="shared" si="159"/>
        <v>8.836734512457016E-2</v>
      </c>
      <c r="E793" s="10">
        <f t="shared" si="153"/>
        <v>8.8167007968316252E-2</v>
      </c>
      <c r="F793" s="10">
        <f t="shared" si="154"/>
        <v>8.8175100721481714E-2</v>
      </c>
      <c r="G793" s="10">
        <f t="shared" si="155"/>
        <v>8.7974526598780425E-2</v>
      </c>
      <c r="H793" s="9">
        <f t="shared" si="156"/>
        <v>-68.602043878174527</v>
      </c>
      <c r="I793" s="8">
        <f t="shared" si="161"/>
        <v>7802.0990570148433</v>
      </c>
      <c r="J793" s="9">
        <f t="shared" si="162"/>
        <v>-68.626731762332668</v>
      </c>
      <c r="K793" s="9">
        <f t="shared" si="163"/>
        <v>-68.602043878174527</v>
      </c>
      <c r="L793" s="8">
        <f t="shared" si="157"/>
        <v>7782.8870284251725</v>
      </c>
      <c r="N793" s="16">
        <f t="shared" si="164"/>
        <v>4.9483132280535456</v>
      </c>
    </row>
    <row r="794" spans="2:14" x14ac:dyDescent="0.25">
      <c r="B794" s="7">
        <f t="shared" si="158"/>
        <v>221.20000000000081</v>
      </c>
      <c r="C794" s="9">
        <f t="shared" si="160"/>
        <v>-68.602043878174527</v>
      </c>
      <c r="D794" s="10">
        <f t="shared" si="159"/>
        <v>8.797485678248064E-2</v>
      </c>
      <c r="E794" s="10">
        <f t="shared" si="153"/>
        <v>8.7775029391563231E-2</v>
      </c>
      <c r="F794" s="10">
        <f t="shared" si="154"/>
        <v>8.7783104128756825E-2</v>
      </c>
      <c r="G794" s="10">
        <f t="shared" si="155"/>
        <v>8.7583038786492276E-2</v>
      </c>
      <c r="H794" s="9">
        <f t="shared" si="156"/>
        <v>-68.577465750586072</v>
      </c>
      <c r="I794" s="8">
        <f t="shared" si="161"/>
        <v>7782.8870284251725</v>
      </c>
      <c r="J794" s="9">
        <f t="shared" si="162"/>
        <v>-68.602043878174527</v>
      </c>
      <c r="K794" s="9">
        <f t="shared" si="163"/>
        <v>-68.577465750586072</v>
      </c>
      <c r="L794" s="8">
        <f t="shared" si="157"/>
        <v>7763.6818970771465</v>
      </c>
      <c r="N794" s="16">
        <f t="shared" si="164"/>
        <v>4.9516790265678248</v>
      </c>
    </row>
    <row r="795" spans="2:14" x14ac:dyDescent="0.25">
      <c r="B795" s="7">
        <f t="shared" si="158"/>
        <v>221.48000000000081</v>
      </c>
      <c r="C795" s="9">
        <f t="shared" si="160"/>
        <v>-68.577465750586072</v>
      </c>
      <c r="D795" s="10">
        <f t="shared" si="159"/>
        <v>8.7583368360320352E-2</v>
      </c>
      <c r="E795" s="10">
        <f t="shared" si="153"/>
        <v>8.7384046905605403E-2</v>
      </c>
      <c r="F795" s="10">
        <f t="shared" si="154"/>
        <v>8.7392103758241399E-2</v>
      </c>
      <c r="G795" s="10">
        <f t="shared" si="155"/>
        <v>8.7192543371564235E-2</v>
      </c>
      <c r="H795" s="9">
        <f t="shared" si="156"/>
        <v>-68.552997100643296</v>
      </c>
      <c r="I795" s="8">
        <f t="shared" si="161"/>
        <v>7763.6818970771465</v>
      </c>
      <c r="J795" s="9">
        <f t="shared" si="162"/>
        <v>-68.577465750586072</v>
      </c>
      <c r="K795" s="9">
        <f t="shared" si="163"/>
        <v>-68.552997100643296</v>
      </c>
      <c r="L795" s="8">
        <f t="shared" si="157"/>
        <v>7744.4836322779747</v>
      </c>
      <c r="N795" s="16">
        <f t="shared" si="164"/>
        <v>4.9550330298387228</v>
      </c>
    </row>
    <row r="796" spans="2:14" x14ac:dyDescent="0.25">
      <c r="B796" s="7">
        <f t="shared" si="158"/>
        <v>221.76000000000082</v>
      </c>
      <c r="C796" s="9">
        <f t="shared" si="160"/>
        <v>-68.552997100643296</v>
      </c>
      <c r="D796" s="10">
        <f t="shared" si="159"/>
        <v>8.719287233991202E-2</v>
      </c>
      <c r="E796" s="10">
        <f t="shared" si="153"/>
        <v>8.6994053014055966E-2</v>
      </c>
      <c r="F796" s="10">
        <f t="shared" si="154"/>
        <v>8.7002092112896778E-2</v>
      </c>
      <c r="G796" s="10">
        <f t="shared" si="155"/>
        <v>8.6803032878665351E-2</v>
      </c>
      <c r="H796" s="9">
        <f t="shared" si="156"/>
        <v>-68.528637651521251</v>
      </c>
      <c r="I796" s="8">
        <f t="shared" si="161"/>
        <v>7744.4836322779747</v>
      </c>
      <c r="J796" s="9">
        <f t="shared" si="162"/>
        <v>-68.552997100643296</v>
      </c>
      <c r="K796" s="9">
        <f t="shared" si="163"/>
        <v>-68.528637651521251</v>
      </c>
      <c r="L796" s="8">
        <f t="shared" si="157"/>
        <v>7725.2922034126714</v>
      </c>
      <c r="N796" s="16">
        <f t="shared" si="164"/>
        <v>4.9583752312975502</v>
      </c>
    </row>
    <row r="797" spans="2:14" x14ac:dyDescent="0.25">
      <c r="B797" s="7">
        <f t="shared" si="158"/>
        <v>222.04000000000082</v>
      </c>
      <c r="C797" s="9">
        <f t="shared" si="160"/>
        <v>-68.528637651521251</v>
      </c>
      <c r="D797" s="10">
        <f t="shared" si="159"/>
        <v>8.6803361245896146E-2</v>
      </c>
      <c r="E797" s="10">
        <f t="shared" si="153"/>
        <v>8.6605040263122671E-2</v>
      </c>
      <c r="F797" s="10">
        <f t="shared" si="154"/>
        <v>8.6613061738285174E-2</v>
      </c>
      <c r="G797" s="10">
        <f t="shared" si="155"/>
        <v>8.6414499874848519E-2</v>
      </c>
      <c r="H797" s="9">
        <f t="shared" si="156"/>
        <v>-68.504387128482151</v>
      </c>
      <c r="I797" s="8">
        <f t="shared" si="161"/>
        <v>7725.2922034126714</v>
      </c>
      <c r="J797" s="9">
        <f t="shared" si="162"/>
        <v>-68.528637651521251</v>
      </c>
      <c r="K797" s="9">
        <f t="shared" si="163"/>
        <v>-68.504387128482151</v>
      </c>
      <c r="L797" s="8">
        <f t="shared" si="157"/>
        <v>7706.1075799434711</v>
      </c>
      <c r="N797" s="16">
        <f t="shared" si="164"/>
        <v>4.961705624340274</v>
      </c>
    </row>
    <row r="798" spans="2:14" x14ac:dyDescent="0.25">
      <c r="B798" s="7">
        <f t="shared" si="158"/>
        <v>222.32000000000082</v>
      </c>
      <c r="C798" s="9">
        <f t="shared" si="160"/>
        <v>-68.504387128482151</v>
      </c>
      <c r="D798" s="10">
        <f t="shared" si="159"/>
        <v>8.6414827645308737E-2</v>
      </c>
      <c r="E798" s="10">
        <f t="shared" si="153"/>
        <v>8.6217001241189459E-2</v>
      </c>
      <c r="F798" s="10">
        <f t="shared" si="154"/>
        <v>8.6225005222152665E-2</v>
      </c>
      <c r="G798" s="10">
        <f t="shared" si="155"/>
        <v>8.6026936969119144E-2</v>
      </c>
      <c r="H798" s="9">
        <f t="shared" si="156"/>
        <v>-68.480245258863562</v>
      </c>
      <c r="I798" s="8">
        <f t="shared" si="161"/>
        <v>7706.1075799434711</v>
      </c>
      <c r="J798" s="9">
        <f t="shared" si="162"/>
        <v>-68.504387128482151</v>
      </c>
      <c r="K798" s="9">
        <f t="shared" si="163"/>
        <v>-68.480245258863562</v>
      </c>
      <c r="L798" s="8">
        <f t="shared" si="157"/>
        <v>7686.9297314092428</v>
      </c>
      <c r="N798" s="16">
        <f t="shared" si="164"/>
        <v>4.9650242023274815</v>
      </c>
    </row>
    <row r="799" spans="2:14" x14ac:dyDescent="0.25">
      <c r="B799" s="7">
        <f t="shared" si="158"/>
        <v>222.60000000000082</v>
      </c>
      <c r="C799" s="9">
        <f t="shared" si="160"/>
        <v>-68.480245258863562</v>
      </c>
      <c r="D799" s="10">
        <f t="shared" si="159"/>
        <v>8.6027264147140015E-2</v>
      </c>
      <c r="E799" s="10">
        <f t="shared" si="153"/>
        <v>8.5829928578378595E-2</v>
      </c>
      <c r="F799" s="10">
        <f t="shared" si="154"/>
        <v>8.5837915193985398E-2</v>
      </c>
      <c r="G799" s="10">
        <f t="shared" si="155"/>
        <v>8.5640336812011386E-2</v>
      </c>
      <c r="H799" s="9">
        <f t="shared" si="156"/>
        <v>-68.456211772066709</v>
      </c>
      <c r="I799" s="8">
        <f t="shared" si="161"/>
        <v>7686.9297314092428</v>
      </c>
      <c r="J799" s="9">
        <f t="shared" si="162"/>
        <v>-68.480245258863562</v>
      </c>
      <c r="K799" s="9">
        <f t="shared" si="163"/>
        <v>-68.456211772066709</v>
      </c>
      <c r="L799" s="8">
        <f t="shared" si="157"/>
        <v>7667.7586274249124</v>
      </c>
      <c r="N799" s="16">
        <f t="shared" si="164"/>
        <v>4.9683309585843372</v>
      </c>
    </row>
    <row r="800" spans="2:14" x14ac:dyDescent="0.25">
      <c r="B800" s="7">
        <f t="shared" si="158"/>
        <v>222.88000000000082</v>
      </c>
      <c r="C800" s="9">
        <f t="shared" si="160"/>
        <v>-68.456211772066709</v>
      </c>
      <c r="D800" s="10">
        <f t="shared" si="159"/>
        <v>8.5640663401908901E-2</v>
      </c>
      <c r="E800" s="10">
        <f t="shared" si="153"/>
        <v>8.5443814946115235E-2</v>
      </c>
      <c r="F800" s="10">
        <f t="shared" si="154"/>
        <v>8.5451784324588886E-2</v>
      </c>
      <c r="G800" s="10">
        <f t="shared" si="155"/>
        <v>8.5254692095157611E-2</v>
      </c>
      <c r="H800" s="9">
        <f t="shared" si="156"/>
        <v>-68.432286399544907</v>
      </c>
      <c r="I800" s="8">
        <f t="shared" si="161"/>
        <v>7667.7586274249124</v>
      </c>
      <c r="J800" s="9">
        <f t="shared" si="162"/>
        <v>-68.456211772066709</v>
      </c>
      <c r="K800" s="9">
        <f t="shared" si="163"/>
        <v>-68.432286399544907</v>
      </c>
      <c r="L800" s="8">
        <f t="shared" si="157"/>
        <v>7648.5942376808871</v>
      </c>
      <c r="N800" s="16">
        <f t="shared" si="164"/>
        <v>4.9716258864005445</v>
      </c>
    </row>
    <row r="801" spans="2:14" x14ac:dyDescent="0.25">
      <c r="B801" s="7">
        <f t="shared" si="158"/>
        <v>223.16000000000082</v>
      </c>
      <c r="C801" s="9">
        <f t="shared" si="160"/>
        <v>-68.432286399544907</v>
      </c>
      <c r="D801" s="10">
        <f t="shared" si="159"/>
        <v>8.5255018101231247E-2</v>
      </c>
      <c r="E801" s="10">
        <f t="shared" si="153"/>
        <v>8.5058653056716435E-2</v>
      </c>
      <c r="F801" s="10">
        <f t="shared" si="154"/>
        <v>8.5066605325653563E-2</v>
      </c>
      <c r="G801" s="10">
        <f t="shared" si="155"/>
        <v>8.4869995550865315E-2</v>
      </c>
      <c r="H801" s="9">
        <f t="shared" si="156"/>
        <v>-68.408468874792121</v>
      </c>
      <c r="I801" s="8">
        <f t="shared" si="161"/>
        <v>7648.5942376808871</v>
      </c>
      <c r="J801" s="9">
        <f t="shared" si="162"/>
        <v>-68.432286399544907</v>
      </c>
      <c r="K801" s="9">
        <f t="shared" si="163"/>
        <v>-68.408468874792121</v>
      </c>
      <c r="L801" s="8">
        <f t="shared" si="157"/>
        <v>7629.4365319424796</v>
      </c>
      <c r="N801" s="16">
        <f t="shared" si="164"/>
        <v>4.9749089790303023</v>
      </c>
    </row>
    <row r="802" spans="2:14" x14ac:dyDescent="0.25">
      <c r="B802" s="7">
        <f t="shared" si="158"/>
        <v>223.44000000000082</v>
      </c>
      <c r="C802" s="9">
        <f t="shared" si="160"/>
        <v>-68.408468874792121</v>
      </c>
      <c r="D802" s="10">
        <f t="shared" si="159"/>
        <v>8.4870320977401464E-2</v>
      </c>
      <c r="E802" s="10">
        <f t="shared" si="153"/>
        <v>8.4674435662957875E-2</v>
      </c>
      <c r="F802" s="10">
        <f t="shared" si="154"/>
        <v>8.4682370949342625E-2</v>
      </c>
      <c r="G802" s="10">
        <f t="shared" si="155"/>
        <v>8.4486239951709521E-2</v>
      </c>
      <c r="H802" s="9">
        <f t="shared" si="156"/>
        <v>-68.384758933331611</v>
      </c>
      <c r="I802" s="8">
        <f t="shared" si="161"/>
        <v>7629.4365319424796</v>
      </c>
      <c r="J802" s="9">
        <f t="shared" si="162"/>
        <v>-68.408468874792121</v>
      </c>
      <c r="K802" s="9">
        <f t="shared" si="163"/>
        <v>-68.384758933331611</v>
      </c>
      <c r="L802" s="8">
        <f t="shared" si="157"/>
        <v>7610.2854800493424</v>
      </c>
      <c r="N802" s="16">
        <f t="shared" si="164"/>
        <v>4.9781802296922626</v>
      </c>
    </row>
    <row r="803" spans="2:14" x14ac:dyDescent="0.25">
      <c r="B803" s="7">
        <f t="shared" si="158"/>
        <v>223.72000000000082</v>
      </c>
      <c r="C803" s="9">
        <f t="shared" si="160"/>
        <v>-68.384758933331611</v>
      </c>
      <c r="D803" s="10">
        <f t="shared" si="159"/>
        <v>8.448656480296679E-2</v>
      </c>
      <c r="E803" s="10">
        <f t="shared" si="153"/>
        <v>8.4291155557664393E-2</v>
      </c>
      <c r="F803" s="10">
        <f t="shared" si="154"/>
        <v>8.4299073987875603E-2</v>
      </c>
      <c r="G803" s="10">
        <f t="shared" si="155"/>
        <v>8.4103418110092157E-2</v>
      </c>
      <c r="H803" s="9">
        <f t="shared" si="156"/>
        <v>-68.36115631270475</v>
      </c>
      <c r="I803" s="8">
        <f t="shared" si="161"/>
        <v>7610.2854800493424</v>
      </c>
      <c r="J803" s="9">
        <f t="shared" si="162"/>
        <v>-68.384758933331611</v>
      </c>
      <c r="K803" s="9">
        <f t="shared" si="163"/>
        <v>-68.36115631270475</v>
      </c>
      <c r="L803" s="8">
        <f t="shared" si="157"/>
        <v>7591.1410519148976</v>
      </c>
      <c r="N803" s="16">
        <f t="shared" si="164"/>
        <v>4.9814396315694873</v>
      </c>
    </row>
    <row r="804" spans="2:14" x14ac:dyDescent="0.25">
      <c r="B804" s="7">
        <f t="shared" si="158"/>
        <v>224.00000000000082</v>
      </c>
      <c r="C804" s="9">
        <f t="shared" si="160"/>
        <v>-68.36115631270475</v>
      </c>
      <c r="D804" s="10">
        <f t="shared" si="159"/>
        <v>8.4103742390324157E-2</v>
      </c>
      <c r="E804" s="10">
        <f t="shared" si="153"/>
        <v>8.3908805573291598E-2</v>
      </c>
      <c r="F804" s="10">
        <f t="shared" si="154"/>
        <v>8.3916707273107044E-2</v>
      </c>
      <c r="G804" s="10">
        <f t="shared" si="155"/>
        <v>8.3721522877861998E-2</v>
      </c>
      <c r="H804" s="9">
        <f t="shared" si="156"/>
        <v>-68.337660752459911</v>
      </c>
      <c r="I804" s="8">
        <f t="shared" si="161"/>
        <v>7591.1410519148976</v>
      </c>
      <c r="J804" s="9">
        <f t="shared" si="162"/>
        <v>-68.36115631270475</v>
      </c>
      <c r="K804" s="9">
        <f t="shared" si="163"/>
        <v>-68.337660752459911</v>
      </c>
      <c r="L804" s="8">
        <f t="shared" si="157"/>
        <v>7572.0032175257747</v>
      </c>
      <c r="N804" s="16">
        <f t="shared" si="164"/>
        <v>4.9846871778094055</v>
      </c>
    </row>
    <row r="805" spans="2:14" x14ac:dyDescent="0.25">
      <c r="B805" s="7">
        <f t="shared" si="158"/>
        <v>224.28000000000083</v>
      </c>
      <c r="C805" s="9">
        <f t="shared" si="160"/>
        <v>-68.337660752459911</v>
      </c>
      <c r="D805" s="10">
        <f t="shared" si="159"/>
        <v>8.3721846591300872E-2</v>
      </c>
      <c r="E805" s="10">
        <f t="shared" si="153"/>
        <v>8.3527378581527811E-2</v>
      </c>
      <c r="F805" s="10">
        <f t="shared" si="154"/>
        <v>8.3535263676129637E-2</v>
      </c>
      <c r="G805" s="10">
        <f t="shared" si="155"/>
        <v>8.334054714588271E-2</v>
      </c>
      <c r="H805" s="9">
        <f t="shared" si="156"/>
        <v>-68.314271994141464</v>
      </c>
      <c r="I805" s="8">
        <f t="shared" si="161"/>
        <v>7572.0032175257747</v>
      </c>
      <c r="J805" s="9">
        <f t="shared" si="162"/>
        <v>-68.337660752459911</v>
      </c>
      <c r="K805" s="9">
        <f t="shared" si="163"/>
        <v>-68.314271994141464</v>
      </c>
      <c r="L805" s="8">
        <f t="shared" si="157"/>
        <v>7552.8719469412508</v>
      </c>
      <c r="N805" s="16">
        <f t="shared" si="164"/>
        <v>4.9879228615237663</v>
      </c>
    </row>
    <row r="806" spans="2:14" x14ac:dyDescent="0.25">
      <c r="B806" s="7">
        <f t="shared" si="158"/>
        <v>224.56000000000083</v>
      </c>
      <c r="C806" s="9">
        <f t="shared" si="160"/>
        <v>-68.314271994141464</v>
      </c>
      <c r="D806" s="10">
        <f t="shared" si="159"/>
        <v>8.3340870296745459E-2</v>
      </c>
      <c r="E806" s="10">
        <f t="shared" si="153"/>
        <v>8.3146867492868218E-2</v>
      </c>
      <c r="F806" s="10">
        <f t="shared" si="154"/>
        <v>8.315473610685073E-2</v>
      </c>
      <c r="G806" s="10">
        <f t="shared" si="155"/>
        <v>8.2960483843641325E-2</v>
      </c>
      <c r="H806" s="9">
        <f t="shared" si="156"/>
        <v>-68.290989781278938</v>
      </c>
      <c r="I806" s="8">
        <f t="shared" si="161"/>
        <v>7552.8719469412508</v>
      </c>
      <c r="J806" s="9">
        <f t="shared" si="162"/>
        <v>-68.314271994141464</v>
      </c>
      <c r="K806" s="9">
        <f t="shared" si="163"/>
        <v>-68.290989781278938</v>
      </c>
      <c r="L806" s="8">
        <f t="shared" si="157"/>
        <v>7533.7472102926922</v>
      </c>
      <c r="N806" s="16">
        <f t="shared" si="164"/>
        <v>4.9911466757885945</v>
      </c>
    </row>
    <row r="807" spans="2:14" x14ac:dyDescent="0.25">
      <c r="B807" s="7">
        <f t="shared" si="158"/>
        <v>224.84000000000083</v>
      </c>
      <c r="C807" s="9">
        <f t="shared" si="160"/>
        <v>-68.290989781278938</v>
      </c>
      <c r="D807" s="10">
        <f t="shared" si="159"/>
        <v>8.2960806436129242E-2</v>
      </c>
      <c r="E807" s="10">
        <f t="shared" si="153"/>
        <v>8.2767265256237843E-2</v>
      </c>
      <c r="F807" s="10">
        <f t="shared" si="154"/>
        <v>8.2775117513610663E-2</v>
      </c>
      <c r="G807" s="10">
        <f t="shared" si="155"/>
        <v>8.2581325938847219E-2</v>
      </c>
      <c r="H807" s="9">
        <f t="shared" si="156"/>
        <v>-68.267813859376247</v>
      </c>
      <c r="I807" s="8">
        <f t="shared" si="161"/>
        <v>7533.7472102926922</v>
      </c>
      <c r="J807" s="9">
        <f t="shared" si="162"/>
        <v>-68.290989781278938</v>
      </c>
      <c r="K807" s="9">
        <f t="shared" si="163"/>
        <v>-68.267813859376247</v>
      </c>
      <c r="L807" s="8">
        <f t="shared" si="157"/>
        <v>7514.6289777830007</v>
      </c>
      <c r="N807" s="16">
        <f t="shared" si="164"/>
        <v>4.9943586136441427</v>
      </c>
    </row>
    <row r="808" spans="2:14" x14ac:dyDescent="0.25">
      <c r="B808" s="7">
        <f t="shared" si="158"/>
        <v>225.12000000000083</v>
      </c>
      <c r="C808" s="9">
        <f t="shared" si="160"/>
        <v>-68.267813859376247</v>
      </c>
      <c r="D808" s="10">
        <f t="shared" si="159"/>
        <v>8.2581647977148065E-2</v>
      </c>
      <c r="E808" s="10">
        <f t="shared" si="153"/>
        <v>8.2388564858575736E-2</v>
      </c>
      <c r="F808" s="10">
        <f t="shared" si="154"/>
        <v>8.239640088277049E-2</v>
      </c>
      <c r="G808" s="10">
        <f t="shared" si="155"/>
        <v>8.2203066437040173E-2</v>
      </c>
      <c r="H808" s="9">
        <f t="shared" si="156"/>
        <v>-68.244743975901059</v>
      </c>
      <c r="I808" s="8">
        <f t="shared" si="161"/>
        <v>7514.6289777830007</v>
      </c>
      <c r="J808" s="9">
        <f t="shared" si="162"/>
        <v>-68.267813859376247</v>
      </c>
      <c r="K808" s="9">
        <f t="shared" si="163"/>
        <v>-68.244743975901059</v>
      </c>
      <c r="L808" s="8">
        <f t="shared" si="157"/>
        <v>7495.5172196860622</v>
      </c>
      <c r="N808" s="16">
        <f t="shared" si="164"/>
        <v>4.9975586680948467</v>
      </c>
    </row>
    <row r="809" spans="2:14" x14ac:dyDescent="0.25">
      <c r="B809" s="7">
        <f t="shared" si="158"/>
        <v>225.40000000000083</v>
      </c>
      <c r="C809" s="9">
        <f t="shared" si="160"/>
        <v>-68.244743975901059</v>
      </c>
      <c r="D809" s="10">
        <f t="shared" si="159"/>
        <v>8.2203387925322308E-2</v>
      </c>
      <c r="E809" s="10">
        <f t="shared" si="153"/>
        <v>8.2010759324447138E-2</v>
      </c>
      <c r="F809" s="10">
        <f t="shared" si="154"/>
        <v>8.2018579238332404E-2</v>
      </c>
      <c r="G809" s="10">
        <f t="shared" si="155"/>
        <v>8.1825698381176384E-2</v>
      </c>
      <c r="H809" s="9">
        <f t="shared" si="156"/>
        <v>-68.221779880274227</v>
      </c>
      <c r="I809" s="8">
        <f t="shared" si="161"/>
        <v>7495.5172196860622</v>
      </c>
      <c r="J809" s="9">
        <f t="shared" si="162"/>
        <v>-68.244743975901059</v>
      </c>
      <c r="K809" s="9">
        <f t="shared" si="163"/>
        <v>-68.221779880274227</v>
      </c>
      <c r="L809" s="8">
        <f t="shared" si="157"/>
        <v>7476.4119063461976</v>
      </c>
      <c r="N809" s="16">
        <f t="shared" si="164"/>
        <v>5.0007468321092734</v>
      </c>
    </row>
    <row r="810" spans="2:14" x14ac:dyDescent="0.25">
      <c r="B810" s="7">
        <f t="shared" si="158"/>
        <v>225.68000000000083</v>
      </c>
      <c r="C810" s="9">
        <f t="shared" si="160"/>
        <v>-68.221779880274227</v>
      </c>
      <c r="D810" s="10">
        <f t="shared" si="159"/>
        <v>8.1826019323600452E-2</v>
      </c>
      <c r="E810" s="10">
        <f t="shared" si="153"/>
        <v>8.1633841715656227E-2</v>
      </c>
      <c r="F810" s="10">
        <f t="shared" si="154"/>
        <v>8.1641645641531896E-2</v>
      </c>
      <c r="G810" s="10">
        <f t="shared" si="155"/>
        <v>8.1449214851275986E-2</v>
      </c>
      <c r="H810" s="9">
        <f t="shared" si="156"/>
        <v>-68.198921323859395</v>
      </c>
      <c r="I810" s="8">
        <f t="shared" si="161"/>
        <v>7476.4119063461976</v>
      </c>
      <c r="J810" s="9">
        <f t="shared" si="162"/>
        <v>-68.221779880274227</v>
      </c>
      <c r="K810" s="9">
        <f t="shared" si="163"/>
        <v>-68.198921323859395</v>
      </c>
      <c r="L810" s="8">
        <f t="shared" si="157"/>
        <v>7457.3130081776189</v>
      </c>
      <c r="N810" s="16">
        <f t="shared" si="164"/>
        <v>5.0039230986200751</v>
      </c>
    </row>
    <row r="811" spans="2:14" x14ac:dyDescent="0.25">
      <c r="B811" s="7">
        <f t="shared" si="158"/>
        <v>225.96000000000083</v>
      </c>
      <c r="C811" s="9">
        <f t="shared" si="160"/>
        <v>-68.198921323859395</v>
      </c>
      <c r="D811" s="10">
        <f t="shared" si="159"/>
        <v>8.144953525198069E-2</v>
      </c>
      <c r="E811" s="10">
        <f t="shared" si="153"/>
        <v>8.1257805130845573E-2</v>
      </c>
      <c r="F811" s="10">
        <f t="shared" si="154"/>
        <v>8.1265593190447294E-2</v>
      </c>
      <c r="G811" s="10">
        <f t="shared" si="155"/>
        <v>8.1073608963999441E-2</v>
      </c>
      <c r="H811" s="9">
        <f t="shared" si="156"/>
        <v>-68.176168059952658</v>
      </c>
      <c r="I811" s="8">
        <f t="shared" si="161"/>
        <v>7457.3130081776189</v>
      </c>
      <c r="J811" s="9">
        <f t="shared" si="162"/>
        <v>-68.198921323859395</v>
      </c>
      <c r="K811" s="9">
        <f t="shared" si="163"/>
        <v>-68.176168059952658</v>
      </c>
      <c r="L811" s="8">
        <f t="shared" si="157"/>
        <v>7438.2204956638852</v>
      </c>
      <c r="N811" s="16">
        <f t="shared" si="164"/>
        <v>5.0070874605239402</v>
      </c>
    </row>
    <row r="812" spans="2:14" x14ac:dyDescent="0.25">
      <c r="B812" s="7">
        <f t="shared" si="158"/>
        <v>226.24000000000083</v>
      </c>
      <c r="C812" s="9">
        <f t="shared" si="160"/>
        <v>-68.176168059952658</v>
      </c>
      <c r="D812" s="10">
        <f t="shared" si="159"/>
        <v>8.1073928827109731E-2</v>
      </c>
      <c r="E812" s="10">
        <f t="shared" si="153"/>
        <v>8.0882642705120619E-2</v>
      </c>
      <c r="F812" s="10">
        <f t="shared" si="154"/>
        <v>8.0890415019643586E-2</v>
      </c>
      <c r="G812" s="10">
        <f t="shared" si="155"/>
        <v>8.0698873872283611E-2</v>
      </c>
      <c r="H812" s="9">
        <f t="shared" si="156"/>
        <v>-68.153519843772372</v>
      </c>
      <c r="I812" s="8">
        <f t="shared" si="161"/>
        <v>7438.2204956638852</v>
      </c>
      <c r="J812" s="9">
        <f t="shared" si="162"/>
        <v>-68.176168059952658</v>
      </c>
      <c r="K812" s="9">
        <f t="shared" si="163"/>
        <v>-68.153519843772372</v>
      </c>
      <c r="L812" s="8">
        <f t="shared" si="157"/>
        <v>7419.1343393573634</v>
      </c>
      <c r="N812" s="16">
        <f t="shared" si="164"/>
        <v>5.0102399106815385</v>
      </c>
    </row>
    <row r="813" spans="2:14" x14ac:dyDescent="0.25">
      <c r="B813" s="7">
        <f t="shared" si="158"/>
        <v>226.52000000000083</v>
      </c>
      <c r="C813" s="9">
        <f t="shared" si="160"/>
        <v>-68.153519843772372</v>
      </c>
      <c r="D813" s="10">
        <f t="shared" si="159"/>
        <v>8.0699193201911254E-2</v>
      </c>
      <c r="E813" s="10">
        <f t="shared" si="153"/>
        <v>8.0508347609675665E-2</v>
      </c>
      <c r="F813" s="10">
        <f t="shared" si="154"/>
        <v>8.0516104299752603E-2</v>
      </c>
      <c r="G813" s="10">
        <f t="shared" si="155"/>
        <v>8.0325002764967152E-2</v>
      </c>
      <c r="H813" s="9">
        <f t="shared" si="156"/>
        <v>-68.130976432449032</v>
      </c>
      <c r="I813" s="8">
        <f t="shared" si="161"/>
        <v>7419.1343393573634</v>
      </c>
      <c r="J813" s="9">
        <f t="shared" si="162"/>
        <v>-68.153519843772372</v>
      </c>
      <c r="K813" s="9">
        <f t="shared" si="163"/>
        <v>-68.130976432449032</v>
      </c>
      <c r="L813" s="8">
        <f t="shared" si="157"/>
        <v>7400.0545098786924</v>
      </c>
      <c r="N813" s="16">
        <f t="shared" si="164"/>
        <v>5.013380441917473</v>
      </c>
    </row>
    <row r="814" spans="2:14" x14ac:dyDescent="0.25">
      <c r="B814" s="7">
        <f t="shared" si="158"/>
        <v>226.80000000000084</v>
      </c>
      <c r="C814" s="9">
        <f t="shared" si="160"/>
        <v>-68.130976432449032</v>
      </c>
      <c r="D814" s="10">
        <f t="shared" si="159"/>
        <v>8.0325321565207081E-2</v>
      </c>
      <c r="E814" s="10">
        <f t="shared" si="153"/>
        <v>8.0134913051403411E-2</v>
      </c>
      <c r="F814" s="10">
        <f t="shared" si="154"/>
        <v>8.0142654237135527E-2</v>
      </c>
      <c r="G814" s="10">
        <f t="shared" si="155"/>
        <v>7.9951988866394319E-2</v>
      </c>
      <c r="H814" s="9">
        <f t="shared" si="156"/>
        <v>-68.108537585015299</v>
      </c>
      <c r="I814" s="8">
        <f t="shared" si="161"/>
        <v>7400.0545098786924</v>
      </c>
      <c r="J814" s="9">
        <f t="shared" si="162"/>
        <v>-68.130976432449032</v>
      </c>
      <c r="K814" s="9">
        <f t="shared" si="163"/>
        <v>-68.108537585015299</v>
      </c>
      <c r="L814" s="8">
        <f t="shared" si="157"/>
        <v>7380.9809779162479</v>
      </c>
      <c r="N814" s="16">
        <f t="shared" si="164"/>
        <v>5.0165090470202296</v>
      </c>
    </row>
    <row r="815" spans="2:14" x14ac:dyDescent="0.25">
      <c r="B815" s="7">
        <f t="shared" si="158"/>
        <v>227.08000000000084</v>
      </c>
      <c r="C815" s="9">
        <f t="shared" si="160"/>
        <v>-68.108537585015299</v>
      </c>
      <c r="D815" s="10">
        <f t="shared" si="159"/>
        <v>7.9952307141338108E-2</v>
      </c>
      <c r="E815" s="10">
        <f t="shared" si="153"/>
        <v>7.9762332272520609E-2</v>
      </c>
      <c r="F815" s="10">
        <f t="shared" si="154"/>
        <v>7.977005807347505E-2</v>
      </c>
      <c r="G815" s="10">
        <f t="shared" si="155"/>
        <v>7.9579825436074891E-2</v>
      </c>
      <c r="H815" s="9">
        <f t="shared" si="156"/>
        <v>-68.086203062396066</v>
      </c>
      <c r="I815" s="8">
        <f t="shared" si="161"/>
        <v>7380.9809779162479</v>
      </c>
      <c r="J815" s="9">
        <f t="shared" si="162"/>
        <v>-68.108537585015299</v>
      </c>
      <c r="K815" s="9">
        <f t="shared" si="163"/>
        <v>-68.086203062396066</v>
      </c>
      <c r="L815" s="8">
        <f t="shared" si="157"/>
        <v>7361.9137142256104</v>
      </c>
      <c r="N815" s="16">
        <f t="shared" si="164"/>
        <v>5.0196257187421196</v>
      </c>
    </row>
    <row r="816" spans="2:14" x14ac:dyDescent="0.25">
      <c r="B816" s="7">
        <f t="shared" si="158"/>
        <v>227.36000000000084</v>
      </c>
      <c r="C816" s="9">
        <f t="shared" si="160"/>
        <v>-68.086203062396066</v>
      </c>
      <c r="D816" s="10">
        <f t="shared" si="159"/>
        <v>7.9580143189784264E-2</v>
      </c>
      <c r="E816" s="10">
        <f t="shared" si="153"/>
        <v>7.939059855021717E-2</v>
      </c>
      <c r="F816" s="10">
        <f t="shared" si="154"/>
        <v>7.9398309085424446E-2</v>
      </c>
      <c r="G816" s="10">
        <f t="shared" si="155"/>
        <v>7.9208505768280757E-2</v>
      </c>
      <c r="H816" s="9">
        <f t="shared" si="156"/>
        <v>-68.063972627398698</v>
      </c>
      <c r="I816" s="8">
        <f t="shared" si="161"/>
        <v>7361.9137142256104</v>
      </c>
      <c r="J816" s="9">
        <f t="shared" si="162"/>
        <v>-68.086203062396066</v>
      </c>
      <c r="K816" s="9">
        <f t="shared" si="163"/>
        <v>-68.063972627398698</v>
      </c>
      <c r="L816" s="8">
        <f t="shared" si="157"/>
        <v>7342.8526896290396</v>
      </c>
      <c r="N816" s="16">
        <f t="shared" si="164"/>
        <v>5.0227304497992282</v>
      </c>
    </row>
    <row r="817" spans="2:14" x14ac:dyDescent="0.25">
      <c r="B817" s="7">
        <f t="shared" si="158"/>
        <v>227.64000000000084</v>
      </c>
      <c r="C817" s="9">
        <f t="shared" si="160"/>
        <v>-68.063972627398698</v>
      </c>
      <c r="D817" s="10">
        <f t="shared" si="159"/>
        <v>7.9208823004806833E-2</v>
      </c>
      <c r="E817" s="10">
        <f t="shared" si="153"/>
        <v>7.9019705196254217E-2</v>
      </c>
      <c r="F817" s="10">
        <f t="shared" si="154"/>
        <v>7.9027400584224472E-2</v>
      </c>
      <c r="G817" s="10">
        <f t="shared" si="155"/>
        <v>7.8838023191692516E-2</v>
      </c>
      <c r="H817" s="9">
        <f t="shared" si="156"/>
        <v>-68.041846044703348</v>
      </c>
      <c r="I817" s="8">
        <f t="shared" si="161"/>
        <v>7342.8526896290396</v>
      </c>
      <c r="J817" s="9">
        <f t="shared" si="162"/>
        <v>-68.063972627398698</v>
      </c>
      <c r="K817" s="9">
        <f t="shared" si="163"/>
        <v>-68.041846044703348</v>
      </c>
      <c r="L817" s="8">
        <f t="shared" si="157"/>
        <v>7323.797875014945</v>
      </c>
      <c r="N817" s="16">
        <f t="shared" si="164"/>
        <v>5.0258232328713621</v>
      </c>
    </row>
    <row r="818" spans="2:14" x14ac:dyDescent="0.25">
      <c r="B818" s="7">
        <f t="shared" si="158"/>
        <v>227.92000000000084</v>
      </c>
      <c r="C818" s="9">
        <f t="shared" si="160"/>
        <v>-68.041846044703348</v>
      </c>
      <c r="D818" s="10">
        <f t="shared" si="159"/>
        <v>7.8838339915078187E-2</v>
      </c>
      <c r="E818" s="10">
        <f t="shared" si="153"/>
        <v>7.8649645556626402E-2</v>
      </c>
      <c r="F818" s="10">
        <f t="shared" si="154"/>
        <v>7.8657325915356402E-2</v>
      </c>
      <c r="G818" s="10">
        <f t="shared" si="155"/>
        <v>7.8468371069041878E-2</v>
      </c>
      <c r="H818" s="9">
        <f t="shared" si="156"/>
        <v>-68.019823080853371</v>
      </c>
      <c r="I818" s="8">
        <f t="shared" si="161"/>
        <v>7323.797875014945</v>
      </c>
      <c r="J818" s="9">
        <f t="shared" si="162"/>
        <v>-68.041846044703348</v>
      </c>
      <c r="K818" s="9">
        <f t="shared" si="163"/>
        <v>-68.019823080853371</v>
      </c>
      <c r="L818" s="8">
        <f t="shared" si="157"/>
        <v>7304.7492413373675</v>
      </c>
      <c r="N818" s="16">
        <f t="shared" si="164"/>
        <v>5.0289040606019908</v>
      </c>
    </row>
    <row r="819" spans="2:14" x14ac:dyDescent="0.25">
      <c r="B819" s="7">
        <f t="shared" si="158"/>
        <v>228.20000000000084</v>
      </c>
      <c r="C819" s="9">
        <f t="shared" si="160"/>
        <v>-68.019823080853371</v>
      </c>
      <c r="D819" s="10">
        <f t="shared" si="159"/>
        <v>7.8468687283316463E-2</v>
      </c>
      <c r="E819" s="10">
        <f t="shared" si="153"/>
        <v>7.8280413011201547E-2</v>
      </c>
      <c r="F819" s="10">
        <f t="shared" si="154"/>
        <v>7.8288078458165586E-2</v>
      </c>
      <c r="G819" s="10">
        <f t="shared" si="155"/>
        <v>7.8099542796751784E-2</v>
      </c>
      <c r="H819" s="9">
        <f t="shared" si="156"/>
        <v>-67.997903504245826</v>
      </c>
      <c r="I819" s="8">
        <f t="shared" si="161"/>
        <v>7304.7492413373675</v>
      </c>
      <c r="J819" s="9">
        <f t="shared" si="162"/>
        <v>-68.019823080853371</v>
      </c>
      <c r="K819" s="9">
        <f t="shared" si="163"/>
        <v>-67.997903504245826</v>
      </c>
      <c r="L819" s="8">
        <f t="shared" si="157"/>
        <v>7285.7067596154538</v>
      </c>
      <c r="N819" s="16">
        <f t="shared" si="164"/>
        <v>5.0319729255981906</v>
      </c>
    </row>
    <row r="820" spans="2:14" x14ac:dyDescent="0.25">
      <c r="B820" s="7">
        <f t="shared" si="158"/>
        <v>228.48000000000084</v>
      </c>
      <c r="C820" s="9">
        <f t="shared" si="160"/>
        <v>-67.997903504245826</v>
      </c>
      <c r="D820" s="10">
        <f t="shared" si="159"/>
        <v>7.809985850592624E-2</v>
      </c>
      <c r="E820" s="10">
        <f t="shared" si="153"/>
        <v>7.7912000973347662E-2</v>
      </c>
      <c r="F820" s="10">
        <f t="shared" si="154"/>
        <v>7.7919651625509997E-2</v>
      </c>
      <c r="G820" s="10">
        <f t="shared" si="155"/>
        <v>7.7731531804571471E-2</v>
      </c>
      <c r="H820" s="9">
        <f t="shared" si="156"/>
        <v>-67.976087085122103</v>
      </c>
      <c r="I820" s="8">
        <f t="shared" si="161"/>
        <v>7285.7067596154538</v>
      </c>
      <c r="J820" s="9">
        <f t="shared" si="162"/>
        <v>-67.997903504245826</v>
      </c>
      <c r="K820" s="9">
        <f t="shared" si="163"/>
        <v>-67.976087085122103</v>
      </c>
      <c r="L820" s="8">
        <f t="shared" si="157"/>
        <v>7266.6704009329424</v>
      </c>
      <c r="N820" s="16">
        <f t="shared" si="164"/>
        <v>5.0350298204305899</v>
      </c>
    </row>
    <row r="821" spans="2:14" x14ac:dyDescent="0.25">
      <c r="B821" s="7">
        <f t="shared" si="158"/>
        <v>228.76000000000084</v>
      </c>
      <c r="C821" s="9">
        <f t="shared" si="160"/>
        <v>-67.976087085122103</v>
      </c>
      <c r="D821" s="10">
        <f t="shared" si="159"/>
        <v>7.773184701264417E-2</v>
      </c>
      <c r="E821" s="10">
        <f t="shared" si="153"/>
        <v>7.7544402889568972E-2</v>
      </c>
      <c r="F821" s="10">
        <f t="shared" si="154"/>
        <v>7.7552038863406544E-2</v>
      </c>
      <c r="G821" s="10">
        <f t="shared" si="155"/>
        <v>7.7364331555219601E-2</v>
      </c>
      <c r="H821" s="9">
        <f t="shared" si="156"/>
        <v>-67.954373595558664</v>
      </c>
      <c r="I821" s="8">
        <f t="shared" si="161"/>
        <v>7266.6704009329424</v>
      </c>
      <c r="J821" s="9">
        <f t="shared" si="162"/>
        <v>-67.976087085122103</v>
      </c>
      <c r="K821" s="9">
        <f t="shared" si="163"/>
        <v>-67.954373595558664</v>
      </c>
      <c r="L821" s="8">
        <f t="shared" si="157"/>
        <v>7247.640136437647</v>
      </c>
      <c r="N821" s="16">
        <f t="shared" si="164"/>
        <v>5.0380747376333117</v>
      </c>
    </row>
    <row r="822" spans="2:14" x14ac:dyDescent="0.25">
      <c r="B822" s="7">
        <f t="shared" si="158"/>
        <v>229.04000000000084</v>
      </c>
      <c r="C822" s="9">
        <f t="shared" si="160"/>
        <v>-67.954373595558664</v>
      </c>
      <c r="D822" s="10">
        <f t="shared" si="159"/>
        <v>7.7364646266186943E-2</v>
      </c>
      <c r="E822" s="10">
        <f t="shared" si="153"/>
        <v>7.7177612239194629E-2</v>
      </c>
      <c r="F822" s="10">
        <f t="shared" si="154"/>
        <v>7.7185233650669927E-2</v>
      </c>
      <c r="G822" s="10">
        <f t="shared" si="155"/>
        <v>7.6997935544059912E-2</v>
      </c>
      <c r="H822" s="9">
        <f t="shared" si="156"/>
        <v>-67.932762809457799</v>
      </c>
      <c r="I822" s="8">
        <f t="shared" si="161"/>
        <v>7247.640136437647</v>
      </c>
      <c r="J822" s="9">
        <f t="shared" si="162"/>
        <v>-67.954373595558664</v>
      </c>
      <c r="K822" s="9">
        <f t="shared" si="163"/>
        <v>-67.932762809457799</v>
      </c>
      <c r="L822" s="8">
        <f t="shared" si="157"/>
        <v>7228.6159373409446</v>
      </c>
      <c r="N822" s="16">
        <f t="shared" si="164"/>
        <v>5.0411076697039121</v>
      </c>
    </row>
    <row r="823" spans="2:14" x14ac:dyDescent="0.25">
      <c r="B823" s="7">
        <f t="shared" si="158"/>
        <v>229.32000000000085</v>
      </c>
      <c r="C823" s="9">
        <f t="shared" si="160"/>
        <v>-67.932762809457799</v>
      </c>
      <c r="D823" s="10">
        <f t="shared" si="159"/>
        <v>7.6998249761885559E-2</v>
      </c>
      <c r="E823" s="10">
        <f t="shared" si="153"/>
        <v>7.6811622533974014E-2</v>
      </c>
      <c r="F823" s="10">
        <f t="shared" si="154"/>
        <v>7.6819229498569161E-2</v>
      </c>
      <c r="G823" s="10">
        <f t="shared" si="155"/>
        <v>7.6632337298705874E-2</v>
      </c>
      <c r="H823" s="9">
        <f t="shared" si="156"/>
        <v>-67.911254502538597</v>
      </c>
      <c r="I823" s="8">
        <f t="shared" si="161"/>
        <v>7228.6159373409446</v>
      </c>
      <c r="J823" s="9">
        <f t="shared" si="162"/>
        <v>-67.932762809457799</v>
      </c>
      <c r="K823" s="9">
        <f t="shared" si="163"/>
        <v>-67.911254502538597</v>
      </c>
      <c r="L823" s="8">
        <f t="shared" si="157"/>
        <v>7209.5977749172653</v>
      </c>
      <c r="N823" s="16">
        <f t="shared" si="164"/>
        <v>5.0441286091033231</v>
      </c>
    </row>
    <row r="824" spans="2:14" x14ac:dyDescent="0.25">
      <c r="B824" s="7">
        <f t="shared" si="158"/>
        <v>229.60000000000085</v>
      </c>
      <c r="C824" s="9">
        <f t="shared" si="160"/>
        <v>-67.911254502538597</v>
      </c>
      <c r="D824" s="10">
        <f t="shared" si="159"/>
        <v>7.6632651027354906E-2</v>
      </c>
      <c r="E824" s="10">
        <f t="shared" si="153"/>
        <v>7.6446427317769766E-2</v>
      </c>
      <c r="F824" s="10">
        <f t="shared" si="154"/>
        <v>7.6454019950479457E-2</v>
      </c>
      <c r="G824" s="10">
        <f t="shared" si="155"/>
        <v>7.626753037872229E-2</v>
      </c>
      <c r="H824" s="9">
        <f t="shared" si="156"/>
        <v>-67.889848452327939</v>
      </c>
      <c r="I824" s="8">
        <f t="shared" si="161"/>
        <v>7209.5977749172653</v>
      </c>
      <c r="J824" s="9">
        <f t="shared" si="162"/>
        <v>-67.911254502538597</v>
      </c>
      <c r="K824" s="9">
        <f t="shared" si="163"/>
        <v>-67.889848452327939</v>
      </c>
      <c r="L824" s="8">
        <f t="shared" si="157"/>
        <v>7190.5856205035843</v>
      </c>
      <c r="N824" s="16">
        <f t="shared" si="164"/>
        <v>5.0471375482557921</v>
      </c>
    </row>
    <row r="825" spans="2:14" x14ac:dyDescent="0.25">
      <c r="B825" s="7">
        <f t="shared" si="158"/>
        <v>229.88000000000085</v>
      </c>
      <c r="C825" s="9">
        <f t="shared" si="160"/>
        <v>-67.889848452327939</v>
      </c>
      <c r="D825" s="10">
        <f t="shared" si="159"/>
        <v>7.6267843622138259E-2</v>
      </c>
      <c r="E825" s="10">
        <f t="shared" si="153"/>
        <v>7.6082020166206882E-2</v>
      </c>
      <c r="F825" s="10">
        <f t="shared" si="154"/>
        <v>7.6089598581544876E-2</v>
      </c>
      <c r="G825" s="10">
        <f t="shared" si="155"/>
        <v>7.5903508375254877E-2</v>
      </c>
      <c r="H825" s="9">
        <f t="shared" si="156"/>
        <v>-67.868544438151602</v>
      </c>
      <c r="I825" s="8">
        <f t="shared" si="161"/>
        <v>7190.5856205035843</v>
      </c>
      <c r="J825" s="9">
        <f t="shared" si="162"/>
        <v>-67.889848452327939</v>
      </c>
      <c r="K825" s="9">
        <f t="shared" si="163"/>
        <v>-67.868544438151602</v>
      </c>
      <c r="L825" s="8">
        <f t="shared" si="157"/>
        <v>7171.5794454989173</v>
      </c>
      <c r="N825" s="16">
        <f t="shared" si="164"/>
        <v>5.0501344795488192</v>
      </c>
    </row>
    <row r="826" spans="2:14" x14ac:dyDescent="0.25">
      <c r="B826" s="7">
        <f t="shared" si="158"/>
        <v>230.16000000000085</v>
      </c>
      <c r="C826" s="9">
        <f t="shared" si="160"/>
        <v>-67.868544438151602</v>
      </c>
      <c r="D826" s="10">
        <f t="shared" si="159"/>
        <v>7.5903821137375413E-2</v>
      </c>
      <c r="E826" s="10">
        <f t="shared" si="153"/>
        <v>7.5718394686321244E-2</v>
      </c>
      <c r="F826" s="10">
        <f t="shared" si="154"/>
        <v>7.5725958998317855E-2</v>
      </c>
      <c r="G826" s="10">
        <f t="shared" si="155"/>
        <v>7.5540264910699012E-2</v>
      </c>
      <c r="H826" s="9">
        <f t="shared" si="156"/>
        <v>-67.84734224112546</v>
      </c>
      <c r="I826" s="8">
        <f t="shared" si="161"/>
        <v>7171.5794454989173</v>
      </c>
      <c r="J826" s="9">
        <f t="shared" si="162"/>
        <v>-67.868544438151602</v>
      </c>
      <c r="K826" s="9">
        <f t="shared" si="163"/>
        <v>-67.84734224112546</v>
      </c>
      <c r="L826" s="8">
        <f t="shared" si="157"/>
        <v>7152.5792213638188</v>
      </c>
      <c r="N826" s="16">
        <f t="shared" si="164"/>
        <v>5.0531193953331011</v>
      </c>
    </row>
    <row r="827" spans="2:14" x14ac:dyDescent="0.25">
      <c r="B827" s="7">
        <f t="shared" si="158"/>
        <v>230.44000000000085</v>
      </c>
      <c r="C827" s="9">
        <f t="shared" si="160"/>
        <v>-67.84734224112546</v>
      </c>
      <c r="D827" s="10">
        <f t="shared" si="159"/>
        <v>7.5540577195448391E-2</v>
      </c>
      <c r="E827" s="10">
        <f t="shared" si="153"/>
        <v>7.5355544516224629E-2</v>
      </c>
      <c r="F827" s="10">
        <f t="shared" si="154"/>
        <v>7.5363094838454617E-2</v>
      </c>
      <c r="G827" s="10">
        <f t="shared" si="155"/>
        <v>7.5177793638364368E-2</v>
      </c>
      <c r="H827" s="9">
        <f t="shared" si="156"/>
        <v>-67.826241644146776</v>
      </c>
      <c r="I827" s="8">
        <f t="shared" si="161"/>
        <v>7152.5792213638188</v>
      </c>
      <c r="J827" s="9">
        <f t="shared" si="162"/>
        <v>-67.84734224112546</v>
      </c>
      <c r="K827" s="9">
        <f t="shared" si="163"/>
        <v>-67.826241644146776</v>
      </c>
      <c r="L827" s="8">
        <f t="shared" si="157"/>
        <v>7133.5849196198806</v>
      </c>
      <c r="N827" s="16">
        <f t="shared" si="164"/>
        <v>5.0560922879224606</v>
      </c>
    </row>
    <row r="828" spans="2:14" x14ac:dyDescent="0.25">
      <c r="B828" s="7">
        <f t="shared" si="158"/>
        <v>230.72000000000085</v>
      </c>
      <c r="C828" s="9">
        <f t="shared" si="160"/>
        <v>-67.826241644146776</v>
      </c>
      <c r="D828" s="10">
        <f t="shared" si="159"/>
        <v>7.5178105449651464E-2</v>
      </c>
      <c r="E828" s="10">
        <f t="shared" si="153"/>
        <v>7.4993463324775744E-2</v>
      </c>
      <c r="F828" s="10">
        <f t="shared" si="154"/>
        <v>7.5000999770336932E-2</v>
      </c>
      <c r="G828" s="10">
        <f t="shared" si="155"/>
        <v>7.481608824214013E-2</v>
      </c>
      <c r="H828" s="9">
        <f t="shared" si="156"/>
        <v>-67.805242431885617</v>
      </c>
      <c r="I828" s="8">
        <f t="shared" si="161"/>
        <v>7133.5849196198806</v>
      </c>
      <c r="J828" s="9">
        <f t="shared" si="162"/>
        <v>-67.826241644146776</v>
      </c>
      <c r="K828" s="9">
        <f t="shared" si="163"/>
        <v>-67.805242431885617</v>
      </c>
      <c r="L828" s="8">
        <f t="shared" si="157"/>
        <v>7114.5965118492359</v>
      </c>
      <c r="N828" s="16">
        <f t="shared" si="164"/>
        <v>5.0590531495937885</v>
      </c>
    </row>
    <row r="829" spans="2:14" x14ac:dyDescent="0.25">
      <c r="B829" s="7">
        <f t="shared" si="158"/>
        <v>231.00000000000085</v>
      </c>
      <c r="C829" s="9">
        <f t="shared" si="160"/>
        <v>-67.805242431885617</v>
      </c>
      <c r="D829" s="10">
        <f t="shared" si="159"/>
        <v>7.4816399583863158E-2</v>
      </c>
      <c r="E829" s="10">
        <f t="shared" si="153"/>
        <v>7.4632144811244985E-2</v>
      </c>
      <c r="F829" s="10">
        <f t="shared" si="154"/>
        <v>7.4639667492780976E-2</v>
      </c>
      <c r="G829" s="10">
        <f t="shared" si="155"/>
        <v>7.4455142436158944E-2</v>
      </c>
      <c r="H829" s="9">
        <f t="shared" si="156"/>
        <v>-67.784344390776312</v>
      </c>
      <c r="I829" s="8">
        <f t="shared" si="161"/>
        <v>7114.5965118492359</v>
      </c>
      <c r="J829" s="9">
        <f t="shared" si="162"/>
        <v>-67.805242431885617</v>
      </c>
      <c r="K829" s="9">
        <f t="shared" si="163"/>
        <v>-67.784344390776312</v>
      </c>
      <c r="L829" s="8">
        <f t="shared" si="157"/>
        <v>7095.6139696940636</v>
      </c>
      <c r="N829" s="16">
        <f t="shared" si="164"/>
        <v>5.0620019725869785</v>
      </c>
    </row>
    <row r="830" spans="2:14" x14ac:dyDescent="0.25">
      <c r="B830" s="7">
        <f t="shared" si="158"/>
        <v>231.28000000000085</v>
      </c>
      <c r="C830" s="9">
        <f t="shared" si="160"/>
        <v>-67.784344390776312</v>
      </c>
      <c r="D830" s="10">
        <f t="shared" si="159"/>
        <v>7.4455453312207848E-2</v>
      </c>
      <c r="E830" s="10">
        <f t="shared" si="153"/>
        <v>7.4271582704981923E-2</v>
      </c>
      <c r="F830" s="10">
        <f t="shared" si="154"/>
        <v>7.4279091734672398E-2</v>
      </c>
      <c r="G830" s="10">
        <f t="shared" si="155"/>
        <v>7.4094949964481766E-2</v>
      </c>
      <c r="H830" s="9">
        <f t="shared" si="156"/>
        <v>-67.763547309009027</v>
      </c>
      <c r="I830" s="8">
        <f t="shared" si="161"/>
        <v>7095.6139696940636</v>
      </c>
      <c r="J830" s="9">
        <f t="shared" si="162"/>
        <v>-67.784344390776312</v>
      </c>
      <c r="K830" s="9">
        <f t="shared" si="163"/>
        <v>-67.763547309009027</v>
      </c>
      <c r="L830" s="8">
        <f t="shared" si="157"/>
        <v>7076.6372648560937</v>
      </c>
      <c r="N830" s="16">
        <f t="shared" si="164"/>
        <v>5.0649387491048623</v>
      </c>
    </row>
    <row r="831" spans="2:14" x14ac:dyDescent="0.25">
      <c r="B831" s="7">
        <f t="shared" si="158"/>
        <v>231.56000000000085</v>
      </c>
      <c r="C831" s="9">
        <f t="shared" si="160"/>
        <v>-67.763547309009027</v>
      </c>
      <c r="D831" s="10">
        <f t="shared" si="159"/>
        <v>7.4095260378720856E-2</v>
      </c>
      <c r="E831" s="10">
        <f t="shared" si="153"/>
        <v>7.3911770765079432E-2</v>
      </c>
      <c r="F831" s="10">
        <f t="shared" si="154"/>
        <v>7.391926625466233E-2</v>
      </c>
      <c r="G831" s="10">
        <f t="shared" si="155"/>
        <v>7.3735504600741089E-2</v>
      </c>
      <c r="H831" s="9">
        <f t="shared" si="156"/>
        <v>-67.742850976521481</v>
      </c>
      <c r="I831" s="8">
        <f t="shared" si="161"/>
        <v>7076.6372648560937</v>
      </c>
      <c r="J831" s="9">
        <f t="shared" si="162"/>
        <v>-67.763547309009027</v>
      </c>
      <c r="K831" s="9">
        <f t="shared" si="163"/>
        <v>-67.742850976521481</v>
      </c>
      <c r="L831" s="8">
        <f t="shared" si="157"/>
        <v>7057.6663690961195</v>
      </c>
      <c r="N831" s="16">
        <f t="shared" si="164"/>
        <v>5.0678634713131414</v>
      </c>
    </row>
    <row r="832" spans="2:14" x14ac:dyDescent="0.25">
      <c r="B832" s="7">
        <f t="shared" si="158"/>
        <v>231.84000000000086</v>
      </c>
      <c r="C832" s="9">
        <f t="shared" si="160"/>
        <v>-67.742850976521481</v>
      </c>
      <c r="D832" s="10">
        <f t="shared" si="159"/>
        <v>7.3735814557042881E-2</v>
      </c>
      <c r="E832" s="10">
        <f t="shared" si="153"/>
        <v>7.3552702780072116E-2</v>
      </c>
      <c r="F832" s="10">
        <f t="shared" si="154"/>
        <v>7.3560184840842952E-2</v>
      </c>
      <c r="G832" s="10">
        <f t="shared" si="155"/>
        <v>7.3376800147862131E-2</v>
      </c>
      <c r="H832" s="9">
        <f t="shared" si="156"/>
        <v>-67.72225518499063</v>
      </c>
      <c r="I832" s="8">
        <f t="shared" si="161"/>
        <v>7057.6663690961195</v>
      </c>
      <c r="J832" s="9">
        <f t="shared" si="162"/>
        <v>-67.742850976521481</v>
      </c>
      <c r="K832" s="9">
        <f t="shared" si="163"/>
        <v>-67.72225518499063</v>
      </c>
      <c r="L832" s="8">
        <f t="shared" si="157"/>
        <v>7038.7012542335078</v>
      </c>
      <c r="N832" s="16">
        <f t="shared" si="164"/>
        <v>5.0707761313403239</v>
      </c>
    </row>
    <row r="833" spans="2:14" x14ac:dyDescent="0.25">
      <c r="B833" s="7">
        <f t="shared" si="158"/>
        <v>232.12000000000086</v>
      </c>
      <c r="C833" s="9">
        <f t="shared" si="160"/>
        <v>-67.72225518499063</v>
      </c>
      <c r="D833" s="10">
        <f t="shared" si="159"/>
        <v>7.3377109650075115E-2</v>
      </c>
      <c r="E833" s="10">
        <f t="shared" si="153"/>
        <v>7.3194372567587915E-2</v>
      </c>
      <c r="F833" s="10">
        <f t="shared" si="154"/>
        <v>7.3201841310401902E-2</v>
      </c>
      <c r="G833" s="10">
        <f t="shared" si="155"/>
        <v>7.3018830437705684E-2</v>
      </c>
      <c r="H833" s="9">
        <f t="shared" si="156"/>
        <v>-67.701759727824594</v>
      </c>
      <c r="I833" s="8">
        <f t="shared" si="161"/>
        <v>7038.7012542335078</v>
      </c>
      <c r="J833" s="9">
        <f t="shared" si="162"/>
        <v>-67.72225518499063</v>
      </c>
      <c r="K833" s="9">
        <f t="shared" si="163"/>
        <v>-67.701759727824594</v>
      </c>
      <c r="L833" s="8">
        <f t="shared" si="157"/>
        <v>7019.7418921457138</v>
      </c>
      <c r="N833" s="16">
        <f t="shared" si="164"/>
        <v>5.073676721277657</v>
      </c>
    </row>
    <row r="834" spans="2:14" x14ac:dyDescent="0.25">
      <c r="B834" s="7">
        <f t="shared" si="158"/>
        <v>232.40000000000086</v>
      </c>
      <c r="C834" s="9">
        <f t="shared" si="160"/>
        <v>-67.701759727824594</v>
      </c>
      <c r="D834" s="10">
        <f t="shared" si="159"/>
        <v>7.3019139489670537E-2</v>
      </c>
      <c r="E834" s="10">
        <f t="shared" si="153"/>
        <v>7.2836773974061936E-2</v>
      </c>
      <c r="F834" s="10">
        <f t="shared" si="154"/>
        <v>7.2844229509325009E-2</v>
      </c>
      <c r="G834" s="10">
        <f t="shared" si="155"/>
        <v>7.2661589330769355E-2</v>
      </c>
      <c r="H834" s="9">
        <f t="shared" si="156"/>
        <v>-67.681364400154521</v>
      </c>
      <c r="I834" s="8">
        <f t="shared" si="161"/>
        <v>7019.7418921457138</v>
      </c>
      <c r="J834" s="9">
        <f t="shared" si="162"/>
        <v>-67.701759727824594</v>
      </c>
      <c r="K834" s="9">
        <f t="shared" si="163"/>
        <v>-67.681364400154521</v>
      </c>
      <c r="L834" s="8">
        <f t="shared" si="157"/>
        <v>7000.7882547677964</v>
      </c>
      <c r="N834" s="16">
        <f t="shared" si="164"/>
        <v>5.0765652331790534</v>
      </c>
    </row>
    <row r="835" spans="2:14" x14ac:dyDescent="0.25">
      <c r="B835" s="7">
        <f t="shared" si="158"/>
        <v>232.68000000000086</v>
      </c>
      <c r="C835" s="9">
        <f t="shared" si="160"/>
        <v>-67.681364400154521</v>
      </c>
      <c r="D835" s="10">
        <f t="shared" si="159"/>
        <v>7.2661897936306757E-2</v>
      </c>
      <c r="E835" s="10">
        <f t="shared" si="153"/>
        <v>7.2479900874370937E-2</v>
      </c>
      <c r="F835" s="10">
        <f t="shared" si="154"/>
        <v>7.2487343312074806E-2</v>
      </c>
      <c r="G835" s="10">
        <f t="shared" si="155"/>
        <v>7.23050707158477E-2</v>
      </c>
      <c r="H835" s="9">
        <f t="shared" si="156"/>
        <v>-67.661068998826693</v>
      </c>
      <c r="I835" s="8">
        <f t="shared" si="161"/>
        <v>7000.7882547677964</v>
      </c>
      <c r="J835" s="9">
        <f t="shared" si="162"/>
        <v>-67.681364400154521</v>
      </c>
      <c r="K835" s="9">
        <f t="shared" si="163"/>
        <v>-67.661068998826693</v>
      </c>
      <c r="L835" s="8">
        <f t="shared" si="157"/>
        <v>6981.840314091939</v>
      </c>
      <c r="N835" s="16">
        <f t="shared" si="164"/>
        <v>5.0794416590610298</v>
      </c>
    </row>
    <row r="836" spans="2:14" x14ac:dyDescent="0.25">
      <c r="B836" s="7">
        <f t="shared" si="158"/>
        <v>232.96000000000086</v>
      </c>
      <c r="C836" s="9">
        <f t="shared" si="160"/>
        <v>-67.661068998826693</v>
      </c>
      <c r="D836" s="10">
        <f t="shared" si="159"/>
        <v>7.2305378878783952E-2</v>
      </c>
      <c r="E836" s="10">
        <f t="shared" ref="E836:E899" si="165">dvdt($C836+h/2*D836,$I836+(h/2)/2*(2*C836+D836*h/2))</f>
        <v>7.2123747171565028E-2</v>
      </c>
      <c r="F836" s="10">
        <f t="shared" ref="F836:F899" si="166">dvdt($C836+h/2*E836,$I836+(h/2)/2*(2*$C836+E836*h/2))</f>
        <v>7.2131176621272067E-2</v>
      </c>
      <c r="G836" s="10">
        <f t="shared" ref="G836:G899" si="167">dvdt($C836+h*F836,$I836+h/2*(2*$C836+F836*h))</f>
        <v>7.1949268509761549E-2</v>
      </c>
      <c r="H836" s="9">
        <f t="shared" ref="H836:H899" si="168">C836+h/6*(D836+2*E836+2*F836+G836)</f>
        <v>-67.640873322394569</v>
      </c>
      <c r="I836" s="8">
        <f t="shared" si="161"/>
        <v>6981.840314091939</v>
      </c>
      <c r="J836" s="9">
        <f t="shared" si="162"/>
        <v>-67.661068998826693</v>
      </c>
      <c r="K836" s="9">
        <f t="shared" si="163"/>
        <v>-67.640873322394569</v>
      </c>
      <c r="L836" s="8">
        <f t="shared" ref="L836:L899" si="169">I836+h/2*(J836+K836)</f>
        <v>6962.8980421669685</v>
      </c>
      <c r="N836" s="16">
        <f t="shared" si="164"/>
        <v>5.0823059909026318</v>
      </c>
    </row>
    <row r="837" spans="2:14" x14ac:dyDescent="0.25">
      <c r="B837" s="7">
        <f t="shared" ref="B837:B900" si="170">B836+h</f>
        <v>233.24000000000086</v>
      </c>
      <c r="C837" s="9">
        <f t="shared" si="160"/>
        <v>-67.640873322394569</v>
      </c>
      <c r="D837" s="10">
        <f t="shared" si="159"/>
        <v>7.194957623389589E-2</v>
      </c>
      <c r="E837" s="10">
        <f t="shared" si="165"/>
        <v>7.1768306796535938E-2</v>
      </c>
      <c r="F837" s="10">
        <f t="shared" si="166"/>
        <v>7.1775723367381666E-2</v>
      </c>
      <c r="G837" s="10">
        <f t="shared" si="167"/>
        <v>7.159417665699741E-2</v>
      </c>
      <c r="H837" s="9">
        <f t="shared" si="168"/>
        <v>-67.62077717111103</v>
      </c>
      <c r="I837" s="8">
        <f t="shared" si="161"/>
        <v>6962.8980421669685</v>
      </c>
      <c r="J837" s="9">
        <f t="shared" si="162"/>
        <v>-67.640873322394569</v>
      </c>
      <c r="K837" s="9">
        <f t="shared" si="163"/>
        <v>-67.62077717111103</v>
      </c>
      <c r="L837" s="8">
        <f t="shared" si="169"/>
        <v>6943.9614110978773</v>
      </c>
      <c r="N837" s="16">
        <f t="shared" si="164"/>
        <v>5.0851582206453658</v>
      </c>
    </row>
    <row r="838" spans="2:14" x14ac:dyDescent="0.25">
      <c r="B838" s="7">
        <f t="shared" si="170"/>
        <v>233.52000000000086</v>
      </c>
      <c r="C838" s="9">
        <f t="shared" si="160"/>
        <v>-67.62077717111103</v>
      </c>
      <c r="D838" s="10">
        <f t="shared" ref="D838:D901" si="171">dvdt($C838,$I838)</f>
        <v>7.1594483946127302E-2</v>
      </c>
      <c r="E838" s="10">
        <f t="shared" si="165"/>
        <v>7.1413573707693592E-2</v>
      </c>
      <c r="F838" s="10">
        <f t="shared" si="166"/>
        <v>7.1420977508406855E-2</v>
      </c>
      <c r="G838" s="10">
        <f t="shared" si="167"/>
        <v>7.1239789129436418E-2</v>
      </c>
      <c r="H838" s="9">
        <f t="shared" si="168"/>
        <v>-67.600780346920672</v>
      </c>
      <c r="I838" s="8">
        <f t="shared" si="161"/>
        <v>6943.9614110978773</v>
      </c>
      <c r="J838" s="9">
        <f t="shared" si="162"/>
        <v>-67.62077717111103</v>
      </c>
      <c r="K838" s="9">
        <f t="shared" si="163"/>
        <v>-67.600780346920672</v>
      </c>
      <c r="L838" s="8">
        <f t="shared" si="169"/>
        <v>6925.0303930453529</v>
      </c>
      <c r="N838" s="16">
        <f t="shared" si="164"/>
        <v>5.0879983401931268</v>
      </c>
    </row>
    <row r="839" spans="2:14" x14ac:dyDescent="0.25">
      <c r="B839" s="7">
        <f t="shared" si="170"/>
        <v>233.80000000000086</v>
      </c>
      <c r="C839" s="9">
        <f t="shared" si="160"/>
        <v>-67.600780346920672</v>
      </c>
      <c r="D839" s="10">
        <f t="shared" si="171"/>
        <v>7.1240095987346388E-2</v>
      </c>
      <c r="E839" s="10">
        <f t="shared" si="165"/>
        <v>7.1059541890684641E-2</v>
      </c>
      <c r="F839" s="10">
        <f t="shared" si="166"/>
        <v>7.1066933029583321E-2</v>
      </c>
      <c r="G839" s="10">
        <f t="shared" si="167"/>
        <v>7.0886099926027069E-2</v>
      </c>
      <c r="H839" s="9">
        <f t="shared" si="168"/>
        <v>-67.58088265345215</v>
      </c>
      <c r="I839" s="8">
        <f t="shared" si="161"/>
        <v>6925.0303930453529</v>
      </c>
      <c r="J839" s="9">
        <f t="shared" si="162"/>
        <v>-67.600780346920672</v>
      </c>
      <c r="K839" s="9">
        <f t="shared" si="163"/>
        <v>-67.58088265345215</v>
      </c>
      <c r="L839" s="8">
        <f t="shared" si="169"/>
        <v>6906.1049602253006</v>
      </c>
      <c r="N839" s="16">
        <f t="shared" si="164"/>
        <v>5.0908263414121251</v>
      </c>
    </row>
    <row r="840" spans="2:14" x14ac:dyDescent="0.25">
      <c r="B840" s="7">
        <f t="shared" si="170"/>
        <v>234.08000000000087</v>
      </c>
      <c r="C840" s="9">
        <f t="shared" si="160"/>
        <v>-67.58088265345215</v>
      </c>
      <c r="D840" s="10">
        <f t="shared" si="171"/>
        <v>7.0886406356488671E-2</v>
      </c>
      <c r="E840" s="10">
        <f t="shared" si="165"/>
        <v>7.0706205358078242E-2</v>
      </c>
      <c r="F840" s="10">
        <f t="shared" si="166"/>
        <v>7.0713583943064498E-2</v>
      </c>
      <c r="G840" s="10">
        <f t="shared" si="167"/>
        <v>7.0533103072493608E-2</v>
      </c>
      <c r="H840" s="9">
        <f t="shared" si="168"/>
        <v>-67.561083896010686</v>
      </c>
      <c r="I840" s="8">
        <f t="shared" si="161"/>
        <v>6906.1049602253006</v>
      </c>
      <c r="J840" s="9">
        <f t="shared" si="162"/>
        <v>-67.58088265345215</v>
      </c>
      <c r="K840" s="9">
        <f t="shared" si="163"/>
        <v>-67.561083896010686</v>
      </c>
      <c r="L840" s="8">
        <f t="shared" si="169"/>
        <v>6887.1850849083758</v>
      </c>
      <c r="N840" s="16">
        <f t="shared" si="164"/>
        <v>5.0936422161308137</v>
      </c>
    </row>
    <row r="841" spans="2:14" x14ac:dyDescent="0.25">
      <c r="B841" s="7">
        <f t="shared" si="170"/>
        <v>234.36000000000087</v>
      </c>
      <c r="C841" s="9">
        <f t="shared" si="160"/>
        <v>-67.561083896010686</v>
      </c>
      <c r="D841" s="10">
        <f t="shared" si="171"/>
        <v>7.0533409079269541E-2</v>
      </c>
      <c r="E841" s="10">
        <f t="shared" si="165"/>
        <v>7.0353558149048825E-2</v>
      </c>
      <c r="F841" s="10">
        <f t="shared" si="166"/>
        <v>7.0360924287634893E-2</v>
      </c>
      <c r="G841" s="10">
        <f t="shared" si="167"/>
        <v>7.0180792621024071E-2</v>
      </c>
      <c r="H841" s="9">
        <f t="shared" si="168"/>
        <v>-67.541383881570582</v>
      </c>
      <c r="I841" s="8">
        <f t="shared" si="161"/>
        <v>6887.1850849083758</v>
      </c>
      <c r="J841" s="9">
        <f t="shared" si="162"/>
        <v>-67.561083896010686</v>
      </c>
      <c r="K841" s="9">
        <f t="shared" si="163"/>
        <v>-67.541383881570582</v>
      </c>
      <c r="L841" s="8">
        <f t="shared" si="169"/>
        <v>6868.270739419514</v>
      </c>
      <c r="N841" s="16">
        <f t="shared" si="164"/>
        <v>5.0964459561398154</v>
      </c>
    </row>
    <row r="842" spans="2:14" x14ac:dyDescent="0.25">
      <c r="B842" s="7">
        <f t="shared" si="170"/>
        <v>234.64000000000087</v>
      </c>
      <c r="C842" s="9">
        <f t="shared" si="160"/>
        <v>-67.541383881570582</v>
      </c>
      <c r="D842" s="10">
        <f t="shared" si="171"/>
        <v>7.0181098207870815E-2</v>
      </c>
      <c r="E842" s="10">
        <f t="shared" si="165"/>
        <v>7.0001594329103051E-2</v>
      </c>
      <c r="F842" s="10">
        <f t="shared" si="166"/>
        <v>7.0008948128399695E-2</v>
      </c>
      <c r="G842" s="10">
        <f t="shared" si="167"/>
        <v>6.9829162649982332E-2</v>
      </c>
      <c r="H842" s="9">
        <f t="shared" si="168"/>
        <v>-67.521782418767842</v>
      </c>
      <c r="I842" s="8">
        <f t="shared" si="161"/>
        <v>6868.270739419514</v>
      </c>
      <c r="J842" s="9">
        <f t="shared" si="162"/>
        <v>-67.541383881570582</v>
      </c>
      <c r="K842" s="9">
        <f t="shared" si="163"/>
        <v>-67.521782418767842</v>
      </c>
      <c r="L842" s="8">
        <f t="shared" si="169"/>
        <v>6849.3618961374668</v>
      </c>
      <c r="N842" s="16">
        <f t="shared" si="164"/>
        <v>5.0992375531918475</v>
      </c>
    </row>
    <row r="843" spans="2:14" x14ac:dyDescent="0.25">
      <c r="B843" s="7">
        <f t="shared" si="170"/>
        <v>234.92000000000087</v>
      </c>
      <c r="C843" s="9">
        <f t="shared" si="160"/>
        <v>-67.521782418767842</v>
      </c>
      <c r="D843" s="10">
        <f t="shared" si="171"/>
        <v>6.9829467820641547E-2</v>
      </c>
      <c r="E843" s="10">
        <f t="shared" si="165"/>
        <v>6.9650307989753399E-2</v>
      </c>
      <c r="F843" s="10">
        <f t="shared" si="166"/>
        <v>6.9657649556475937E-2</v>
      </c>
      <c r="G843" s="10">
        <f t="shared" si="167"/>
        <v>6.9478207263599864E-2</v>
      </c>
      <c r="H843" s="9">
        <f t="shared" si="168"/>
        <v>-67.502279317892928</v>
      </c>
      <c r="I843" s="8">
        <f t="shared" si="161"/>
        <v>6849.3618961374668</v>
      </c>
      <c r="J843" s="9">
        <f t="shared" si="162"/>
        <v>-67.521782418767842</v>
      </c>
      <c r="K843" s="9">
        <f t="shared" si="163"/>
        <v>-67.502279317892928</v>
      </c>
      <c r="L843" s="8">
        <f t="shared" si="169"/>
        <v>6830.4585274943347</v>
      </c>
      <c r="N843" s="16">
        <f t="shared" si="164"/>
        <v>5.1020169990016466</v>
      </c>
    </row>
    <row r="844" spans="2:14" x14ac:dyDescent="0.25">
      <c r="B844" s="7">
        <f t="shared" si="170"/>
        <v>235.20000000000087</v>
      </c>
      <c r="C844" s="9">
        <f t="shared" si="160"/>
        <v>-67.502279317892928</v>
      </c>
      <c r="D844" s="10">
        <f t="shared" si="171"/>
        <v>6.9478512021803454E-2</v>
      </c>
      <c r="E844" s="10">
        <f t="shared" si="165"/>
        <v>6.9299693248243824E-2</v>
      </c>
      <c r="F844" s="10">
        <f t="shared" si="166"/>
        <v>6.9307022688722061E-2</v>
      </c>
      <c r="G844" s="10">
        <f t="shared" si="167"/>
        <v>6.9127920591685946E-2</v>
      </c>
      <c r="H844" s="9">
        <f t="shared" si="168"/>
        <v>-67.482874390883509</v>
      </c>
      <c r="I844" s="8">
        <f t="shared" si="161"/>
        <v>6830.4585274943347</v>
      </c>
      <c r="J844" s="9">
        <f t="shared" si="162"/>
        <v>-67.502279317892928</v>
      </c>
      <c r="K844" s="9">
        <f t="shared" si="163"/>
        <v>-67.482874390883509</v>
      </c>
      <c r="L844" s="8">
        <f t="shared" si="169"/>
        <v>6811.5606059751062</v>
      </c>
      <c r="N844" s="16">
        <f t="shared" si="164"/>
        <v>5.1047842852458887</v>
      </c>
    </row>
    <row r="845" spans="2:14" x14ac:dyDescent="0.25">
      <c r="B845" s="7">
        <f t="shared" si="170"/>
        <v>235.48000000000087</v>
      </c>
      <c r="C845" s="9">
        <f t="shared" si="160"/>
        <v>-67.482874390883509</v>
      </c>
      <c r="D845" s="10">
        <f t="shared" si="171"/>
        <v>6.912822494115678E-2</v>
      </c>
      <c r="E845" s="10">
        <f t="shared" si="165"/>
        <v>6.8949744247232936E-2</v>
      </c>
      <c r="F845" s="10">
        <f t="shared" si="166"/>
        <v>6.8957061667422492E-2</v>
      </c>
      <c r="G845" s="10">
        <f t="shared" si="167"/>
        <v>6.8778296789338625E-2</v>
      </c>
      <c r="H845" s="9">
        <f t="shared" si="168"/>
        <v>-67.463567451317388</v>
      </c>
      <c r="I845" s="8">
        <f t="shared" si="161"/>
        <v>6811.5606059751062</v>
      </c>
      <c r="J845" s="9">
        <f t="shared" si="162"/>
        <v>-67.482874390883509</v>
      </c>
      <c r="K845" s="9">
        <f t="shared" si="163"/>
        <v>-67.463567451317388</v>
      </c>
      <c r="L845" s="8">
        <f t="shared" si="169"/>
        <v>6792.6681041171978</v>
      </c>
      <c r="N845" s="16">
        <f t="shared" si="164"/>
        <v>5.1075394035631181</v>
      </c>
    </row>
    <row r="846" spans="2:14" x14ac:dyDescent="0.25">
      <c r="B846" s="7">
        <f t="shared" si="170"/>
        <v>235.76000000000087</v>
      </c>
      <c r="C846" s="9">
        <f t="shared" si="160"/>
        <v>-67.463567451317388</v>
      </c>
      <c r="D846" s="10">
        <f t="shared" si="171"/>
        <v>6.8778600733789691E-2</v>
      </c>
      <c r="E846" s="10">
        <f t="shared" si="165"/>
        <v>6.8600455154535667E-2</v>
      </c>
      <c r="F846" s="10">
        <f t="shared" si="166"/>
        <v>6.8607760660001946E-2</v>
      </c>
      <c r="G846" s="10">
        <f t="shared" si="167"/>
        <v>6.8429330036642921E-2</v>
      </c>
      <c r="H846" s="9">
        <f t="shared" si="168"/>
        <v>-67.444358314405406</v>
      </c>
      <c r="I846" s="8">
        <f t="shared" si="161"/>
        <v>6792.6681041171978</v>
      </c>
      <c r="J846" s="9">
        <f t="shared" si="162"/>
        <v>-67.463567451317388</v>
      </c>
      <c r="K846" s="9">
        <f t="shared" si="163"/>
        <v>-67.444358314405406</v>
      </c>
      <c r="L846" s="8">
        <f t="shared" si="169"/>
        <v>6773.7809945099962</v>
      </c>
      <c r="N846" s="16">
        <f t="shared" si="164"/>
        <v>5.1102823455536646</v>
      </c>
    </row>
    <row r="847" spans="2:14" x14ac:dyDescent="0.25">
      <c r="B847" s="7">
        <f t="shared" si="170"/>
        <v>236.04000000000087</v>
      </c>
      <c r="C847" s="9">
        <f t="shared" si="160"/>
        <v>-67.444358314405406</v>
      </c>
      <c r="D847" s="10">
        <f t="shared" si="171"/>
        <v>6.8429633579772206E-2</v>
      </c>
      <c r="E847" s="10">
        <f t="shared" si="165"/>
        <v>6.8251820162798391E-2</v>
      </c>
      <c r="F847" s="10">
        <f t="shared" si="166"/>
        <v>6.8259113858740325E-2</v>
      </c>
      <c r="G847" s="10">
        <f t="shared" si="167"/>
        <v>6.8081014538387025E-2</v>
      </c>
      <c r="H847" s="9">
        <f t="shared" si="168"/>
        <v>-67.425246796984553</v>
      </c>
      <c r="I847" s="8">
        <f t="shared" si="161"/>
        <v>6773.7809945099962</v>
      </c>
      <c r="J847" s="9">
        <f t="shared" si="162"/>
        <v>-67.444358314405406</v>
      </c>
      <c r="K847" s="9">
        <f t="shared" si="163"/>
        <v>-67.425246796984553</v>
      </c>
      <c r="L847" s="8">
        <f t="shared" si="169"/>
        <v>6754.8992497944018</v>
      </c>
      <c r="N847" s="16">
        <f t="shared" si="164"/>
        <v>5.113013102779564</v>
      </c>
    </row>
    <row r="848" spans="2:14" x14ac:dyDescent="0.25">
      <c r="B848" s="7">
        <f t="shared" si="170"/>
        <v>236.32000000000087</v>
      </c>
      <c r="C848" s="9">
        <f t="shared" si="160"/>
        <v>-67.425246796984553</v>
      </c>
      <c r="D848" s="10">
        <f t="shared" si="171"/>
        <v>6.8081317683898468E-2</v>
      </c>
      <c r="E848" s="10">
        <f t="shared" si="165"/>
        <v>6.7903833489232068E-2</v>
      </c>
      <c r="F848" s="10">
        <f t="shared" si="166"/>
        <v>6.7911115480479678E-2</v>
      </c>
      <c r="G848" s="10">
        <f t="shared" si="167"/>
        <v>6.7733344523797673E-2</v>
      </c>
      <c r="H848" s="9">
        <f t="shared" si="168"/>
        <v>-67.406232717511017</v>
      </c>
      <c r="I848" s="8">
        <f t="shared" si="161"/>
        <v>6754.8992497944018</v>
      </c>
      <c r="J848" s="9">
        <f t="shared" si="162"/>
        <v>-67.425246796984553</v>
      </c>
      <c r="K848" s="9">
        <f t="shared" si="163"/>
        <v>-67.406232717511017</v>
      </c>
      <c r="L848" s="8">
        <f t="shared" si="169"/>
        <v>6736.0228426623726</v>
      </c>
      <c r="N848" s="16">
        <f t="shared" si="164"/>
        <v>5.1157316667644848</v>
      </c>
    </row>
    <row r="849" spans="2:14" x14ac:dyDescent="0.25">
      <c r="B849" s="7">
        <f t="shared" si="170"/>
        <v>236.60000000000088</v>
      </c>
      <c r="C849" s="9">
        <f t="shared" si="160"/>
        <v>-67.406232717511017</v>
      </c>
      <c r="D849" s="10">
        <f t="shared" si="171"/>
        <v>6.7733647275365141E-2</v>
      </c>
      <c r="E849" s="10">
        <f t="shared" si="165"/>
        <v>6.7556489375322326E-2</v>
      </c>
      <c r="F849" s="10">
        <f t="shared" si="166"/>
        <v>6.7563759766336995E-2</v>
      </c>
      <c r="G849" s="10">
        <f t="shared" si="167"/>
        <v>6.7386314246208334E-2</v>
      </c>
      <c r="H849" s="9">
        <f t="shared" si="168"/>
        <v>-67.387315896053451</v>
      </c>
      <c r="I849" s="8">
        <f t="shared" si="161"/>
        <v>6736.0228426623726</v>
      </c>
      <c r="J849" s="9">
        <f t="shared" si="162"/>
        <v>-67.406232717511017</v>
      </c>
      <c r="K849" s="9">
        <f t="shared" si="163"/>
        <v>-67.387315896053451</v>
      </c>
      <c r="L849" s="8">
        <f t="shared" si="169"/>
        <v>6717.1517458564731</v>
      </c>
      <c r="N849" s="16">
        <f t="shared" si="164"/>
        <v>5.1184380289936398</v>
      </c>
    </row>
    <row r="850" spans="2:14" x14ac:dyDescent="0.25">
      <c r="B850" s="7">
        <f t="shared" si="170"/>
        <v>236.88000000000088</v>
      </c>
      <c r="C850" s="9">
        <f t="shared" si="160"/>
        <v>-67.387315896053451</v>
      </c>
      <c r="D850" s="10">
        <f t="shared" si="171"/>
        <v>6.7386616607511315E-2</v>
      </c>
      <c r="E850" s="10">
        <f t="shared" si="165"/>
        <v>6.7209782086553205E-2</v>
      </c>
      <c r="F850" s="10">
        <f t="shared" si="166"/>
        <v>6.7217040981434523E-2</v>
      </c>
      <c r="G850" s="10">
        <f t="shared" si="167"/>
        <v>6.7039917982822383E-2</v>
      </c>
      <c r="H850" s="9">
        <f t="shared" si="168"/>
        <v>-67.36849615428622</v>
      </c>
      <c r="I850" s="8">
        <f t="shared" si="161"/>
        <v>6717.1517458564731</v>
      </c>
      <c r="J850" s="9">
        <f t="shared" si="162"/>
        <v>-67.387315896053451</v>
      </c>
      <c r="K850" s="9">
        <f t="shared" si="163"/>
        <v>-67.36849615428622</v>
      </c>
      <c r="L850" s="8">
        <f t="shared" si="169"/>
        <v>6698.2859321694259</v>
      </c>
      <c r="N850" s="16">
        <f t="shared" si="164"/>
        <v>5.1211321809137083</v>
      </c>
    </row>
    <row r="851" spans="2:14" x14ac:dyDescent="0.25">
      <c r="B851" s="7">
        <f t="shared" si="170"/>
        <v>237.16000000000088</v>
      </c>
      <c r="C851" s="9">
        <f t="shared" si="160"/>
        <v>-67.36849615428622</v>
      </c>
      <c r="D851" s="10">
        <f t="shared" si="171"/>
        <v>6.7040219957527875E-2</v>
      </c>
      <c r="E851" s="10">
        <f t="shared" si="165"/>
        <v>6.6863705912100307E-2</v>
      </c>
      <c r="F851" s="10">
        <f t="shared" si="166"/>
        <v>6.687095341460135E-2</v>
      </c>
      <c r="G851" s="10">
        <f t="shared" si="167"/>
        <v>6.66941500344123E-2</v>
      </c>
      <c r="H851" s="9">
        <f t="shared" si="168"/>
        <v>-67.349773315482764</v>
      </c>
      <c r="I851" s="8">
        <f t="shared" si="161"/>
        <v>6698.2859321694259</v>
      </c>
      <c r="J851" s="9">
        <f t="shared" si="162"/>
        <v>-67.36849615428622</v>
      </c>
      <c r="K851" s="9">
        <f t="shared" si="163"/>
        <v>-67.349773315482764</v>
      </c>
      <c r="L851" s="8">
        <f t="shared" si="169"/>
        <v>6679.4253744436583</v>
      </c>
      <c r="N851" s="16">
        <f t="shared" si="164"/>
        <v>5.1238141139327542</v>
      </c>
    </row>
    <row r="852" spans="2:14" x14ac:dyDescent="0.25">
      <c r="B852" s="7">
        <f t="shared" si="170"/>
        <v>237.44000000000088</v>
      </c>
      <c r="C852" s="9">
        <f t="shared" si="160"/>
        <v>-67.349773315482764</v>
      </c>
      <c r="D852" s="10">
        <f t="shared" si="171"/>
        <v>6.6694451626175391E-2</v>
      </c>
      <c r="E852" s="10">
        <f t="shared" si="165"/>
        <v>6.6518255164590381E-2</v>
      </c>
      <c r="F852" s="10">
        <f t="shared" si="166"/>
        <v>6.6525491378103735E-2</v>
      </c>
      <c r="G852" s="10">
        <f t="shared" si="167"/>
        <v>6.6349004725046665E-2</v>
      </c>
      <c r="H852" s="9">
        <f t="shared" si="168"/>
        <v>-67.331147204509051</v>
      </c>
      <c r="I852" s="8">
        <f t="shared" si="161"/>
        <v>6679.4253744436583</v>
      </c>
      <c r="J852" s="9">
        <f t="shared" si="162"/>
        <v>-67.349773315482764</v>
      </c>
      <c r="K852" s="9">
        <f t="shared" si="163"/>
        <v>-67.331147204509051</v>
      </c>
      <c r="L852" s="8">
        <f t="shared" si="169"/>
        <v>6660.5700455708593</v>
      </c>
      <c r="N852" s="16">
        <f t="shared" si="164"/>
        <v>5.1264838194201419</v>
      </c>
    </row>
    <row r="853" spans="2:14" x14ac:dyDescent="0.25">
      <c r="B853" s="7">
        <f t="shared" si="170"/>
        <v>237.72000000000088</v>
      </c>
      <c r="C853" s="9">
        <f t="shared" si="160"/>
        <v>-67.331147204509051</v>
      </c>
      <c r="D853" s="10">
        <f t="shared" si="171"/>
        <v>6.634930593751133E-2</v>
      </c>
      <c r="E853" s="10">
        <f t="shared" si="165"/>
        <v>6.6173424179786833E-2</v>
      </c>
      <c r="F853" s="10">
        <f t="shared" si="166"/>
        <v>6.6180649207364842E-2</v>
      </c>
      <c r="G853" s="10">
        <f t="shared" si="167"/>
        <v>6.6004476401795922E-2</v>
      </c>
      <c r="H853" s="9">
        <f t="shared" si="168"/>
        <v>-67.312617647817078</v>
      </c>
      <c r="I853" s="8">
        <f t="shared" si="161"/>
        <v>6660.5700455708593</v>
      </c>
      <c r="J853" s="9">
        <f t="shared" si="162"/>
        <v>-67.331147204509051</v>
      </c>
      <c r="K853" s="9">
        <f t="shared" si="163"/>
        <v>-67.312617647817078</v>
      </c>
      <c r="L853" s="8">
        <f t="shared" si="169"/>
        <v>6641.7199184915335</v>
      </c>
      <c r="N853" s="16">
        <f t="shared" si="164"/>
        <v>5.1291412887064531</v>
      </c>
    </row>
    <row r="854" spans="2:14" x14ac:dyDescent="0.25">
      <c r="B854" s="7">
        <f t="shared" si="170"/>
        <v>238.00000000000088</v>
      </c>
      <c r="C854" s="9">
        <f t="shared" si="160"/>
        <v>-67.312617647817078</v>
      </c>
      <c r="D854" s="10">
        <f t="shared" si="171"/>
        <v>6.6004777238607634E-2</v>
      </c>
      <c r="E854" s="10">
        <f t="shared" si="165"/>
        <v>6.5829207316342814E-2</v>
      </c>
      <c r="F854" s="10">
        <f t="shared" si="166"/>
        <v>6.5836421260685535E-2</v>
      </c>
      <c r="G854" s="10">
        <f t="shared" si="167"/>
        <v>6.5660559434491506E-2</v>
      </c>
      <c r="H854" s="9">
        <f t="shared" si="168"/>
        <v>-67.294184473438477</v>
      </c>
      <c r="I854" s="8">
        <f t="shared" si="161"/>
        <v>6641.7199184915335</v>
      </c>
      <c r="J854" s="9">
        <f t="shared" si="162"/>
        <v>-67.312617647817078</v>
      </c>
      <c r="K854" s="9">
        <f t="shared" si="163"/>
        <v>-67.294184473438477</v>
      </c>
      <c r="L854" s="8">
        <f t="shared" si="169"/>
        <v>6622.8749661945576</v>
      </c>
      <c r="N854" s="16">
        <f t="shared" si="164"/>
        <v>5.1317865130834015</v>
      </c>
    </row>
    <row r="855" spans="2:14" x14ac:dyDescent="0.25">
      <c r="B855" s="7">
        <f t="shared" si="170"/>
        <v>238.28000000000088</v>
      </c>
      <c r="C855" s="9">
        <f t="shared" si="160"/>
        <v>-67.294184473438477</v>
      </c>
      <c r="D855" s="10">
        <f t="shared" si="171"/>
        <v>6.5660859899280319E-2</v>
      </c>
      <c r="E855" s="10">
        <f t="shared" si="165"/>
        <v>6.548559895550643E-2</v>
      </c>
      <c r="F855" s="10">
        <f t="shared" si="166"/>
        <v>6.5492801918985821E-2</v>
      </c>
      <c r="G855" s="10">
        <f t="shared" si="167"/>
        <v>6.5317248215430959E-2</v>
      </c>
      <c r="H855" s="9">
        <f t="shared" si="168"/>
        <v>-67.275847510978167</v>
      </c>
      <c r="I855" s="8">
        <f t="shared" si="161"/>
        <v>6622.8749661945576</v>
      </c>
      <c r="J855" s="9">
        <f t="shared" si="162"/>
        <v>-67.294184473438477</v>
      </c>
      <c r="K855" s="9">
        <f t="shared" si="163"/>
        <v>-67.275847510978167</v>
      </c>
      <c r="L855" s="8">
        <f t="shared" si="169"/>
        <v>6604.0351617167389</v>
      </c>
      <c r="N855" s="16">
        <f t="shared" si="164"/>
        <v>5.1344194838037467</v>
      </c>
    </row>
    <row r="856" spans="2:14" x14ac:dyDescent="0.25">
      <c r="B856" s="7">
        <f t="shared" si="170"/>
        <v>238.56000000000088</v>
      </c>
      <c r="C856" s="9">
        <f t="shared" ref="C856:C919" si="172">H855</f>
        <v>-67.275847510978167</v>
      </c>
      <c r="D856" s="10">
        <f t="shared" si="171"/>
        <v>6.5317548311810733E-2</v>
      </c>
      <c r="E856" s="10">
        <f t="shared" si="165"/>
        <v>6.5142593500857451E-2</v>
      </c>
      <c r="F856" s="10">
        <f t="shared" si="166"/>
        <v>6.5149785585508643E-2</v>
      </c>
      <c r="G856" s="10">
        <f t="shared" si="167"/>
        <v>6.4974537159091322E-2</v>
      </c>
      <c r="H856" s="9">
        <f t="shared" si="168"/>
        <v>-67.257606591608138</v>
      </c>
      <c r="I856" s="8">
        <f t="shared" ref="I856:I919" si="173">L855</f>
        <v>6604.0351617167389</v>
      </c>
      <c r="J856" s="9">
        <f t="shared" ref="J856:J919" si="174">C856</f>
        <v>-67.275847510978167</v>
      </c>
      <c r="K856" s="9">
        <f t="shared" ref="K856:K919" si="175">H856</f>
        <v>-67.257606591608138</v>
      </c>
      <c r="L856" s="8">
        <f t="shared" si="169"/>
        <v>6585.2004781423766</v>
      </c>
      <c r="N856" s="16">
        <f t="shared" ref="N856:N919" si="176">C_y(I856)</f>
        <v>5.1370401920812085</v>
      </c>
    </row>
    <row r="857" spans="2:14" x14ac:dyDescent="0.25">
      <c r="B857" s="7">
        <f t="shared" si="170"/>
        <v>238.84000000000088</v>
      </c>
      <c r="C857" s="9">
        <f t="shared" si="172"/>
        <v>-67.257606591608138</v>
      </c>
      <c r="D857" s="10">
        <f t="shared" si="171"/>
        <v>6.497483689068638E-2</v>
      </c>
      <c r="E857" s="10">
        <f t="shared" si="165"/>
        <v>6.4800185378045327E-2</v>
      </c>
      <c r="F857" s="10">
        <f t="shared" si="166"/>
        <v>6.4807366685566956E-2</v>
      </c>
      <c r="G857" s="10">
        <f t="shared" si="167"/>
        <v>6.4632420701908042E-2</v>
      </c>
      <c r="H857" s="9">
        <f t="shared" si="168"/>
        <v>-67.239461548061215</v>
      </c>
      <c r="I857" s="8">
        <f t="shared" si="173"/>
        <v>6585.2004781423766</v>
      </c>
      <c r="J857" s="9">
        <f t="shared" si="174"/>
        <v>-67.257606591608138</v>
      </c>
      <c r="K857" s="9">
        <f t="shared" si="175"/>
        <v>-67.239461548061215</v>
      </c>
      <c r="L857" s="8">
        <f t="shared" si="169"/>
        <v>6566.3708886028226</v>
      </c>
      <c r="N857" s="16">
        <f t="shared" si="176"/>
        <v>5.1396486290903791</v>
      </c>
    </row>
    <row r="858" spans="2:14" x14ac:dyDescent="0.25">
      <c r="B858" s="7">
        <f t="shared" si="170"/>
        <v>239.12000000000089</v>
      </c>
      <c r="C858" s="9">
        <f t="shared" si="172"/>
        <v>-67.239461548061215</v>
      </c>
      <c r="D858" s="10">
        <f t="shared" si="171"/>
        <v>6.4632720072316352E-2</v>
      </c>
      <c r="E858" s="10">
        <f t="shared" si="165"/>
        <v>6.4458369034500501E-2</v>
      </c>
      <c r="F858" s="10">
        <f t="shared" si="166"/>
        <v>6.4465539666280838E-2</v>
      </c>
      <c r="G858" s="10">
        <f t="shared" si="167"/>
        <v>6.4290893301958169E-2</v>
      </c>
      <c r="H858" s="9">
        <f t="shared" si="168"/>
        <v>-67.221412214625005</v>
      </c>
      <c r="I858" s="8">
        <f t="shared" si="173"/>
        <v>6566.3708886028226</v>
      </c>
      <c r="J858" s="9">
        <f t="shared" si="174"/>
        <v>-67.239461548061215</v>
      </c>
      <c r="K858" s="9">
        <f t="shared" si="175"/>
        <v>-67.221412214625005</v>
      </c>
      <c r="L858" s="8">
        <f t="shared" si="169"/>
        <v>6547.5463662760467</v>
      </c>
      <c r="N858" s="16">
        <f t="shared" si="176"/>
        <v>5.1422447859666356</v>
      </c>
    </row>
    <row r="859" spans="2:14" x14ac:dyDescent="0.25">
      <c r="B859" s="7">
        <f t="shared" si="170"/>
        <v>239.40000000000089</v>
      </c>
      <c r="C859" s="9">
        <f t="shared" si="172"/>
        <v>-67.221412214625005</v>
      </c>
      <c r="D859" s="10">
        <f t="shared" si="171"/>
        <v>6.4291192314773857E-2</v>
      </c>
      <c r="E859" s="10">
        <f t="shared" si="165"/>
        <v>6.4117138939195864E-2</v>
      </c>
      <c r="F859" s="10">
        <f t="shared" si="166"/>
        <v>6.4124298996288936E-2</v>
      </c>
      <c r="G859" s="10">
        <f t="shared" si="167"/>
        <v>6.39499494387155E-2</v>
      </c>
      <c r="H859" s="9">
        <f t="shared" si="168"/>
        <v>-67.203458427135857</v>
      </c>
      <c r="I859" s="8">
        <f t="shared" si="173"/>
        <v>6547.5463662760467</v>
      </c>
      <c r="J859" s="9">
        <f t="shared" si="174"/>
        <v>-67.221412214625005</v>
      </c>
      <c r="K859" s="9">
        <f t="shared" si="175"/>
        <v>-67.203458427135857</v>
      </c>
      <c r="L859" s="8">
        <f t="shared" si="169"/>
        <v>6528.7268843862003</v>
      </c>
      <c r="N859" s="16">
        <f t="shared" si="176"/>
        <v>5.1448286538060488</v>
      </c>
    </row>
    <row r="860" spans="2:14" x14ac:dyDescent="0.25">
      <c r="B860" s="7">
        <f t="shared" si="170"/>
        <v>239.68000000000089</v>
      </c>
      <c r="C860" s="9">
        <f t="shared" si="172"/>
        <v>-67.203458427135857</v>
      </c>
      <c r="D860" s="10">
        <f t="shared" si="171"/>
        <v>6.3950248097536397E-2</v>
      </c>
      <c r="E860" s="10">
        <f t="shared" si="165"/>
        <v>6.37764895823619E-2</v>
      </c>
      <c r="F860" s="10">
        <f t="shared" si="166"/>
        <v>6.378363916549866E-2</v>
      </c>
      <c r="G860" s="10">
        <f t="shared" si="167"/>
        <v>6.3609583612804749E-2</v>
      </c>
      <c r="H860" s="9">
        <f t="shared" si="168"/>
        <v>-67.185600022972906</v>
      </c>
      <c r="I860" s="8">
        <f t="shared" si="173"/>
        <v>6528.7268843862003</v>
      </c>
      <c r="J860" s="9">
        <f t="shared" si="174"/>
        <v>-67.203458427135857</v>
      </c>
      <c r="K860" s="9">
        <f t="shared" si="175"/>
        <v>-67.185600022972906</v>
      </c>
      <c r="L860" s="8">
        <f t="shared" si="169"/>
        <v>6509.9124162031849</v>
      </c>
      <c r="N860" s="16">
        <f t="shared" si="176"/>
        <v>5.147400223665298</v>
      </c>
    </row>
    <row r="861" spans="2:14" x14ac:dyDescent="0.25">
      <c r="B861" s="7">
        <f t="shared" si="170"/>
        <v>239.96000000000089</v>
      </c>
      <c r="C861" s="9">
        <f t="shared" si="172"/>
        <v>-67.185600022972906</v>
      </c>
      <c r="D861" s="10">
        <f t="shared" si="171"/>
        <v>6.3609881921208852E-2</v>
      </c>
      <c r="E861" s="10">
        <f t="shared" si="165"/>
        <v>6.3436415475219832E-2</v>
      </c>
      <c r="F861" s="10">
        <f t="shared" si="166"/>
        <v>6.344355468483874E-2</v>
      </c>
      <c r="G861" s="10">
        <f t="shared" si="167"/>
        <v>6.3269790345707386E-2</v>
      </c>
      <c r="H861" s="9">
        <f t="shared" si="168"/>
        <v>-67.167836841052178</v>
      </c>
      <c r="I861" s="8">
        <f t="shared" si="173"/>
        <v>6509.9124162031849</v>
      </c>
      <c r="J861" s="9">
        <f t="shared" si="174"/>
        <v>-67.185600022972906</v>
      </c>
      <c r="K861" s="9">
        <f t="shared" si="175"/>
        <v>-67.167836841052178</v>
      </c>
      <c r="L861" s="8">
        <f t="shared" si="169"/>
        <v>6491.1029350422214</v>
      </c>
      <c r="N861" s="16">
        <f t="shared" si="176"/>
        <v>5.1499594865615732</v>
      </c>
    </row>
    <row r="862" spans="2:14" x14ac:dyDescent="0.25">
      <c r="B862" s="7">
        <f t="shared" si="170"/>
        <v>240.24000000000089</v>
      </c>
      <c r="C862" s="9">
        <f t="shared" si="172"/>
        <v>-67.167836841052178</v>
      </c>
      <c r="D862" s="10">
        <f t="shared" si="171"/>
        <v>6.3270088307268699E-2</v>
      </c>
      <c r="E862" s="10">
        <f t="shared" si="165"/>
        <v>6.30969111497445E-2</v>
      </c>
      <c r="F862" s="10">
        <f t="shared" si="166"/>
        <v>6.3104040085956631E-2</v>
      </c>
      <c r="G862" s="10">
        <f t="shared" si="167"/>
        <v>6.2930564179521933E-2</v>
      </c>
      <c r="H862" s="9">
        <f t="shared" si="168"/>
        <v>-67.150168721820791</v>
      </c>
      <c r="I862" s="8">
        <f t="shared" si="173"/>
        <v>6491.1029350422214</v>
      </c>
      <c r="J862" s="9">
        <f t="shared" si="174"/>
        <v>-67.167836841052178</v>
      </c>
      <c r="K862" s="9">
        <f t="shared" si="175"/>
        <v>-67.150168721820791</v>
      </c>
      <c r="L862" s="8">
        <f t="shared" si="169"/>
        <v>6472.2984142634195</v>
      </c>
      <c r="N862" s="16">
        <f t="shared" si="176"/>
        <v>5.1525064334724897</v>
      </c>
    </row>
    <row r="863" spans="2:14" x14ac:dyDescent="0.25">
      <c r="B863" s="7">
        <f t="shared" si="170"/>
        <v>240.52000000000089</v>
      </c>
      <c r="C863" s="9">
        <f t="shared" si="172"/>
        <v>-67.150168721820791</v>
      </c>
      <c r="D863" s="10">
        <f t="shared" si="171"/>
        <v>6.2930861797802079E-2</v>
      </c>
      <c r="E863" s="10">
        <f t="shared" si="165"/>
        <v>6.2757971158380499E-2</v>
      </c>
      <c r="F863" s="10">
        <f t="shared" si="166"/>
        <v>6.2765089921005032E-2</v>
      </c>
      <c r="G863" s="10">
        <f t="shared" si="167"/>
        <v>6.2591899676692875E-2</v>
      </c>
      <c r="H863" s="9">
        <f t="shared" si="168"/>
        <v>-67.132595507251239</v>
      </c>
      <c r="I863" s="8">
        <f t="shared" si="173"/>
        <v>6472.2984142634195</v>
      </c>
      <c r="J863" s="9">
        <f t="shared" si="174"/>
        <v>-67.150168721820791</v>
      </c>
      <c r="K863" s="9">
        <f t="shared" si="175"/>
        <v>-67.132595507251239</v>
      </c>
      <c r="L863" s="8">
        <f t="shared" si="169"/>
        <v>6453.4988272713499</v>
      </c>
      <c r="N863" s="16">
        <f t="shared" si="176"/>
        <v>5.1550410553359924</v>
      </c>
    </row>
    <row r="864" spans="2:14" x14ac:dyDescent="0.25">
      <c r="B864" s="7">
        <f t="shared" si="170"/>
        <v>240.80000000000089</v>
      </c>
      <c r="C864" s="9">
        <f t="shared" si="172"/>
        <v>-67.132595507251239</v>
      </c>
      <c r="D864" s="10">
        <f t="shared" si="171"/>
        <v>6.2592196955253657E-2</v>
      </c>
      <c r="E864" s="10">
        <f t="shared" si="165"/>
        <v>6.2419590073798027E-2</v>
      </c>
      <c r="F864" s="10">
        <f t="shared" si="166"/>
        <v>6.2426698762342608E-2</v>
      </c>
      <c r="G864" s="10">
        <f t="shared" si="167"/>
        <v>6.2253791419768542E-2</v>
      </c>
      <c r="H864" s="9">
        <f t="shared" si="168"/>
        <v>-67.115117040835699</v>
      </c>
      <c r="I864" s="8">
        <f t="shared" si="173"/>
        <v>6453.4988272713499</v>
      </c>
      <c r="J864" s="9">
        <f t="shared" si="174"/>
        <v>-67.132595507251239</v>
      </c>
      <c r="K864" s="9">
        <f t="shared" si="175"/>
        <v>-67.115117040835699</v>
      </c>
      <c r="L864" s="8">
        <f t="shared" si="169"/>
        <v>6434.7041475146179</v>
      </c>
      <c r="N864" s="16">
        <f t="shared" si="176"/>
        <v>5.1575633430502634</v>
      </c>
    </row>
    <row r="865" spans="2:14" x14ac:dyDescent="0.25">
      <c r="B865" s="7">
        <f t="shared" si="170"/>
        <v>241.08000000000089</v>
      </c>
      <c r="C865" s="9">
        <f t="shared" si="172"/>
        <v>-67.115117040835699</v>
      </c>
      <c r="D865" s="10">
        <f t="shared" si="171"/>
        <v>6.2254088362160974E-2</v>
      </c>
      <c r="E865" s="10">
        <f t="shared" si="165"/>
        <v>6.2081762488635936E-2</v>
      </c>
      <c r="F865" s="10">
        <f t="shared" si="166"/>
        <v>6.2088861202317179E-2</v>
      </c>
      <c r="G865" s="10">
        <f t="shared" si="167"/>
        <v>6.1916234011131763E-2</v>
      </c>
      <c r="H865" s="9">
        <f t="shared" si="168"/>
        <v>-67.097733167580458</v>
      </c>
      <c r="I865" s="8">
        <f t="shared" si="173"/>
        <v>6434.7041475146179</v>
      </c>
      <c r="J865" s="9">
        <f t="shared" si="174"/>
        <v>-67.115117040835699</v>
      </c>
      <c r="K865" s="9">
        <f t="shared" si="175"/>
        <v>-67.097733167580458</v>
      </c>
      <c r="L865" s="8">
        <f t="shared" si="169"/>
        <v>6415.9143484854394</v>
      </c>
      <c r="N865" s="16">
        <f t="shared" si="176"/>
        <v>5.1600732874736286</v>
      </c>
    </row>
    <row r="866" spans="2:14" x14ac:dyDescent="0.25">
      <c r="B866" s="7">
        <f t="shared" si="170"/>
        <v>241.36000000000089</v>
      </c>
      <c r="C866" s="9">
        <f t="shared" si="172"/>
        <v>-67.097733167580458</v>
      </c>
      <c r="D866" s="10">
        <f t="shared" si="171"/>
        <v>6.1916530620896845E-2</v>
      </c>
      <c r="E866" s="10">
        <f t="shared" si="165"/>
        <v>6.1744483015237786E-2</v>
      </c>
      <c r="F866" s="10">
        <f t="shared" si="166"/>
        <v>6.17515718529833E-2</v>
      </c>
      <c r="G866" s="10">
        <f t="shared" si="167"/>
        <v>6.157922207275067E-2</v>
      </c>
      <c r="H866" s="9">
        <f t="shared" si="168"/>
        <v>-67.080443734000383</v>
      </c>
      <c r="I866" s="8">
        <f t="shared" si="173"/>
        <v>6415.9143484854394</v>
      </c>
      <c r="J866" s="9">
        <f t="shared" si="174"/>
        <v>-67.097733167580458</v>
      </c>
      <c r="K866" s="9">
        <f t="shared" si="175"/>
        <v>-67.080443734000383</v>
      </c>
      <c r="L866" s="8">
        <f t="shared" si="169"/>
        <v>6397.1294037192183</v>
      </c>
      <c r="N866" s="16">
        <f t="shared" si="176"/>
        <v>5.1625708794244582</v>
      </c>
    </row>
    <row r="867" spans="2:14" x14ac:dyDescent="0.25">
      <c r="B867" s="7">
        <f t="shared" si="170"/>
        <v>241.6400000000009</v>
      </c>
      <c r="C867" s="9">
        <f t="shared" si="172"/>
        <v>-67.080443734000383</v>
      </c>
      <c r="D867" s="10">
        <f t="shared" si="171"/>
        <v>6.1579518353426933E-2</v>
      </c>
      <c r="E867" s="10">
        <f t="shared" si="165"/>
        <v>6.140774628540549E-2</v>
      </c>
      <c r="F867" s="10">
        <f t="shared" si="166"/>
        <v>6.1414825345845935E-2</v>
      </c>
      <c r="G867" s="10">
        <f t="shared" si="167"/>
        <v>6.1242750245932578E-2</v>
      </c>
      <c r="H867" s="9">
        <f t="shared" si="168"/>
        <v>-67.063248588113495</v>
      </c>
      <c r="I867" s="8">
        <f t="shared" si="173"/>
        <v>6397.1294037192183</v>
      </c>
      <c r="J867" s="9">
        <f t="shared" si="174"/>
        <v>-67.080443734000383</v>
      </c>
      <c r="K867" s="9">
        <f t="shared" si="175"/>
        <v>-67.063248588113495</v>
      </c>
      <c r="L867" s="8">
        <f t="shared" si="169"/>
        <v>6378.3492867941222</v>
      </c>
      <c r="N867" s="16">
        <f t="shared" si="176"/>
        <v>5.1650561096810783</v>
      </c>
    </row>
    <row r="868" spans="2:14" x14ac:dyDescent="0.25">
      <c r="B868" s="7">
        <f t="shared" si="170"/>
        <v>241.9200000000009</v>
      </c>
      <c r="C868" s="9">
        <f t="shared" si="172"/>
        <v>-67.063248588113495</v>
      </c>
      <c r="D868" s="10">
        <f t="shared" si="171"/>
        <v>6.1243046201050137E-2</v>
      </c>
      <c r="E868" s="10">
        <f t="shared" si="165"/>
        <v>6.1071546950149477E-2</v>
      </c>
      <c r="F868" s="10">
        <f t="shared" si="166"/>
        <v>6.1078616331642431E-2</v>
      </c>
      <c r="G868" s="10">
        <f t="shared" si="167"/>
        <v>6.0906813191067229E-2</v>
      </c>
      <c r="H868" s="9">
        <f t="shared" si="168"/>
        <v>-67.046147579435569</v>
      </c>
      <c r="I868" s="8">
        <f t="shared" si="173"/>
        <v>6378.3492867941222</v>
      </c>
      <c r="J868" s="9">
        <f t="shared" si="174"/>
        <v>-67.063248588113495</v>
      </c>
      <c r="K868" s="9">
        <f t="shared" si="175"/>
        <v>-67.046147579435569</v>
      </c>
      <c r="L868" s="8">
        <f t="shared" si="169"/>
        <v>6359.5739713306657</v>
      </c>
      <c r="N868" s="16">
        <f t="shared" si="176"/>
        <v>5.1675289689816664</v>
      </c>
    </row>
    <row r="869" spans="2:14" x14ac:dyDescent="0.25">
      <c r="B869" s="7">
        <f t="shared" si="170"/>
        <v>242.2000000000009</v>
      </c>
      <c r="C869" s="9">
        <f t="shared" si="172"/>
        <v>-67.046147579435569</v>
      </c>
      <c r="D869" s="10">
        <f t="shared" si="171"/>
        <v>6.0907108824148549E-2</v>
      </c>
      <c r="E869" s="10">
        <f t="shared" si="165"/>
        <v>6.073587967944994E-2</v>
      </c>
      <c r="F869" s="10">
        <f t="shared" si="166"/>
        <v>6.0742939480058537E-2</v>
      </c>
      <c r="G869" s="10">
        <f t="shared" si="167"/>
        <v>6.0571405587378377E-2</v>
      </c>
      <c r="H869" s="9">
        <f t="shared" si="168"/>
        <v>-67.029140558974817</v>
      </c>
      <c r="I869" s="8">
        <f t="shared" si="173"/>
        <v>6359.5739713306657</v>
      </c>
      <c r="J869" s="9">
        <f t="shared" si="174"/>
        <v>-67.046147579435569</v>
      </c>
      <c r="K869" s="9">
        <f t="shared" si="175"/>
        <v>-67.029140558974817</v>
      </c>
      <c r="L869" s="8">
        <f t="shared" si="169"/>
        <v>6340.8034309912882</v>
      </c>
      <c r="N869" s="16">
        <f t="shared" si="176"/>
        <v>5.1699894480241575</v>
      </c>
    </row>
    <row r="870" spans="2:14" x14ac:dyDescent="0.25">
      <c r="B870" s="7">
        <f t="shared" si="170"/>
        <v>242.4800000000009</v>
      </c>
      <c r="C870" s="9">
        <f t="shared" si="172"/>
        <v>-67.029140558974817</v>
      </c>
      <c r="D870" s="10">
        <f t="shared" si="171"/>
        <v>6.0571700901936656E-2</v>
      </c>
      <c r="E870" s="10">
        <f t="shared" si="165"/>
        <v>6.0400739161976379E-2</v>
      </c>
      <c r="F870" s="10">
        <f t="shared" si="166"/>
        <v>6.0407789479499173E-2</v>
      </c>
      <c r="G870" s="10">
        <f t="shared" si="167"/>
        <v>6.0236522132669182E-2</v>
      </c>
      <c r="H870" s="9">
        <f t="shared" si="168"/>
        <v>-67.012227379226658</v>
      </c>
      <c r="I870" s="8">
        <f t="shared" si="173"/>
        <v>6340.8034309912882</v>
      </c>
      <c r="J870" s="9">
        <f t="shared" si="174"/>
        <v>-67.029140558974817</v>
      </c>
      <c r="K870" s="9">
        <f t="shared" si="175"/>
        <v>-67.012227379226658</v>
      </c>
      <c r="L870" s="8">
        <f t="shared" si="169"/>
        <v>6322.0376394799396</v>
      </c>
      <c r="N870" s="16">
        <f t="shared" si="176"/>
        <v>5.1724375374661458</v>
      </c>
    </row>
    <row r="871" spans="2:14" x14ac:dyDescent="0.25">
      <c r="B871" s="7">
        <f t="shared" si="170"/>
        <v>242.7600000000009</v>
      </c>
      <c r="C871" s="9">
        <f t="shared" si="172"/>
        <v>-67.012227379226658</v>
      </c>
      <c r="D871" s="10">
        <f t="shared" si="171"/>
        <v>6.0236817132214938E-2</v>
      </c>
      <c r="E871" s="10">
        <f t="shared" si="165"/>
        <v>6.006612010486119E-2</v>
      </c>
      <c r="F871" s="10">
        <f t="shared" si="166"/>
        <v>6.0073161036814898E-2</v>
      </c>
      <c r="G871" s="10">
        <f t="shared" si="167"/>
        <v>5.9902157543095483E-2</v>
      </c>
      <c r="H871" s="9">
        <f t="shared" si="168"/>
        <v>-66.995407894168594</v>
      </c>
      <c r="I871" s="8">
        <f t="shared" si="173"/>
        <v>6322.0376394799396</v>
      </c>
      <c r="J871" s="9">
        <f t="shared" si="174"/>
        <v>-67.012227379226658</v>
      </c>
      <c r="K871" s="9">
        <f t="shared" si="175"/>
        <v>-66.995407894168594</v>
      </c>
      <c r="L871" s="8">
        <f t="shared" si="169"/>
        <v>6303.2765705416641</v>
      </c>
      <c r="N871" s="16">
        <f t="shared" si="176"/>
        <v>5.1748732279247838</v>
      </c>
    </row>
    <row r="872" spans="2:14" x14ac:dyDescent="0.25">
      <c r="B872" s="7">
        <f t="shared" si="170"/>
        <v>243.0400000000009</v>
      </c>
      <c r="C872" s="9">
        <f t="shared" si="172"/>
        <v>-66.995407894168594</v>
      </c>
      <c r="D872" s="10">
        <f t="shared" si="171"/>
        <v>5.9902452231132282E-2</v>
      </c>
      <c r="E872" s="10">
        <f t="shared" si="165"/>
        <v>5.9732017233469339E-2</v>
      </c>
      <c r="F872" s="10">
        <f t="shared" si="166"/>
        <v>5.9739048877113635E-2</v>
      </c>
      <c r="G872" s="10">
        <f t="shared" si="167"/>
        <v>5.9568306552903447E-2</v>
      </c>
      <c r="H872" s="9">
        <f t="shared" si="168"/>
        <v>-66.978681959255013</v>
      </c>
      <c r="I872" s="8">
        <f t="shared" si="173"/>
        <v>6303.2765705416641</v>
      </c>
      <c r="J872" s="9">
        <f t="shared" si="174"/>
        <v>-66.995407894168594</v>
      </c>
      <c r="K872" s="9">
        <f t="shared" si="175"/>
        <v>-66.978681959255013</v>
      </c>
      <c r="L872" s="8">
        <f t="shared" si="169"/>
        <v>6284.5201979621852</v>
      </c>
      <c r="N872" s="16">
        <f t="shared" si="176"/>
        <v>5.1772965099766806</v>
      </c>
    </row>
    <row r="873" spans="2:14" x14ac:dyDescent="0.25">
      <c r="B873" s="7">
        <f t="shared" si="170"/>
        <v>243.3200000000009</v>
      </c>
      <c r="C873" s="9">
        <f t="shared" si="172"/>
        <v>-66.978681959255013</v>
      </c>
      <c r="D873" s="10">
        <f t="shared" si="171"/>
        <v>5.9568600932922933E-2</v>
      </c>
      <c r="E873" s="10">
        <f t="shared" si="165"/>
        <v>5.9398425291118384E-2</v>
      </c>
      <c r="F873" s="10">
        <f t="shared" si="166"/>
        <v>5.9405447743439664E-2</v>
      </c>
      <c r="G873" s="10">
        <f t="shared" si="167"/>
        <v>5.9234963914186471E-2</v>
      </c>
      <c r="H873" s="9">
        <f t="shared" si="168"/>
        <v>-66.962049431412254</v>
      </c>
      <c r="I873" s="8">
        <f t="shared" si="173"/>
        <v>6284.5201979621852</v>
      </c>
      <c r="J873" s="9">
        <f t="shared" si="174"/>
        <v>-66.978681959255013</v>
      </c>
      <c r="K873" s="9">
        <f t="shared" si="175"/>
        <v>-66.962049431412254</v>
      </c>
      <c r="L873" s="8">
        <f t="shared" si="169"/>
        <v>6265.7684955674922</v>
      </c>
      <c r="N873" s="16">
        <f t="shared" si="176"/>
        <v>5.1797073741578039</v>
      </c>
    </row>
    <row r="874" spans="2:14" x14ac:dyDescent="0.25">
      <c r="B874" s="7">
        <f t="shared" si="170"/>
        <v>243.6000000000009</v>
      </c>
      <c r="C874" s="9">
        <f t="shared" si="172"/>
        <v>-66.962049431412254</v>
      </c>
      <c r="D874" s="10">
        <f t="shared" si="171"/>
        <v>5.9235257989684209E-2</v>
      </c>
      <c r="E874" s="10">
        <f t="shared" si="165"/>
        <v>5.9065339038880456E-2</v>
      </c>
      <c r="F874" s="10">
        <f t="shared" si="166"/>
        <v>5.9072352396599824E-2</v>
      </c>
      <c r="G874" s="10">
        <f t="shared" si="167"/>
        <v>5.8902124396664382E-2</v>
      </c>
      <c r="H874" s="9">
        <f t="shared" si="168"/>
        <v>-66.945510169033582</v>
      </c>
      <c r="I874" s="8">
        <f t="shared" si="173"/>
        <v>6265.7684955674922</v>
      </c>
      <c r="J874" s="9">
        <f t="shared" si="174"/>
        <v>-66.962049431412254</v>
      </c>
      <c r="K874" s="9">
        <f t="shared" si="175"/>
        <v>-66.945510169033582</v>
      </c>
      <c r="L874" s="8">
        <f t="shared" si="169"/>
        <v>6247.0214372234295</v>
      </c>
      <c r="N874" s="16">
        <f t="shared" si="176"/>
        <v>5.1821058109633755</v>
      </c>
    </row>
    <row r="875" spans="2:14" x14ac:dyDescent="0.25">
      <c r="B875" s="7">
        <f t="shared" si="170"/>
        <v>243.8800000000009</v>
      </c>
      <c r="C875" s="9">
        <f t="shared" si="172"/>
        <v>-66.945510169033582</v>
      </c>
      <c r="D875" s="10">
        <f t="shared" si="171"/>
        <v>5.8902418171121351E-2</v>
      </c>
      <c r="E875" s="10">
        <f t="shared" si="165"/>
        <v>5.8732753255290981E-2</v>
      </c>
      <c r="F875" s="10">
        <f t="shared" si="166"/>
        <v>5.873975761488151E-2</v>
      </c>
      <c r="G875" s="10">
        <f t="shared" si="167"/>
        <v>5.8569782787409777E-2</v>
      </c>
      <c r="H875" s="9">
        <f t="shared" si="168"/>
        <v>-66.929064031974306</v>
      </c>
      <c r="I875" s="8">
        <f t="shared" si="173"/>
        <v>6247.0214372234295</v>
      </c>
      <c r="J875" s="9">
        <f t="shared" si="174"/>
        <v>-66.945510169033582</v>
      </c>
      <c r="K875" s="9">
        <f t="shared" si="175"/>
        <v>-66.929064031974306</v>
      </c>
      <c r="L875" s="8">
        <f t="shared" si="169"/>
        <v>6228.2789968352881</v>
      </c>
      <c r="N875" s="16">
        <f t="shared" si="176"/>
        <v>5.1844918108477689</v>
      </c>
    </row>
    <row r="876" spans="2:14" x14ac:dyDescent="0.25">
      <c r="B876" s="7">
        <f t="shared" si="170"/>
        <v>244.16000000000091</v>
      </c>
      <c r="C876" s="9">
        <f t="shared" si="172"/>
        <v>-66.929064031974306</v>
      </c>
      <c r="D876" s="10">
        <f t="shared" si="171"/>
        <v>5.8570076264306617E-2</v>
      </c>
      <c r="E876" s="10">
        <f t="shared" si="165"/>
        <v>5.8400662736148891E-2</v>
      </c>
      <c r="F876" s="10">
        <f t="shared" si="166"/>
        <v>5.8407658193829461E-2</v>
      </c>
      <c r="G876" s="10">
        <f t="shared" si="167"/>
        <v>5.8237933890644938E-2</v>
      </c>
      <c r="H876" s="9">
        <f t="shared" si="168"/>
        <v>-66.912710881546943</v>
      </c>
      <c r="I876" s="8">
        <f t="shared" si="173"/>
        <v>6228.2789968352881</v>
      </c>
      <c r="J876" s="9">
        <f t="shared" si="174"/>
        <v>-66.929064031974306</v>
      </c>
      <c r="K876" s="9">
        <f t="shared" si="175"/>
        <v>-66.912710881546943</v>
      </c>
      <c r="L876" s="8">
        <f t="shared" si="169"/>
        <v>6209.5411483473954</v>
      </c>
      <c r="N876" s="16">
        <f t="shared" si="176"/>
        <v>5.1868653642244036</v>
      </c>
    </row>
    <row r="877" spans="2:14" x14ac:dyDescent="0.25">
      <c r="B877" s="7">
        <f t="shared" si="170"/>
        <v>244.44000000000091</v>
      </c>
      <c r="C877" s="9">
        <f t="shared" si="172"/>
        <v>-66.912710881546943</v>
      </c>
      <c r="D877" s="10">
        <f t="shared" si="171"/>
        <v>5.8238227073445108E-2</v>
      </c>
      <c r="E877" s="10">
        <f t="shared" si="165"/>
        <v>5.8069062294258185E-2</v>
      </c>
      <c r="F877" s="10">
        <f t="shared" si="166"/>
        <v>5.8076048945996453E-2</v>
      </c>
      <c r="G877" s="10">
        <f t="shared" si="167"/>
        <v>5.7906572527464957E-2</v>
      </c>
      <c r="H877" s="9">
        <f t="shared" si="168"/>
        <v>-66.896450580516472</v>
      </c>
      <c r="I877" s="8">
        <f t="shared" si="173"/>
        <v>6209.5411483473954</v>
      </c>
      <c r="J877" s="9">
        <f t="shared" si="174"/>
        <v>-66.912710881546943</v>
      </c>
      <c r="K877" s="9">
        <f t="shared" si="175"/>
        <v>-66.896450580516472</v>
      </c>
      <c r="L877" s="8">
        <f t="shared" si="169"/>
        <v>6190.8078657427068</v>
      </c>
      <c r="N877" s="16">
        <f t="shared" si="176"/>
        <v>5.1892264614656431</v>
      </c>
    </row>
    <row r="878" spans="2:14" x14ac:dyDescent="0.25">
      <c r="B878" s="7">
        <f t="shared" si="170"/>
        <v>244.72000000000091</v>
      </c>
      <c r="C878" s="9">
        <f t="shared" si="172"/>
        <v>-66.896450580516472</v>
      </c>
      <c r="D878" s="10">
        <f t="shared" si="171"/>
        <v>5.7906865419637368E-2</v>
      </c>
      <c r="E878" s="10">
        <f t="shared" si="165"/>
        <v>5.7737946759201464E-2</v>
      </c>
      <c r="F878" s="10">
        <f t="shared" si="166"/>
        <v>5.7744924700716953E-2</v>
      </c>
      <c r="G878" s="10">
        <f t="shared" si="167"/>
        <v>5.7575693535629954E-2</v>
      </c>
      <c r="H878" s="9">
        <f t="shared" si="168"/>
        <v>-66.880282993095634</v>
      </c>
      <c r="I878" s="8">
        <f t="shared" si="173"/>
        <v>6190.8078657427068</v>
      </c>
      <c r="J878" s="9">
        <f t="shared" si="174"/>
        <v>-66.896450580516472</v>
      </c>
      <c r="K878" s="9">
        <f t="shared" si="175"/>
        <v>-66.880282993095634</v>
      </c>
      <c r="L878" s="8">
        <f t="shared" si="169"/>
        <v>6172.0791230424011</v>
      </c>
      <c r="N878" s="16">
        <f t="shared" si="176"/>
        <v>5.1915750929026867</v>
      </c>
    </row>
    <row r="879" spans="2:14" x14ac:dyDescent="0.25">
      <c r="B879" s="7">
        <f t="shared" si="170"/>
        <v>245.00000000000091</v>
      </c>
      <c r="C879" s="9">
        <f t="shared" si="172"/>
        <v>-66.880282993095634</v>
      </c>
      <c r="D879" s="10">
        <f t="shared" si="171"/>
        <v>5.7575986140643055E-2</v>
      </c>
      <c r="E879" s="10">
        <f t="shared" si="165"/>
        <v>5.7407310977091244E-2</v>
      </c>
      <c r="F879" s="10">
        <f t="shared" si="166"/>
        <v>5.7414280303870101E-2</v>
      </c>
      <c r="G879" s="10">
        <f t="shared" si="167"/>
        <v>5.7245291769340824E-2</v>
      </c>
      <c r="H879" s="9">
        <f t="shared" si="168"/>
        <v>-66.864207984940279</v>
      </c>
      <c r="I879" s="8">
        <f t="shared" si="173"/>
        <v>6172.0791230424011</v>
      </c>
      <c r="J879" s="9">
        <f t="shared" si="174"/>
        <v>-66.880282993095634</v>
      </c>
      <c r="K879" s="9">
        <f t="shared" si="175"/>
        <v>-66.864207984940279</v>
      </c>
      <c r="L879" s="8">
        <f t="shared" si="169"/>
        <v>6153.3548943054757</v>
      </c>
      <c r="N879" s="16">
        <f t="shared" si="176"/>
        <v>5.1939112488254633</v>
      </c>
    </row>
    <row r="880" spans="2:14" x14ac:dyDescent="0.25">
      <c r="B880" s="7">
        <f t="shared" si="170"/>
        <v>245.28000000000091</v>
      </c>
      <c r="C880" s="9">
        <f t="shared" si="172"/>
        <v>-66.864207984940279</v>
      </c>
      <c r="D880" s="10">
        <f t="shared" si="171"/>
        <v>5.7245584090639894E-2</v>
      </c>
      <c r="E880" s="10">
        <f t="shared" si="165"/>
        <v>5.7077149810351724E-2</v>
      </c>
      <c r="F880" s="10">
        <f t="shared" si="166"/>
        <v>5.7084110617634708E-2</v>
      </c>
      <c r="G880" s="10">
        <f t="shared" si="167"/>
        <v>5.6915362098959178E-2</v>
      </c>
      <c r="H880" s="9">
        <f t="shared" si="168"/>
        <v>-66.848225423144825</v>
      </c>
      <c r="I880" s="8">
        <f t="shared" si="173"/>
        <v>6153.3548943054757</v>
      </c>
      <c r="J880" s="9">
        <f t="shared" si="174"/>
        <v>-66.864207984940279</v>
      </c>
      <c r="K880" s="9">
        <f t="shared" si="175"/>
        <v>-66.848225423144825</v>
      </c>
      <c r="L880" s="8">
        <f t="shared" si="169"/>
        <v>6134.6351536283437</v>
      </c>
      <c r="N880" s="16">
        <f t="shared" si="176"/>
        <v>5.1962349194825235</v>
      </c>
    </row>
    <row r="881" spans="2:14" x14ac:dyDescent="0.25">
      <c r="B881" s="7">
        <f t="shared" si="170"/>
        <v>245.56000000000091</v>
      </c>
      <c r="C881" s="9">
        <f t="shared" si="172"/>
        <v>-66.848225423144825</v>
      </c>
      <c r="D881" s="10">
        <f t="shared" si="171"/>
        <v>5.6915654139997336E-2</v>
      </c>
      <c r="E881" s="10">
        <f t="shared" si="165"/>
        <v>5.6747458137480923E-2</v>
      </c>
      <c r="F881" s="10">
        <f t="shared" si="166"/>
        <v>5.6754410520268951E-2</v>
      </c>
      <c r="G881" s="10">
        <f t="shared" si="167"/>
        <v>5.658589941081836E-2</v>
      </c>
      <c r="H881" s="9">
        <f t="shared" si="168"/>
        <v>-66.832335176237734</v>
      </c>
      <c r="I881" s="8">
        <f t="shared" si="173"/>
        <v>6134.6351536283437</v>
      </c>
      <c r="J881" s="9">
        <f t="shared" si="174"/>
        <v>-66.848225423144825</v>
      </c>
      <c r="K881" s="9">
        <f t="shared" si="175"/>
        <v>-66.832335176237734</v>
      </c>
      <c r="L881" s="8">
        <f t="shared" si="169"/>
        <v>6115.9198751444301</v>
      </c>
      <c r="N881" s="16">
        <f t="shared" si="176"/>
        <v>5.1985460950809319</v>
      </c>
    </row>
    <row r="882" spans="2:14" x14ac:dyDescent="0.25">
      <c r="B882" s="7">
        <f t="shared" si="170"/>
        <v>245.84000000000091</v>
      </c>
      <c r="C882" s="9">
        <f t="shared" si="172"/>
        <v>-66.832335176237734</v>
      </c>
      <c r="D882" s="10">
        <f t="shared" si="171"/>
        <v>5.658619117503555E-2</v>
      </c>
      <c r="E882" s="10">
        <f t="shared" si="165"/>
        <v>5.6418230852788125E-2</v>
      </c>
      <c r="F882" s="10">
        <f t="shared" si="166"/>
        <v>5.6425174905868895E-2</v>
      </c>
      <c r="G882" s="10">
        <f t="shared" si="167"/>
        <v>5.6256898606963805E-2</v>
      </c>
      <c r="H882" s="9">
        <f t="shared" si="168"/>
        <v>-66.816537114177095</v>
      </c>
      <c r="I882" s="8">
        <f t="shared" si="173"/>
        <v>6115.9198751444301</v>
      </c>
      <c r="J882" s="9">
        <f t="shared" si="174"/>
        <v>-66.832335176237734</v>
      </c>
      <c r="K882" s="9">
        <f t="shared" si="175"/>
        <v>-66.816537114177095</v>
      </c>
      <c r="L882" s="8">
        <f t="shared" si="169"/>
        <v>6097.2090330237716</v>
      </c>
      <c r="N882" s="16">
        <f t="shared" si="176"/>
        <v>5.2008447657861563</v>
      </c>
    </row>
    <row r="883" spans="2:14" x14ac:dyDescent="0.25">
      <c r="B883" s="7">
        <f t="shared" si="170"/>
        <v>246.12000000000091</v>
      </c>
      <c r="C883" s="9">
        <f t="shared" si="172"/>
        <v>-66.816537114177095</v>
      </c>
      <c r="D883" s="10">
        <f t="shared" si="171"/>
        <v>5.6257190097801023E-2</v>
      </c>
      <c r="E883" s="10">
        <f t="shared" si="165"/>
        <v>5.608946286622439E-2</v>
      </c>
      <c r="F883" s="10">
        <f t="shared" si="166"/>
        <v>5.6096398684144372E-2</v>
      </c>
      <c r="G883" s="10">
        <f t="shared" si="167"/>
        <v>5.5928354604950235E-2</v>
      </c>
      <c r="H883" s="9">
        <f t="shared" si="168"/>
        <v>-66.800831108346259</v>
      </c>
      <c r="I883" s="8">
        <f t="shared" si="173"/>
        <v>6097.2090330237716</v>
      </c>
      <c r="J883" s="9">
        <f t="shared" si="174"/>
        <v>-66.816537114177095</v>
      </c>
      <c r="K883" s="9">
        <f t="shared" si="175"/>
        <v>-66.800831108346259</v>
      </c>
      <c r="L883" s="8">
        <f t="shared" si="169"/>
        <v>6078.5026014726182</v>
      </c>
      <c r="N883" s="16">
        <f t="shared" si="176"/>
        <v>5.2031309217219581</v>
      </c>
    </row>
    <row r="884" spans="2:14" x14ac:dyDescent="0.25">
      <c r="B884" s="7">
        <f t="shared" si="170"/>
        <v>246.40000000000092</v>
      </c>
      <c r="C884" s="9">
        <f t="shared" si="172"/>
        <v>-66.800831108346259</v>
      </c>
      <c r="D884" s="10">
        <f t="shared" si="171"/>
        <v>5.5928645825836079E-2</v>
      </c>
      <c r="E884" s="10">
        <f t="shared" si="165"/>
        <v>5.5761149103091122E-2</v>
      </c>
      <c r="F884" s="10">
        <f t="shared" si="166"/>
        <v>5.5768076780182162E-2</v>
      </c>
      <c r="G884" s="10">
        <f t="shared" si="167"/>
        <v>5.5600262337584284E-2</v>
      </c>
      <c r="H884" s="9">
        <f t="shared" si="168"/>
        <v>-66.785217031549521</v>
      </c>
      <c r="I884" s="8">
        <f t="shared" si="173"/>
        <v>6078.5026014726182</v>
      </c>
      <c r="J884" s="9">
        <f t="shared" si="174"/>
        <v>-66.800831108346259</v>
      </c>
      <c r="K884" s="9">
        <f t="shared" si="175"/>
        <v>-66.785217031549521</v>
      </c>
      <c r="L884" s="8">
        <f t="shared" si="169"/>
        <v>6059.8005547330331</v>
      </c>
      <c r="N884" s="16">
        <f t="shared" si="176"/>
        <v>5.2054045529702799</v>
      </c>
    </row>
    <row r="885" spans="2:14" x14ac:dyDescent="0.25">
      <c r="B885" s="7">
        <f t="shared" si="170"/>
        <v>246.68000000000092</v>
      </c>
      <c r="C885" s="9">
        <f t="shared" si="172"/>
        <v>-66.785217031549521</v>
      </c>
      <c r="D885" s="10">
        <f t="shared" si="171"/>
        <v>5.5600553291951682E-2</v>
      </c>
      <c r="E885" s="10">
        <f t="shared" si="165"/>
        <v>5.5433284503861993E-2</v>
      </c>
      <c r="F885" s="10">
        <f t="shared" si="166"/>
        <v>5.5440204134228482E-2</v>
      </c>
      <c r="G885" s="10">
        <f t="shared" si="167"/>
        <v>5.5272616752719085E-2</v>
      </c>
      <c r="H885" s="9">
        <f t="shared" si="168"/>
        <v>-66.769694758007887</v>
      </c>
      <c r="I885" s="8">
        <f t="shared" si="173"/>
        <v>6059.8005547330331</v>
      </c>
      <c r="J885" s="9">
        <f t="shared" si="174"/>
        <v>-66.785217031549521</v>
      </c>
      <c r="K885" s="9">
        <f t="shared" si="175"/>
        <v>-66.769694758007887</v>
      </c>
      <c r="L885" s="8">
        <f t="shared" si="169"/>
        <v>6041.1028670824953</v>
      </c>
      <c r="N885" s="16">
        <f t="shared" si="176"/>
        <v>5.207665649571136</v>
      </c>
    </row>
    <row r="886" spans="2:14" x14ac:dyDescent="0.25">
      <c r="B886" s="7">
        <f t="shared" si="170"/>
        <v>246.96000000000092</v>
      </c>
      <c r="C886" s="9">
        <f t="shared" si="172"/>
        <v>-66.769694758007887</v>
      </c>
      <c r="D886" s="10">
        <f t="shared" si="171"/>
        <v>5.5272907443990993E-2</v>
      </c>
      <c r="E886" s="10">
        <f t="shared" si="165"/>
        <v>5.510586402391756E-2</v>
      </c>
      <c r="F886" s="10">
        <f t="shared" si="166"/>
        <v>5.511277570145718E-2</v>
      </c>
      <c r="G886" s="10">
        <f t="shared" si="167"/>
        <v>5.4945412813013773E-2</v>
      </c>
      <c r="H886" s="9">
        <f t="shared" si="168"/>
        <v>-66.754264163354861</v>
      </c>
      <c r="I886" s="8">
        <f t="shared" si="173"/>
        <v>6041.1028670824953</v>
      </c>
      <c r="J886" s="9">
        <f t="shared" si="174"/>
        <v>-66.769694758007887</v>
      </c>
      <c r="K886" s="9">
        <f t="shared" si="175"/>
        <v>-66.754264163354861</v>
      </c>
      <c r="L886" s="8">
        <f t="shared" si="169"/>
        <v>6022.4095128335048</v>
      </c>
      <c r="N886" s="16">
        <f t="shared" si="176"/>
        <v>5.2099142015224933</v>
      </c>
    </row>
    <row r="887" spans="2:14" x14ac:dyDescent="0.25">
      <c r="B887" s="7">
        <f t="shared" si="170"/>
        <v>247.24000000000092</v>
      </c>
      <c r="C887" s="9">
        <f t="shared" si="172"/>
        <v>-66.754264163354861</v>
      </c>
      <c r="D887" s="10">
        <f t="shared" si="171"/>
        <v>5.4945703244607333E-2</v>
      </c>
      <c r="E887" s="10">
        <f t="shared" si="165"/>
        <v>5.4778882633335468E-2</v>
      </c>
      <c r="F887" s="10">
        <f t="shared" si="166"/>
        <v>5.4785786451727173E-2</v>
      </c>
      <c r="G887" s="10">
        <f t="shared" si="167"/>
        <v>5.4618645495711556E-2</v>
      </c>
      <c r="H887" s="9">
        <f t="shared" si="168"/>
        <v>-66.738925124632374</v>
      </c>
      <c r="I887" s="8">
        <f t="shared" si="173"/>
        <v>6022.4095128335048</v>
      </c>
      <c r="J887" s="9">
        <f t="shared" si="174"/>
        <v>-66.754264163354861</v>
      </c>
      <c r="K887" s="9">
        <f t="shared" si="175"/>
        <v>-66.738925124632374</v>
      </c>
      <c r="L887" s="8">
        <f t="shared" si="169"/>
        <v>6003.7204663331868</v>
      </c>
      <c r="N887" s="16">
        <f t="shared" si="176"/>
        <v>5.2121501987801642</v>
      </c>
    </row>
    <row r="888" spans="2:14" x14ac:dyDescent="0.25">
      <c r="B888" s="7">
        <f t="shared" si="170"/>
        <v>247.52000000000092</v>
      </c>
      <c r="C888" s="9">
        <f t="shared" si="172"/>
        <v>-66.738925124632374</v>
      </c>
      <c r="D888" s="10">
        <f t="shared" si="171"/>
        <v>5.4618935671038912E-2</v>
      </c>
      <c r="E888" s="10">
        <f t="shared" si="165"/>
        <v>5.4452335316663179E-2</v>
      </c>
      <c r="F888" s="10">
        <f t="shared" si="166"/>
        <v>5.4459231369387982E-2</v>
      </c>
      <c r="G888" s="10">
        <f t="shared" si="167"/>
        <v>5.4292309792412195E-2</v>
      </c>
      <c r="H888" s="9">
        <f t="shared" si="168"/>
        <v>-66.723677520286714</v>
      </c>
      <c r="I888" s="8">
        <f t="shared" si="173"/>
        <v>6003.7204663331868</v>
      </c>
      <c r="J888" s="9">
        <f t="shared" si="174"/>
        <v>-66.738925124632374</v>
      </c>
      <c r="K888" s="9">
        <f t="shared" si="175"/>
        <v>-66.723677520286714</v>
      </c>
      <c r="L888" s="8">
        <f t="shared" si="169"/>
        <v>5985.0357019628982</v>
      </c>
      <c r="N888" s="16">
        <f t="shared" si="176"/>
        <v>5.2143736312576854</v>
      </c>
    </row>
    <row r="889" spans="2:14" x14ac:dyDescent="0.25">
      <c r="B889" s="7">
        <f t="shared" si="170"/>
        <v>247.80000000000092</v>
      </c>
      <c r="C889" s="9">
        <f t="shared" si="172"/>
        <v>-66.723677520286714</v>
      </c>
      <c r="D889" s="10">
        <f t="shared" si="171"/>
        <v>5.4292599714885467E-2</v>
      </c>
      <c r="E889" s="10">
        <f t="shared" si="165"/>
        <v>5.4126217072705311E-2</v>
      </c>
      <c r="F889" s="10">
        <f t="shared" si="166"/>
        <v>5.4133105453026728E-2</v>
      </c>
      <c r="G889" s="10">
        <f t="shared" si="167"/>
        <v>5.3966400708864104E-2</v>
      </c>
      <c r="H889" s="9">
        <f t="shared" si="168"/>
        <v>-66.708521230164536</v>
      </c>
      <c r="I889" s="8">
        <f t="shared" si="173"/>
        <v>5985.0357019628982</v>
      </c>
      <c r="J889" s="9">
        <f t="shared" si="174"/>
        <v>-66.723677520286714</v>
      </c>
      <c r="K889" s="9">
        <f t="shared" si="175"/>
        <v>-66.708521230164536</v>
      </c>
      <c r="L889" s="8">
        <f t="shared" si="169"/>
        <v>5966.3551941378346</v>
      </c>
      <c r="N889" s="16">
        <f t="shared" si="176"/>
        <v>5.2165844888262045</v>
      </c>
    </row>
    <row r="890" spans="2:14" x14ac:dyDescent="0.25">
      <c r="B890" s="7">
        <f t="shared" si="170"/>
        <v>248.08000000000092</v>
      </c>
      <c r="C890" s="9">
        <f t="shared" si="172"/>
        <v>-66.708521230164536</v>
      </c>
      <c r="D890" s="10">
        <f t="shared" si="171"/>
        <v>5.3966690381885306E-2</v>
      </c>
      <c r="E890" s="10">
        <f t="shared" si="165"/>
        <v>5.3800522914281862E-2</v>
      </c>
      <c r="F890" s="10">
        <f t="shared" si="166"/>
        <v>5.3807403715266711E-2</v>
      </c>
      <c r="G890" s="10">
        <f t="shared" si="167"/>
        <v>5.3640913264722423E-2</v>
      </c>
      <c r="H890" s="9">
        <f t="shared" si="168"/>
        <v>-66.693456135508939</v>
      </c>
      <c r="I890" s="8">
        <f t="shared" si="173"/>
        <v>5966.3551941378346</v>
      </c>
      <c r="J890" s="9">
        <f t="shared" si="174"/>
        <v>-66.708521230164536</v>
      </c>
      <c r="K890" s="9">
        <f t="shared" si="175"/>
        <v>-66.693456135508939</v>
      </c>
      <c r="L890" s="8">
        <f t="shared" si="169"/>
        <v>5947.67891730664</v>
      </c>
      <c r="N890" s="16">
        <f t="shared" si="176"/>
        <v>5.2187827613143636</v>
      </c>
    </row>
    <row r="891" spans="2:14" x14ac:dyDescent="0.25">
      <c r="B891" s="7">
        <f t="shared" si="170"/>
        <v>248.36000000000092</v>
      </c>
      <c r="C891" s="9">
        <f t="shared" si="172"/>
        <v>-66.693456135508939</v>
      </c>
      <c r="D891" s="10">
        <f t="shared" si="171"/>
        <v>5.3641202691692633E-2</v>
      </c>
      <c r="E891" s="10">
        <f t="shared" si="165"/>
        <v>5.3475247868018889E-2</v>
      </c>
      <c r="F891" s="10">
        <f t="shared" si="166"/>
        <v>5.348212118253623E-2</v>
      </c>
      <c r="G891" s="10">
        <f t="shared" si="167"/>
        <v>5.3315842493336957E-2</v>
      </c>
      <c r="H891" s="9">
        <f t="shared" si="168"/>
        <v>-66.678482118955586</v>
      </c>
      <c r="I891" s="8">
        <f t="shared" si="173"/>
        <v>5947.67891730664</v>
      </c>
      <c r="J891" s="9">
        <f t="shared" si="174"/>
        <v>-66.693456135508939</v>
      </c>
      <c r="K891" s="9">
        <f t="shared" si="175"/>
        <v>-66.678482118955586</v>
      </c>
      <c r="L891" s="8">
        <f t="shared" si="169"/>
        <v>5929.0068459510148</v>
      </c>
      <c r="N891" s="16">
        <f t="shared" si="176"/>
        <v>5.22096843850818</v>
      </c>
    </row>
    <row r="892" spans="2:14" x14ac:dyDescent="0.25">
      <c r="B892" s="7">
        <f t="shared" si="170"/>
        <v>248.64000000000092</v>
      </c>
      <c r="C892" s="9">
        <f t="shared" si="172"/>
        <v>-66.678482118955586</v>
      </c>
      <c r="D892" s="10">
        <f t="shared" si="171"/>
        <v>5.3316131677648745E-2</v>
      </c>
      <c r="E892" s="10">
        <f t="shared" si="165"/>
        <v>5.3150386974116955E-2</v>
      </c>
      <c r="F892" s="10">
        <f t="shared" si="166"/>
        <v>5.3157252894845457E-2</v>
      </c>
      <c r="G892" s="10">
        <f t="shared" si="167"/>
        <v>5.2991183441524675E-2</v>
      </c>
      <c r="H892" s="9">
        <f t="shared" si="168"/>
        <v>-66.663599064528924</v>
      </c>
      <c r="I892" s="8">
        <f t="shared" si="173"/>
        <v>5929.0068459510148</v>
      </c>
      <c r="J892" s="9">
        <f t="shared" si="174"/>
        <v>-66.678482118955586</v>
      </c>
      <c r="K892" s="9">
        <f t="shared" si="175"/>
        <v>-66.663599064528924</v>
      </c>
      <c r="L892" s="8">
        <f t="shared" si="169"/>
        <v>5910.338954585327</v>
      </c>
      <c r="N892" s="16">
        <f t="shared" si="176"/>
        <v>5.223141510150926</v>
      </c>
    </row>
    <row r="893" spans="2:14" x14ac:dyDescent="0.25">
      <c r="B893" s="7">
        <f t="shared" si="170"/>
        <v>248.92000000000093</v>
      </c>
      <c r="C893" s="9">
        <f t="shared" si="172"/>
        <v>-66.663599064528924</v>
      </c>
      <c r="D893" s="10">
        <f t="shared" si="171"/>
        <v>5.2991472386575506E-2</v>
      </c>
      <c r="E893" s="10">
        <f t="shared" si="165"/>
        <v>5.2825935286142829E-2</v>
      </c>
      <c r="F893" s="10">
        <f t="shared" si="166"/>
        <v>5.2832793905577324E-2</v>
      </c>
      <c r="G893" s="10">
        <f t="shared" si="167"/>
        <v>5.2666931169373155E-2</v>
      </c>
      <c r="H893" s="9">
        <f t="shared" si="168"/>
        <v>-66.648806857638419</v>
      </c>
      <c r="I893" s="8">
        <f t="shared" si="173"/>
        <v>5910.338954585327</v>
      </c>
      <c r="J893" s="9">
        <f t="shared" si="174"/>
        <v>-66.663599064528924</v>
      </c>
      <c r="K893" s="9">
        <f t="shared" si="175"/>
        <v>-66.648806857638419</v>
      </c>
      <c r="L893" s="8">
        <f t="shared" si="169"/>
        <v>5891.6752177562239</v>
      </c>
      <c r="N893" s="16">
        <f t="shared" si="176"/>
        <v>5.2253019659430118</v>
      </c>
    </row>
    <row r="894" spans="2:14" x14ac:dyDescent="0.25">
      <c r="B894" s="7">
        <f t="shared" si="170"/>
        <v>249.20000000000093</v>
      </c>
      <c r="C894" s="9">
        <f t="shared" si="172"/>
        <v>-66.648806857638419</v>
      </c>
      <c r="D894" s="10">
        <f t="shared" si="171"/>
        <v>5.2667219878544336E-2</v>
      </c>
      <c r="E894" s="10">
        <f t="shared" si="165"/>
        <v>5.2501887870816034E-2</v>
      </c>
      <c r="F894" s="10">
        <f t="shared" si="166"/>
        <v>5.2508739281242903E-2</v>
      </c>
      <c r="G894" s="10">
        <f t="shared" si="167"/>
        <v>5.2343080749984131E-2</v>
      </c>
      <c r="H894" s="9">
        <f t="shared" si="168"/>
        <v>-66.634105385074889</v>
      </c>
      <c r="I894" s="8">
        <f t="shared" si="173"/>
        <v>5891.6752177562239</v>
      </c>
      <c r="J894" s="9">
        <f t="shared" si="174"/>
        <v>-66.648806857638419</v>
      </c>
      <c r="K894" s="9">
        <f t="shared" si="175"/>
        <v>-66.634105385074889</v>
      </c>
      <c r="L894" s="8">
        <f t="shared" si="169"/>
        <v>5873.0156100422437</v>
      </c>
      <c r="N894" s="16">
        <f t="shared" si="176"/>
        <v>5.2274497955418626</v>
      </c>
    </row>
    <row r="895" spans="2:14" x14ac:dyDescent="0.25">
      <c r="B895" s="7">
        <f t="shared" si="170"/>
        <v>249.48000000000093</v>
      </c>
      <c r="C895" s="9">
        <f t="shared" si="172"/>
        <v>-66.634105385074889</v>
      </c>
      <c r="D895" s="10">
        <f t="shared" si="171"/>
        <v>5.2343369226664299E-2</v>
      </c>
      <c r="E895" s="10">
        <f t="shared" si="165"/>
        <v>5.2178239807759881E-2</v>
      </c>
      <c r="F895" s="10">
        <f t="shared" si="166"/>
        <v>5.2185084101307372E-2</v>
      </c>
      <c r="G895" s="10">
        <f t="shared" si="167"/>
        <v>5.2019627269296813E-2</v>
      </c>
      <c r="H895" s="9">
        <f t="shared" si="168"/>
        <v>-66.619494535006893</v>
      </c>
      <c r="I895" s="8">
        <f t="shared" si="173"/>
        <v>5873.0156100422437</v>
      </c>
      <c r="J895" s="9">
        <f t="shared" si="174"/>
        <v>-66.634105385074889</v>
      </c>
      <c r="K895" s="9">
        <f t="shared" si="175"/>
        <v>-66.619494535006893</v>
      </c>
      <c r="L895" s="8">
        <f t="shared" si="169"/>
        <v>5854.360106053432</v>
      </c>
      <c r="N895" s="16">
        <f t="shared" si="176"/>
        <v>5.2295849885617978</v>
      </c>
    </row>
    <row r="896" spans="2:14" x14ac:dyDescent="0.25">
      <c r="B896" s="7">
        <f t="shared" si="170"/>
        <v>249.76000000000093</v>
      </c>
      <c r="C896" s="9">
        <f t="shared" si="172"/>
        <v>-66.619494535006893</v>
      </c>
      <c r="D896" s="10">
        <f t="shared" si="171"/>
        <v>5.2019915516861755E-2</v>
      </c>
      <c r="E896" s="10">
        <f t="shared" si="165"/>
        <v>5.1854986189325679E-2</v>
      </c>
      <c r="F896" s="10">
        <f t="shared" si="166"/>
        <v>5.1861823457926698E-2</v>
      </c>
      <c r="G896" s="10">
        <f t="shared" si="167"/>
        <v>5.1696565825840653E-2</v>
      </c>
      <c r="H896" s="9">
        <f t="shared" si="168"/>
        <v>-66.604974196977153</v>
      </c>
      <c r="I896" s="8">
        <f t="shared" si="173"/>
        <v>5854.360106053432</v>
      </c>
      <c r="J896" s="9">
        <f t="shared" si="174"/>
        <v>-66.619494535006893</v>
      </c>
      <c r="K896" s="9">
        <f t="shared" si="175"/>
        <v>-66.604974196977153</v>
      </c>
      <c r="L896" s="8">
        <f t="shared" si="169"/>
        <v>5835.7086804309538</v>
      </c>
      <c r="N896" s="16">
        <f t="shared" si="176"/>
        <v>5.2317075345739044</v>
      </c>
    </row>
    <row r="897" spans="2:14" x14ac:dyDescent="0.25">
      <c r="B897" s="7">
        <f t="shared" si="170"/>
        <v>250.04000000000093</v>
      </c>
      <c r="C897" s="9">
        <f t="shared" si="172"/>
        <v>-66.604974196977153</v>
      </c>
      <c r="D897" s="10">
        <f t="shared" si="171"/>
        <v>5.1696853847668374E-2</v>
      </c>
      <c r="E897" s="10">
        <f t="shared" si="165"/>
        <v>5.1532122120349633E-2</v>
      </c>
      <c r="F897" s="10">
        <f t="shared" si="166"/>
        <v>5.1538952455766E-2</v>
      </c>
      <c r="G897" s="10">
        <f t="shared" si="167"/>
        <v>5.1373891530535981E-2</v>
      </c>
      <c r="H897" s="9">
        <f t="shared" si="168"/>
        <v>-66.590544261899069</v>
      </c>
      <c r="I897" s="8">
        <f t="shared" si="173"/>
        <v>5835.7086804309538</v>
      </c>
      <c r="J897" s="9">
        <f t="shared" si="174"/>
        <v>-66.604974196977153</v>
      </c>
      <c r="K897" s="9">
        <f t="shared" si="175"/>
        <v>-66.590544261899069</v>
      </c>
      <c r="L897" s="8">
        <f t="shared" si="169"/>
        <v>5817.0613078467113</v>
      </c>
      <c r="N897" s="16">
        <f t="shared" si="176"/>
        <v>5.2338174231059194</v>
      </c>
    </row>
    <row r="898" spans="2:14" x14ac:dyDescent="0.25">
      <c r="B898" s="7">
        <f t="shared" si="170"/>
        <v>250.32000000000093</v>
      </c>
      <c r="C898" s="9">
        <f t="shared" si="172"/>
        <v>-66.590544261899069</v>
      </c>
      <c r="D898" s="10">
        <f t="shared" si="171"/>
        <v>5.1374179330003329E-2</v>
      </c>
      <c r="E898" s="10">
        <f t="shared" si="165"/>
        <v>5.1209642717954446E-2</v>
      </c>
      <c r="F898" s="10">
        <f t="shared" si="166"/>
        <v>5.1216466211773337E-2</v>
      </c>
      <c r="G898" s="10">
        <f t="shared" si="167"/>
        <v>5.1051599506475524E-2</v>
      </c>
      <c r="H898" s="9">
        <f t="shared" si="168"/>
        <v>-66.576204622053254</v>
      </c>
      <c r="I898" s="8">
        <f t="shared" si="173"/>
        <v>5817.0613078467113</v>
      </c>
      <c r="J898" s="9">
        <f t="shared" si="174"/>
        <v>-66.590544261899069</v>
      </c>
      <c r="K898" s="9">
        <f t="shared" si="175"/>
        <v>-66.576204622053254</v>
      </c>
      <c r="L898" s="8">
        <f t="shared" si="169"/>
        <v>5798.4179630029575</v>
      </c>
      <c r="N898" s="16">
        <f t="shared" si="176"/>
        <v>5.2359146436421007</v>
      </c>
    </row>
    <row r="899" spans="2:14" x14ac:dyDescent="0.25">
      <c r="B899" s="7">
        <f t="shared" si="170"/>
        <v>250.60000000000093</v>
      </c>
      <c r="C899" s="9">
        <f t="shared" si="172"/>
        <v>-66.576204622053254</v>
      </c>
      <c r="D899" s="10">
        <f t="shared" si="171"/>
        <v>5.1051887086946364E-2</v>
      </c>
      <c r="E899" s="10">
        <f t="shared" si="165"/>
        <v>5.0887543111303106E-2</v>
      </c>
      <c r="F899" s="10">
        <f t="shared" si="166"/>
        <v>5.0894359854947863E-2</v>
      </c>
      <c r="G899" s="10">
        <f t="shared" si="167"/>
        <v>5.0729684888710207E-2</v>
      </c>
      <c r="H899" s="9">
        <f t="shared" si="168"/>
        <v>-66.561955171084207</v>
      </c>
      <c r="I899" s="8">
        <f t="shared" si="173"/>
        <v>5798.4179630029575</v>
      </c>
      <c r="J899" s="9">
        <f t="shared" si="174"/>
        <v>-66.576204622053254</v>
      </c>
      <c r="K899" s="9">
        <f t="shared" si="175"/>
        <v>-66.561955171084207</v>
      </c>
      <c r="L899" s="8">
        <f t="shared" si="169"/>
        <v>5779.7786206319179</v>
      </c>
      <c r="N899" s="16">
        <f t="shared" si="176"/>
        <v>5.2379991856230994</v>
      </c>
    </row>
    <row r="900" spans="2:14" x14ac:dyDescent="0.25">
      <c r="B900" s="7">
        <f t="shared" si="170"/>
        <v>250.88000000000093</v>
      </c>
      <c r="C900" s="9">
        <f t="shared" si="172"/>
        <v>-66.561955171084207</v>
      </c>
      <c r="D900" s="10">
        <f t="shared" si="171"/>
        <v>5.0729972253553059E-2</v>
      </c>
      <c r="E900" s="10">
        <f t="shared" ref="E900:E963" si="177">dvdt($C900+h/2*D900,$I900+(h/2)/2*(2*C900+D900*h/2))</f>
        <v>5.0565818441433631E-2</v>
      </c>
      <c r="F900" s="10">
        <f t="shared" ref="F900:F963" si="178">dvdt($C900+h/2*E900,$I900+(h/2)/2*(2*$C900+E900*h/2))</f>
        <v>5.0572628526155204E-2</v>
      </c>
      <c r="G900" s="10">
        <f t="shared" ref="G900:G963" si="179">dvdt($C900+h*F900,$I900+h/2*(2*$C900+F900*h))</f>
        <v>5.0408142824032789E-2</v>
      </c>
      <c r="H900" s="9">
        <f t="shared" ref="H900:H963" si="180">C900+h/6*(D900+2*E900+2*F900+G900)</f>
        <v>-66.547795803996948</v>
      </c>
      <c r="I900" s="8">
        <f t="shared" si="173"/>
        <v>5779.7786206319179</v>
      </c>
      <c r="J900" s="9">
        <f t="shared" si="174"/>
        <v>-66.561955171084207</v>
      </c>
      <c r="K900" s="9">
        <f t="shared" si="175"/>
        <v>-66.547795803996948</v>
      </c>
      <c r="L900" s="8">
        <f t="shared" ref="L900:L963" si="181">I900+h/2*(J900+K900)</f>
        <v>5761.1432554954063</v>
      </c>
      <c r="N900" s="16">
        <f t="shared" si="176"/>
        <v>5.2400710384458398</v>
      </c>
    </row>
    <row r="901" spans="2:14" x14ac:dyDescent="0.25">
      <c r="B901" s="7">
        <f t="shared" ref="B901:B964" si="182">B900+h</f>
        <v>251.16000000000093</v>
      </c>
      <c r="C901" s="9">
        <f t="shared" si="172"/>
        <v>-66.547795803996948</v>
      </c>
      <c r="D901" s="10">
        <f t="shared" si="171"/>
        <v>5.0408429976614051E-2</v>
      </c>
      <c r="E901" s="10">
        <f t="shared" si="177"/>
        <v>5.0244463861011654E-2</v>
      </c>
      <c r="F901" s="10">
        <f t="shared" si="178"/>
        <v>5.0251267377906958E-2</v>
      </c>
      <c r="G901" s="10">
        <f t="shared" si="179"/>
        <v>5.0086968470782714E-2</v>
      </c>
      <c r="H901" s="9">
        <f t="shared" si="180"/>
        <v>-66.533726417153773</v>
      </c>
      <c r="I901" s="8">
        <f t="shared" si="173"/>
        <v>5761.1432554954063</v>
      </c>
      <c r="J901" s="9">
        <f t="shared" si="174"/>
        <v>-66.547795803996948</v>
      </c>
      <c r="K901" s="9">
        <f t="shared" si="175"/>
        <v>-66.533726417153773</v>
      </c>
      <c r="L901" s="8">
        <f t="shared" si="181"/>
        <v>5742.5118423844451</v>
      </c>
      <c r="N901" s="16">
        <f t="shared" si="176"/>
        <v>5.2421301914633842</v>
      </c>
    </row>
    <row r="902" spans="2:14" x14ac:dyDescent="0.25">
      <c r="B902" s="7">
        <f t="shared" si="182"/>
        <v>251.44000000000094</v>
      </c>
      <c r="C902" s="9">
        <f t="shared" si="172"/>
        <v>-66.533726417153773</v>
      </c>
      <c r="D902" s="10">
        <f t="shared" ref="D902:D965" si="183">dvdt($C902,$I902)</f>
        <v>5.0087255414454024E-2</v>
      </c>
      <c r="E902" s="10">
        <f t="shared" si="177"/>
        <v>4.992347453412796E-2</v>
      </c>
      <c r="F902" s="10">
        <f t="shared" si="178"/>
        <v>4.9930271574132157E-2</v>
      </c>
      <c r="G902" s="10">
        <f t="shared" si="179"/>
        <v>4.9766156998601763E-2</v>
      </c>
      <c r="H902" s="9">
        <f t="shared" si="180"/>
        <v>-66.51974690827106</v>
      </c>
      <c r="I902" s="8">
        <f t="shared" si="173"/>
        <v>5742.5118423844451</v>
      </c>
      <c r="J902" s="9">
        <f t="shared" si="174"/>
        <v>-66.533726417153773</v>
      </c>
      <c r="K902" s="9">
        <f t="shared" si="175"/>
        <v>-66.51974690827106</v>
      </c>
      <c r="L902" s="8">
        <f t="shared" si="181"/>
        <v>5723.884356118886</v>
      </c>
      <c r="N902" s="16">
        <f t="shared" si="176"/>
        <v>5.2441766339848073</v>
      </c>
    </row>
    <row r="903" spans="2:14" x14ac:dyDescent="0.25">
      <c r="B903" s="7">
        <f t="shared" si="182"/>
        <v>251.72000000000094</v>
      </c>
      <c r="C903" s="9">
        <f t="shared" si="172"/>
        <v>-66.51974690827106</v>
      </c>
      <c r="D903" s="10">
        <f t="shared" si="183"/>
        <v>4.9766443736723523E-2</v>
      </c>
      <c r="E903" s="10">
        <f t="shared" si="177"/>
        <v>4.9602845636092144E-2</v>
      </c>
      <c r="F903" s="10">
        <f t="shared" si="178"/>
        <v>4.96096362899811E-2</v>
      </c>
      <c r="G903" s="10">
        <f t="shared" si="179"/>
        <v>4.9445703588261683E-2</v>
      </c>
      <c r="H903" s="9">
        <f t="shared" si="180"/>
        <v>-66.505857176416129</v>
      </c>
      <c r="I903" s="8">
        <f t="shared" si="173"/>
        <v>5723.884356118886</v>
      </c>
      <c r="J903" s="9">
        <f t="shared" si="174"/>
        <v>-66.51974690827106</v>
      </c>
      <c r="K903" s="9">
        <f t="shared" si="175"/>
        <v>-66.505857176416129</v>
      </c>
      <c r="L903" s="8">
        <f t="shared" si="181"/>
        <v>5705.2607715470294</v>
      </c>
      <c r="N903" s="16">
        <f t="shared" si="176"/>
        <v>5.2462103552750667</v>
      </c>
    </row>
    <row r="904" spans="2:14" x14ac:dyDescent="0.25">
      <c r="B904" s="7">
        <f t="shared" si="182"/>
        <v>252.00000000000094</v>
      </c>
      <c r="C904" s="9">
        <f t="shared" si="172"/>
        <v>-66.505857176416129</v>
      </c>
      <c r="D904" s="10">
        <f t="shared" si="183"/>
        <v>4.9445990124184498E-2</v>
      </c>
      <c r="E904" s="10">
        <f t="shared" si="177"/>
        <v>4.9282572353224273E-2</v>
      </c>
      <c r="F904" s="10">
        <f t="shared" si="178"/>
        <v>4.9289356711622788E-2</v>
      </c>
      <c r="G904" s="10">
        <f t="shared" si="179"/>
        <v>4.912560343142737E-2</v>
      </c>
      <c r="H904" s="9">
        <f t="shared" si="180"/>
        <v>-66.492057122004141</v>
      </c>
      <c r="I904" s="8">
        <f t="shared" si="173"/>
        <v>5705.2607715470294</v>
      </c>
      <c r="J904" s="9">
        <f t="shared" si="174"/>
        <v>-66.505857176416129</v>
      </c>
      <c r="K904" s="9">
        <f t="shared" si="175"/>
        <v>-66.492057122004141</v>
      </c>
      <c r="L904" s="8">
        <f t="shared" si="181"/>
        <v>5686.6410635452503</v>
      </c>
      <c r="N904" s="16">
        <f t="shared" si="176"/>
        <v>5.2482313445548705</v>
      </c>
    </row>
    <row r="905" spans="2:14" x14ac:dyDescent="0.25">
      <c r="B905" s="7">
        <f t="shared" si="182"/>
        <v>252.28000000000094</v>
      </c>
      <c r="C905" s="9">
        <f t="shared" si="172"/>
        <v>-66.492057122004141</v>
      </c>
      <c r="D905" s="10">
        <f t="shared" si="183"/>
        <v>4.912588976850378E-2</v>
      </c>
      <c r="E905" s="10">
        <f t="shared" si="177"/>
        <v>4.8962649882626781E-2</v>
      </c>
      <c r="F905" s="10">
        <f t="shared" si="178"/>
        <v>4.8969428036021161E-2</v>
      </c>
      <c r="G905" s="10">
        <f t="shared" si="179"/>
        <v>4.8805851730461952E-2</v>
      </c>
      <c r="H905" s="9">
        <f t="shared" si="180"/>
        <v>-66.478346646795117</v>
      </c>
      <c r="I905" s="8">
        <f t="shared" si="173"/>
        <v>5686.6410635452503</v>
      </c>
      <c r="J905" s="9">
        <f t="shared" si="174"/>
        <v>-66.492057122004141</v>
      </c>
      <c r="K905" s="9">
        <f t="shared" si="175"/>
        <v>-66.478346646795117</v>
      </c>
      <c r="L905" s="8">
        <f t="shared" si="181"/>
        <v>5668.0252070176184</v>
      </c>
      <c r="N905" s="16">
        <f t="shared" si="176"/>
        <v>5.2502395910005486</v>
      </c>
    </row>
    <row r="906" spans="2:14" x14ac:dyDescent="0.25">
      <c r="B906" s="7">
        <f t="shared" si="182"/>
        <v>252.56000000000094</v>
      </c>
      <c r="C906" s="9">
        <f t="shared" si="172"/>
        <v>-66.478346646795117</v>
      </c>
      <c r="D906" s="10">
        <f t="shared" si="183"/>
        <v>4.8806137872040592E-2</v>
      </c>
      <c r="E906" s="10">
        <f t="shared" si="177"/>
        <v>4.8643073432012643E-2</v>
      </c>
      <c r="F906" s="10">
        <f t="shared" si="178"/>
        <v>4.8649845470732006E-2</v>
      </c>
      <c r="G906" s="10">
        <f t="shared" si="179"/>
        <v>4.8486443698215614E-2</v>
      </c>
      <c r="H906" s="9">
        <f t="shared" si="180"/>
        <v>-66.464725653890909</v>
      </c>
      <c r="I906" s="8">
        <f t="shared" si="173"/>
        <v>5668.0252070176184</v>
      </c>
      <c r="J906" s="9">
        <f t="shared" si="174"/>
        <v>-66.478346646795117</v>
      </c>
      <c r="K906" s="9">
        <f t="shared" si="175"/>
        <v>-66.464725653890909</v>
      </c>
      <c r="L906" s="8">
        <f t="shared" si="181"/>
        <v>5649.4131768955222</v>
      </c>
      <c r="N906" s="16">
        <f t="shared" si="176"/>
        <v>5.252235083743912</v>
      </c>
    </row>
    <row r="907" spans="2:14" x14ac:dyDescent="0.25">
      <c r="B907" s="7">
        <f t="shared" si="182"/>
        <v>252.84000000000094</v>
      </c>
      <c r="C907" s="9">
        <f t="shared" si="172"/>
        <v>-66.464725653890909</v>
      </c>
      <c r="D907" s="10">
        <f t="shared" si="183"/>
        <v>4.8486729647640225E-2</v>
      </c>
      <c r="E907" s="10">
        <f t="shared" si="177"/>
        <v>4.8323838219450507E-2</v>
      </c>
      <c r="F907" s="10">
        <f t="shared" si="178"/>
        <v>4.8330604233689463E-2</v>
      </c>
      <c r="G907" s="10">
        <f t="shared" si="179"/>
        <v>4.8167374557818374E-2</v>
      </c>
      <c r="H907" s="9">
        <f t="shared" si="180"/>
        <v>-66.451194047732358</v>
      </c>
      <c r="I907" s="8">
        <f t="shared" si="173"/>
        <v>5649.4131768955222</v>
      </c>
      <c r="J907" s="9">
        <f t="shared" si="174"/>
        <v>-66.464725653890909</v>
      </c>
      <c r="K907" s="9">
        <f t="shared" si="175"/>
        <v>-66.451194047732358</v>
      </c>
      <c r="L907" s="8">
        <f t="shared" si="181"/>
        <v>5630.8049481372946</v>
      </c>
      <c r="N907" s="16">
        <f t="shared" si="176"/>
        <v>5.2542178118721292</v>
      </c>
    </row>
    <row r="908" spans="2:14" x14ac:dyDescent="0.25">
      <c r="B908" s="7">
        <f t="shared" si="182"/>
        <v>253.12000000000094</v>
      </c>
      <c r="C908" s="9">
        <f t="shared" si="172"/>
        <v>-66.451194047732358</v>
      </c>
      <c r="D908" s="10">
        <f t="shared" si="183"/>
        <v>4.8167660318432844E-2</v>
      </c>
      <c r="E908" s="10">
        <f t="shared" si="177"/>
        <v>4.8004939473206838E-2</v>
      </c>
      <c r="F908" s="10">
        <f t="shared" si="178"/>
        <v>4.8011699553024527E-2</v>
      </c>
      <c r="G908" s="10">
        <f t="shared" si="179"/>
        <v>4.7848639542468457E-2</v>
      </c>
      <c r="H908" s="9">
        <f t="shared" si="180"/>
        <v>-66.437751734096395</v>
      </c>
      <c r="I908" s="8">
        <f t="shared" si="173"/>
        <v>5630.8049481372946</v>
      </c>
      <c r="J908" s="9">
        <f t="shared" si="174"/>
        <v>-66.451194047732358</v>
      </c>
      <c r="K908" s="9">
        <f t="shared" si="175"/>
        <v>-66.437751734096395</v>
      </c>
      <c r="L908" s="8">
        <f t="shared" si="181"/>
        <v>5612.2004957278386</v>
      </c>
      <c r="N908" s="16">
        <f t="shared" si="176"/>
        <v>5.2561877644275841</v>
      </c>
    </row>
    <row r="909" spans="2:14" x14ac:dyDescent="0.25">
      <c r="B909" s="7">
        <f t="shared" si="182"/>
        <v>253.40000000000094</v>
      </c>
      <c r="C909" s="9">
        <f t="shared" si="172"/>
        <v>-66.437751734096395</v>
      </c>
      <c r="D909" s="10">
        <f t="shared" si="183"/>
        <v>4.7848925117612691E-2</v>
      </c>
      <c r="E909" s="10">
        <f t="shared" si="177"/>
        <v>4.7686372431504351E-2</v>
      </c>
      <c r="F909" s="10">
        <f t="shared" si="178"/>
        <v>4.7693126666820206E-2</v>
      </c>
      <c r="G909" s="10">
        <f t="shared" si="179"/>
        <v>4.7530233895235176E-2</v>
      </c>
      <c r="H909" s="9">
        <f t="shared" si="180"/>
        <v>-66.424398620093285</v>
      </c>
      <c r="I909" s="8">
        <f t="shared" si="173"/>
        <v>5612.2004957278386</v>
      </c>
      <c r="J909" s="9">
        <f t="shared" si="174"/>
        <v>-66.437751734096395</v>
      </c>
      <c r="K909" s="9">
        <f t="shared" si="175"/>
        <v>-66.424398620093285</v>
      </c>
      <c r="L909" s="8">
        <f t="shared" si="181"/>
        <v>5593.5997946782518</v>
      </c>
      <c r="N909" s="16">
        <f t="shared" si="176"/>
        <v>5.2581449304077399</v>
      </c>
    </row>
    <row r="910" spans="2:14" x14ac:dyDescent="0.25">
      <c r="B910" s="7">
        <f t="shared" si="182"/>
        <v>253.68000000000094</v>
      </c>
      <c r="C910" s="9">
        <f t="shared" si="172"/>
        <v>-66.424398620093285</v>
      </c>
      <c r="D910" s="10">
        <f t="shared" si="183"/>
        <v>4.7530519288248287E-2</v>
      </c>
      <c r="E910" s="10">
        <f t="shared" si="177"/>
        <v>4.7368132342330171E-2</v>
      </c>
      <c r="F910" s="10">
        <f t="shared" si="178"/>
        <v>4.7374880822935485E-2</v>
      </c>
      <c r="G910" s="10">
        <f t="shared" si="179"/>
        <v>4.7212152868850388E-2</v>
      </c>
      <c r="H910" s="9">
        <f t="shared" si="180"/>
        <v>-66.411134614163856</v>
      </c>
      <c r="I910" s="8">
        <f t="shared" si="173"/>
        <v>5593.5997946782518</v>
      </c>
      <c r="J910" s="9">
        <f t="shared" si="174"/>
        <v>-66.424398620093285</v>
      </c>
      <c r="K910" s="9">
        <f t="shared" si="175"/>
        <v>-66.411134614163856</v>
      </c>
      <c r="L910" s="8">
        <f t="shared" si="181"/>
        <v>5575.0028200254555</v>
      </c>
      <c r="N910" s="16">
        <f t="shared" si="176"/>
        <v>5.2600892987650054</v>
      </c>
    </row>
    <row r="911" spans="2:14" x14ac:dyDescent="0.25">
      <c r="B911" s="7">
        <f t="shared" si="182"/>
        <v>253.96000000000095</v>
      </c>
      <c r="C911" s="9">
        <f t="shared" si="172"/>
        <v>-66.411134614163856</v>
      </c>
      <c r="D911" s="10">
        <f t="shared" si="183"/>
        <v>4.7212438083065661E-2</v>
      </c>
      <c r="E911" s="10">
        <f t="shared" si="177"/>
        <v>4.7050214463228719E-2</v>
      </c>
      <c r="F911" s="10">
        <f t="shared" si="178"/>
        <v>4.7056957278785866E-2</v>
      </c>
      <c r="G911" s="10">
        <f t="shared" si="179"/>
        <v>4.6894391725498578E-2</v>
      </c>
      <c r="H911" s="9">
        <f t="shared" si="180"/>
        <v>-66.397959626076869</v>
      </c>
      <c r="I911" s="8">
        <f t="shared" si="173"/>
        <v>5575.0028200254555</v>
      </c>
      <c r="J911" s="9">
        <f t="shared" si="174"/>
        <v>-66.411134614163856</v>
      </c>
      <c r="K911" s="9">
        <f t="shared" si="175"/>
        <v>-66.397959626076869</v>
      </c>
      <c r="L911" s="8">
        <f t="shared" si="181"/>
        <v>5556.4095468318219</v>
      </c>
      <c r="N911" s="16">
        <f t="shared" si="176"/>
        <v>5.2620208584065962</v>
      </c>
    </row>
    <row r="912" spans="2:14" x14ac:dyDescent="0.25">
      <c r="B912" s="7">
        <f t="shared" si="182"/>
        <v>254.24000000000095</v>
      </c>
      <c r="C912" s="9">
        <f t="shared" si="172"/>
        <v>-66.397959626076869</v>
      </c>
      <c r="D912" s="10">
        <f t="shared" si="183"/>
        <v>4.6894676764252768E-2</v>
      </c>
      <c r="E912" s="10">
        <f t="shared" si="177"/>
        <v>4.6732614061099721E-2</v>
      </c>
      <c r="F912" s="10">
        <f t="shared" si="178"/>
        <v>4.673935130114288E-2</v>
      </c>
      <c r="G912" s="10">
        <f t="shared" si="179"/>
        <v>4.6576945736620495E-2</v>
      </c>
      <c r="H912" s="9">
        <f t="shared" si="180"/>
        <v>-66.384873566926359</v>
      </c>
      <c r="I912" s="8">
        <f t="shared" si="173"/>
        <v>5556.4095468318219</v>
      </c>
      <c r="J912" s="9">
        <f t="shared" si="174"/>
        <v>-66.397959626076869</v>
      </c>
      <c r="K912" s="9">
        <f t="shared" si="175"/>
        <v>-66.384873566926359</v>
      </c>
      <c r="L912" s="8">
        <f t="shared" si="181"/>
        <v>5537.8199501848012</v>
      </c>
      <c r="N912" s="16">
        <f t="shared" si="176"/>
        <v>5.2639395981943924</v>
      </c>
    </row>
    <row r="913" spans="2:14" x14ac:dyDescent="0.25">
      <c r="B913" s="7">
        <f t="shared" si="182"/>
        <v>254.52000000000095</v>
      </c>
      <c r="C913" s="9">
        <f t="shared" si="172"/>
        <v>-66.384873566926359</v>
      </c>
      <c r="D913" s="10">
        <f t="shared" si="183"/>
        <v>4.6577230603247796E-2</v>
      </c>
      <c r="E913" s="10">
        <f t="shared" si="177"/>
        <v>4.6415326412000607E-2</v>
      </c>
      <c r="F913" s="10">
        <f t="shared" si="178"/>
        <v>4.6422058165948271E-2</v>
      </c>
      <c r="G913" s="10">
        <f t="shared" si="179"/>
        <v>4.625981018271403E-2</v>
      </c>
      <c r="H913" s="9">
        <f t="shared" si="180"/>
        <v>-66.371876349129067</v>
      </c>
      <c r="I913" s="8">
        <f t="shared" si="173"/>
        <v>5537.8199501848012</v>
      </c>
      <c r="J913" s="9">
        <f t="shared" si="174"/>
        <v>-66.384873566926359</v>
      </c>
      <c r="K913" s="9">
        <f t="shared" si="175"/>
        <v>-66.371876349129067</v>
      </c>
      <c r="L913" s="8">
        <f t="shared" si="181"/>
        <v>5519.2340051965539</v>
      </c>
      <c r="N913" s="16">
        <f t="shared" si="176"/>
        <v>5.2658455069448005</v>
      </c>
    </row>
    <row r="914" spans="2:14" x14ac:dyDescent="0.25">
      <c r="B914" s="7">
        <f t="shared" si="182"/>
        <v>254.80000000000095</v>
      </c>
      <c r="C914" s="9">
        <f t="shared" si="172"/>
        <v>-66.371876349129067</v>
      </c>
      <c r="D914" s="10">
        <f t="shared" si="183"/>
        <v>4.6260094880536826E-2</v>
      </c>
      <c r="E914" s="10">
        <f t="shared" si="177"/>
        <v>4.6098346800910052E-2</v>
      </c>
      <c r="F914" s="10">
        <f t="shared" si="178"/>
        <v>4.610507315806503E-2</v>
      </c>
      <c r="G914" s="10">
        <f t="shared" si="179"/>
        <v>4.5942980353106143E-2</v>
      </c>
      <c r="H914" s="9">
        <f t="shared" si="180"/>
        <v>-66.358967886421993</v>
      </c>
      <c r="I914" s="8">
        <f t="shared" si="173"/>
        <v>5519.2340051965539</v>
      </c>
      <c r="J914" s="9">
        <f t="shared" si="174"/>
        <v>-66.371876349129067</v>
      </c>
      <c r="K914" s="9">
        <f t="shared" si="175"/>
        <v>-66.358967886421993</v>
      </c>
      <c r="L914" s="8">
        <f t="shared" si="181"/>
        <v>5500.6516870035766</v>
      </c>
      <c r="N914" s="16">
        <f t="shared" si="176"/>
        <v>5.2677385734286135</v>
      </c>
    </row>
    <row r="915" spans="2:14" x14ac:dyDescent="0.25">
      <c r="B915" s="7">
        <f t="shared" si="182"/>
        <v>255.08000000000095</v>
      </c>
      <c r="C915" s="9">
        <f t="shared" si="172"/>
        <v>-66.358967886421993</v>
      </c>
      <c r="D915" s="10">
        <f t="shared" si="183"/>
        <v>4.5943264885461951E-2</v>
      </c>
      <c r="E915" s="10">
        <f t="shared" si="177"/>
        <v>4.5781670521587943E-2</v>
      </c>
      <c r="F915" s="10">
        <f t="shared" si="178"/>
        <v>4.5788391571138974E-2</v>
      </c>
      <c r="G915" s="10">
        <f t="shared" si="179"/>
        <v>4.562645154579803E-2</v>
      </c>
      <c r="H915" s="9">
        <f t="shared" si="180"/>
        <v>-66.346148093859881</v>
      </c>
      <c r="I915" s="8">
        <f t="shared" si="173"/>
        <v>5500.6516870035766</v>
      </c>
      <c r="J915" s="9">
        <f t="shared" si="174"/>
        <v>-66.358967886421993</v>
      </c>
      <c r="K915" s="9">
        <f t="shared" si="175"/>
        <v>-66.346148093859881</v>
      </c>
      <c r="L915" s="8">
        <f t="shared" si="181"/>
        <v>5482.0729707663368</v>
      </c>
      <c r="N915" s="16">
        <f t="shared" si="176"/>
        <v>5.2696187863708648</v>
      </c>
    </row>
    <row r="916" spans="2:14" x14ac:dyDescent="0.25">
      <c r="B916" s="7">
        <f t="shared" si="182"/>
        <v>255.36000000000095</v>
      </c>
      <c r="C916" s="9">
        <f t="shared" si="172"/>
        <v>-66.346148093859881</v>
      </c>
      <c r="D916" s="10">
        <f t="shared" si="183"/>
        <v>4.5626735916005724E-2</v>
      </c>
      <c r="E916" s="10">
        <f t="shared" si="177"/>
        <v>4.5465292876315774E-2</v>
      </c>
      <c r="F916" s="10">
        <f t="shared" si="178"/>
        <v>4.5472008707329883E-2</v>
      </c>
      <c r="G916" s="10">
        <f t="shared" si="179"/>
        <v>4.5310219067208606E-2</v>
      </c>
      <c r="H916" s="9">
        <f t="shared" si="180"/>
        <v>-66.333416887812859</v>
      </c>
      <c r="I916" s="8">
        <f t="shared" si="173"/>
        <v>5482.0729707663368</v>
      </c>
      <c r="J916" s="9">
        <f t="shared" si="174"/>
        <v>-66.346148093859881</v>
      </c>
      <c r="K916" s="9">
        <f t="shared" si="175"/>
        <v>-66.333416887812859</v>
      </c>
      <c r="L916" s="8">
        <f t="shared" si="181"/>
        <v>5463.497831668903</v>
      </c>
      <c r="N916" s="16">
        <f t="shared" si="176"/>
        <v>5.2714861344506874</v>
      </c>
    </row>
    <row r="917" spans="2:14" x14ac:dyDescent="0.25">
      <c r="B917" s="7">
        <f t="shared" si="182"/>
        <v>255.64000000000095</v>
      </c>
      <c r="C917" s="9">
        <f t="shared" si="172"/>
        <v>-66.333416887812859</v>
      </c>
      <c r="D917" s="10">
        <f t="shared" si="183"/>
        <v>4.5310503278599569E-2</v>
      </c>
      <c r="E917" s="10">
        <f t="shared" si="177"/>
        <v>4.514920917572577E-2</v>
      </c>
      <c r="F917" s="10">
        <f t="shared" si="178"/>
        <v>4.5155919877175217E-2</v>
      </c>
      <c r="G917" s="10">
        <f t="shared" si="179"/>
        <v>4.4994278232020291E-2</v>
      </c>
      <c r="H917" s="9">
        <f t="shared" si="180"/>
        <v>-66.320774185964098</v>
      </c>
      <c r="I917" s="8">
        <f t="shared" si="173"/>
        <v>5463.497831668903</v>
      </c>
      <c r="J917" s="9">
        <f t="shared" si="174"/>
        <v>-66.333416887812859</v>
      </c>
      <c r="K917" s="9">
        <f t="shared" si="175"/>
        <v>-66.320774185964098</v>
      </c>
      <c r="L917" s="8">
        <f t="shared" si="181"/>
        <v>5444.9262449185744</v>
      </c>
      <c r="N917" s="16">
        <f t="shared" si="176"/>
        <v>5.2733406063011694</v>
      </c>
    </row>
    <row r="918" spans="2:14" x14ac:dyDescent="0.25">
      <c r="B918" s="7">
        <f t="shared" si="182"/>
        <v>255.92000000000095</v>
      </c>
      <c r="C918" s="9">
        <f t="shared" si="172"/>
        <v>-66.320774185964098</v>
      </c>
      <c r="D918" s="10">
        <f t="shared" si="183"/>
        <v>4.4994562287913972E-2</v>
      </c>
      <c r="E918" s="10">
        <f t="shared" si="177"/>
        <v>4.4833414738585792E-2</v>
      </c>
      <c r="F918" s="10">
        <f t="shared" si="178"/>
        <v>4.4840120399331093E-2</v>
      </c>
      <c r="G918" s="10">
        <f t="shared" si="179"/>
        <v>4.4678624362948262E-2</v>
      </c>
      <c r="H918" s="9">
        <f t="shared" si="180"/>
        <v>-66.308219907307517</v>
      </c>
      <c r="I918" s="8">
        <f t="shared" si="173"/>
        <v>5444.9262449185744</v>
      </c>
      <c r="J918" s="9">
        <f t="shared" si="174"/>
        <v>-66.320774185964098</v>
      </c>
      <c r="K918" s="9">
        <f t="shared" si="175"/>
        <v>-66.308219907307517</v>
      </c>
      <c r="L918" s="8">
        <f t="shared" si="181"/>
        <v>5426.3581857455165</v>
      </c>
      <c r="N918" s="16">
        <f t="shared" si="176"/>
        <v>5.2751821905092049</v>
      </c>
    </row>
    <row r="919" spans="2:14" x14ac:dyDescent="0.25">
      <c r="B919" s="7">
        <f t="shared" si="182"/>
        <v>256.20000000000095</v>
      </c>
      <c r="C919" s="9">
        <f t="shared" si="172"/>
        <v>-66.308219907307517</v>
      </c>
      <c r="D919" s="10">
        <f t="shared" si="183"/>
        <v>4.4678908266664805E-2</v>
      </c>
      <c r="E919" s="10">
        <f t="shared" si="177"/>
        <v>4.4517904891606182E-2</v>
      </c>
      <c r="F919" s="10">
        <f t="shared" si="178"/>
        <v>4.4524605600415545E-2</v>
      </c>
      <c r="G919" s="10">
        <f t="shared" si="179"/>
        <v>4.4363252790550735E-2</v>
      </c>
      <c r="H919" s="9">
        <f t="shared" si="180"/>
        <v>-66.29575397214559</v>
      </c>
      <c r="I919" s="8">
        <f t="shared" si="173"/>
        <v>5426.3581857455165</v>
      </c>
      <c r="J919" s="9">
        <f t="shared" si="174"/>
        <v>-66.308219907307517</v>
      </c>
      <c r="K919" s="9">
        <f t="shared" si="175"/>
        <v>-66.29575397214559</v>
      </c>
      <c r="L919" s="8">
        <f t="shared" si="181"/>
        <v>5407.793629402393</v>
      </c>
      <c r="N919" s="16">
        <f t="shared" si="176"/>
        <v>5.2770108756153515</v>
      </c>
    </row>
    <row r="920" spans="2:14" x14ac:dyDescent="0.25">
      <c r="B920" s="7">
        <f t="shared" si="182"/>
        <v>256.48000000000093</v>
      </c>
      <c r="C920" s="9">
        <f t="shared" ref="C920:C983" si="184">H919</f>
        <v>-66.29575397214559</v>
      </c>
      <c r="D920" s="10">
        <f t="shared" si="183"/>
        <v>4.436353654541593E-2</v>
      </c>
      <c r="E920" s="10">
        <f t="shared" si="177"/>
        <v>4.4202674969255742E-2</v>
      </c>
      <c r="F920" s="10">
        <f t="shared" si="178"/>
        <v>4.4209370814788956E-2</v>
      </c>
      <c r="G920" s="10">
        <f t="shared" si="179"/>
        <v>4.4048158853040247E-2</v>
      </c>
      <c r="H920" s="9">
        <f t="shared" si="180"/>
        <v>-66.283376302087149</v>
      </c>
      <c r="I920" s="8">
        <f t="shared" ref="I920:I983" si="185">L919</f>
        <v>5407.793629402393</v>
      </c>
      <c r="J920" s="9">
        <f t="shared" ref="J920:J983" si="186">C920</f>
        <v>-66.29575397214559</v>
      </c>
      <c r="K920" s="9">
        <f t="shared" ref="K920:K983" si="187">H920</f>
        <v>-66.283376302087149</v>
      </c>
      <c r="L920" s="8">
        <f t="shared" si="181"/>
        <v>5389.2325511640001</v>
      </c>
      <c r="N920" s="16">
        <f t="shared" ref="N920:N983" si="188">C_y(I920)</f>
        <v>5.2788266501136807</v>
      </c>
    </row>
    <row r="921" spans="2:14" x14ac:dyDescent="0.25">
      <c r="B921" s="7">
        <f t="shared" si="182"/>
        <v>256.7600000000009</v>
      </c>
      <c r="C921" s="9">
        <f t="shared" si="184"/>
        <v>-66.283376302087149</v>
      </c>
      <c r="D921" s="10">
        <f t="shared" si="183"/>
        <v>4.4048442462373716E-2</v>
      </c>
      <c r="E921" s="10">
        <f t="shared" si="177"/>
        <v>4.3887720313527202E-2</v>
      </c>
      <c r="F921" s="10">
        <f t="shared" si="178"/>
        <v>4.3894411384355882E-2</v>
      </c>
      <c r="G921" s="10">
        <f t="shared" si="179"/>
        <v>4.3733337896069285E-2</v>
      </c>
      <c r="H921" s="9">
        <f t="shared" si="180"/>
        <v>-66.271086820045284</v>
      </c>
      <c r="I921" s="8">
        <f t="shared" si="185"/>
        <v>5389.2325511640001</v>
      </c>
      <c r="J921" s="9">
        <f t="shared" si="186"/>
        <v>-66.283376302087149</v>
      </c>
      <c r="K921" s="9">
        <f t="shared" si="187"/>
        <v>-66.271086820045284</v>
      </c>
      <c r="L921" s="8">
        <f t="shared" si="181"/>
        <v>5370.6749263269012</v>
      </c>
      <c r="N921" s="16">
        <f t="shared" si="188"/>
        <v>5.2806295024516281</v>
      </c>
    </row>
    <row r="922" spans="2:14" x14ac:dyDescent="0.25">
      <c r="B922" s="7">
        <f t="shared" si="182"/>
        <v>257.04000000000087</v>
      </c>
      <c r="C922" s="9">
        <f t="shared" si="184"/>
        <v>-66.271086820045284</v>
      </c>
      <c r="D922" s="10">
        <f t="shared" si="183"/>
        <v>4.3733621363189597E-2</v>
      </c>
      <c r="E922" s="10">
        <f t="shared" si="177"/>
        <v>4.3573036273767504E-2</v>
      </c>
      <c r="F922" s="10">
        <f t="shared" si="178"/>
        <v>4.3579722658376757E-2</v>
      </c>
      <c r="G922" s="10">
        <f t="shared" si="179"/>
        <v>4.3418785272540936E-2</v>
      </c>
      <c r="H922" s="9">
        <f t="shared" si="180"/>
        <v>-66.258885450235283</v>
      </c>
      <c r="I922" s="8">
        <f t="shared" si="185"/>
        <v>5370.6749263269012</v>
      </c>
      <c r="J922" s="9">
        <f t="shared" si="186"/>
        <v>-66.271086820045284</v>
      </c>
      <c r="K922" s="9">
        <f t="shared" si="187"/>
        <v>-66.258885450235283</v>
      </c>
      <c r="L922" s="8">
        <f t="shared" si="181"/>
        <v>5352.1207302090615</v>
      </c>
      <c r="N922" s="16">
        <f t="shared" si="188"/>
        <v>5.282419421029843</v>
      </c>
    </row>
    <row r="923" spans="2:14" x14ac:dyDescent="0.25">
      <c r="B923" s="7">
        <f t="shared" si="182"/>
        <v>257.32000000000085</v>
      </c>
      <c r="C923" s="9">
        <f t="shared" si="184"/>
        <v>-66.258885450235283</v>
      </c>
      <c r="D923" s="10">
        <f t="shared" si="183"/>
        <v>4.3419068600766331E-2</v>
      </c>
      <c r="E923" s="10">
        <f t="shared" si="177"/>
        <v>4.3258618206476321E-2</v>
      </c>
      <c r="F923" s="10">
        <f t="shared" si="178"/>
        <v>4.3265299993256214E-2</v>
      </c>
      <c r="G923" s="10">
        <f t="shared" si="179"/>
        <v>4.3104496342407247E-2</v>
      </c>
      <c r="H923" s="9">
        <f t="shared" si="180"/>
        <v>-66.246772118172629</v>
      </c>
      <c r="I923" s="8">
        <f t="shared" si="185"/>
        <v>5352.1207302090615</v>
      </c>
      <c r="J923" s="9">
        <f t="shared" si="186"/>
        <v>-66.258885450235283</v>
      </c>
      <c r="K923" s="9">
        <f t="shared" si="187"/>
        <v>-66.246772118172629</v>
      </c>
      <c r="L923" s="8">
        <f t="shared" si="181"/>
        <v>5333.5699381494842</v>
      </c>
      <c r="N923" s="16">
        <f t="shared" si="188"/>
        <v>5.2841963942020396</v>
      </c>
    </row>
    <row r="924" spans="2:14" x14ac:dyDescent="0.25">
      <c r="B924" s="7">
        <f t="shared" si="182"/>
        <v>257.60000000000082</v>
      </c>
      <c r="C924" s="9">
        <f t="shared" si="184"/>
        <v>-66.246772118172629</v>
      </c>
      <c r="D924" s="10">
        <f t="shared" si="183"/>
        <v>4.3104779535055572E-2</v>
      </c>
      <c r="E924" s="10">
        <f t="shared" si="177"/>
        <v>4.2944461475096583E-2</v>
      </c>
      <c r="F924" s="10">
        <f t="shared" si="178"/>
        <v>4.2951138752354075E-2</v>
      </c>
      <c r="G924" s="10">
        <f t="shared" si="179"/>
        <v>4.2790466472473164E-2</v>
      </c>
      <c r="H924" s="9">
        <f t="shared" si="180"/>
        <v>-66.23474675067105</v>
      </c>
      <c r="I924" s="8">
        <f t="shared" si="185"/>
        <v>5333.5699381494842</v>
      </c>
      <c r="J924" s="9">
        <f t="shared" si="186"/>
        <v>-66.246772118172629</v>
      </c>
      <c r="K924" s="9">
        <f t="shared" si="187"/>
        <v>-66.23474675067105</v>
      </c>
      <c r="L924" s="8">
        <f t="shared" si="181"/>
        <v>5315.0225255078458</v>
      </c>
      <c r="N924" s="16">
        <f t="shared" si="188"/>
        <v>5.2859604102748428</v>
      </c>
    </row>
    <row r="925" spans="2:14" x14ac:dyDescent="0.25">
      <c r="B925" s="7">
        <f t="shared" si="182"/>
        <v>257.88000000000079</v>
      </c>
      <c r="C925" s="9">
        <f t="shared" si="184"/>
        <v>-66.23474675067105</v>
      </c>
      <c r="D925" s="10">
        <f t="shared" si="183"/>
        <v>4.2790749532860217E-2</v>
      </c>
      <c r="E925" s="10">
        <f t="shared" si="177"/>
        <v>4.2630561449819339E-2</v>
      </c>
      <c r="F925" s="10">
        <f t="shared" si="178"/>
        <v>4.2637234305783145E-2</v>
      </c>
      <c r="G925" s="10">
        <f t="shared" si="179"/>
        <v>4.2476691036197639E-2</v>
      </c>
      <c r="H925" s="9">
        <f t="shared" si="180"/>
        <v>-66.222809275840632</v>
      </c>
      <c r="I925" s="8">
        <f t="shared" si="185"/>
        <v>5315.0225255078458</v>
      </c>
      <c r="J925" s="9">
        <f t="shared" si="186"/>
        <v>-66.23474675067105</v>
      </c>
      <c r="K925" s="9">
        <f t="shared" si="187"/>
        <v>-66.222809275840632</v>
      </c>
      <c r="L925" s="8">
        <f t="shared" si="181"/>
        <v>5296.4784676641339</v>
      </c>
      <c r="N925" s="16">
        <f t="shared" si="188"/>
        <v>5.2877114575076343</v>
      </c>
    </row>
    <row r="926" spans="2:14" x14ac:dyDescent="0.25">
      <c r="B926" s="7">
        <f t="shared" si="182"/>
        <v>258.16000000000076</v>
      </c>
      <c r="C926" s="9">
        <f t="shared" si="184"/>
        <v>-66.222809275840632</v>
      </c>
      <c r="D926" s="10">
        <f t="shared" si="183"/>
        <v>4.2476973967636389E-2</v>
      </c>
      <c r="E926" s="10">
        <f t="shared" si="177"/>
        <v>4.2316913507404776E-2</v>
      </c>
      <c r="F926" s="10">
        <f t="shared" si="178"/>
        <v>4.2323582030224689E-2</v>
      </c>
      <c r="G926" s="10">
        <f t="shared" si="179"/>
        <v>4.2163165413500556E-2</v>
      </c>
      <c r="H926" s="9">
        <f t="shared" si="180"/>
        <v>-66.210959623085998</v>
      </c>
      <c r="I926" s="8">
        <f t="shared" si="185"/>
        <v>5296.4784676641339</v>
      </c>
      <c r="J926" s="9">
        <f t="shared" si="186"/>
        <v>-66.222809275840632</v>
      </c>
      <c r="K926" s="9">
        <f t="shared" si="187"/>
        <v>-66.210959623085998</v>
      </c>
      <c r="L926" s="8">
        <f t="shared" si="181"/>
        <v>5277.9377400182839</v>
      </c>
      <c r="N926" s="16">
        <f t="shared" si="188"/>
        <v>5.2894495241123973</v>
      </c>
    </row>
    <row r="927" spans="2:14" x14ac:dyDescent="0.25">
      <c r="B927" s="7">
        <f t="shared" si="182"/>
        <v>258.44000000000074</v>
      </c>
      <c r="C927" s="9">
        <f t="shared" si="184"/>
        <v>-66.210959623085998</v>
      </c>
      <c r="D927" s="10">
        <f t="shared" si="183"/>
        <v>4.2163448219311034E-2</v>
      </c>
      <c r="E927" s="10">
        <f t="shared" si="177"/>
        <v>4.200351303096387E-2</v>
      </c>
      <c r="F927" s="10">
        <f t="shared" si="178"/>
        <v>4.2010177308719081E-2</v>
      </c>
      <c r="G927" s="10">
        <f t="shared" si="179"/>
        <v>4.1849884990566667E-2</v>
      </c>
      <c r="H927" s="9">
        <f t="shared" si="180"/>
        <v>-66.199197723104504</v>
      </c>
      <c r="I927" s="8">
        <f t="shared" si="185"/>
        <v>5277.9377400182839</v>
      </c>
      <c r="J927" s="9">
        <f t="shared" si="186"/>
        <v>-66.210959623085998</v>
      </c>
      <c r="K927" s="9">
        <f t="shared" si="187"/>
        <v>-66.199197723104504</v>
      </c>
      <c r="L927" s="8">
        <f t="shared" si="181"/>
        <v>5259.4003179898173</v>
      </c>
      <c r="N927" s="16">
        <f t="shared" si="188"/>
        <v>5.2911745982535656</v>
      </c>
    </row>
    <row r="928" spans="2:14" x14ac:dyDescent="0.25">
      <c r="B928" s="7">
        <f t="shared" si="182"/>
        <v>258.72000000000071</v>
      </c>
      <c r="C928" s="9">
        <f t="shared" si="184"/>
        <v>-66.199197723104504</v>
      </c>
      <c r="D928" s="10">
        <f t="shared" si="183"/>
        <v>4.1850167674066754E-2</v>
      </c>
      <c r="E928" s="10">
        <f t="shared" si="177"/>
        <v>4.1690355409775462E-2</v>
      </c>
      <c r="F928" s="10">
        <f t="shared" si="178"/>
        <v>4.1697015530466175E-2</v>
      </c>
      <c r="G928" s="10">
        <f t="shared" si="179"/>
        <v>4.1536845159652711E-2</v>
      </c>
      <c r="H928" s="9">
        <f t="shared" si="180"/>
        <v>-66.187523507884507</v>
      </c>
      <c r="I928" s="8">
        <f t="shared" si="185"/>
        <v>5259.4003179898173</v>
      </c>
      <c r="J928" s="9">
        <f t="shared" si="186"/>
        <v>-66.199197723104504</v>
      </c>
      <c r="K928" s="9">
        <f t="shared" si="187"/>
        <v>-66.187523507884507</v>
      </c>
      <c r="L928" s="8">
        <f t="shared" si="181"/>
        <v>5240.8661770174785</v>
      </c>
      <c r="N928" s="16">
        <f t="shared" si="188"/>
        <v>5.2928866680478599</v>
      </c>
    </row>
    <row r="929" spans="2:14" x14ac:dyDescent="0.25">
      <c r="B929" s="7">
        <f t="shared" si="182"/>
        <v>259.00000000000068</v>
      </c>
      <c r="C929" s="9">
        <f t="shared" si="184"/>
        <v>-66.187523507884507</v>
      </c>
      <c r="D929" s="10">
        <f t="shared" si="183"/>
        <v>4.1537127724150559E-2</v>
      </c>
      <c r="E929" s="10">
        <f t="shared" si="177"/>
        <v>4.1377436039085162E-2</v>
      </c>
      <c r="F929" s="10">
        <f t="shared" si="178"/>
        <v>4.1384092090647737E-2</v>
      </c>
      <c r="G929" s="10">
        <f t="shared" si="179"/>
        <v>4.1224041318878475E-2</v>
      </c>
      <c r="H929" s="9">
        <f t="shared" si="180"/>
        <v>-66.175936910703726</v>
      </c>
      <c r="I929" s="8">
        <f t="shared" si="185"/>
        <v>5240.8661770174785</v>
      </c>
      <c r="J929" s="9">
        <f t="shared" si="186"/>
        <v>-66.187523507884507</v>
      </c>
      <c r="K929" s="9">
        <f t="shared" si="187"/>
        <v>-66.175936910703726</v>
      </c>
      <c r="L929" s="8">
        <f t="shared" si="181"/>
        <v>5222.3352925588761</v>
      </c>
      <c r="N929" s="16">
        <f t="shared" si="188"/>
        <v>5.2945857215641334</v>
      </c>
    </row>
    <row r="930" spans="2:14" x14ac:dyDescent="0.25">
      <c r="B930" s="7">
        <f t="shared" si="182"/>
        <v>259.28000000000065</v>
      </c>
      <c r="C930" s="9">
        <f t="shared" si="184"/>
        <v>-66.175936910703726</v>
      </c>
      <c r="D930" s="10">
        <f t="shared" si="183"/>
        <v>4.1224323767691785E-2</v>
      </c>
      <c r="E930" s="10">
        <f t="shared" si="177"/>
        <v>4.1064750319908694E-2</v>
      </c>
      <c r="F930" s="10">
        <f t="shared" si="178"/>
        <v>4.1071402390224193E-2</v>
      </c>
      <c r="G930" s="10">
        <f t="shared" si="179"/>
        <v>4.0911468872043728E-2</v>
      </c>
      <c r="H930" s="9">
        <f t="shared" si="180"/>
        <v>-66.164437866127599</v>
      </c>
      <c r="I930" s="8">
        <f t="shared" si="185"/>
        <v>5222.3352925588761</v>
      </c>
      <c r="J930" s="9">
        <f t="shared" si="186"/>
        <v>-66.175936910703726</v>
      </c>
      <c r="K930" s="9">
        <f t="shared" si="187"/>
        <v>-66.164437866127599</v>
      </c>
      <c r="L930" s="8">
        <f t="shared" si="181"/>
        <v>5203.80764009012</v>
      </c>
      <c r="N930" s="16">
        <f t="shared" si="188"/>
        <v>5.2962717468232139</v>
      </c>
    </row>
    <row r="931" spans="2:14" x14ac:dyDescent="0.25">
      <c r="B931" s="7">
        <f t="shared" si="182"/>
        <v>259.56000000000063</v>
      </c>
      <c r="C931" s="9">
        <f t="shared" si="184"/>
        <v>-66.164437866127599</v>
      </c>
      <c r="D931" s="10">
        <f t="shared" si="183"/>
        <v>4.0911751208490527E-2</v>
      </c>
      <c r="E931" s="10">
        <f t="shared" si="177"/>
        <v>4.0752293658851538E-2</v>
      </c>
      <c r="F931" s="10">
        <f t="shared" si="178"/>
        <v>4.0758941835721117E-2</v>
      </c>
      <c r="G931" s="10">
        <f t="shared" si="179"/>
        <v>4.0599123228437443E-2</v>
      </c>
      <c r="H931" s="9">
        <f t="shared" si="180"/>
        <v>-66.153026310007718</v>
      </c>
      <c r="I931" s="8">
        <f t="shared" si="185"/>
        <v>5203.80764009012</v>
      </c>
      <c r="J931" s="9">
        <f t="shared" si="186"/>
        <v>-66.164437866127599</v>
      </c>
      <c r="K931" s="9">
        <f t="shared" si="187"/>
        <v>-66.153026310007718</v>
      </c>
      <c r="L931" s="8">
        <f t="shared" si="181"/>
        <v>5185.2831951054613</v>
      </c>
      <c r="N931" s="16">
        <f t="shared" si="188"/>
        <v>5.2979447317977391</v>
      </c>
    </row>
    <row r="932" spans="2:14" x14ac:dyDescent="0.25">
      <c r="B932" s="7">
        <f t="shared" si="182"/>
        <v>259.8400000000006</v>
      </c>
      <c r="C932" s="9">
        <f t="shared" si="184"/>
        <v>-66.153026310007718</v>
      </c>
      <c r="D932" s="10">
        <f t="shared" si="183"/>
        <v>4.0599405455829254E-2</v>
      </c>
      <c r="E932" s="10">
        <f t="shared" si="177"/>
        <v>4.0440061467889185E-2</v>
      </c>
      <c r="F932" s="10">
        <f t="shared" si="178"/>
        <v>4.0446705839071388E-2</v>
      </c>
      <c r="G932" s="10">
        <f t="shared" si="179"/>
        <v>4.0286999802628419E-2</v>
      </c>
      <c r="H932" s="9">
        <f t="shared" si="180"/>
        <v>-66.141702179480333</v>
      </c>
      <c r="I932" s="8">
        <f t="shared" si="185"/>
        <v>5185.2831951054613</v>
      </c>
      <c r="J932" s="9">
        <f t="shared" si="186"/>
        <v>-66.153026310007718</v>
      </c>
      <c r="K932" s="9">
        <f t="shared" si="187"/>
        <v>-66.141702179480333</v>
      </c>
      <c r="L932" s="8">
        <f t="shared" si="181"/>
        <v>5166.7619331169326</v>
      </c>
      <c r="N932" s="16">
        <f t="shared" si="188"/>
        <v>5.2996046644119987</v>
      </c>
    </row>
    <row r="933" spans="2:14" x14ac:dyDescent="0.25">
      <c r="B933" s="7">
        <f t="shared" si="182"/>
        <v>260.12000000000057</v>
      </c>
      <c r="C933" s="9">
        <f t="shared" si="184"/>
        <v>-66.141702179480333</v>
      </c>
      <c r="D933" s="10">
        <f t="shared" si="183"/>
        <v>4.0287281924278669E-2</v>
      </c>
      <c r="E933" s="10">
        <f t="shared" si="177"/>
        <v>4.0128049164191597E-2</v>
      </c>
      <c r="F933" s="10">
        <f t="shared" si="178"/>
        <v>4.0134689817387832E-2</v>
      </c>
      <c r="G933" s="10">
        <f t="shared" si="179"/>
        <v>3.9975094014280933E-2</v>
      </c>
      <c r="H933" s="9">
        <f t="shared" si="180"/>
        <v>-66.130465412964924</v>
      </c>
      <c r="I933" s="8">
        <f t="shared" si="185"/>
        <v>5166.7619331169326</v>
      </c>
      <c r="J933" s="9">
        <f t="shared" si="186"/>
        <v>-66.141702179480333</v>
      </c>
      <c r="K933" s="9">
        <f t="shared" si="187"/>
        <v>-66.130465412964924</v>
      </c>
      <c r="L933" s="8">
        <f t="shared" si="181"/>
        <v>5148.2438296539904</v>
      </c>
      <c r="N933" s="16">
        <f t="shared" si="188"/>
        <v>5.3012515325417695</v>
      </c>
    </row>
    <row r="934" spans="2:14" x14ac:dyDescent="0.25">
      <c r="B934" s="7">
        <f t="shared" si="182"/>
        <v>260.40000000000055</v>
      </c>
      <c r="C934" s="9">
        <f t="shared" si="184"/>
        <v>-66.130465412964924</v>
      </c>
      <c r="D934" s="10">
        <f t="shared" si="183"/>
        <v>3.9975376033513414E-2</v>
      </c>
      <c r="E934" s="10">
        <f t="shared" si="177"/>
        <v>3.9816252169936256E-2</v>
      </c>
      <c r="F934" s="10">
        <f t="shared" si="178"/>
        <v>3.9822889192794454E-2</v>
      </c>
      <c r="G934" s="10">
        <f t="shared" si="179"/>
        <v>3.9663401287974902E-2</v>
      </c>
      <c r="H934" s="9">
        <f t="shared" si="180"/>
        <v>-66.119315950162729</v>
      </c>
      <c r="I934" s="8">
        <f t="shared" si="185"/>
        <v>5148.2438296539904</v>
      </c>
      <c r="J934" s="9">
        <f t="shared" si="186"/>
        <v>-66.130465412964924</v>
      </c>
      <c r="K934" s="9">
        <f t="shared" si="187"/>
        <v>-66.119315950162729</v>
      </c>
      <c r="L934" s="8">
        <f t="shared" si="181"/>
        <v>5129.7288602631525</v>
      </c>
      <c r="N934" s="16">
        <f t="shared" si="188"/>
        <v>5.3028853240141531</v>
      </c>
    </row>
    <row r="935" spans="2:14" x14ac:dyDescent="0.25">
      <c r="B935" s="7">
        <f t="shared" si="182"/>
        <v>260.68000000000052</v>
      </c>
      <c r="C935" s="9">
        <f t="shared" si="184"/>
        <v>-66.119315950162729</v>
      </c>
      <c r="D935" s="10">
        <f t="shared" si="183"/>
        <v>3.9663683208095747E-2</v>
      </c>
      <c r="E935" s="10">
        <f t="shared" si="177"/>
        <v>3.9504665912084319E-2</v>
      </c>
      <c r="F935" s="10">
        <f t="shared" si="178"/>
        <v>3.9511299392200439E-2</v>
      </c>
      <c r="G935" s="10">
        <f t="shared" si="179"/>
        <v>3.9351917052971412E-2</v>
      </c>
      <c r="H935" s="9">
        <f t="shared" si="180"/>
        <v>-66.108253732055474</v>
      </c>
      <c r="I935" s="8">
        <f t="shared" si="185"/>
        <v>5129.7288602631525</v>
      </c>
      <c r="J935" s="9">
        <f t="shared" si="186"/>
        <v>-66.119315950162729</v>
      </c>
      <c r="K935" s="9">
        <f t="shared" si="187"/>
        <v>-66.108253732055474</v>
      </c>
      <c r="L935" s="8">
        <f t="shared" si="181"/>
        <v>5111.2170005076423</v>
      </c>
      <c r="N935" s="16">
        <f t="shared" si="188"/>
        <v>5.3045060266074096</v>
      </c>
    </row>
    <row r="936" spans="2:14" x14ac:dyDescent="0.25">
      <c r="B936" s="7">
        <f t="shared" si="182"/>
        <v>260.96000000000049</v>
      </c>
      <c r="C936" s="9">
        <f t="shared" si="184"/>
        <v>-66.108253732055474</v>
      </c>
      <c r="D936" s="10">
        <f t="shared" si="183"/>
        <v>3.9352198877302208E-2</v>
      </c>
      <c r="E936" s="10">
        <f t="shared" si="177"/>
        <v>3.9193285822214791E-2</v>
      </c>
      <c r="F936" s="10">
        <f t="shared" si="178"/>
        <v>3.9199915847147278E-2</v>
      </c>
      <c r="G936" s="10">
        <f t="shared" si="179"/>
        <v>3.9040636743069235E-2</v>
      </c>
      <c r="H936" s="9">
        <f t="shared" si="180"/>
        <v>-66.097278700904056</v>
      </c>
      <c r="I936" s="8">
        <f t="shared" si="185"/>
        <v>5111.2170005076423</v>
      </c>
      <c r="J936" s="9">
        <f t="shared" si="186"/>
        <v>-66.108253732055474</v>
      </c>
      <c r="K936" s="9">
        <f t="shared" si="187"/>
        <v>-66.097278700904056</v>
      </c>
      <c r="L936" s="8">
        <f t="shared" si="181"/>
        <v>5092.7082259670278</v>
      </c>
      <c r="N936" s="16">
        <f t="shared" si="188"/>
        <v>5.3061136280507908</v>
      </c>
    </row>
    <row r="937" spans="2:14" x14ac:dyDescent="0.25">
      <c r="B937" s="7">
        <f t="shared" si="182"/>
        <v>261.24000000000046</v>
      </c>
      <c r="C937" s="9">
        <f t="shared" si="184"/>
        <v>-66.097278700904056</v>
      </c>
      <c r="D937" s="10">
        <f t="shared" si="183"/>
        <v>3.9040918474928202E-2</v>
      </c>
      <c r="E937" s="10">
        <f t="shared" si="177"/>
        <v>3.8882107336336673E-2</v>
      </c>
      <c r="F937" s="10">
        <f t="shared" si="178"/>
        <v>3.8888733993597178E-2</v>
      </c>
      <c r="G937" s="10">
        <f t="shared" si="179"/>
        <v>3.8729555796372057E-2</v>
      </c>
      <c r="H937" s="9">
        <f t="shared" si="180"/>
        <v>-66.086390800247273</v>
      </c>
      <c r="I937" s="8">
        <f t="shared" si="185"/>
        <v>5092.7082259670278</v>
      </c>
      <c r="J937" s="9">
        <f t="shared" si="186"/>
        <v>-66.097278700904056</v>
      </c>
      <c r="K937" s="9">
        <f t="shared" si="187"/>
        <v>-66.086390800247273</v>
      </c>
      <c r="L937" s="8">
        <f t="shared" si="181"/>
        <v>5074.2025122368668</v>
      </c>
      <c r="N937" s="16">
        <f t="shared" si="188"/>
        <v>5.3077081160243749</v>
      </c>
    </row>
    <row r="938" spans="2:14" x14ac:dyDescent="0.25">
      <c r="B938" s="7">
        <f t="shared" si="182"/>
        <v>261.52000000000044</v>
      </c>
      <c r="C938" s="9">
        <f t="shared" si="184"/>
        <v>-66.086390800247273</v>
      </c>
      <c r="D938" s="10">
        <f t="shared" si="183"/>
        <v>3.872983743907589E-2</v>
      </c>
      <c r="E938" s="10">
        <f t="shared" si="177"/>
        <v>3.8571125894649026E-2</v>
      </c>
      <c r="F938" s="10">
        <f t="shared" si="178"/>
        <v>3.8577749271711696E-2</v>
      </c>
      <c r="G938" s="10">
        <f t="shared" si="179"/>
        <v>3.8418669655123631E-2</v>
      </c>
      <c r="H938" s="9">
        <f t="shared" si="180"/>
        <v>-66.07558997490068</v>
      </c>
      <c r="I938" s="8">
        <f t="shared" si="185"/>
        <v>5074.2025122368668</v>
      </c>
      <c r="J938" s="9">
        <f t="shared" si="186"/>
        <v>-66.086390800247273</v>
      </c>
      <c r="K938" s="9">
        <f t="shared" si="187"/>
        <v>-66.07558997490068</v>
      </c>
      <c r="L938" s="8">
        <f t="shared" si="181"/>
        <v>5055.6998349283458</v>
      </c>
      <c r="N938" s="16">
        <f t="shared" si="188"/>
        <v>5.3092894781588935</v>
      </c>
    </row>
    <row r="939" spans="2:14" x14ac:dyDescent="0.25">
      <c r="B939" s="7">
        <f t="shared" si="182"/>
        <v>261.80000000000041</v>
      </c>
      <c r="C939" s="9">
        <f t="shared" si="184"/>
        <v>-66.07558997490068</v>
      </c>
      <c r="D939" s="10">
        <f t="shared" si="183"/>
        <v>3.8418951211985589E-2</v>
      </c>
      <c r="E939" s="10">
        <f t="shared" si="177"/>
        <v>3.8260336941410372E-2</v>
      </c>
      <c r="F939" s="10">
        <f t="shared" si="178"/>
        <v>3.8266957125717128E-2</v>
      </c>
      <c r="G939" s="10">
        <f t="shared" si="179"/>
        <v>3.8107973765485414E-2</v>
      </c>
      <c r="H939" s="9">
        <f t="shared" si="180"/>
        <v>-66.064876170955472</v>
      </c>
      <c r="I939" s="8">
        <f t="shared" si="185"/>
        <v>5055.6998349283458</v>
      </c>
      <c r="J939" s="9">
        <f t="shared" si="186"/>
        <v>-66.07558997490068</v>
      </c>
      <c r="K939" s="9">
        <f t="shared" si="187"/>
        <v>-66.064876170955472</v>
      </c>
      <c r="L939" s="8">
        <f t="shared" si="181"/>
        <v>5037.2001696679263</v>
      </c>
      <c r="N939" s="16">
        <f t="shared" si="188"/>
        <v>5.3108577020355678</v>
      </c>
    </row>
    <row r="940" spans="2:14" x14ac:dyDescent="0.25">
      <c r="B940" s="7">
        <f t="shared" si="182"/>
        <v>262.08000000000038</v>
      </c>
      <c r="C940" s="9">
        <f t="shared" si="184"/>
        <v>-66.064876170955472</v>
      </c>
      <c r="D940" s="10">
        <f t="shared" si="183"/>
        <v>3.8108255239831496E-2</v>
      </c>
      <c r="E940" s="10">
        <f t="shared" si="177"/>
        <v>3.7949735924698136E-2</v>
      </c>
      <c r="F940" s="10">
        <f t="shared" si="178"/>
        <v>3.7956353003659266E-2</v>
      </c>
      <c r="G940" s="10">
        <f t="shared" si="179"/>
        <v>3.7797463577379085E-2</v>
      </c>
      <c r="H940" s="9">
        <f t="shared" si="180"/>
        <v>-66.054249335777357</v>
      </c>
      <c r="I940" s="8">
        <f t="shared" si="185"/>
        <v>5037.2001696679263</v>
      </c>
      <c r="J940" s="9">
        <f t="shared" si="186"/>
        <v>-66.064876170955472</v>
      </c>
      <c r="K940" s="9">
        <f t="shared" si="187"/>
        <v>-66.054249335777357</v>
      </c>
      <c r="L940" s="8">
        <f t="shared" si="181"/>
        <v>5018.7034920969836</v>
      </c>
      <c r="N940" s="16">
        <f t="shared" si="188"/>
        <v>5.3124127751859298</v>
      </c>
    </row>
    <row r="941" spans="2:14" x14ac:dyDescent="0.25">
      <c r="B941" s="7">
        <f t="shared" si="182"/>
        <v>262.36000000000035</v>
      </c>
      <c r="C941" s="9">
        <f t="shared" si="184"/>
        <v>-66.054249335777357</v>
      </c>
      <c r="D941" s="10">
        <f t="shared" si="183"/>
        <v>3.7797744972528517E-2</v>
      </c>
      <c r="E941" s="10">
        <f t="shared" si="177"/>
        <v>3.7639318296245852E-2</v>
      </c>
      <c r="F941" s="10">
        <f t="shared" si="178"/>
        <v>3.7645932357241112E-2</v>
      </c>
      <c r="G941" s="10">
        <f t="shared" si="179"/>
        <v>3.7487134544272084E-2</v>
      </c>
      <c r="H941" s="9">
        <f t="shared" si="180"/>
        <v>-66.043709418005577</v>
      </c>
      <c r="I941" s="8">
        <f t="shared" si="185"/>
        <v>5018.7034920969836</v>
      </c>
      <c r="J941" s="9">
        <f t="shared" si="186"/>
        <v>-66.054249335777357</v>
      </c>
      <c r="K941" s="9">
        <f t="shared" si="187"/>
        <v>-66.043709418005577</v>
      </c>
      <c r="L941" s="8">
        <f t="shared" si="181"/>
        <v>5000.2097778714542</v>
      </c>
      <c r="N941" s="16">
        <f t="shared" si="188"/>
        <v>5.313954685091657</v>
      </c>
    </row>
    <row r="942" spans="2:14" x14ac:dyDescent="0.25">
      <c r="B942" s="7">
        <f t="shared" si="182"/>
        <v>262.64000000000033</v>
      </c>
      <c r="C942" s="9">
        <f t="shared" si="184"/>
        <v>-66.043709418005577</v>
      </c>
      <c r="D942" s="10">
        <f t="shared" si="183"/>
        <v>3.7487415863541498E-2</v>
      </c>
      <c r="E942" s="10">
        <f t="shared" si="177"/>
        <v>3.732907951123457E-2</v>
      </c>
      <c r="F942" s="10">
        <f t="shared" si="178"/>
        <v>3.7335690641616577E-2</v>
      </c>
      <c r="G942" s="10">
        <f t="shared" si="179"/>
        <v>3.7176982122977931E-2</v>
      </c>
      <c r="H942" s="9">
        <f t="shared" si="180"/>
        <v>-66.033256367551942</v>
      </c>
      <c r="I942" s="8">
        <f t="shared" si="185"/>
        <v>5000.2097778714542</v>
      </c>
      <c r="J942" s="9">
        <f t="shared" si="186"/>
        <v>-66.043709418005577</v>
      </c>
      <c r="K942" s="9">
        <f t="shared" si="187"/>
        <v>-66.033256367551942</v>
      </c>
      <c r="L942" s="8">
        <f t="shared" si="181"/>
        <v>4981.7190026614762</v>
      </c>
      <c r="N942" s="16">
        <f t="shared" si="188"/>
        <v>5.3154834191843934</v>
      </c>
    </row>
    <row r="943" spans="2:14" x14ac:dyDescent="0.25">
      <c r="B943" s="7">
        <f t="shared" si="182"/>
        <v>262.9200000000003</v>
      </c>
      <c r="C943" s="9">
        <f t="shared" si="184"/>
        <v>-66.033256367551942</v>
      </c>
      <c r="D943" s="10">
        <f t="shared" si="183"/>
        <v>3.7177263369698274E-2</v>
      </c>
      <c r="E943" s="10">
        <f t="shared" si="177"/>
        <v>3.7019015028114693E-2</v>
      </c>
      <c r="F943" s="10">
        <f t="shared" si="178"/>
        <v>3.702562331521729E-2</v>
      </c>
      <c r="G943" s="10">
        <f t="shared" si="179"/>
        <v>3.6867001773501662E-2</v>
      </c>
      <c r="H943" s="9">
        <f t="shared" si="180"/>
        <v>-66.02289013559988</v>
      </c>
      <c r="I943" s="8">
        <f t="shared" si="185"/>
        <v>4981.7190026614762</v>
      </c>
      <c r="J943" s="9">
        <f t="shared" si="186"/>
        <v>-66.033256367551942</v>
      </c>
      <c r="K943" s="9">
        <f t="shared" si="187"/>
        <v>-66.02289013559988</v>
      </c>
      <c r="L943" s="8">
        <f t="shared" si="181"/>
        <v>4963.2311421510349</v>
      </c>
      <c r="N943" s="16">
        <f t="shared" si="188"/>
        <v>5.3169989648455767</v>
      </c>
    </row>
    <row r="944" spans="2:14" x14ac:dyDescent="0.25">
      <c r="B944" s="7">
        <f t="shared" si="182"/>
        <v>263.20000000000027</v>
      </c>
      <c r="C944" s="9">
        <f t="shared" si="184"/>
        <v>-66.02289013559988</v>
      </c>
      <c r="D944" s="10">
        <f t="shared" si="183"/>
        <v>3.6867282950990163E-2</v>
      </c>
      <c r="E944" s="10">
        <f t="shared" si="177"/>
        <v>3.670912030838594E-2</v>
      </c>
      <c r="F944" s="10">
        <f t="shared" si="178"/>
        <v>3.6715725839523643E-2</v>
      </c>
      <c r="G944" s="10">
        <f t="shared" si="179"/>
        <v>3.6557188958793965E-2</v>
      </c>
      <c r="H944" s="9">
        <f t="shared" si="180"/>
        <v>-66.012610674603621</v>
      </c>
      <c r="I944" s="8">
        <f t="shared" si="185"/>
        <v>4963.2311421510349</v>
      </c>
      <c r="J944" s="9">
        <f t="shared" si="186"/>
        <v>-66.02289013559988</v>
      </c>
      <c r="K944" s="9">
        <f t="shared" si="187"/>
        <v>-66.012610674603621</v>
      </c>
      <c r="L944" s="8">
        <f t="shared" si="181"/>
        <v>4944.7461720376068</v>
      </c>
      <c r="N944" s="16">
        <f t="shared" si="188"/>
        <v>5.3185013094062645</v>
      </c>
    </row>
    <row r="945" spans="2:14" x14ac:dyDescent="0.25">
      <c r="B945" s="7">
        <f t="shared" si="182"/>
        <v>263.48000000000025</v>
      </c>
      <c r="C945" s="9">
        <f t="shared" si="184"/>
        <v>-66.012610674603621</v>
      </c>
      <c r="D945" s="10">
        <f t="shared" si="183"/>
        <v>3.6557470070381431E-2</v>
      </c>
      <c r="E945" s="10">
        <f t="shared" si="177"/>
        <v>3.639939081645166E-2</v>
      </c>
      <c r="F945" s="10">
        <f t="shared" si="178"/>
        <v>3.6405993678924484E-2</v>
      </c>
      <c r="G945" s="10">
        <f t="shared" si="179"/>
        <v>3.624753914461213E-2</v>
      </c>
      <c r="H945" s="9">
        <f t="shared" si="180"/>
        <v>-66.002417938287351</v>
      </c>
      <c r="I945" s="8">
        <f t="shared" si="185"/>
        <v>4944.7461720376068</v>
      </c>
      <c r="J945" s="9">
        <f t="shared" si="186"/>
        <v>-66.012610674603621</v>
      </c>
      <c r="K945" s="9">
        <f t="shared" si="187"/>
        <v>-66.002417938287351</v>
      </c>
      <c r="L945" s="8">
        <f t="shared" si="181"/>
        <v>4926.2640680318018</v>
      </c>
      <c r="N945" s="16">
        <f t="shared" si="188"/>
        <v>5.3199904401469498</v>
      </c>
    </row>
    <row r="946" spans="2:14" x14ac:dyDescent="0.25">
      <c r="B946" s="7">
        <f t="shared" si="182"/>
        <v>263.76000000000022</v>
      </c>
      <c r="C946" s="9">
        <f t="shared" si="184"/>
        <v>-66.002417938287351</v>
      </c>
      <c r="D946" s="10">
        <f t="shared" si="183"/>
        <v>3.6247820193620522E-2</v>
      </c>
      <c r="E946" s="10">
        <f t="shared" si="177"/>
        <v>3.6089822019374537E-2</v>
      </c>
      <c r="F946" s="10">
        <f t="shared" si="178"/>
        <v>3.6096422300467432E-2</v>
      </c>
      <c r="G946" s="10">
        <f t="shared" si="179"/>
        <v>3.593804779928661E-2</v>
      </c>
      <c r="H946" s="9">
        <f t="shared" si="180"/>
        <v>-65.992311881644497</v>
      </c>
      <c r="I946" s="8">
        <f t="shared" si="185"/>
        <v>4926.2640680318018</v>
      </c>
      <c r="J946" s="9">
        <f t="shared" si="186"/>
        <v>-66.002417938287351</v>
      </c>
      <c r="K946" s="9">
        <f t="shared" si="187"/>
        <v>-65.992311881644497</v>
      </c>
      <c r="L946" s="8">
        <f t="shared" si="181"/>
        <v>4907.7848058570116</v>
      </c>
      <c r="N946" s="16">
        <f t="shared" si="188"/>
        <v>5.3214663442973906</v>
      </c>
    </row>
    <row r="947" spans="2:14" x14ac:dyDescent="0.25">
      <c r="B947" s="7">
        <f t="shared" si="182"/>
        <v>264.04000000000019</v>
      </c>
      <c r="C947" s="9">
        <f t="shared" si="184"/>
        <v>-65.992311881644497</v>
      </c>
      <c r="D947" s="10">
        <f t="shared" si="183"/>
        <v>3.5938328789047153E-2</v>
      </c>
      <c r="E947" s="10">
        <f t="shared" si="177"/>
        <v>3.5780409386727267E-2</v>
      </c>
      <c r="F947" s="10">
        <f t="shared" si="178"/>
        <v>3.5787007173721096E-2</v>
      </c>
      <c r="G947" s="10">
        <f t="shared" si="179"/>
        <v>3.5628710393552747E-2</v>
      </c>
      <c r="H947" s="9">
        <f t="shared" si="180"/>
        <v>-65.982292460937003</v>
      </c>
      <c r="I947" s="8">
        <f t="shared" si="185"/>
        <v>4907.7848058570116</v>
      </c>
      <c r="J947" s="9">
        <f t="shared" si="186"/>
        <v>-65.992311881644497</v>
      </c>
      <c r="K947" s="9">
        <f t="shared" si="187"/>
        <v>-65.982292460937003</v>
      </c>
      <c r="L947" s="8">
        <f t="shared" si="181"/>
        <v>4889.30836124905</v>
      </c>
      <c r="N947" s="16">
        <f t="shared" si="188"/>
        <v>5.3229290090364234</v>
      </c>
    </row>
    <row r="948" spans="2:14" x14ac:dyDescent="0.25">
      <c r="B948" s="7">
        <f t="shared" si="182"/>
        <v>264.32000000000016</v>
      </c>
      <c r="C948" s="9">
        <f t="shared" si="184"/>
        <v>-65.982292460937003</v>
      </c>
      <c r="D948" s="10">
        <f t="shared" si="183"/>
        <v>3.5628991327401424E-2</v>
      </c>
      <c r="E948" s="10">
        <f t="shared" si="177"/>
        <v>3.5471148390377745E-2</v>
      </c>
      <c r="F948" s="10">
        <f t="shared" si="178"/>
        <v>3.5477743770545876E-2</v>
      </c>
      <c r="G948" s="10">
        <f t="shared" si="179"/>
        <v>3.5319522400365837E-2</v>
      </c>
      <c r="H948" s="9">
        <f t="shared" si="180"/>
        <v>-65.972359633694694</v>
      </c>
      <c r="I948" s="8">
        <f t="shared" si="185"/>
        <v>4889.30836124905</v>
      </c>
      <c r="J948" s="9">
        <f t="shared" si="186"/>
        <v>-65.982292460937003</v>
      </c>
      <c r="K948" s="9">
        <f t="shared" si="187"/>
        <v>-65.972359633694694</v>
      </c>
      <c r="L948" s="8">
        <f t="shared" si="181"/>
        <v>4870.8347099558014</v>
      </c>
      <c r="N948" s="16">
        <f t="shared" si="188"/>
        <v>5.3243784214917858</v>
      </c>
    </row>
    <row r="949" spans="2:14" x14ac:dyDescent="0.25">
      <c r="B949" s="7">
        <f t="shared" si="182"/>
        <v>264.60000000000014</v>
      </c>
      <c r="C949" s="9">
        <f t="shared" si="184"/>
        <v>-65.972359633694694</v>
      </c>
      <c r="D949" s="10">
        <f t="shared" si="183"/>
        <v>3.5319803281628301E-2</v>
      </c>
      <c r="E949" s="10">
        <f t="shared" si="177"/>
        <v>3.5162034504311698E-2</v>
      </c>
      <c r="F949" s="10">
        <f t="shared" si="178"/>
        <v>3.5168627564921798E-2</v>
      </c>
      <c r="G949" s="10">
        <f t="shared" si="179"/>
        <v>3.501047929467279E-2</v>
      </c>
      <c r="H949" s="9">
        <f t="shared" si="180"/>
        <v>-65.962513358714673</v>
      </c>
      <c r="I949" s="8">
        <f t="shared" si="185"/>
        <v>4870.8347099558014</v>
      </c>
      <c r="J949" s="9">
        <f t="shared" si="186"/>
        <v>-65.972359633694694</v>
      </c>
      <c r="K949" s="9">
        <f t="shared" si="187"/>
        <v>-65.962513358714673</v>
      </c>
      <c r="L949" s="8">
        <f t="shared" si="181"/>
        <v>4852.3638277368636</v>
      </c>
      <c r="N949" s="16">
        <f t="shared" si="188"/>
        <v>5.325814568739931</v>
      </c>
    </row>
    <row r="950" spans="2:14" x14ac:dyDescent="0.25">
      <c r="B950" s="7">
        <f t="shared" si="182"/>
        <v>264.88000000000011</v>
      </c>
      <c r="C950" s="9">
        <f t="shared" si="184"/>
        <v>-65.962513358714673</v>
      </c>
      <c r="D950" s="10">
        <f t="shared" si="183"/>
        <v>3.5010760126687857E-2</v>
      </c>
      <c r="E950" s="10">
        <f t="shared" si="177"/>
        <v>3.4853063204417799E-2</v>
      </c>
      <c r="F950" s="10">
        <f t="shared" si="178"/>
        <v>3.4859654032740502E-2</v>
      </c>
      <c r="G950" s="10">
        <f t="shared" si="179"/>
        <v>3.4701576553264626E-2</v>
      </c>
      <c r="H950" s="9">
        <f t="shared" si="180"/>
        <v>-65.952753596060802</v>
      </c>
      <c r="I950" s="8">
        <f t="shared" si="185"/>
        <v>4852.3638277368636</v>
      </c>
      <c r="J950" s="9">
        <f t="shared" si="186"/>
        <v>-65.962513358714673</v>
      </c>
      <c r="K950" s="9">
        <f t="shared" si="187"/>
        <v>-65.952753596060802</v>
      </c>
      <c r="L950" s="8">
        <f t="shared" si="181"/>
        <v>4833.8956903631952</v>
      </c>
      <c r="N950" s="16">
        <f t="shared" si="188"/>
        <v>5.327237437805846</v>
      </c>
    </row>
    <row r="951" spans="2:14" x14ac:dyDescent="0.25">
      <c r="B951" s="7">
        <f t="shared" si="182"/>
        <v>265.16000000000008</v>
      </c>
      <c r="C951" s="9">
        <f t="shared" si="184"/>
        <v>-65.952753596060802</v>
      </c>
      <c r="D951" s="10">
        <f t="shared" si="183"/>
        <v>3.4701857339366607E-2</v>
      </c>
      <c r="E951" s="10">
        <f t="shared" si="177"/>
        <v>3.4544229968324514E-2</v>
      </c>
      <c r="F951" s="10">
        <f t="shared" si="178"/>
        <v>3.4550818651639149E-2</v>
      </c>
      <c r="G951" s="10">
        <f t="shared" si="179"/>
        <v>3.4392809654560139E-2</v>
      </c>
      <c r="H951" s="9">
        <f t="shared" si="180"/>
        <v>-65.943080307063227</v>
      </c>
      <c r="I951" s="8">
        <f t="shared" si="185"/>
        <v>4833.8956903631952</v>
      </c>
      <c r="J951" s="9">
        <f t="shared" si="186"/>
        <v>-65.952753596060802</v>
      </c>
      <c r="K951" s="9">
        <f t="shared" si="187"/>
        <v>-65.943080307063227</v>
      </c>
      <c r="L951" s="8">
        <f t="shared" si="181"/>
        <v>4815.4302736167574</v>
      </c>
      <c r="N951" s="16">
        <f t="shared" si="188"/>
        <v>5.3286470156628658</v>
      </c>
    </row>
    <row r="952" spans="2:14" x14ac:dyDescent="0.25">
      <c r="B952" s="7">
        <f t="shared" si="182"/>
        <v>265.44000000000005</v>
      </c>
      <c r="C952" s="9">
        <f t="shared" si="184"/>
        <v>-65.943080307063227</v>
      </c>
      <c r="D952" s="10">
        <f t="shared" si="183"/>
        <v>3.4393090398088917E-2</v>
      </c>
      <c r="E952" s="10">
        <f t="shared" si="177"/>
        <v>3.4235530275202118E-2</v>
      </c>
      <c r="F952" s="10">
        <f t="shared" si="178"/>
        <v>3.4242116900786781E-2</v>
      </c>
      <c r="G952" s="10">
        <f t="shared" si="179"/>
        <v>3.408417407841223E-2</v>
      </c>
      <c r="H952" s="9">
        <f t="shared" si="180"/>
        <v>-65.933493454317897</v>
      </c>
      <c r="I952" s="8">
        <f t="shared" si="185"/>
        <v>4815.4302736167574</v>
      </c>
      <c r="J952" s="9">
        <f t="shared" si="186"/>
        <v>-65.943080307063227</v>
      </c>
      <c r="K952" s="9">
        <f t="shared" si="187"/>
        <v>-65.933493454317897</v>
      </c>
      <c r="L952" s="8">
        <f t="shared" si="181"/>
        <v>4796.9675532901638</v>
      </c>
      <c r="N952" s="16">
        <f t="shared" si="188"/>
        <v>5.3300432892324858</v>
      </c>
    </row>
    <row r="953" spans="2:14" x14ac:dyDescent="0.25">
      <c r="B953" s="7">
        <f t="shared" si="182"/>
        <v>265.72000000000003</v>
      </c>
      <c r="C953" s="9">
        <f t="shared" si="184"/>
        <v>-65.933493454317897</v>
      </c>
      <c r="D953" s="10">
        <f t="shared" si="183"/>
        <v>3.4084454782709023E-2</v>
      </c>
      <c r="E953" s="10">
        <f t="shared" si="177"/>
        <v>3.3926959605537793E-2</v>
      </c>
      <c r="F953" s="10">
        <f t="shared" si="178"/>
        <v>3.3933544260693026E-2</v>
      </c>
      <c r="G953" s="10">
        <f t="shared" si="179"/>
        <v>3.3775665305933691E-2</v>
      </c>
      <c r="H953" s="9">
        <f t="shared" si="180"/>
        <v>-65.923993001686242</v>
      </c>
      <c r="I953" s="8">
        <f t="shared" si="185"/>
        <v>4796.9675532901638</v>
      </c>
      <c r="J953" s="9">
        <f t="shared" si="186"/>
        <v>-65.933493454317897</v>
      </c>
      <c r="K953" s="9">
        <f t="shared" si="187"/>
        <v>-65.923993001686242</v>
      </c>
      <c r="L953" s="8">
        <f t="shared" si="181"/>
        <v>4778.5075051863232</v>
      </c>
      <c r="N953" s="16">
        <f t="shared" si="188"/>
        <v>5.3314262453841739</v>
      </c>
    </row>
    <row r="954" spans="2:14" x14ac:dyDescent="0.25">
      <c r="B954" s="7">
        <f t="shared" si="182"/>
        <v>266</v>
      </c>
      <c r="C954" s="9">
        <f t="shared" si="184"/>
        <v>-65.923993001686242</v>
      </c>
      <c r="D954" s="10">
        <f t="shared" si="183"/>
        <v>3.3775945974340985E-2</v>
      </c>
      <c r="E954" s="10">
        <f t="shared" si="177"/>
        <v>3.3618513441003847E-2</v>
      </c>
      <c r="F954" s="10">
        <f t="shared" si="178"/>
        <v>3.3625096213029962E-2</v>
      </c>
      <c r="G954" s="10">
        <f t="shared" si="179"/>
        <v>3.3467278819285406E-2</v>
      </c>
      <c r="H954" s="9">
        <f t="shared" si="180"/>
        <v>-65.914578914294836</v>
      </c>
      <c r="I954" s="8">
        <f t="shared" si="185"/>
        <v>4778.5075051863232</v>
      </c>
      <c r="J954" s="9">
        <f t="shared" si="186"/>
        <v>-65.923993001686242</v>
      </c>
      <c r="K954" s="9">
        <f t="shared" si="187"/>
        <v>-65.914578914294836</v>
      </c>
      <c r="L954" s="8">
        <f t="shared" si="181"/>
        <v>4760.0501051180854</v>
      </c>
      <c r="N954" s="16">
        <f t="shared" si="188"/>
        <v>5.3327958709351844</v>
      </c>
    </row>
    <row r="955" spans="2:14" x14ac:dyDescent="0.25">
      <c r="B955" s="7">
        <f t="shared" si="182"/>
        <v>266.27999999999997</v>
      </c>
      <c r="C955" s="9">
        <f t="shared" si="184"/>
        <v>-65.914578914294836</v>
      </c>
      <c r="D955" s="10">
        <f t="shared" si="183"/>
        <v>3.3467559455155428E-2</v>
      </c>
      <c r="E955" s="10">
        <f t="shared" si="177"/>
        <v>3.33101872642163E-2</v>
      </c>
      <c r="F955" s="10">
        <f t="shared" si="178"/>
        <v>3.3316768240438714E-2</v>
      </c>
      <c r="G955" s="10">
        <f t="shared" si="179"/>
        <v>3.3159010101505633E-2</v>
      </c>
      <c r="H955" s="9">
        <f t="shared" si="180"/>
        <v>-65.905251158535094</v>
      </c>
      <c r="I955" s="8">
        <f t="shared" si="185"/>
        <v>4760.0501051180854</v>
      </c>
      <c r="J955" s="9">
        <f t="shared" si="186"/>
        <v>-65.914578914294836</v>
      </c>
      <c r="K955" s="9">
        <f t="shared" si="187"/>
        <v>-65.905251158535094</v>
      </c>
      <c r="L955" s="8">
        <f t="shared" si="181"/>
        <v>4741.5953289078889</v>
      </c>
      <c r="N955" s="16">
        <f t="shared" si="188"/>
        <v>5.3341521526503621</v>
      </c>
    </row>
    <row r="956" spans="2:14" x14ac:dyDescent="0.25">
      <c r="B956" s="7">
        <f t="shared" si="182"/>
        <v>266.55999999999995</v>
      </c>
      <c r="C956" s="9">
        <f t="shared" si="184"/>
        <v>-65.905251158535094</v>
      </c>
      <c r="D956" s="10">
        <f t="shared" si="183"/>
        <v>3.3159290708183346E-2</v>
      </c>
      <c r="E956" s="10">
        <f t="shared" si="177"/>
        <v>3.3001976558552415E-2</v>
      </c>
      <c r="F956" s="10">
        <f t="shared" si="178"/>
        <v>3.3008555826320875E-2</v>
      </c>
      <c r="G956" s="10">
        <f t="shared" si="179"/>
        <v>3.2850854636299769E-2</v>
      </c>
      <c r="H956" s="9">
        <f t="shared" si="180"/>
        <v>-65.896009702063097</v>
      </c>
      <c r="I956" s="8">
        <f t="shared" si="185"/>
        <v>4741.5953289078889</v>
      </c>
      <c r="J956" s="9">
        <f t="shared" si="186"/>
        <v>-65.905251158535094</v>
      </c>
      <c r="K956" s="9">
        <f t="shared" si="187"/>
        <v>-65.896009702063097</v>
      </c>
      <c r="L956" s="8">
        <f t="shared" si="181"/>
        <v>4723.1431523874053</v>
      </c>
      <c r="N956" s="16">
        <f t="shared" si="188"/>
        <v>5.3354950772419549</v>
      </c>
    </row>
    <row r="957" spans="2:14" x14ac:dyDescent="0.25">
      <c r="B957" s="7">
        <f t="shared" si="182"/>
        <v>266.83999999999992</v>
      </c>
      <c r="C957" s="9">
        <f t="shared" si="184"/>
        <v>-65.896009702063097</v>
      </c>
      <c r="D957" s="10">
        <f t="shared" si="183"/>
        <v>3.2851135217133946E-2</v>
      </c>
      <c r="E957" s="10">
        <f t="shared" si="177"/>
        <v>3.2693876807981727E-2</v>
      </c>
      <c r="F957" s="10">
        <f t="shared" si="178"/>
        <v>3.2700454454664601E-2</v>
      </c>
      <c r="G957" s="10">
        <f t="shared" si="179"/>
        <v>3.2542807907854077E-2</v>
      </c>
      <c r="H957" s="9">
        <f t="shared" si="180"/>
        <v>-65.88685451379942</v>
      </c>
      <c r="I957" s="8">
        <f t="shared" si="185"/>
        <v>4723.1431523874053</v>
      </c>
      <c r="J957" s="9">
        <f t="shared" si="186"/>
        <v>-65.896009702063097</v>
      </c>
      <c r="K957" s="9">
        <f t="shared" si="187"/>
        <v>-65.88685451379942</v>
      </c>
      <c r="L957" s="8">
        <f t="shared" si="181"/>
        <v>4704.6935513971848</v>
      </c>
      <c r="N957" s="16">
        <f t="shared" si="188"/>
        <v>5.3368246313694181</v>
      </c>
    </row>
    <row r="958" spans="2:14" x14ac:dyDescent="0.25">
      <c r="B958" s="7">
        <f t="shared" si="182"/>
        <v>267.11999999999989</v>
      </c>
      <c r="C958" s="9">
        <f t="shared" si="184"/>
        <v>-65.88685451379942</v>
      </c>
      <c r="D958" s="10">
        <f t="shared" si="183"/>
        <v>3.2543088466203796E-2</v>
      </c>
      <c r="E958" s="10">
        <f t="shared" si="177"/>
        <v>3.2385883496855589E-2</v>
      </c>
      <c r="F958" s="10">
        <f t="shared" si="178"/>
        <v>3.2392459609848219E-2</v>
      </c>
      <c r="G958" s="10">
        <f t="shared" si="179"/>
        <v>3.2234865400648224E-2</v>
      </c>
      <c r="H958" s="9">
        <f t="shared" si="180"/>
        <v>-65.87778556392901</v>
      </c>
      <c r="I958" s="8">
        <f t="shared" si="185"/>
        <v>4704.6935513971848</v>
      </c>
      <c r="J958" s="9">
        <f t="shared" si="186"/>
        <v>-65.88685451379942</v>
      </c>
      <c r="K958" s="9">
        <f t="shared" si="187"/>
        <v>-65.87778556392901</v>
      </c>
      <c r="L958" s="8">
        <f t="shared" si="181"/>
        <v>4686.2465017863033</v>
      </c>
      <c r="N958" s="16">
        <f t="shared" si="188"/>
        <v>5.3381408016392218</v>
      </c>
    </row>
    <row r="959" spans="2:14" x14ac:dyDescent="0.25">
      <c r="B959" s="7">
        <f t="shared" si="182"/>
        <v>267.39999999999986</v>
      </c>
      <c r="C959" s="9">
        <f t="shared" si="184"/>
        <v>-65.87778556392901</v>
      </c>
      <c r="D959" s="10">
        <f t="shared" si="183"/>
        <v>3.2235145939868787E-2</v>
      </c>
      <c r="E959" s="10">
        <f t="shared" si="177"/>
        <v>3.2077992109707652E-2</v>
      </c>
      <c r="F959" s="10">
        <f t="shared" si="178"/>
        <v>3.2084566776440088E-2</v>
      </c>
      <c r="G959" s="10">
        <f t="shared" si="179"/>
        <v>3.1927022599261293E-2</v>
      </c>
      <c r="H959" s="9">
        <f t="shared" si="180"/>
        <v>-65.868802823901149</v>
      </c>
      <c r="I959" s="8">
        <f t="shared" si="185"/>
        <v>4686.2465017863033</v>
      </c>
      <c r="J959" s="9">
        <f t="shared" si="186"/>
        <v>-65.87778556392901</v>
      </c>
      <c r="K959" s="9">
        <f t="shared" si="187"/>
        <v>-65.868802823901149</v>
      </c>
      <c r="L959" s="8">
        <f t="shared" si="181"/>
        <v>4667.8019794120073</v>
      </c>
      <c r="N959" s="16">
        <f t="shared" si="188"/>
        <v>5.3394435746046494</v>
      </c>
    </row>
    <row r="960" spans="2:14" x14ac:dyDescent="0.25">
      <c r="B960" s="7">
        <f t="shared" si="182"/>
        <v>267.67999999999984</v>
      </c>
      <c r="C960" s="9">
        <f t="shared" si="184"/>
        <v>-65.868802823901149</v>
      </c>
      <c r="D960" s="10">
        <f t="shared" si="183"/>
        <v>3.1927303122714988E-2</v>
      </c>
      <c r="E960" s="10">
        <f t="shared" si="177"/>
        <v>3.1770198131084476E-2</v>
      </c>
      <c r="F960" s="10">
        <f t="shared" si="178"/>
        <v>3.1776771439019989E-2</v>
      </c>
      <c r="G960" s="10">
        <f t="shared" si="179"/>
        <v>3.1619274988177917E-2</v>
      </c>
      <c r="H960" s="9">
        <f t="shared" si="180"/>
        <v>-65.859906266429434</v>
      </c>
      <c r="I960" s="8">
        <f t="shared" si="185"/>
        <v>4667.8019794120073</v>
      </c>
      <c r="J960" s="9">
        <f t="shared" si="186"/>
        <v>-65.868802823901149</v>
      </c>
      <c r="K960" s="9">
        <f t="shared" si="187"/>
        <v>-65.859906266429434</v>
      </c>
      <c r="L960" s="8">
        <f t="shared" si="181"/>
        <v>4649.3599601393607</v>
      </c>
      <c r="N960" s="16">
        <f t="shared" si="188"/>
        <v>5.3407329367656082</v>
      </c>
    </row>
    <row r="961" spans="2:14" x14ac:dyDescent="0.25">
      <c r="B961" s="7">
        <f t="shared" si="182"/>
        <v>267.95999999999981</v>
      </c>
      <c r="C961" s="9">
        <f t="shared" si="184"/>
        <v>-65.859906266429434</v>
      </c>
      <c r="D961" s="10">
        <f t="shared" si="183"/>
        <v>3.1619555499228104E-2</v>
      </c>
      <c r="E961" s="10">
        <f t="shared" si="177"/>
        <v>3.1462497045339204E-2</v>
      </c>
      <c r="F961" s="10">
        <f t="shared" si="178"/>
        <v>3.1469069081968296E-2</v>
      </c>
      <c r="G961" s="10">
        <f t="shared" si="179"/>
        <v>3.1311618051592792E-2</v>
      </c>
      <c r="H961" s="9">
        <f t="shared" si="180"/>
        <v>-65.851095865491843</v>
      </c>
      <c r="I961" s="8">
        <f t="shared" si="185"/>
        <v>4649.3599601393607</v>
      </c>
      <c r="J961" s="9">
        <f t="shared" si="186"/>
        <v>-65.859906266429434</v>
      </c>
      <c r="K961" s="9">
        <f t="shared" si="187"/>
        <v>-65.851095865491843</v>
      </c>
      <c r="L961" s="8">
        <f t="shared" si="181"/>
        <v>4630.9204198408916</v>
      </c>
      <c r="N961" s="16">
        <f t="shared" si="188"/>
        <v>5.3420088745684255</v>
      </c>
    </row>
    <row r="962" spans="2:14" x14ac:dyDescent="0.25">
      <c r="B962" s="7">
        <f t="shared" si="182"/>
        <v>268.23999999999978</v>
      </c>
      <c r="C962" s="9">
        <f t="shared" si="184"/>
        <v>-65.851095865491843</v>
      </c>
      <c r="D962" s="10">
        <f t="shared" si="183"/>
        <v>3.1311898553605499E-2</v>
      </c>
      <c r="E962" s="10">
        <f t="shared" si="177"/>
        <v>3.115488433642959E-2</v>
      </c>
      <c r="F962" s="10">
        <f t="shared" si="178"/>
        <v>3.116145518929208E-2</v>
      </c>
      <c r="G962" s="10">
        <f t="shared" si="179"/>
        <v>3.100404727322896E-2</v>
      </c>
      <c r="H962" s="9">
        <f t="shared" si="180"/>
        <v>-65.84237159633085</v>
      </c>
      <c r="I962" s="8">
        <f t="shared" si="185"/>
        <v>4630.9204198408916</v>
      </c>
      <c r="J962" s="9">
        <f t="shared" si="186"/>
        <v>-65.851095865491843</v>
      </c>
      <c r="K962" s="9">
        <f t="shared" si="187"/>
        <v>-65.84237159633085</v>
      </c>
      <c r="L962" s="8">
        <f t="shared" si="181"/>
        <v>4612.4833343962364</v>
      </c>
      <c r="N962" s="16">
        <f t="shared" si="188"/>
        <v>5.3432713744056475</v>
      </c>
    </row>
    <row r="963" spans="2:14" x14ac:dyDescent="0.25">
      <c r="B963" s="7">
        <f t="shared" si="182"/>
        <v>268.51999999999975</v>
      </c>
      <c r="C963" s="9">
        <f t="shared" si="184"/>
        <v>-65.84237159633085</v>
      </c>
      <c r="D963" s="10">
        <f t="shared" si="183"/>
        <v>3.1004327769570583E-2</v>
      </c>
      <c r="E963" s="10">
        <f t="shared" si="177"/>
        <v>3.0847355487750666E-2</v>
      </c>
      <c r="F963" s="10">
        <f t="shared" si="178"/>
        <v>3.0853925244433276E-2</v>
      </c>
      <c r="G963" s="10">
        <f t="shared" si="179"/>
        <v>3.0696558136120811E-2</v>
      </c>
      <c r="H963" s="9">
        <f t="shared" si="180"/>
        <v>-65.833733435453581</v>
      </c>
      <c r="I963" s="8">
        <f t="shared" si="185"/>
        <v>4612.4833343962364</v>
      </c>
      <c r="J963" s="9">
        <f t="shared" si="186"/>
        <v>-65.84237159633085</v>
      </c>
      <c r="K963" s="9">
        <f t="shared" si="187"/>
        <v>-65.833733435453581</v>
      </c>
      <c r="L963" s="8">
        <f t="shared" si="181"/>
        <v>4594.0486796917867</v>
      </c>
      <c r="N963" s="16">
        <f t="shared" si="188"/>
        <v>5.3445204226158403</v>
      </c>
    </row>
    <row r="964" spans="2:14" x14ac:dyDescent="0.25">
      <c r="B964" s="7">
        <f t="shared" si="182"/>
        <v>268.79999999999973</v>
      </c>
      <c r="C964" s="9">
        <f t="shared" si="184"/>
        <v>-65.833733435453581</v>
      </c>
      <c r="D964" s="10">
        <f t="shared" si="183"/>
        <v>3.0696838630178001E-2</v>
      </c>
      <c r="E964" s="10">
        <f t="shared" ref="E964:E1027" si="189">dvdt($C964+h/2*D964,$I964+(h/2)/2*(2*C964+D964*h/2))</f>
        <v>3.0539905981919392E-2</v>
      </c>
      <c r="F964" s="10">
        <f t="shared" ref="F964:F1027" si="190">dvdt($C964+h/2*E964,$I964+(h/2)/2*(2*$C964+E964*h/2))</f>
        <v>3.0546474730050698E-2</v>
      </c>
      <c r="G964" s="10">
        <f t="shared" ref="G964:G1027" si="191">dvdt($C964+h*F964,$I964+h/2*(2*$C964+F964*h))</f>
        <v>3.0389146122468673E-2</v>
      </c>
      <c r="H964" s="9">
        <f t="shared" ref="H964:H1027" si="192">C964+h/6*(D964+2*E964+2*F964+G964)</f>
        <v>-65.825181360632001</v>
      </c>
      <c r="I964" s="8">
        <f t="shared" si="185"/>
        <v>4594.0486796917867</v>
      </c>
      <c r="J964" s="9">
        <f t="shared" si="186"/>
        <v>-65.833733435453581</v>
      </c>
      <c r="K964" s="9">
        <f t="shared" si="187"/>
        <v>-65.825181360632001</v>
      </c>
      <c r="L964" s="8">
        <f t="shared" ref="L964:L1027" si="193">I964+h/2*(J964+K964)</f>
        <v>4575.6164316203349</v>
      </c>
      <c r="N964" s="16">
        <f t="shared" si="188"/>
        <v>5.3457560054833868</v>
      </c>
    </row>
    <row r="965" spans="2:14" x14ac:dyDescent="0.25">
      <c r="B965" s="7">
        <f t="shared" ref="B965:B1028" si="194">B964+h</f>
        <v>269.0799999999997</v>
      </c>
      <c r="C965" s="9">
        <f t="shared" si="184"/>
        <v>-65.825181360632001</v>
      </c>
      <c r="D965" s="10">
        <f t="shared" si="183"/>
        <v>3.0389426617607136E-2</v>
      </c>
      <c r="E965" s="10">
        <f t="shared" si="189"/>
        <v>3.0232531300594251E-2</v>
      </c>
      <c r="F965" s="10">
        <f t="shared" si="190"/>
        <v>3.0239099127850767E-2</v>
      </c>
      <c r="G965" s="10">
        <f t="shared" si="191"/>
        <v>3.0081806713381589E-2</v>
      </c>
      <c r="H965" s="9">
        <f t="shared" si="192"/>
        <v>-65.816715350903237</v>
      </c>
      <c r="I965" s="8">
        <f t="shared" si="185"/>
        <v>4575.6164316203349</v>
      </c>
      <c r="J965" s="9">
        <f t="shared" si="186"/>
        <v>-65.825181360632001</v>
      </c>
      <c r="K965" s="9">
        <f t="shared" si="187"/>
        <v>-65.816715350903237</v>
      </c>
      <c r="L965" s="8">
        <f t="shared" si="193"/>
        <v>4557.1865660807198</v>
      </c>
      <c r="N965" s="16">
        <f t="shared" si="188"/>
        <v>5.3469781092382798</v>
      </c>
    </row>
    <row r="966" spans="2:14" x14ac:dyDescent="0.25">
      <c r="B966" s="7">
        <f t="shared" si="194"/>
        <v>269.35999999999967</v>
      </c>
      <c r="C966" s="9">
        <f t="shared" si="184"/>
        <v>-65.816715350903237</v>
      </c>
      <c r="D966" s="10">
        <f t="shared" ref="D966:D1029" si="195">dvdt($C966,$I966)</f>
        <v>3.0082087212990827E-2</v>
      </c>
      <c r="E966" s="10">
        <f t="shared" si="189"/>
        <v>2.9925226924271298E-2</v>
      </c>
      <c r="F966" s="10">
        <f t="shared" si="190"/>
        <v>2.99317939183927E-2</v>
      </c>
      <c r="G966" s="10">
        <f t="shared" si="191"/>
        <v>2.9774535388735781E-2</v>
      </c>
      <c r="H966" s="9">
        <f t="shared" si="192"/>
        <v>-65.808335386569837</v>
      </c>
      <c r="I966" s="8">
        <f t="shared" si="185"/>
        <v>4557.1865660807198</v>
      </c>
      <c r="J966" s="9">
        <f t="shared" si="186"/>
        <v>-65.816715350903237</v>
      </c>
      <c r="K966" s="9">
        <f t="shared" si="187"/>
        <v>-65.808335386569837</v>
      </c>
      <c r="L966" s="8">
        <f t="shared" si="193"/>
        <v>4538.7590589774736</v>
      </c>
      <c r="N966" s="16">
        <f t="shared" si="188"/>
        <v>5.3481867200559181</v>
      </c>
    </row>
    <row r="967" spans="2:14" x14ac:dyDescent="0.25">
      <c r="B967" s="7">
        <f t="shared" si="194"/>
        <v>269.63999999999965</v>
      </c>
      <c r="C967" s="9">
        <f t="shared" si="184"/>
        <v>-65.808335386569837</v>
      </c>
      <c r="D967" s="10">
        <f t="shared" si="195"/>
        <v>2.9774815896197692E-2</v>
      </c>
      <c r="E967" s="10">
        <f t="shared" si="189"/>
        <v>2.9617988332104012E-2</v>
      </c>
      <c r="F967" s="10">
        <f t="shared" si="190"/>
        <v>2.9624554580876362E-2</v>
      </c>
      <c r="G967" s="10">
        <f t="shared" si="191"/>
        <v>2.9467327626956554E-2</v>
      </c>
      <c r="H967" s="9">
        <f t="shared" si="192"/>
        <v>-65.800041449200208</v>
      </c>
      <c r="I967" s="8">
        <f t="shared" si="185"/>
        <v>4538.7590589774736</v>
      </c>
      <c r="J967" s="9">
        <f t="shared" si="186"/>
        <v>-65.808335386569837</v>
      </c>
      <c r="K967" s="9">
        <f t="shared" si="187"/>
        <v>-65.800041449200208</v>
      </c>
      <c r="L967" s="8">
        <f t="shared" si="193"/>
        <v>4520.3338862204655</v>
      </c>
      <c r="N967" s="16">
        <f t="shared" si="188"/>
        <v>5.3493818240568975</v>
      </c>
    </row>
    <row r="968" spans="2:14" x14ac:dyDescent="0.25">
      <c r="B968" s="7">
        <f t="shared" si="194"/>
        <v>269.91999999999962</v>
      </c>
      <c r="C968" s="9">
        <f t="shared" si="184"/>
        <v>-65.800041449200208</v>
      </c>
      <c r="D968" s="10">
        <f t="shared" si="195"/>
        <v>2.9467608145662391E-2</v>
      </c>
      <c r="E968" s="10">
        <f t="shared" si="189"/>
        <v>2.9310811001695976E-2</v>
      </c>
      <c r="F968" s="10">
        <f t="shared" si="190"/>
        <v>2.9317376592969537E-2</v>
      </c>
      <c r="G968" s="10">
        <f t="shared" si="191"/>
        <v>2.9160178904830209E-2</v>
      </c>
      <c r="H968" s="9">
        <f t="shared" si="192"/>
        <v>-65.791833521629016</v>
      </c>
      <c r="I968" s="8">
        <f t="shared" si="185"/>
        <v>4520.3338862204655</v>
      </c>
      <c r="J968" s="9">
        <f t="shared" si="186"/>
        <v>-65.800041449200208</v>
      </c>
      <c r="K968" s="9">
        <f t="shared" si="187"/>
        <v>-65.791833521629016</v>
      </c>
      <c r="L968" s="8">
        <f t="shared" si="193"/>
        <v>4501.9110237245495</v>
      </c>
      <c r="N968" s="16">
        <f t="shared" si="188"/>
        <v>5.3505634073068045</v>
      </c>
    </row>
    <row r="969" spans="2:14" x14ac:dyDescent="0.25">
      <c r="B969" s="7">
        <f t="shared" si="194"/>
        <v>270.19999999999959</v>
      </c>
      <c r="C969" s="9">
        <f t="shared" si="184"/>
        <v>-65.791833521629016</v>
      </c>
      <c r="D969" s="10">
        <f t="shared" si="195"/>
        <v>2.91604594381763E-2</v>
      </c>
      <c r="E969" s="10">
        <f t="shared" si="189"/>
        <v>2.900369040891404E-2</v>
      </c>
      <c r="F969" s="10">
        <f t="shared" si="190"/>
        <v>2.9010255430608395E-2</v>
      </c>
      <c r="G969" s="10">
        <f t="shared" si="191"/>
        <v>2.8853084697313892E-2</v>
      </c>
      <c r="H969" s="9">
        <f t="shared" si="192"/>
        <v>-65.783711587957669</v>
      </c>
      <c r="I969" s="8">
        <f t="shared" si="185"/>
        <v>4501.9110237245495</v>
      </c>
      <c r="J969" s="9">
        <f t="shared" si="186"/>
        <v>-65.791833521629016</v>
      </c>
      <c r="K969" s="9">
        <f t="shared" si="187"/>
        <v>-65.783711587957669</v>
      </c>
      <c r="L969" s="8">
        <f t="shared" si="193"/>
        <v>4483.4904474092073</v>
      </c>
      <c r="N969" s="16">
        <f t="shared" si="188"/>
        <v>5.3517314558160027</v>
      </c>
    </row>
    <row r="970" spans="2:14" x14ac:dyDescent="0.25">
      <c r="B970" s="7">
        <f t="shared" si="194"/>
        <v>270.47999999999956</v>
      </c>
      <c r="C970" s="9">
        <f t="shared" si="184"/>
        <v>-65.783711587957669</v>
      </c>
      <c r="D970" s="10">
        <f t="shared" si="195"/>
        <v>2.8853365248693121E-2</v>
      </c>
      <c r="E970" s="10">
        <f t="shared" si="189"/>
        <v>2.8696622027691226E-2</v>
      </c>
      <c r="F970" s="10">
        <f t="shared" si="190"/>
        <v>2.8703186567786969E-2</v>
      </c>
      <c r="G970" s="10">
        <f t="shared" si="191"/>
        <v>2.8546040477325684E-2</v>
      </c>
      <c r="H970" s="9">
        <f t="shared" si="192"/>
        <v>-65.775675633554883</v>
      </c>
      <c r="I970" s="8">
        <f t="shared" si="185"/>
        <v>4483.4904474092073</v>
      </c>
      <c r="J970" s="9">
        <f t="shared" si="186"/>
        <v>-65.783711587957669</v>
      </c>
      <c r="K970" s="9">
        <f t="shared" si="187"/>
        <v>-65.775675633554883</v>
      </c>
      <c r="L970" s="8">
        <f t="shared" si="193"/>
        <v>4465.0721331981958</v>
      </c>
      <c r="N970" s="16">
        <f t="shared" si="188"/>
        <v>5.3528859555394224</v>
      </c>
    </row>
    <row r="971" spans="2:14" x14ac:dyDescent="0.25">
      <c r="B971" s="7">
        <f t="shared" si="194"/>
        <v>270.75999999999954</v>
      </c>
      <c r="C971" s="9">
        <f t="shared" si="184"/>
        <v>-65.775675633554883</v>
      </c>
      <c r="D971" s="10">
        <f t="shared" si="195"/>
        <v>2.8546321050144451E-2</v>
      </c>
      <c r="E971" s="10">
        <f t="shared" si="189"/>
        <v>2.8389601329839007E-2</v>
      </c>
      <c r="F971" s="10">
        <f t="shared" si="190"/>
        <v>2.8396165476387097E-2</v>
      </c>
      <c r="G971" s="10">
        <f t="shared" si="191"/>
        <v>2.8239041715566949E-2</v>
      </c>
      <c r="H971" s="9">
        <f t="shared" si="192"/>
        <v>-65.76772564505724</v>
      </c>
      <c r="I971" s="8">
        <f t="shared" si="185"/>
        <v>4465.0721331981958</v>
      </c>
      <c r="J971" s="9">
        <f t="shared" si="186"/>
        <v>-65.775675633554883</v>
      </c>
      <c r="K971" s="9">
        <f t="shared" si="187"/>
        <v>-65.76772564505724</v>
      </c>
      <c r="L971" s="8">
        <f t="shared" si="193"/>
        <v>4446.6560570191905</v>
      </c>
      <c r="N971" s="16">
        <f t="shared" si="188"/>
        <v>5.3540268923763472</v>
      </c>
    </row>
    <row r="972" spans="2:14" x14ac:dyDescent="0.25">
      <c r="B972" s="7">
        <f t="shared" si="194"/>
        <v>271.03999999999951</v>
      </c>
      <c r="C972" s="9">
        <f t="shared" si="184"/>
        <v>-65.76772564505724</v>
      </c>
      <c r="D972" s="10">
        <f t="shared" si="195"/>
        <v>2.8239322313232389E-2</v>
      </c>
      <c r="E972" s="10">
        <f t="shared" si="189"/>
        <v>2.8082623784840773E-2</v>
      </c>
      <c r="F972" s="10">
        <f t="shared" si="190"/>
        <v>2.8089187625965999E-2</v>
      </c>
      <c r="G972" s="10">
        <f t="shared" si="191"/>
        <v>2.7932083880323189E-2</v>
      </c>
      <c r="H972" s="9">
        <f t="shared" si="192"/>
        <v>-65.759861610369867</v>
      </c>
      <c r="I972" s="8">
        <f t="shared" si="185"/>
        <v>4446.6560570191905</v>
      </c>
      <c r="J972" s="9">
        <f t="shared" si="186"/>
        <v>-65.76772564505724</v>
      </c>
      <c r="K972" s="9">
        <f t="shared" si="187"/>
        <v>-65.759861610369867</v>
      </c>
      <c r="L972" s="8">
        <f t="shared" si="193"/>
        <v>4428.2421948034307</v>
      </c>
      <c r="N972" s="16">
        <f t="shared" si="188"/>
        <v>5.3551542521702</v>
      </c>
    </row>
    <row r="973" spans="2:14" x14ac:dyDescent="0.25">
      <c r="B973" s="7">
        <f t="shared" si="194"/>
        <v>271.31999999999948</v>
      </c>
      <c r="C973" s="9">
        <f t="shared" si="184"/>
        <v>-65.759861610369867</v>
      </c>
      <c r="D973" s="10">
        <f t="shared" si="195"/>
        <v>2.7932364506243142E-2</v>
      </c>
      <c r="E973" s="10">
        <f t="shared" si="189"/>
        <v>2.7775684859656528E-2</v>
      </c>
      <c r="F973" s="10">
        <f t="shared" si="190"/>
        <v>2.7782248483560971E-2</v>
      </c>
      <c r="G973" s="10">
        <f t="shared" si="191"/>
        <v>2.7625162437254623E-2</v>
      </c>
      <c r="H973" s="9">
        <f t="shared" si="192"/>
        <v>-65.752083518667135</v>
      </c>
      <c r="I973" s="8">
        <f t="shared" si="185"/>
        <v>4428.2421948034307</v>
      </c>
      <c r="J973" s="9">
        <f t="shared" si="186"/>
        <v>-65.759861610369867</v>
      </c>
      <c r="K973" s="9">
        <f t="shared" si="187"/>
        <v>-65.752083518667135</v>
      </c>
      <c r="L973" s="8">
        <f t="shared" si="193"/>
        <v>4409.8305224853657</v>
      </c>
      <c r="N973" s="16">
        <f t="shared" si="188"/>
        <v>5.3562680207083257</v>
      </c>
    </row>
    <row r="974" spans="2:14" x14ac:dyDescent="0.25">
      <c r="B974" s="7">
        <f t="shared" si="194"/>
        <v>271.59999999999945</v>
      </c>
      <c r="C974" s="9">
        <f t="shared" si="184"/>
        <v>-65.752083518667135</v>
      </c>
      <c r="D974" s="10">
        <f t="shared" si="195"/>
        <v>2.762544309484611E-2</v>
      </c>
      <c r="E974" s="10">
        <f t="shared" si="189"/>
        <v>2.7468780018536559E-2</v>
      </c>
      <c r="F974" s="10">
        <f t="shared" si="190"/>
        <v>2.7475343513508953E-2</v>
      </c>
      <c r="G974" s="10">
        <f t="shared" si="191"/>
        <v>2.7318272849220157E-2</v>
      </c>
      <c r="H974" s="9">
        <f t="shared" si="192"/>
        <v>-65.744391360393422</v>
      </c>
      <c r="I974" s="8">
        <f t="shared" si="185"/>
        <v>4409.8305224853657</v>
      </c>
      <c r="J974" s="9">
        <f t="shared" si="186"/>
        <v>-65.752083518667135</v>
      </c>
      <c r="K974" s="9">
        <f t="shared" si="187"/>
        <v>-65.744391360393422</v>
      </c>
      <c r="L974" s="8">
        <f t="shared" si="193"/>
        <v>4391.4210160022976</v>
      </c>
      <c r="N974" s="16">
        <f t="shared" si="188"/>
        <v>5.3573681837217721</v>
      </c>
    </row>
    <row r="975" spans="2:14" x14ac:dyDescent="0.25">
      <c r="B975" s="7">
        <f t="shared" si="194"/>
        <v>271.87999999999943</v>
      </c>
      <c r="C975" s="9">
        <f t="shared" si="184"/>
        <v>-65.744391360393422</v>
      </c>
      <c r="D975" s="10">
        <f t="shared" si="195"/>
        <v>2.73185535419051E-2</v>
      </c>
      <c r="E975" s="10">
        <f t="shared" si="189"/>
        <v>2.7161904722830563E-2</v>
      </c>
      <c r="F975" s="10">
        <f t="shared" si="190"/>
        <v>2.7168468177236348E-2</v>
      </c>
      <c r="G975" s="10">
        <f t="shared" si="191"/>
        <v>2.7011410576067443E-2</v>
      </c>
      <c r="H975" s="9">
        <f t="shared" si="192"/>
        <v>-65.736785127263914</v>
      </c>
      <c r="I975" s="8">
        <f t="shared" si="185"/>
        <v>4391.4210160022976</v>
      </c>
      <c r="J975" s="9">
        <f t="shared" si="186"/>
        <v>-65.744391360393422</v>
      </c>
      <c r="K975" s="9">
        <f t="shared" si="187"/>
        <v>-65.736785127263914</v>
      </c>
      <c r="L975" s="8">
        <f t="shared" si="193"/>
        <v>4373.0136512940253</v>
      </c>
      <c r="N975" s="16">
        <f t="shared" si="188"/>
        <v>5.3584547268850731</v>
      </c>
    </row>
    <row r="976" spans="2:14" x14ac:dyDescent="0.25">
      <c r="B976" s="7">
        <f t="shared" si="194"/>
        <v>272.1599999999994</v>
      </c>
      <c r="C976" s="9">
        <f t="shared" si="184"/>
        <v>-65.736785127263914</v>
      </c>
      <c r="D976" s="10">
        <f t="shared" si="195"/>
        <v>2.7011691307272625E-2</v>
      </c>
      <c r="E976" s="10">
        <f t="shared" si="189"/>
        <v>2.6855054430765149E-2</v>
      </c>
      <c r="F976" s="10">
        <f t="shared" si="190"/>
        <v>2.686161793306497E-2</v>
      </c>
      <c r="G976" s="10">
        <f t="shared" si="191"/>
        <v>2.6704571074446154E-2</v>
      </c>
      <c r="H976" s="9">
        <f t="shared" si="192"/>
        <v>-65.72926481226547</v>
      </c>
      <c r="I976" s="8">
        <f t="shared" si="185"/>
        <v>4373.0136512940253</v>
      </c>
      <c r="J976" s="9">
        <f t="shared" si="186"/>
        <v>-65.736785127263914</v>
      </c>
      <c r="K976" s="9">
        <f t="shared" si="187"/>
        <v>-65.72926481226547</v>
      </c>
      <c r="L976" s="8">
        <f t="shared" si="193"/>
        <v>4354.6084043024912</v>
      </c>
      <c r="N976" s="16">
        <f t="shared" si="188"/>
        <v>5.3595276358160255</v>
      </c>
    </row>
    <row r="977" spans="2:14" x14ac:dyDescent="0.25">
      <c r="B977" s="7">
        <f t="shared" si="194"/>
        <v>272.43999999999937</v>
      </c>
      <c r="C977" s="9">
        <f t="shared" si="184"/>
        <v>-65.72926481226547</v>
      </c>
      <c r="D977" s="10">
        <f t="shared" si="195"/>
        <v>2.6704851847594687E-2</v>
      </c>
      <c r="E977" s="10">
        <f t="shared" si="189"/>
        <v>2.6548224597270978E-2</v>
      </c>
      <c r="F977" s="10">
        <f t="shared" si="190"/>
        <v>2.6554788236004875E-2</v>
      </c>
      <c r="G977" s="10">
        <f t="shared" si="191"/>
        <v>2.6397749797587907E-2</v>
      </c>
      <c r="H977" s="9">
        <f t="shared" si="192"/>
        <v>-65.721830409657585</v>
      </c>
      <c r="I977" s="8">
        <f t="shared" si="185"/>
        <v>4354.6084043024912</v>
      </c>
      <c r="J977" s="9">
        <f t="shared" si="186"/>
        <v>-65.72926481226547</v>
      </c>
      <c r="K977" s="9">
        <f t="shared" si="187"/>
        <v>-65.721830409657585</v>
      </c>
      <c r="L977" s="8">
        <f t="shared" si="193"/>
        <v>4336.2052509714222</v>
      </c>
      <c r="N977" s="16">
        <f t="shared" si="188"/>
        <v>5.3605868960754686</v>
      </c>
    </row>
    <row r="978" spans="2:14" x14ac:dyDescent="0.25">
      <c r="B978" s="7">
        <f t="shared" si="194"/>
        <v>272.71999999999935</v>
      </c>
      <c r="C978" s="9">
        <f t="shared" si="184"/>
        <v>-65.721830409657585</v>
      </c>
      <c r="D978" s="10">
        <f t="shared" si="195"/>
        <v>2.6398030616124731E-2</v>
      </c>
      <c r="E978" s="10">
        <f t="shared" si="189"/>
        <v>2.6241410673775636E-2</v>
      </c>
      <c r="F978" s="10">
        <f t="shared" si="190"/>
        <v>2.6247974537588412E-2</v>
      </c>
      <c r="G978" s="10">
        <f t="shared" si="191"/>
        <v>2.6090942195143751E-2</v>
      </c>
      <c r="H978" s="9">
        <f t="shared" si="192"/>
        <v>-65.714481914973334</v>
      </c>
      <c r="I978" s="8">
        <f t="shared" si="185"/>
        <v>4336.2052509714222</v>
      </c>
      <c r="J978" s="9">
        <f t="shared" si="186"/>
        <v>-65.721830409657585</v>
      </c>
      <c r="K978" s="9">
        <f t="shared" si="187"/>
        <v>-65.714481914973334</v>
      </c>
      <c r="L978" s="8">
        <f t="shared" si="193"/>
        <v>4317.804167245974</v>
      </c>
      <c r="N978" s="16">
        <f t="shared" si="188"/>
        <v>5.3616324931670585</v>
      </c>
    </row>
    <row r="979" spans="2:14" x14ac:dyDescent="0.25">
      <c r="B979" s="7">
        <f t="shared" si="194"/>
        <v>272.99999999999932</v>
      </c>
      <c r="C979" s="9">
        <f t="shared" si="184"/>
        <v>-65.714481914973334</v>
      </c>
      <c r="D979" s="10">
        <f t="shared" si="195"/>
        <v>2.6091223062510056E-2</v>
      </c>
      <c r="E979" s="10">
        <f t="shared" si="189"/>
        <v>2.5934608108009155E-2</v>
      </c>
      <c r="F979" s="10">
        <f t="shared" si="190"/>
        <v>2.5941172285637814E-2</v>
      </c>
      <c r="G979" s="10">
        <f t="shared" si="191"/>
        <v>2.5784143712964558E-2</v>
      </c>
      <c r="H979" s="9">
        <f t="shared" si="192"/>
        <v>-65.707219325020404</v>
      </c>
      <c r="I979" s="8">
        <f t="shared" si="185"/>
        <v>4317.804167245974</v>
      </c>
      <c r="J979" s="9">
        <f t="shared" si="186"/>
        <v>-65.714481914973334</v>
      </c>
      <c r="K979" s="9">
        <f t="shared" si="187"/>
        <v>-65.707219325020404</v>
      </c>
      <c r="L979" s="8">
        <f t="shared" si="193"/>
        <v>4299.4051290723746</v>
      </c>
      <c r="N979" s="16">
        <f t="shared" si="188"/>
        <v>5.3626644125370415</v>
      </c>
    </row>
    <row r="980" spans="2:14" x14ac:dyDescent="0.25">
      <c r="B980" s="7">
        <f t="shared" si="194"/>
        <v>273.27999999999929</v>
      </c>
      <c r="C980" s="9">
        <f t="shared" si="184"/>
        <v>-65.707219325020404</v>
      </c>
      <c r="D980" s="10">
        <f t="shared" si="195"/>
        <v>2.578442463260041E-2</v>
      </c>
      <c r="E980" s="10">
        <f t="shared" si="189"/>
        <v>2.5627812343798954E-2</v>
      </c>
      <c r="F980" s="10">
        <f t="shared" si="190"/>
        <v>2.5634376924079421E-2</v>
      </c>
      <c r="G980" s="10">
        <f t="shared" si="191"/>
        <v>2.5477349792888633E-2</v>
      </c>
      <c r="H980" s="9">
        <f t="shared" si="192"/>
        <v>-65.700042637882206</v>
      </c>
      <c r="I980" s="8">
        <f t="shared" si="185"/>
        <v>4299.4051290723746</v>
      </c>
      <c r="J980" s="9">
        <f t="shared" si="186"/>
        <v>-65.707219325020404</v>
      </c>
      <c r="K980" s="9">
        <f t="shared" si="187"/>
        <v>-65.700042637882206</v>
      </c>
      <c r="L980" s="8">
        <f t="shared" si="193"/>
        <v>4281.0081123975679</v>
      </c>
      <c r="N980" s="16">
        <f t="shared" si="188"/>
        <v>5.36368263957403</v>
      </c>
    </row>
    <row r="981" spans="2:14" x14ac:dyDescent="0.25">
      <c r="B981" s="7">
        <f t="shared" si="194"/>
        <v>273.55999999999926</v>
      </c>
      <c r="C981" s="9">
        <f t="shared" si="184"/>
        <v>-65.700042637882206</v>
      </c>
      <c r="D981" s="10">
        <f t="shared" si="195"/>
        <v>2.5477630768250572E-2</v>
      </c>
      <c r="E981" s="10">
        <f t="shared" si="189"/>
        <v>2.5321018820873845E-2</v>
      </c>
      <c r="F981" s="10">
        <f t="shared" si="190"/>
        <v>2.5327583892757199E-2</v>
      </c>
      <c r="G981" s="10">
        <f t="shared" si="191"/>
        <v>2.5170555872575499E-2</v>
      </c>
      <c r="H981" s="9">
        <f t="shared" si="192"/>
        <v>-65.692951852919023</v>
      </c>
      <c r="I981" s="8">
        <f t="shared" si="185"/>
        <v>4281.0081123975679</v>
      </c>
      <c r="J981" s="9">
        <f t="shared" si="186"/>
        <v>-65.700042637882206</v>
      </c>
      <c r="K981" s="9">
        <f t="shared" si="187"/>
        <v>-65.692951852919023</v>
      </c>
      <c r="L981" s="8">
        <f t="shared" si="193"/>
        <v>4262.6130931688558</v>
      </c>
      <c r="N981" s="16">
        <f t="shared" si="188"/>
        <v>5.3646871596087715</v>
      </c>
    </row>
    <row r="982" spans="2:14" x14ac:dyDescent="0.25">
      <c r="B982" s="7">
        <f t="shared" si="194"/>
        <v>273.83999999999924</v>
      </c>
      <c r="C982" s="9">
        <f t="shared" si="184"/>
        <v>-65.692951852919023</v>
      </c>
      <c r="D982" s="10">
        <f t="shared" si="195"/>
        <v>2.5170836907121491E-2</v>
      </c>
      <c r="E982" s="10">
        <f t="shared" si="189"/>
        <v>2.5014222974671423E-2</v>
      </c>
      <c r="F982" s="10">
        <f t="shared" si="190"/>
        <v>2.5020788627205456E-2</v>
      </c>
      <c r="G982" s="10">
        <f t="shared" si="191"/>
        <v>2.4863757385285609E-2</v>
      </c>
      <c r="H982" s="9">
        <f t="shared" si="192"/>
        <v>-65.685946970769209</v>
      </c>
      <c r="I982" s="8">
        <f t="shared" si="185"/>
        <v>4262.6130931688558</v>
      </c>
      <c r="J982" s="9">
        <f t="shared" si="186"/>
        <v>-65.692951852919023</v>
      </c>
      <c r="K982" s="9">
        <f t="shared" si="187"/>
        <v>-65.685946970769209</v>
      </c>
      <c r="L982" s="8">
        <f t="shared" si="193"/>
        <v>4244.2200473335397</v>
      </c>
      <c r="N982" s="16">
        <f t="shared" si="188"/>
        <v>5.3656779579139178</v>
      </c>
    </row>
    <row r="983" spans="2:14" x14ac:dyDescent="0.25">
      <c r="B983" s="7">
        <f t="shared" si="194"/>
        <v>274.11999999999921</v>
      </c>
      <c r="C983" s="9">
        <f t="shared" si="184"/>
        <v>-65.685946970769209</v>
      </c>
      <c r="D983" s="10">
        <f t="shared" si="195"/>
        <v>2.4864038482481525E-2</v>
      </c>
      <c r="E983" s="10">
        <f t="shared" si="189"/>
        <v>2.4707420236131893E-2</v>
      </c>
      <c r="F983" s="10">
        <f t="shared" si="190"/>
        <v>2.4713986558478951E-2</v>
      </c>
      <c r="G983" s="10">
        <f t="shared" si="191"/>
        <v>2.4556949759687547E-2</v>
      </c>
      <c r="H983" s="9">
        <f t="shared" si="192"/>
        <v>-65.679027993350417</v>
      </c>
      <c r="I983" s="8">
        <f t="shared" si="185"/>
        <v>4244.2200473335397</v>
      </c>
      <c r="J983" s="9">
        <f t="shared" si="186"/>
        <v>-65.685946970769209</v>
      </c>
      <c r="K983" s="9">
        <f t="shared" si="187"/>
        <v>-65.679027993350417</v>
      </c>
      <c r="L983" s="8">
        <f t="shared" si="193"/>
        <v>4225.8289508385633</v>
      </c>
      <c r="N983" s="16">
        <f t="shared" si="188"/>
        <v>5.3666550197037948</v>
      </c>
    </row>
    <row r="984" spans="2:14" x14ac:dyDescent="0.25">
      <c r="B984" s="7">
        <f t="shared" si="194"/>
        <v>274.39999999999918</v>
      </c>
      <c r="C984" s="9">
        <f t="shared" ref="C984:C1022" si="196">H983</f>
        <v>-65.679027993350417</v>
      </c>
      <c r="D984" s="10">
        <f t="shared" si="195"/>
        <v>2.4557230922996366E-2</v>
      </c>
      <c r="E984" s="10">
        <f t="shared" si="189"/>
        <v>2.4400606031489944E-2</v>
      </c>
      <c r="F984" s="10">
        <f t="shared" si="190"/>
        <v>2.4407173112932661E-2</v>
      </c>
      <c r="G984" s="10">
        <f t="shared" si="191"/>
        <v>2.4250128419637546E-2</v>
      </c>
      <c r="H984" s="9">
        <f t="shared" si="192"/>
        <v>-65.672194923860943</v>
      </c>
      <c r="I984" s="8">
        <f t="shared" ref="I984:I1022" si="197">L983</f>
        <v>4225.8289508385633</v>
      </c>
      <c r="J984" s="9">
        <f t="shared" ref="J984:J1022" si="198">C984</f>
        <v>-65.679027993350417</v>
      </c>
      <c r="K984" s="9">
        <f t="shared" ref="K984:K1022" si="199">H984</f>
        <v>-65.672194923860943</v>
      </c>
      <c r="L984" s="8">
        <f t="shared" si="193"/>
        <v>4207.4397796301537</v>
      </c>
      <c r="N984" s="16">
        <f t="shared" ref="N984:N1022" si="200">C_y(I984)</f>
        <v>5.3676183301341673</v>
      </c>
    </row>
    <row r="985" spans="2:14" x14ac:dyDescent="0.25">
      <c r="B985" s="7">
        <f t="shared" si="194"/>
        <v>274.67999999999915</v>
      </c>
      <c r="C985" s="9">
        <f t="shared" si="196"/>
        <v>-65.672194923860943</v>
      </c>
      <c r="D985" s="10">
        <f t="shared" si="195"/>
        <v>2.425040965253435E-2</v>
      </c>
      <c r="E985" s="10">
        <f t="shared" si="189"/>
        <v>2.4093775782088895E-2</v>
      </c>
      <c r="F985" s="10">
        <f t="shared" si="190"/>
        <v>2.410034371201699E-2</v>
      </c>
      <c r="G985" s="10">
        <f t="shared" si="191"/>
        <v>2.3943288784003106E-2</v>
      </c>
      <c r="H985" s="9">
        <f t="shared" si="192"/>
        <v>-65.665447766781128</v>
      </c>
      <c r="I985" s="8">
        <f t="shared" si="197"/>
        <v>4207.4397796301537</v>
      </c>
      <c r="J985" s="9">
        <f t="shared" si="198"/>
        <v>-65.672194923860943</v>
      </c>
      <c r="K985" s="9">
        <f t="shared" si="199"/>
        <v>-65.665447766781128</v>
      </c>
      <c r="L985" s="8">
        <f t="shared" si="193"/>
        <v>4189.0525096534639</v>
      </c>
      <c r="N985" s="16">
        <f t="shared" si="200"/>
        <v>5.3685678743020038</v>
      </c>
    </row>
    <row r="986" spans="2:14" x14ac:dyDescent="0.25">
      <c r="B986" s="7">
        <f t="shared" si="194"/>
        <v>274.95999999999913</v>
      </c>
      <c r="C986" s="9">
        <f t="shared" si="196"/>
        <v>-65.665447766781128</v>
      </c>
      <c r="D986" s="10">
        <f t="shared" si="195"/>
        <v>2.3943570089977044E-2</v>
      </c>
      <c r="E986" s="10">
        <f t="shared" si="189"/>
        <v>2.3786924904168394E-2</v>
      </c>
      <c r="F986" s="10">
        <f t="shared" si="190"/>
        <v>2.3793493772106666E-2</v>
      </c>
      <c r="G986" s="10">
        <f t="shared" si="191"/>
        <v>2.3636426266461452E-2</v>
      </c>
      <c r="H986" s="9">
        <f t="shared" si="192"/>
        <v>-65.65878652787471</v>
      </c>
      <c r="I986" s="8">
        <f t="shared" si="197"/>
        <v>4189.0525096534639</v>
      </c>
      <c r="J986" s="9">
        <f t="shared" si="198"/>
        <v>-65.665447766781128</v>
      </c>
      <c r="K986" s="9">
        <f t="shared" si="199"/>
        <v>-65.65878652787471</v>
      </c>
      <c r="L986" s="8">
        <f t="shared" si="193"/>
        <v>4170.6671168522116</v>
      </c>
      <c r="N986" s="16">
        <f t="shared" si="200"/>
        <v>5.3695036372452396</v>
      </c>
    </row>
    <row r="987" spans="2:14" x14ac:dyDescent="0.25">
      <c r="B987" s="7">
        <f t="shared" si="194"/>
        <v>275.2399999999991</v>
      </c>
      <c r="C987" s="9">
        <f t="shared" si="196"/>
        <v>-65.65878652787471</v>
      </c>
      <c r="D987" s="10">
        <f t="shared" si="195"/>
        <v>2.3636707648995059E-2</v>
      </c>
      <c r="E987" s="10">
        <f t="shared" si="189"/>
        <v>2.3480048808667667E-2</v>
      </c>
      <c r="F987" s="10">
        <f t="shared" si="190"/>
        <v>2.3486618704264058E-2</v>
      </c>
      <c r="G987" s="10">
        <f t="shared" si="191"/>
        <v>2.3329536275273628E-2</v>
      </c>
      <c r="H987" s="9">
        <f t="shared" si="192"/>
        <v>-65.652211214190373</v>
      </c>
      <c r="I987" s="8">
        <f t="shared" si="197"/>
        <v>4170.6671168522116</v>
      </c>
      <c r="J987" s="9">
        <f t="shared" si="198"/>
        <v>-65.65878652787471</v>
      </c>
      <c r="K987" s="9">
        <f t="shared" si="199"/>
        <v>-65.652211214190373</v>
      </c>
      <c r="L987" s="8">
        <f t="shared" si="193"/>
        <v>4152.2835771683222</v>
      </c>
      <c r="N987" s="16">
        <f t="shared" si="200"/>
        <v>5.3704256039425395</v>
      </c>
    </row>
    <row r="988" spans="2:14" x14ac:dyDescent="0.25">
      <c r="B988" s="7">
        <f t="shared" si="194"/>
        <v>275.51999999999907</v>
      </c>
      <c r="C988" s="9">
        <f t="shared" si="196"/>
        <v>-65.652211214190373</v>
      </c>
      <c r="D988" s="10">
        <f t="shared" si="195"/>
        <v>2.3329817737860817E-2</v>
      </c>
      <c r="E988" s="10">
        <f t="shared" si="189"/>
        <v>2.3173142901019246E-2</v>
      </c>
      <c r="F988" s="10">
        <f t="shared" si="190"/>
        <v>2.3179713914039144E-2</v>
      </c>
      <c r="G988" s="10">
        <f t="shared" si="191"/>
        <v>2.3022614213102342E-2</v>
      </c>
      <c r="H988" s="9">
        <f t="shared" si="192"/>
        <v>-65.645721834063252</v>
      </c>
      <c r="I988" s="8">
        <f t="shared" si="197"/>
        <v>4152.2835771683222</v>
      </c>
      <c r="J988" s="9">
        <f t="shared" si="198"/>
        <v>-65.652211214190373</v>
      </c>
      <c r="K988" s="9">
        <f t="shared" si="199"/>
        <v>-65.645721834063252</v>
      </c>
      <c r="L988" s="8">
        <f t="shared" si="193"/>
        <v>4133.901866541567</v>
      </c>
      <c r="N988" s="16">
        <f t="shared" si="200"/>
        <v>5.371333759313055</v>
      </c>
    </row>
    <row r="989" spans="2:14" x14ac:dyDescent="0.25">
      <c r="B989" s="7">
        <f t="shared" si="194"/>
        <v>275.79999999999905</v>
      </c>
      <c r="C989" s="9">
        <f t="shared" si="196"/>
        <v>-65.645721834063252</v>
      </c>
      <c r="D989" s="10">
        <f t="shared" si="195"/>
        <v>2.3022895759242115E-2</v>
      </c>
      <c r="E989" s="10">
        <f t="shared" si="189"/>
        <v>2.2866202580938855E-2</v>
      </c>
      <c r="F989" s="10">
        <f t="shared" si="190"/>
        <v>2.2872774801292101E-2</v>
      </c>
      <c r="G989" s="10">
        <f t="shared" si="191"/>
        <v>2.2715655476796194E-2</v>
      </c>
      <c r="H989" s="9">
        <f t="shared" si="192"/>
        <v>-65.639318397116568</v>
      </c>
      <c r="I989" s="8">
        <f t="shared" si="197"/>
        <v>4133.901866541567</v>
      </c>
      <c r="J989" s="9">
        <f t="shared" si="198"/>
        <v>-65.645721834063252</v>
      </c>
      <c r="K989" s="9">
        <f t="shared" si="199"/>
        <v>-65.639318397116568</v>
      </c>
      <c r="L989" s="8">
        <f t="shared" si="193"/>
        <v>4115.5219609092019</v>
      </c>
      <c r="N989" s="16">
        <f t="shared" si="200"/>
        <v>5.3722280882161861</v>
      </c>
    </row>
    <row r="990" spans="2:14" x14ac:dyDescent="0.25">
      <c r="B990" s="7">
        <f t="shared" si="194"/>
        <v>276.07999999999902</v>
      </c>
      <c r="C990" s="9">
        <f t="shared" si="196"/>
        <v>-65.639318397116568</v>
      </c>
      <c r="D990" s="10">
        <f t="shared" si="195"/>
        <v>2.2715937109998245E-2</v>
      </c>
      <c r="E990" s="10">
        <f t="shared" si="189"/>
        <v>2.2559223242247881E-2</v>
      </c>
      <c r="F990" s="10">
        <f t="shared" si="190"/>
        <v>2.2565796759980439E-2</v>
      </c>
      <c r="G990" s="10">
        <f t="shared" si="191"/>
        <v>2.2408655457193394E-2</v>
      </c>
      <c r="H990" s="9">
        <f t="shared" si="192"/>
        <v>-65.633000914263221</v>
      </c>
      <c r="I990" s="8">
        <f t="shared" si="197"/>
        <v>4115.5219609092019</v>
      </c>
      <c r="J990" s="9">
        <f t="shared" si="198"/>
        <v>-65.639318397116568</v>
      </c>
      <c r="K990" s="9">
        <f t="shared" si="199"/>
        <v>-65.633000914263221</v>
      </c>
      <c r="L990" s="8">
        <f t="shared" si="193"/>
        <v>4097.1438362056087</v>
      </c>
      <c r="N990" s="16">
        <f t="shared" si="200"/>
        <v>5.3731085754513321</v>
      </c>
    </row>
    <row r="991" spans="2:14" x14ac:dyDescent="0.25">
      <c r="B991" s="7">
        <f t="shared" si="194"/>
        <v>276.35999999999899</v>
      </c>
      <c r="C991" s="9">
        <f t="shared" si="196"/>
        <v>-65.633000914263221</v>
      </c>
      <c r="D991" s="10">
        <f t="shared" si="195"/>
        <v>2.2408937180968185E-2</v>
      </c>
      <c r="E991" s="10">
        <f t="shared" si="189"/>
        <v>2.225220027262682E-2</v>
      </c>
      <c r="F991" s="10">
        <f t="shared" si="190"/>
        <v>2.2258775177918345E-2</v>
      </c>
      <c r="G991" s="10">
        <f t="shared" si="191"/>
        <v>2.2101609538904155E-2</v>
      </c>
      <c r="H991" s="9">
        <f t="shared" si="192"/>
        <v>-65.626769397707577</v>
      </c>
      <c r="I991" s="8">
        <f t="shared" si="197"/>
        <v>4097.1438362056087</v>
      </c>
      <c r="J991" s="9">
        <f t="shared" si="198"/>
        <v>-65.633000914263221</v>
      </c>
      <c r="K991" s="9">
        <f t="shared" si="199"/>
        <v>-65.626769397707577</v>
      </c>
      <c r="L991" s="8">
        <f t="shared" si="193"/>
        <v>4078.767468361933</v>
      </c>
      <c r="N991" s="16">
        <f t="shared" si="200"/>
        <v>5.3739752057576524</v>
      </c>
    </row>
    <row r="992" spans="2:14" x14ac:dyDescent="0.25">
      <c r="B992" s="7">
        <f t="shared" si="194"/>
        <v>276.63999999999896</v>
      </c>
      <c r="C992" s="9">
        <f t="shared" si="196"/>
        <v>-65.626769397707577</v>
      </c>
      <c r="D992" s="10">
        <f t="shared" si="195"/>
        <v>2.2101891356777658E-2</v>
      </c>
      <c r="E992" s="10">
        <f t="shared" si="189"/>
        <v>2.1945129053444961E-2</v>
      </c>
      <c r="F992" s="10">
        <f t="shared" si="190"/>
        <v>2.1951705436619149E-2</v>
      </c>
      <c r="G992" s="10">
        <f t="shared" si="191"/>
        <v>2.1794513100129739E-2</v>
      </c>
      <c r="H992" s="9">
        <f t="shared" si="192"/>
        <v>-65.620623860947177</v>
      </c>
      <c r="I992" s="8">
        <f t="shared" si="197"/>
        <v>4078.767468361933</v>
      </c>
      <c r="J992" s="9">
        <f t="shared" si="198"/>
        <v>-65.626769397707577</v>
      </c>
      <c r="K992" s="9">
        <f t="shared" si="199"/>
        <v>-65.620623860947177</v>
      </c>
      <c r="L992" s="8">
        <f t="shared" si="193"/>
        <v>4060.3928333057215</v>
      </c>
      <c r="N992" s="16">
        <f t="shared" si="200"/>
        <v>5.3748279638138134</v>
      </c>
    </row>
    <row r="993" spans="2:14" x14ac:dyDescent="0.25">
      <c r="B993" s="7">
        <f t="shared" si="194"/>
        <v>276.91999999999894</v>
      </c>
      <c r="C993" s="9">
        <f t="shared" si="196"/>
        <v>-65.620623860947177</v>
      </c>
      <c r="D993" s="10">
        <f t="shared" si="195"/>
        <v>2.179479501562212E-2</v>
      </c>
      <c r="E993" s="10">
        <f t="shared" si="189"/>
        <v>2.1638004959539402E-2</v>
      </c>
      <c r="F993" s="10">
        <f t="shared" si="190"/>
        <v>2.1644582911068654E-2</v>
      </c>
      <c r="G993" s="10">
        <f t="shared" si="191"/>
        <v>2.1487361512419624E-2</v>
      </c>
      <c r="H993" s="9">
        <f t="shared" si="192"/>
        <v>-65.614564318774612</v>
      </c>
      <c r="I993" s="8">
        <f t="shared" si="197"/>
        <v>4060.3928333057215</v>
      </c>
      <c r="J993" s="9">
        <f t="shared" si="198"/>
        <v>-65.620623860947177</v>
      </c>
      <c r="K993" s="9">
        <f t="shared" si="199"/>
        <v>-65.614564318774612</v>
      </c>
      <c r="L993" s="8">
        <f t="shared" si="193"/>
        <v>4042.0199069605605</v>
      </c>
      <c r="N993" s="16">
        <f t="shared" si="200"/>
        <v>5.3756668342377445</v>
      </c>
    </row>
    <row r="994" spans="2:14" x14ac:dyDescent="0.25">
      <c r="B994" s="7">
        <f t="shared" si="194"/>
        <v>277.19999999999891</v>
      </c>
      <c r="C994" s="9">
        <f t="shared" si="196"/>
        <v>-65.614564318774612</v>
      </c>
      <c r="D994" s="10">
        <f t="shared" si="195"/>
        <v>2.1487643529069754E-2</v>
      </c>
      <c r="E994" s="10">
        <f t="shared" si="189"/>
        <v>2.1330823359008183E-2</v>
      </c>
      <c r="F994" s="10">
        <f t="shared" si="190"/>
        <v>2.1337402969518464E-2</v>
      </c>
      <c r="G994" s="10">
        <f t="shared" si="191"/>
        <v>2.1180150140493282E-2</v>
      </c>
      <c r="H994" s="9">
        <f t="shared" si="192"/>
        <v>-65.608590787279368</v>
      </c>
      <c r="I994" s="8">
        <f t="shared" si="197"/>
        <v>4042.0199069605605</v>
      </c>
      <c r="J994" s="9">
        <f t="shared" si="198"/>
        <v>-65.614564318774612</v>
      </c>
      <c r="K994" s="9">
        <f t="shared" si="199"/>
        <v>-65.608590787279368</v>
      </c>
      <c r="L994" s="8">
        <f t="shared" si="193"/>
        <v>4023.6486652457129</v>
      </c>
      <c r="N994" s="16">
        <f t="shared" si="200"/>
        <v>5.3764918015863845</v>
      </c>
    </row>
    <row r="995" spans="2:14" x14ac:dyDescent="0.25">
      <c r="B995" s="7">
        <f t="shared" si="194"/>
        <v>277.47999999999888</v>
      </c>
      <c r="C995" s="9">
        <f t="shared" si="196"/>
        <v>-65.608590787279368</v>
      </c>
      <c r="D995" s="10">
        <f t="shared" si="195"/>
        <v>2.1180432261845922E-2</v>
      </c>
      <c r="E995" s="10">
        <f t="shared" si="189"/>
        <v>2.1023579613003475E-2</v>
      </c>
      <c r="F995" s="10">
        <f t="shared" si="190"/>
        <v>2.1030160973271463E-2</v>
      </c>
      <c r="G995" s="10">
        <f t="shared" si="191"/>
        <v>2.0872874342028731E-2</v>
      </c>
      <c r="H995" s="9">
        <f t="shared" si="192"/>
        <v>-65.602703283849806</v>
      </c>
      <c r="I995" s="8">
        <f t="shared" si="197"/>
        <v>4023.6486652457129</v>
      </c>
      <c r="J995" s="9">
        <f t="shared" si="198"/>
        <v>-65.608590787279368</v>
      </c>
      <c r="K995" s="9">
        <f t="shared" si="199"/>
        <v>-65.602703283849806</v>
      </c>
      <c r="L995" s="8">
        <f t="shared" si="193"/>
        <v>4005.2790840757548</v>
      </c>
      <c r="N995" s="16">
        <f t="shared" si="200"/>
        <v>5.3773028503554317</v>
      </c>
    </row>
    <row r="996" spans="2:14" x14ac:dyDescent="0.25">
      <c r="B996" s="7">
        <f t="shared" si="194"/>
        <v>277.75999999999885</v>
      </c>
      <c r="C996" s="9">
        <f t="shared" si="196"/>
        <v>-65.602703283849806</v>
      </c>
      <c r="D996" s="10">
        <f t="shared" si="195"/>
        <v>2.0873156571629636E-2</v>
      </c>
      <c r="E996" s="10">
        <f t="shared" si="189"/>
        <v>2.0716269075526626E-2</v>
      </c>
      <c r="F996" s="10">
        <f t="shared" si="190"/>
        <v>2.0722852276485803E-2</v>
      </c>
      <c r="G996" s="10">
        <f t="shared" si="191"/>
        <v>2.0565529467436446E-2</v>
      </c>
      <c r="H996" s="9">
        <f t="shared" si="192"/>
        <v>-65.596901827175131</v>
      </c>
      <c r="I996" s="8">
        <f t="shared" si="197"/>
        <v>4005.2790840757548</v>
      </c>
      <c r="J996" s="9">
        <f t="shared" si="198"/>
        <v>-65.602703283849806</v>
      </c>
      <c r="K996" s="9">
        <f t="shared" si="199"/>
        <v>-65.596901827175131</v>
      </c>
      <c r="L996" s="8">
        <f t="shared" si="193"/>
        <v>3986.9111393602111</v>
      </c>
      <c r="N996" s="16">
        <f t="shared" si="200"/>
        <v>5.3780999649790866</v>
      </c>
    </row>
    <row r="997" spans="2:14" x14ac:dyDescent="0.25">
      <c r="B997" s="7">
        <f t="shared" si="194"/>
        <v>278.03999999999883</v>
      </c>
      <c r="C997" s="9">
        <f t="shared" si="196"/>
        <v>-65.596901827175131</v>
      </c>
      <c r="D997" s="10">
        <f t="shared" si="195"/>
        <v>2.0565811808841459E-2</v>
      </c>
      <c r="E997" s="10">
        <f t="shared" si="189"/>
        <v>2.0408887093210985E-2</v>
      </c>
      <c r="F997" s="10">
        <f t="shared" si="190"/>
        <v>2.0415472225957694E-2</v>
      </c>
      <c r="G997" s="10">
        <f t="shared" si="191"/>
        <v>2.0258110859659808E-2</v>
      </c>
      <c r="H997" s="9">
        <f t="shared" si="192"/>
        <v>-65.591186437247472</v>
      </c>
      <c r="I997" s="8">
        <f t="shared" si="197"/>
        <v>3986.9111393602111</v>
      </c>
      <c r="J997" s="9">
        <f t="shared" si="198"/>
        <v>-65.596901827175131</v>
      </c>
      <c r="K997" s="9">
        <f t="shared" si="199"/>
        <v>-65.591186437247472</v>
      </c>
      <c r="L997" s="8">
        <f t="shared" si="193"/>
        <v>3968.5448070031921</v>
      </c>
      <c r="N997" s="16">
        <f t="shared" si="200"/>
        <v>5.3788831298297994</v>
      </c>
    </row>
    <row r="998" spans="2:14" x14ac:dyDescent="0.25">
      <c r="B998" s="7">
        <f t="shared" si="194"/>
        <v>278.3199999999988</v>
      </c>
      <c r="C998" s="9">
        <f t="shared" si="196"/>
        <v>-65.591186437247472</v>
      </c>
      <c r="D998" s="10">
        <f t="shared" si="195"/>
        <v>2.0258393316433199E-2</v>
      </c>
      <c r="E998" s="10">
        <f t="shared" si="189"/>
        <v>2.0101429005117393E-2</v>
      </c>
      <c r="F998" s="10">
        <f t="shared" si="190"/>
        <v>2.0108016160913268E-2</v>
      </c>
      <c r="G998" s="10">
        <f t="shared" si="191"/>
        <v>1.9950613853975761E-2</v>
      </c>
      <c r="H998" s="9">
        <f t="shared" si="192"/>
        <v>-65.585557135364027</v>
      </c>
      <c r="I998" s="8">
        <f t="shared" si="197"/>
        <v>3968.5448070031921</v>
      </c>
      <c r="J998" s="9">
        <f t="shared" si="198"/>
        <v>-65.591186437247472</v>
      </c>
      <c r="K998" s="9">
        <f t="shared" si="199"/>
        <v>-65.585557135364027</v>
      </c>
      <c r="L998" s="8">
        <f t="shared" si="193"/>
        <v>3950.1800629030263</v>
      </c>
      <c r="N998" s="16">
        <f t="shared" si="200"/>
        <v>5.3796523292180094</v>
      </c>
    </row>
    <row r="999" spans="2:14" x14ac:dyDescent="0.25">
      <c r="B999" s="7">
        <f t="shared" si="194"/>
        <v>278.59999999999877</v>
      </c>
      <c r="C999" s="9">
        <f t="shared" si="196"/>
        <v>-65.585557135364027</v>
      </c>
      <c r="D999" s="10">
        <f t="shared" si="195"/>
        <v>1.9950896429688583E-2</v>
      </c>
      <c r="E999" s="10">
        <f t="shared" si="189"/>
        <v>1.9793890142525646E-2</v>
      </c>
      <c r="F999" s="10">
        <f t="shared" si="190"/>
        <v>1.9800479412799426E-2</v>
      </c>
      <c r="G999" s="10">
        <f t="shared" si="191"/>
        <v>1.9643033777759823E-2</v>
      </c>
      <c r="H999" s="9">
        <f t="shared" si="192"/>
        <v>-65.580013944129178</v>
      </c>
      <c r="I999" s="8">
        <f t="shared" si="197"/>
        <v>3950.1800629030263</v>
      </c>
      <c r="J999" s="9">
        <f t="shared" si="198"/>
        <v>-65.585557135364027</v>
      </c>
      <c r="K999" s="9">
        <f t="shared" si="199"/>
        <v>-65.580013944129178</v>
      </c>
      <c r="L999" s="8">
        <f t="shared" si="193"/>
        <v>3931.8168829518972</v>
      </c>
      <c r="N999" s="16">
        <f t="shared" si="200"/>
        <v>5.3804075473918873</v>
      </c>
    </row>
    <row r="1000" spans="2:14" x14ac:dyDescent="0.25">
      <c r="B1000" s="7">
        <f t="shared" si="194"/>
        <v>278.87999999999874</v>
      </c>
      <c r="C1000" s="9">
        <f t="shared" si="196"/>
        <v>-65.580013944129178</v>
      </c>
      <c r="D1000" s="10">
        <f t="shared" si="195"/>
        <v>1.9643316475990474E-2</v>
      </c>
      <c r="E1000" s="10">
        <f t="shared" si="189"/>
        <v>1.948626582871802E-2</v>
      </c>
      <c r="F1000" s="10">
        <f t="shared" si="190"/>
        <v>1.9492857305071599E-2</v>
      </c>
      <c r="G1000" s="10">
        <f t="shared" si="191"/>
        <v>1.9335365950290929E-2</v>
      </c>
      <c r="H1000" s="9">
        <f t="shared" si="192"/>
        <v>-65.574556887456794</v>
      </c>
      <c r="I1000" s="8">
        <f t="shared" si="197"/>
        <v>3931.8168829518972</v>
      </c>
      <c r="J1000" s="9">
        <f t="shared" si="198"/>
        <v>-65.580013944129178</v>
      </c>
      <c r="K1000" s="9">
        <f t="shared" si="199"/>
        <v>-65.574556887456794</v>
      </c>
      <c r="L1000" s="8">
        <f t="shared" si="193"/>
        <v>3913.4552430354752</v>
      </c>
      <c r="N1000" s="16">
        <f t="shared" si="200"/>
        <v>5.3811487685370727</v>
      </c>
    </row>
    <row r="1001" spans="2:14" x14ac:dyDescent="0.25">
      <c r="B1001" s="7">
        <f t="shared" si="194"/>
        <v>279.15999999999872</v>
      </c>
      <c r="C1001" s="9">
        <f t="shared" si="196"/>
        <v>-65.574556887456794</v>
      </c>
      <c r="D1001" s="10">
        <f t="shared" si="195"/>
        <v>1.9335648774631418E-2</v>
      </c>
      <c r="E1001" s="10">
        <f t="shared" si="189"/>
        <v>1.9178551378763887E-2</v>
      </c>
      <c r="F1001" s="10">
        <f t="shared" si="190"/>
        <v>1.9185145152974741E-2</v>
      </c>
      <c r="G1001" s="10">
        <f t="shared" si="191"/>
        <v>1.9027605682540978E-2</v>
      </c>
      <c r="H1001" s="9">
        <f t="shared" si="192"/>
        <v>-65.569185990572493</v>
      </c>
      <c r="I1001" s="8">
        <f t="shared" si="197"/>
        <v>3913.4552430354752</v>
      </c>
      <c r="J1001" s="9">
        <f t="shared" si="198"/>
        <v>-65.574556887456794</v>
      </c>
      <c r="K1001" s="9">
        <f t="shared" si="199"/>
        <v>-65.569185990572493</v>
      </c>
      <c r="L1001" s="8">
        <f t="shared" si="193"/>
        <v>3895.0951190325509</v>
      </c>
      <c r="N1001" s="16">
        <f t="shared" si="200"/>
        <v>5.3818759767764126</v>
      </c>
    </row>
    <row r="1002" spans="2:14" x14ac:dyDescent="0.25">
      <c r="B1002" s="7">
        <f t="shared" si="194"/>
        <v>279.43999999999869</v>
      </c>
      <c r="C1002" s="9">
        <f t="shared" si="196"/>
        <v>-65.569185990572493</v>
      </c>
      <c r="D1002" s="10">
        <f t="shared" si="195"/>
        <v>1.9027888636584719E-2</v>
      </c>
      <c r="E1002" s="10">
        <f t="shared" si="189"/>
        <v>1.8870742099313102E-2</v>
      </c>
      <c r="F1002" s="10">
        <f t="shared" si="190"/>
        <v>1.887733826334136E-2</v>
      </c>
      <c r="G1002" s="10">
        <f t="shared" si="191"/>
        <v>1.8719748276950329E-2</v>
      </c>
      <c r="H1002" s="9">
        <f t="shared" si="192"/>
        <v>-65.563901280016012</v>
      </c>
      <c r="I1002" s="8">
        <f t="shared" si="197"/>
        <v>3895.0951190325509</v>
      </c>
      <c r="J1002" s="9">
        <f t="shared" si="198"/>
        <v>-65.569185990572493</v>
      </c>
      <c r="K1002" s="9">
        <f t="shared" si="199"/>
        <v>-65.563901280016012</v>
      </c>
      <c r="L1002" s="8">
        <f t="shared" si="193"/>
        <v>3876.7364868146683</v>
      </c>
      <c r="N1002" s="16">
        <f t="shared" si="200"/>
        <v>5.3825891561696944</v>
      </c>
    </row>
    <row r="1003" spans="2:14" x14ac:dyDescent="0.25">
      <c r="B1003" s="7">
        <f t="shared" si="194"/>
        <v>279.71999999999866</v>
      </c>
      <c r="C1003" s="9">
        <f t="shared" si="196"/>
        <v>-65.563901280016012</v>
      </c>
      <c r="D1003" s="10">
        <f t="shared" si="195"/>
        <v>1.8720031364297379E-2</v>
      </c>
      <c r="E1003" s="10">
        <f t="shared" si="189"/>
        <v>1.8562833288377781E-2</v>
      </c>
      <c r="F1003" s="10">
        <f t="shared" si="190"/>
        <v>1.8569431934364972E-2</v>
      </c>
      <c r="G1003" s="10">
        <f t="shared" si="191"/>
        <v>1.8411789027205069E-2</v>
      </c>
      <c r="H1003" s="9">
        <f t="shared" si="192"/>
        <v>-65.558702783643625</v>
      </c>
      <c r="I1003" s="8">
        <f t="shared" si="197"/>
        <v>3876.7364868146683</v>
      </c>
      <c r="J1003" s="9">
        <f t="shared" si="198"/>
        <v>-65.563901280016012</v>
      </c>
      <c r="K1003" s="9">
        <f t="shared" si="199"/>
        <v>-65.558702783643625</v>
      </c>
      <c r="L1003" s="8">
        <f t="shared" si="193"/>
        <v>3858.3793222457562</v>
      </c>
      <c r="N1003" s="16">
        <f t="shared" si="200"/>
        <v>5.3832882907133799</v>
      </c>
    </row>
    <row r="1004" spans="2:14" x14ac:dyDescent="0.25">
      <c r="B1004" s="7">
        <f t="shared" si="194"/>
        <v>279.99999999999864</v>
      </c>
      <c r="C1004" s="9">
        <f t="shared" si="196"/>
        <v>-65.558702783643625</v>
      </c>
      <c r="D1004" s="10">
        <f t="shared" si="195"/>
        <v>1.8412072251477101E-2</v>
      </c>
      <c r="E1004" s="10">
        <f t="shared" si="189"/>
        <v>1.8254820235122274E-2</v>
      </c>
      <c r="F1004" s="10">
        <f t="shared" si="190"/>
        <v>1.8261421455397796E-2</v>
      </c>
      <c r="G1004" s="10">
        <f t="shared" si="191"/>
        <v>1.8103723218052679E-2</v>
      </c>
      <c r="H1004" s="9">
        <f t="shared" si="192"/>
        <v>-65.553590530630601</v>
      </c>
      <c r="I1004" s="8">
        <f t="shared" si="197"/>
        <v>3858.3793222457562</v>
      </c>
      <c r="J1004" s="9">
        <f t="shared" si="198"/>
        <v>-65.558702783643625</v>
      </c>
      <c r="K1004" s="9">
        <f t="shared" si="199"/>
        <v>-65.553590530630601</v>
      </c>
      <c r="L1004" s="8">
        <f t="shared" si="193"/>
        <v>3840.0236011817578</v>
      </c>
      <c r="N1004" s="16">
        <f t="shared" si="200"/>
        <v>5.3839733643403385</v>
      </c>
    </row>
    <row r="1005" spans="2:14" x14ac:dyDescent="0.25">
      <c r="B1005" s="7">
        <f t="shared" si="194"/>
        <v>280.27999999999861</v>
      </c>
      <c r="C1005" s="9">
        <f t="shared" si="196"/>
        <v>-65.553590530630601</v>
      </c>
      <c r="D1005" s="10">
        <f t="shared" si="195"/>
        <v>1.8104006582861924E-2</v>
      </c>
      <c r="E1005" s="10">
        <f t="shared" si="189"/>
        <v>1.7946698219627608E-2</v>
      </c>
      <c r="F1005" s="10">
        <f t="shared" si="190"/>
        <v>1.7953302106717611E-2</v>
      </c>
      <c r="G1005" s="10">
        <f t="shared" si="191"/>
        <v>1.779554612504158E-2</v>
      </c>
      <c r="H1005" s="9">
        <f t="shared" si="192"/>
        <v>-65.548564551473774</v>
      </c>
      <c r="I1005" s="8">
        <f t="shared" si="197"/>
        <v>3840.0236011817578</v>
      </c>
      <c r="J1005" s="9">
        <f t="shared" si="198"/>
        <v>-65.553590530630601</v>
      </c>
      <c r="K1005" s="9">
        <f t="shared" si="199"/>
        <v>-65.548564551473774</v>
      </c>
      <c r="L1005" s="8">
        <f t="shared" si="193"/>
        <v>3821.669299470263</v>
      </c>
      <c r="N1005" s="16">
        <f t="shared" si="200"/>
        <v>5.3846443609195713</v>
      </c>
    </row>
    <row r="1006" spans="2:14" x14ac:dyDescent="0.25">
      <c r="B1006" s="7">
        <f t="shared" si="194"/>
        <v>280.55999999999858</v>
      </c>
      <c r="C1006" s="9">
        <f t="shared" si="196"/>
        <v>-65.548564551473774</v>
      </c>
      <c r="D1006" s="10">
        <f t="shared" si="195"/>
        <v>1.7795829634021217E-2</v>
      </c>
      <c r="E1006" s="10">
        <f t="shared" si="189"/>
        <v>1.7638462512706971E-2</v>
      </c>
      <c r="F1006" s="10">
        <f t="shared" si="190"/>
        <v>1.7645069159319529E-2</v>
      </c>
      <c r="G1006" s="10">
        <f t="shared" si="191"/>
        <v>1.7487253014349471E-2</v>
      </c>
      <c r="H1006" s="9">
        <f t="shared" si="192"/>
        <v>-65.543624877994134</v>
      </c>
      <c r="I1006" s="8">
        <f t="shared" si="197"/>
        <v>3821.669299470263</v>
      </c>
      <c r="J1006" s="9">
        <f t="shared" si="198"/>
        <v>-65.548564551473774</v>
      </c>
      <c r="K1006" s="9">
        <f t="shared" si="199"/>
        <v>-65.543624877994134</v>
      </c>
      <c r="L1006" s="8">
        <f t="shared" si="193"/>
        <v>3803.3163929501375</v>
      </c>
      <c r="N1006" s="16">
        <f t="shared" si="200"/>
        <v>5.3853012642559435</v>
      </c>
    </row>
    <row r="1007" spans="2:14" x14ac:dyDescent="0.25">
      <c r="B1007" s="7">
        <f t="shared" si="194"/>
        <v>280.83999999999855</v>
      </c>
      <c r="C1007" s="9">
        <f t="shared" si="196"/>
        <v>-65.543624877994134</v>
      </c>
      <c r="D1007" s="10">
        <f t="shared" si="195"/>
        <v>1.748753667113391E-2</v>
      </c>
      <c r="E1007" s="10">
        <f t="shared" si="189"/>
        <v>1.7330108375654144E-2</v>
      </c>
      <c r="F1007" s="10">
        <f t="shared" si="190"/>
        <v>1.7336717874706167E-2</v>
      </c>
      <c r="G1007" s="10">
        <f t="shared" si="191"/>
        <v>1.717883914251955E-2</v>
      </c>
      <c r="H1007" s="9">
        <f t="shared" si="192"/>
        <v>-65.538771543339465</v>
      </c>
      <c r="I1007" s="8">
        <f t="shared" si="197"/>
        <v>3803.3163929501375</v>
      </c>
      <c r="J1007" s="9">
        <f t="shared" si="198"/>
        <v>-65.543624877994134</v>
      </c>
      <c r="K1007" s="9">
        <f t="shared" si="199"/>
        <v>-65.538771543339465</v>
      </c>
      <c r="L1007" s="8">
        <f t="shared" si="193"/>
        <v>3784.9648574511507</v>
      </c>
      <c r="N1007" s="16">
        <f t="shared" si="200"/>
        <v>5.3859440580899092</v>
      </c>
    </row>
    <row r="1008" spans="2:14" x14ac:dyDescent="0.25">
      <c r="B1008" s="7">
        <f t="shared" si="194"/>
        <v>281.11999999999853</v>
      </c>
      <c r="C1008" s="9">
        <f t="shared" si="196"/>
        <v>-65.538771543339465</v>
      </c>
      <c r="D1008" s="10">
        <f t="shared" si="195"/>
        <v>1.717912295075982E-2</v>
      </c>
      <c r="E1008" s="10">
        <f t="shared" si="189"/>
        <v>1.7021631060042591E-2</v>
      </c>
      <c r="F1008" s="10">
        <f t="shared" si="190"/>
        <v>1.7028243504653109E-2</v>
      </c>
      <c r="G1008" s="10">
        <f t="shared" si="191"/>
        <v>1.6870299756279905E-2</v>
      </c>
      <c r="H1008" s="9">
        <f t="shared" si="192"/>
        <v>-65.534004581987091</v>
      </c>
      <c r="I1008" s="8">
        <f t="shared" si="197"/>
        <v>3784.9648574511507</v>
      </c>
      <c r="J1008" s="9">
        <f t="shared" si="198"/>
        <v>-65.538771543339465</v>
      </c>
      <c r="K1008" s="9">
        <f t="shared" si="199"/>
        <v>-65.534004581987091</v>
      </c>
      <c r="L1008" s="8">
        <f t="shared" si="193"/>
        <v>3766.6146687936048</v>
      </c>
      <c r="N1008" s="16">
        <f t="shared" si="200"/>
        <v>5.3865727260972331</v>
      </c>
    </row>
    <row r="1009" spans="2:14" x14ac:dyDescent="0.25">
      <c r="B1009" s="7">
        <f t="shared" si="194"/>
        <v>281.3999999999985</v>
      </c>
      <c r="C1009" s="9">
        <f t="shared" si="196"/>
        <v>-65.534004581987091</v>
      </c>
      <c r="D1009" s="10">
        <f t="shared" si="195"/>
        <v>1.6870583719626579E-2</v>
      </c>
      <c r="E1009" s="10">
        <f t="shared" si="189"/>
        <v>1.6713025807508695E-2</v>
      </c>
      <c r="F1009" s="10">
        <f t="shared" si="190"/>
        <v>1.6719641290993716E-2</v>
      </c>
      <c r="G1009" s="10">
        <f t="shared" si="191"/>
        <v>1.6561630092294756E-2</v>
      </c>
      <c r="H1009" s="9">
        <f t="shared" si="192"/>
        <v>-65.529324029746675</v>
      </c>
      <c r="I1009" s="8">
        <f t="shared" si="197"/>
        <v>3766.6146687936048</v>
      </c>
      <c r="J1009" s="9">
        <f t="shared" si="198"/>
        <v>-65.534004581987091</v>
      </c>
      <c r="K1009" s="9">
        <f t="shared" si="199"/>
        <v>-65.529324029746675</v>
      </c>
      <c r="L1009" s="8">
        <f t="shared" si="193"/>
        <v>3748.265802787962</v>
      </c>
      <c r="N1009" s="16">
        <f t="shared" si="200"/>
        <v>5.3871872518887125</v>
      </c>
    </row>
    <row r="1010" spans="2:14" x14ac:dyDescent="0.25">
      <c r="B1010" s="7">
        <f t="shared" si="194"/>
        <v>281.67999999999847</v>
      </c>
      <c r="C1010" s="9">
        <f t="shared" si="196"/>
        <v>-65.529324029746675</v>
      </c>
      <c r="D1010" s="10">
        <f t="shared" si="195"/>
        <v>1.6561914214417599E-2</v>
      </c>
      <c r="E1010" s="10">
        <f t="shared" si="189"/>
        <v>1.6404287849510809E-2</v>
      </c>
      <c r="F1010" s="10">
        <f t="shared" si="190"/>
        <v>1.6410906465412302E-2</v>
      </c>
      <c r="G1010" s="10">
        <f t="shared" si="191"/>
        <v>1.625282537696119E-2</v>
      </c>
      <c r="H1010" s="9">
        <f t="shared" si="192"/>
        <v>-65.524729923763019</v>
      </c>
      <c r="I1010" s="8">
        <f t="shared" si="197"/>
        <v>3748.265802787962</v>
      </c>
      <c r="J1010" s="9">
        <f t="shared" si="198"/>
        <v>-65.529324029746675</v>
      </c>
      <c r="K1010" s="9">
        <f t="shared" si="199"/>
        <v>-65.524729923763019</v>
      </c>
      <c r="L1010" s="8">
        <f t="shared" si="193"/>
        <v>3729.9182352344706</v>
      </c>
      <c r="N1010" s="16">
        <f t="shared" si="200"/>
        <v>5.3877876190098988</v>
      </c>
    </row>
    <row r="1011" spans="2:14" x14ac:dyDescent="0.25">
      <c r="B1011" s="7">
        <f t="shared" si="194"/>
        <v>281.95999999999844</v>
      </c>
      <c r="C1011" s="9">
        <f t="shared" si="196"/>
        <v>-65.524729923763019</v>
      </c>
      <c r="D1011" s="10">
        <f t="shared" si="195"/>
        <v>1.6253109661532681E-2</v>
      </c>
      <c r="E1011" s="10">
        <f t="shared" si="189"/>
        <v>1.6095412407133559E-2</v>
      </c>
      <c r="F1011" s="10">
        <f t="shared" si="190"/>
        <v>1.6102034249191377E-2</v>
      </c>
      <c r="G1011" s="10">
        <f t="shared" si="191"/>
        <v>1.5943880826173474E-2</v>
      </c>
      <c r="H1011" s="9">
        <f t="shared" si="192"/>
        <v>-65.520222302519002</v>
      </c>
      <c r="I1011" s="8">
        <f t="shared" si="197"/>
        <v>3729.9182352344706</v>
      </c>
      <c r="J1011" s="9">
        <f t="shared" si="198"/>
        <v>-65.524729923763019</v>
      </c>
      <c r="K1011" s="9">
        <f t="shared" si="199"/>
        <v>-65.520222302519002</v>
      </c>
      <c r="L1011" s="8">
        <f t="shared" si="193"/>
        <v>3711.5719419227912</v>
      </c>
      <c r="N1011" s="16">
        <f t="shared" si="200"/>
        <v>5.3883738109408137</v>
      </c>
    </row>
    <row r="1012" spans="2:14" x14ac:dyDescent="0.25">
      <c r="B1012" s="7">
        <f t="shared" si="194"/>
        <v>282.23999999999842</v>
      </c>
      <c r="C1012" s="9">
        <f t="shared" si="196"/>
        <v>-65.520222302519002</v>
      </c>
      <c r="D1012" s="10">
        <f t="shared" si="195"/>
        <v>1.5944165276875068E-2</v>
      </c>
      <c r="E1012" s="10">
        <f t="shared" si="189"/>
        <v>1.5786394690834735E-2</v>
      </c>
      <c r="F1012" s="10">
        <f t="shared" si="190"/>
        <v>1.5793019853020444E-2</v>
      </c>
      <c r="G1012" s="10">
        <f t="shared" si="191"/>
        <v>1.5634791645100621E-2</v>
      </c>
      <c r="H1012" s="9">
        <f t="shared" si="192"/>
        <v>-65.515801205838557</v>
      </c>
      <c r="I1012" s="8">
        <f t="shared" si="197"/>
        <v>3711.5719419227912</v>
      </c>
      <c r="J1012" s="9">
        <f t="shared" si="198"/>
        <v>-65.520222302519002</v>
      </c>
      <c r="K1012" s="9">
        <f t="shared" si="199"/>
        <v>-65.515801205838557</v>
      </c>
      <c r="L1012" s="8">
        <f t="shared" si="193"/>
        <v>3693.2268986316212</v>
      </c>
      <c r="N1012" s="16">
        <f t="shared" si="200"/>
        <v>5.388945811095665</v>
      </c>
    </row>
    <row r="1013" spans="2:14" x14ac:dyDescent="0.25">
      <c r="B1013" s="7">
        <f t="shared" si="194"/>
        <v>282.51999999999839</v>
      </c>
      <c r="C1013" s="9">
        <f t="shared" si="196"/>
        <v>-65.515801205838557</v>
      </c>
      <c r="D1013" s="10">
        <f t="shared" si="195"/>
        <v>1.5635076265627587E-2</v>
      </c>
      <c r="E1013" s="10">
        <f t="shared" si="189"/>
        <v>1.5477229900240492E-2</v>
      </c>
      <c r="F1013" s="10">
        <f t="shared" si="190"/>
        <v>1.5483858476743113E-2</v>
      </c>
      <c r="G1013" s="10">
        <f t="shared" si="191"/>
        <v>1.5325553027969743E-2</v>
      </c>
      <c r="H1013" s="9">
        <f t="shared" si="192"/>
        <v>-65.511466674889675</v>
      </c>
      <c r="I1013" s="8">
        <f t="shared" si="197"/>
        <v>3693.2268986316212</v>
      </c>
      <c r="J1013" s="9">
        <f t="shared" si="198"/>
        <v>-65.515801205838557</v>
      </c>
      <c r="K1013" s="9">
        <f t="shared" si="199"/>
        <v>-65.511466674889675</v>
      </c>
      <c r="L1013" s="8">
        <f t="shared" si="193"/>
        <v>3674.8830811283192</v>
      </c>
      <c r="N1013" s="16">
        <f t="shared" si="200"/>
        <v>5.3895036028225602</v>
      </c>
    </row>
    <row r="1014" spans="2:14" x14ac:dyDescent="0.25">
      <c r="B1014" s="7">
        <f t="shared" si="194"/>
        <v>282.79999999999836</v>
      </c>
      <c r="C1014" s="9">
        <f t="shared" si="196"/>
        <v>-65.511466674889675</v>
      </c>
      <c r="D1014" s="10">
        <f t="shared" si="195"/>
        <v>1.5325837822023618E-2</v>
      </c>
      <c r="E1014" s="10">
        <f t="shared" si="189"/>
        <v>1.5167913223920318E-2</v>
      </c>
      <c r="F1014" s="10">
        <f t="shared" si="190"/>
        <v>1.517454530914969E-2</v>
      </c>
      <c r="G1014" s="10">
        <f t="shared" si="191"/>
        <v>1.5016160157826768E-2</v>
      </c>
      <c r="H1014" s="9">
        <f t="shared" si="192"/>
        <v>-65.507218752187526</v>
      </c>
      <c r="I1014" s="8">
        <f t="shared" si="197"/>
        <v>3674.8830811283192</v>
      </c>
      <c r="J1014" s="9">
        <f t="shared" si="198"/>
        <v>-65.511466674889675</v>
      </c>
      <c r="K1014" s="9">
        <f t="shared" si="199"/>
        <v>-65.507218752187526</v>
      </c>
      <c r="L1014" s="8">
        <f t="shared" si="193"/>
        <v>3656.5404651685285</v>
      </c>
      <c r="N1014" s="16">
        <f t="shared" si="200"/>
        <v>5.3900471694032204</v>
      </c>
    </row>
    <row r="1015" spans="2:14" x14ac:dyDescent="0.25">
      <c r="B1015" s="7">
        <f t="shared" si="194"/>
        <v>283.07999999999834</v>
      </c>
      <c r="C1015" s="9">
        <f t="shared" si="196"/>
        <v>-65.507218752187526</v>
      </c>
      <c r="D1015" s="10">
        <f t="shared" si="195"/>
        <v>1.501644512912018E-2</v>
      </c>
      <c r="E1015" s="10">
        <f t="shared" si="189"/>
        <v>1.4858439839143346E-2</v>
      </c>
      <c r="F1015" s="10">
        <f t="shared" si="190"/>
        <v>1.486507552774528E-2</v>
      </c>
      <c r="G1015" s="10">
        <f t="shared" si="191"/>
        <v>1.470660820632198E-2</v>
      </c>
      <c r="H1015" s="9">
        <f t="shared" si="192"/>
        <v>-65.503057481597637</v>
      </c>
      <c r="I1015" s="8">
        <f t="shared" si="197"/>
        <v>3656.5404651685285</v>
      </c>
      <c r="J1015" s="9">
        <f t="shared" si="198"/>
        <v>-65.507218752187526</v>
      </c>
      <c r="K1015" s="9">
        <f t="shared" si="199"/>
        <v>-65.503057481597637</v>
      </c>
      <c r="L1015" s="8">
        <f t="shared" si="193"/>
        <v>3638.1990264957985</v>
      </c>
      <c r="N1015" s="16">
        <f t="shared" si="200"/>
        <v>5.3905764940526861</v>
      </c>
    </row>
    <row r="1016" spans="2:14" x14ac:dyDescent="0.25">
      <c r="B1016" s="7">
        <f t="shared" si="194"/>
        <v>283.35999999999831</v>
      </c>
      <c r="C1016" s="9">
        <f t="shared" si="196"/>
        <v>-65.503057481597637</v>
      </c>
      <c r="D1016" s="10">
        <f t="shared" si="195"/>
        <v>1.4706893358580664E-2</v>
      </c>
      <c r="E1016" s="10">
        <f t="shared" si="189"/>
        <v>1.4548804911674134E-2</v>
      </c>
      <c r="F1016" s="10">
        <f t="shared" si="190"/>
        <v>1.4555444298526277E-2</v>
      </c>
      <c r="G1016" s="10">
        <f t="shared" si="191"/>
        <v>1.4396892333473804E-2</v>
      </c>
      <c r="H1016" s="9">
        <f t="shared" si="192"/>
        <v>-65.498982908339059</v>
      </c>
      <c r="I1016" s="8">
        <f t="shared" si="197"/>
        <v>3638.1990264957985</v>
      </c>
      <c r="J1016" s="9">
        <f t="shared" si="198"/>
        <v>-65.503057481597637</v>
      </c>
      <c r="K1016" s="9">
        <f t="shared" si="199"/>
        <v>-65.498982908339059</v>
      </c>
      <c r="L1016" s="8">
        <f t="shared" si="193"/>
        <v>3619.8587408412072</v>
      </c>
      <c r="N1016" s="16">
        <f t="shared" si="200"/>
        <v>5.3910915599190279</v>
      </c>
    </row>
    <row r="1017" spans="2:14" x14ac:dyDescent="0.25">
      <c r="B1017" s="7">
        <f t="shared" si="194"/>
        <v>283.63999999999828</v>
      </c>
      <c r="C1017" s="9">
        <f t="shared" si="196"/>
        <v>-65.498982908339059</v>
      </c>
      <c r="D1017" s="10">
        <f t="shared" si="195"/>
        <v>1.4397177670428635E-2</v>
      </c>
      <c r="E1017" s="10">
        <f t="shared" si="189"/>
        <v>1.4239003595518551E-2</v>
      </c>
      <c r="F1017" s="10">
        <f t="shared" si="190"/>
        <v>1.4245646775735376E-2</v>
      </c>
      <c r="G1017" s="10">
        <f t="shared" si="191"/>
        <v>1.4087007687438979E-2</v>
      </c>
      <c r="H1017" s="9">
        <f t="shared" si="192"/>
        <v>-65.494995078987714</v>
      </c>
      <c r="I1017" s="8">
        <f t="shared" si="197"/>
        <v>3619.8587408412072</v>
      </c>
      <c r="J1017" s="9">
        <f t="shared" si="198"/>
        <v>-65.498982908339059</v>
      </c>
      <c r="K1017" s="9">
        <f t="shared" si="199"/>
        <v>-65.494995078987714</v>
      </c>
      <c r="L1017" s="8">
        <f t="shared" si="193"/>
        <v>3601.5195839229814</v>
      </c>
      <c r="N1017" s="16">
        <f t="shared" si="200"/>
        <v>5.3915923500830507</v>
      </c>
    </row>
    <row r="1018" spans="2:14" x14ac:dyDescent="0.25">
      <c r="B1018" s="7">
        <f t="shared" si="194"/>
        <v>283.91999999999825</v>
      </c>
      <c r="C1018" s="9">
        <f t="shared" si="196"/>
        <v>-65.494995078987714</v>
      </c>
      <c r="D1018" s="10">
        <f t="shared" si="195"/>
        <v>1.4087293212832841E-2</v>
      </c>
      <c r="E1018" s="10">
        <f t="shared" si="189"/>
        <v>1.3929031032707938E-2</v>
      </c>
      <c r="F1018" s="10">
        <f t="shared" si="190"/>
        <v>1.3935678101645713E-2</v>
      </c>
      <c r="G1018" s="10">
        <f t="shared" si="191"/>
        <v>1.3776949404281823E-2</v>
      </c>
      <c r="H1018" s="9">
        <f t="shared" si="192"/>
        <v>-65.491094041479712</v>
      </c>
      <c r="I1018" s="8">
        <f t="shared" si="197"/>
        <v>3601.5195839229814</v>
      </c>
      <c r="J1018" s="9">
        <f t="shared" si="198"/>
        <v>-65.494995078987714</v>
      </c>
      <c r="K1018" s="9">
        <f t="shared" si="199"/>
        <v>-65.491094041479712</v>
      </c>
      <c r="L1018" s="8">
        <f t="shared" si="193"/>
        <v>3583.181531446116</v>
      </c>
      <c r="N1018" s="16">
        <f t="shared" si="200"/>
        <v>5.3920788475579977</v>
      </c>
    </row>
    <row r="1019" spans="2:14" x14ac:dyDescent="0.25">
      <c r="B1019" s="7">
        <f t="shared" si="194"/>
        <v>284.19999999999823</v>
      </c>
      <c r="C1019" s="9">
        <f t="shared" si="196"/>
        <v>-65.491094041479712</v>
      </c>
      <c r="D1019" s="10">
        <f t="shared" si="195"/>
        <v>1.3777235121869572E-2</v>
      </c>
      <c r="E1019" s="10">
        <f t="shared" si="189"/>
        <v>1.3618882353065194E-2</v>
      </c>
      <c r="F1019" s="10">
        <f t="shared" si="190"/>
        <v>1.3625533406330636E-2</v>
      </c>
      <c r="G1019" s="10">
        <f t="shared" si="191"/>
        <v>1.3466712607746725E-2</v>
      </c>
      <c r="H1019" s="9">
        <f t="shared" si="192"/>
        <v>-65.487279845114784</v>
      </c>
      <c r="I1019" s="8">
        <f t="shared" si="197"/>
        <v>3583.181531446116</v>
      </c>
      <c r="J1019" s="9">
        <f t="shared" si="198"/>
        <v>-65.491094041479712</v>
      </c>
      <c r="K1019" s="9">
        <f t="shared" si="199"/>
        <v>-65.487279845114784</v>
      </c>
      <c r="L1019" s="8">
        <f t="shared" si="193"/>
        <v>3564.8445591019927</v>
      </c>
      <c r="N1019" s="16">
        <f t="shared" si="200"/>
        <v>5.3925510352892525</v>
      </c>
    </row>
    <row r="1020" spans="2:14" x14ac:dyDescent="0.25">
      <c r="B1020" s="7">
        <f t="shared" si="194"/>
        <v>284.4799999999982</v>
      </c>
      <c r="C1020" s="9">
        <f t="shared" si="196"/>
        <v>-65.487279845114784</v>
      </c>
      <c r="D1020" s="10">
        <f t="shared" si="195"/>
        <v>1.3466998521286629E-2</v>
      </c>
      <c r="E1020" s="10">
        <f t="shared" si="189"/>
        <v>1.3308552673965154E-2</v>
      </c>
      <c r="F1020" s="10">
        <f t="shared" si="190"/>
        <v>1.3315207807413482E-2</v>
      </c>
      <c r="G1020" s="10">
        <f t="shared" si="191"/>
        <v>1.3156292409010586E-2</v>
      </c>
      <c r="H1020" s="9">
        <f t="shared" si="192"/>
        <v>-65.483552540559771</v>
      </c>
      <c r="I1020" s="8">
        <f t="shared" si="197"/>
        <v>3564.8445591019927</v>
      </c>
      <c r="J1020" s="9">
        <f t="shared" si="198"/>
        <v>-65.487279845114784</v>
      </c>
      <c r="K1020" s="9">
        <f t="shared" si="199"/>
        <v>-65.483552540559771</v>
      </c>
      <c r="L1020" s="8">
        <f t="shared" si="193"/>
        <v>3546.5086425679983</v>
      </c>
      <c r="N1020" s="16">
        <f t="shared" si="200"/>
        <v>5.3930088961540354</v>
      </c>
    </row>
    <row r="1021" spans="2:14" x14ac:dyDescent="0.25">
      <c r="B1021" s="7">
        <f t="shared" si="194"/>
        <v>284.75999999999817</v>
      </c>
      <c r="C1021" s="9">
        <f t="shared" si="196"/>
        <v>-65.483552540559771</v>
      </c>
      <c r="D1021" s="10">
        <f t="shared" si="195"/>
        <v>1.3156578522278101E-2</v>
      </c>
      <c r="E1021" s="10">
        <f t="shared" si="189"/>
        <v>1.2998037100116678E-2</v>
      </c>
      <c r="F1021" s="10">
        <f t="shared" si="190"/>
        <v>1.3004696409850119E-2</v>
      </c>
      <c r="G1021" s="10">
        <f t="shared" si="191"/>
        <v>1.2845683906465316E-2</v>
      </c>
      <c r="H1021" s="9">
        <f t="shared" si="192"/>
        <v>-65.479912179852164</v>
      </c>
      <c r="I1021" s="8">
        <f t="shared" si="197"/>
        <v>3546.5086425679983</v>
      </c>
      <c r="J1021" s="9">
        <f t="shared" si="198"/>
        <v>-65.483552540559771</v>
      </c>
      <c r="K1021" s="9">
        <f t="shared" si="199"/>
        <v>-65.479912179852164</v>
      </c>
      <c r="L1021" s="8">
        <f t="shared" si="193"/>
        <v>3528.1737575071406</v>
      </c>
      <c r="N1021" s="16">
        <f t="shared" si="200"/>
        <v>5.3934524129611034</v>
      </c>
    </row>
    <row r="1022" spans="2:14" x14ac:dyDescent="0.25">
      <c r="B1022" s="7">
        <f t="shared" si="194"/>
        <v>285.03999999999814</v>
      </c>
      <c r="C1022" s="9">
        <f t="shared" si="196"/>
        <v>-65.479912179852164</v>
      </c>
      <c r="D1022" s="10">
        <f t="shared" si="195"/>
        <v>1.2845970223248359E-2</v>
      </c>
      <c r="E1022" s="10">
        <f t="shared" si="189"/>
        <v>1.2687330723302059E-2</v>
      </c>
      <c r="F1022" s="10">
        <f t="shared" si="190"/>
        <v>1.269399430569243E-2</v>
      </c>
      <c r="G1022" s="10">
        <f t="shared" si="191"/>
        <v>1.2534882185470535E-2</v>
      </c>
      <c r="H1022" s="9">
        <f t="shared" si="192"/>
        <v>-65.476358816403717</v>
      </c>
      <c r="I1022" s="8">
        <f t="shared" si="197"/>
        <v>3528.1737575071406</v>
      </c>
      <c r="J1022" s="9">
        <f t="shared" si="198"/>
        <v>-65.479912179852164</v>
      </c>
      <c r="K1022" s="9">
        <f t="shared" si="199"/>
        <v>-65.476358816403717</v>
      </c>
      <c r="L1022" s="8">
        <f t="shared" si="193"/>
        <v>3509.8398795676649</v>
      </c>
      <c r="N1022" s="16">
        <f t="shared" si="200"/>
        <v>5.3938815684504462</v>
      </c>
    </row>
    <row r="1023" spans="2:14" x14ac:dyDescent="0.25">
      <c r="B1023" s="7">
        <f t="shared" si="194"/>
        <v>285.31999999999812</v>
      </c>
      <c r="C1023" s="9">
        <f t="shared" ref="C1023:C1050" si="201">H1022</f>
        <v>-65.476358816403717</v>
      </c>
      <c r="D1023" s="10">
        <f t="shared" si="195"/>
        <v>1.2535168709567227E-2</v>
      </c>
      <c r="E1023" s="10">
        <f t="shared" si="189"/>
        <v>1.2376428622166771E-2</v>
      </c>
      <c r="F1023" s="10">
        <f t="shared" si="190"/>
        <v>1.2383096573842806E-2</v>
      </c>
      <c r="G1023" s="10">
        <f t="shared" si="191"/>
        <v>1.2223882318119658E-2</v>
      </c>
      <c r="H1023" s="9">
        <f t="shared" si="192"/>
        <v>-65.472892505004125</v>
      </c>
      <c r="I1023" s="8">
        <f t="shared" ref="I1023:I1050" si="202">L1022</f>
        <v>3509.8398795676649</v>
      </c>
      <c r="J1023" s="9">
        <f t="shared" ref="J1023:J1050" si="203">C1023</f>
        <v>-65.476358816403717</v>
      </c>
      <c r="K1023" s="9">
        <f t="shared" ref="K1023:K1050" si="204">H1023</f>
        <v>-65.472892505004125</v>
      </c>
      <c r="L1023" s="8">
        <f t="shared" si="193"/>
        <v>3491.5069843826677</v>
      </c>
      <c r="N1023" s="16">
        <f t="shared" ref="N1023:N1050" si="205">C_y(I1023)</f>
        <v>5.3942963452929753</v>
      </c>
    </row>
    <row r="1024" spans="2:14" x14ac:dyDescent="0.25">
      <c r="B1024" s="7">
        <f t="shared" si="194"/>
        <v>285.59999999999809</v>
      </c>
      <c r="C1024" s="9">
        <f t="shared" si="201"/>
        <v>-65.472892505004125</v>
      </c>
      <c r="D1024" s="10">
        <f t="shared" si="195"/>
        <v>1.2224169053334028E-2</v>
      </c>
      <c r="E1024" s="10">
        <f t="shared" si="189"/>
        <v>1.2065325861957767E-2</v>
      </c>
      <c r="F1024" s="10">
        <f t="shared" si="190"/>
        <v>1.2071998279807851E-2</v>
      </c>
      <c r="G1024" s="10">
        <f t="shared" si="191"/>
        <v>1.1912679363000327E-2</v>
      </c>
      <c r="H1024" s="9">
        <f t="shared" si="192"/>
        <v>-65.469513301824804</v>
      </c>
      <c r="I1024" s="8">
        <f t="shared" si="202"/>
        <v>3491.5069843826677</v>
      </c>
      <c r="J1024" s="9">
        <f t="shared" si="203"/>
        <v>-65.472892505004125</v>
      </c>
      <c r="K1024" s="9">
        <f t="shared" si="204"/>
        <v>-65.469513301824804</v>
      </c>
      <c r="L1024" s="8">
        <f t="shared" si="193"/>
        <v>3473.1750475697118</v>
      </c>
      <c r="N1024" s="16">
        <f t="shared" si="205"/>
        <v>5.3946967260902161</v>
      </c>
    </row>
    <row r="1025" spans="2:14" x14ac:dyDescent="0.25">
      <c r="B1025" s="7">
        <f t="shared" si="194"/>
        <v>285.87999999999806</v>
      </c>
      <c r="C1025" s="9">
        <f t="shared" si="201"/>
        <v>-65.469513301824804</v>
      </c>
      <c r="D1025" s="10">
        <f t="shared" si="195"/>
        <v>1.1912966313152421E-2</v>
      </c>
      <c r="E1025" s="10">
        <f t="shared" si="189"/>
        <v>1.1754017494298993E-2</v>
      </c>
      <c r="F1025" s="10">
        <f t="shared" si="190"/>
        <v>1.1760694475492712E-2</v>
      </c>
      <c r="G1025" s="10">
        <f t="shared" si="191"/>
        <v>1.1601268364949995E-2</v>
      </c>
      <c r="H1025" s="9">
        <f t="shared" si="192"/>
        <v>-65.466221264422643</v>
      </c>
      <c r="I1025" s="8">
        <f t="shared" si="202"/>
        <v>3473.1750475697118</v>
      </c>
      <c r="J1025" s="9">
        <f t="shared" si="203"/>
        <v>-65.469513301824804</v>
      </c>
      <c r="K1025" s="9">
        <f t="shared" si="204"/>
        <v>-65.466221264422643</v>
      </c>
      <c r="L1025" s="8">
        <f t="shared" si="193"/>
        <v>3454.844044730437</v>
      </c>
      <c r="N1025" s="16">
        <f t="shared" si="205"/>
        <v>5.3950826933739986</v>
      </c>
    </row>
    <row r="1026" spans="2:14" x14ac:dyDescent="0.25">
      <c r="B1026" s="7">
        <f t="shared" si="194"/>
        <v>286.15999999999804</v>
      </c>
      <c r="C1026" s="9">
        <f t="shared" si="201"/>
        <v>-65.466221264422643</v>
      </c>
      <c r="D1026" s="10">
        <f t="shared" si="195"/>
        <v>1.1601555533866281E-2</v>
      </c>
      <c r="E1026" s="10">
        <f t="shared" si="189"/>
        <v>1.1442498556931378E-2</v>
      </c>
      <c r="F1026" s="10">
        <f t="shared" si="190"/>
        <v>1.1449180198910494E-2</v>
      </c>
      <c r="G1026" s="10">
        <f t="shared" si="191"/>
        <v>1.1289644354813676E-2</v>
      </c>
      <c r="H1026" s="9">
        <f t="shared" si="192"/>
        <v>-65.463016451743954</v>
      </c>
      <c r="I1026" s="8">
        <f t="shared" si="202"/>
        <v>3454.844044730437</v>
      </c>
      <c r="J1026" s="9">
        <f t="shared" si="203"/>
        <v>-65.466221264422643</v>
      </c>
      <c r="K1026" s="9">
        <f t="shared" si="204"/>
        <v>-65.463016451743954</v>
      </c>
      <c r="L1026" s="8">
        <f t="shared" si="193"/>
        <v>3436.5139514501734</v>
      </c>
      <c r="N1026" s="16">
        <f t="shared" si="205"/>
        <v>5.3954542296061412</v>
      </c>
    </row>
    <row r="1027" spans="2:14" x14ac:dyDescent="0.25">
      <c r="B1027" s="7">
        <f t="shared" si="194"/>
        <v>286.43999999999801</v>
      </c>
      <c r="C1027" s="9">
        <f t="shared" si="201"/>
        <v>-65.463016451743954</v>
      </c>
      <c r="D1027" s="10">
        <f t="shared" si="195"/>
        <v>1.1289931746339204E-2</v>
      </c>
      <c r="E1027" s="10">
        <f t="shared" si="189"/>
        <v>1.1130764073502032E-2</v>
      </c>
      <c r="F1027" s="10">
        <f t="shared" si="190"/>
        <v>1.1137450473985996E-2</v>
      </c>
      <c r="G1027" s="10">
        <f t="shared" si="191"/>
        <v>1.0977802349209847E-2</v>
      </c>
      <c r="H1027" s="9">
        <f t="shared" si="192"/>
        <v>-65.459898924128396</v>
      </c>
      <c r="I1027" s="8">
        <f t="shared" si="202"/>
        <v>3436.5139514501734</v>
      </c>
      <c r="J1027" s="9">
        <f t="shared" si="203"/>
        <v>-65.463016451743954</v>
      </c>
      <c r="K1027" s="9">
        <f t="shared" si="204"/>
        <v>-65.459898924128396</v>
      </c>
      <c r="L1027" s="8">
        <f t="shared" si="193"/>
        <v>3418.1847432975514</v>
      </c>
      <c r="N1027" s="16">
        <f t="shared" si="205"/>
        <v>5.3958113171781354</v>
      </c>
    </row>
    <row r="1028" spans="2:14" x14ac:dyDescent="0.25">
      <c r="B1028" s="7">
        <f t="shared" si="194"/>
        <v>286.71999999999798</v>
      </c>
      <c r="C1028" s="9">
        <f t="shared" si="201"/>
        <v>-65.459898924128396</v>
      </c>
      <c r="D1028" s="10">
        <f t="shared" si="195"/>
        <v>1.0978089967199688E-2</v>
      </c>
      <c r="E1028" s="10">
        <f t="shared" ref="E1028:E1050" si="206">dvdt($C1028+h/2*D1028,$I1028+(h/2)/2*(2*C1028+D1028*h/2))</f>
        <v>1.0818809053291526E-2</v>
      </c>
      <c r="F1028" s="10">
        <f t="shared" ref="F1028:F1050" si="207">dvdt($C1028+h/2*E1028,$I1028+(h/2)/2*(2*$C1028+E1028*h/2))</f>
        <v>1.0825500310287114E-2</v>
      </c>
      <c r="G1028" s="10">
        <f t="shared" ref="G1028:G1050" si="208">dvdt($C1028+h*F1028,$I1028+h/2*(2*$C1028+F1028*h))</f>
        <v>1.0665737350286555E-2</v>
      </c>
      <c r="H1028" s="9">
        <f t="shared" ref="H1028:H1050" si="209">C1028+h/6*(D1028+2*E1028+2*F1028+G1028)</f>
        <v>-65.456868743312981</v>
      </c>
      <c r="I1028" s="8">
        <f t="shared" si="202"/>
        <v>3418.1847432975514</v>
      </c>
      <c r="J1028" s="9">
        <f t="shared" si="203"/>
        <v>-65.459898924128396</v>
      </c>
      <c r="K1028" s="9">
        <f t="shared" si="204"/>
        <v>-65.456868743312981</v>
      </c>
      <c r="L1028" s="8">
        <f t="shared" ref="L1028:L1050" si="210">I1028+h/2*(J1028+K1028)</f>
        <v>3399.8563958241098</v>
      </c>
      <c r="N1028" s="16">
        <f t="shared" si="205"/>
        <v>5.3961539384108264</v>
      </c>
    </row>
    <row r="1029" spans="2:14" x14ac:dyDescent="0.25">
      <c r="B1029" s="7">
        <f t="shared" ref="B1029:B1050" si="211">B1028+h</f>
        <v>286.99999999999795</v>
      </c>
      <c r="C1029" s="9">
        <f t="shared" si="201"/>
        <v>-65.456868743312981</v>
      </c>
      <c r="D1029" s="10">
        <f t="shared" si="195"/>
        <v>1.0666025198600472E-2</v>
      </c>
      <c r="E1029" s="10">
        <f t="shared" si="206"/>
        <v>1.0506628490982196E-2</v>
      </c>
      <c r="F1029" s="10">
        <f t="shared" si="207"/>
        <v>1.051332470277724E-2</v>
      </c>
      <c r="G1029" s="10">
        <f t="shared" si="208"/>
        <v>1.0353444345446609E-2</v>
      </c>
      <c r="H1029" s="9">
        <f t="shared" si="209"/>
        <v>-65.453925972436181</v>
      </c>
      <c r="I1029" s="8">
        <f t="shared" si="202"/>
        <v>3399.8563958241098</v>
      </c>
      <c r="J1029" s="9">
        <f t="shared" si="203"/>
        <v>-65.456868743312981</v>
      </c>
      <c r="K1029" s="9">
        <f t="shared" si="204"/>
        <v>-65.453925972436181</v>
      </c>
      <c r="L1029" s="8">
        <f t="shared" si="210"/>
        <v>3381.5288845639047</v>
      </c>
      <c r="N1029" s="16">
        <f t="shared" si="205"/>
        <v>5.3964820755540961</v>
      </c>
    </row>
    <row r="1030" spans="2:14" x14ac:dyDescent="0.25">
      <c r="B1030" s="7">
        <f t="shared" si="211"/>
        <v>287.27999999999793</v>
      </c>
      <c r="C1030" s="9">
        <f t="shared" si="201"/>
        <v>-65.453925972436181</v>
      </c>
      <c r="D1030" s="10">
        <f t="shared" ref="D1030:D1050" si="212">dvdt($C1030,$I1030)</f>
        <v>1.0353732427967104E-2</v>
      </c>
      <c r="E1030" s="10">
        <f t="shared" si="206"/>
        <v>1.0194217366398851E-2</v>
      </c>
      <c r="F1030" s="10">
        <f t="shared" si="207"/>
        <v>1.020091863157568E-2</v>
      </c>
      <c r="G1030" s="10">
        <f t="shared" si="208"/>
        <v>1.0040918307143171E-2</v>
      </c>
      <c r="H1030" s="9">
        <f t="shared" si="209"/>
        <v>-65.451070676042065</v>
      </c>
      <c r="I1030" s="8">
        <f t="shared" si="202"/>
        <v>3381.5288845639047</v>
      </c>
      <c r="J1030" s="9">
        <f t="shared" si="203"/>
        <v>-65.453925972436181</v>
      </c>
      <c r="K1030" s="9">
        <f t="shared" si="204"/>
        <v>-65.451070676042065</v>
      </c>
      <c r="L1030" s="8">
        <f t="shared" si="210"/>
        <v>3363.202185033118</v>
      </c>
      <c r="N1030" s="16">
        <f t="shared" si="205"/>
        <v>5.3967957107865354</v>
      </c>
    </row>
    <row r="1031" spans="2:14" x14ac:dyDescent="0.25">
      <c r="B1031" s="7">
        <f t="shared" si="211"/>
        <v>287.5599999999979</v>
      </c>
      <c r="C1031" s="9">
        <f t="shared" si="201"/>
        <v>-65.451070676042065</v>
      </c>
      <c r="D1031" s="10">
        <f t="shared" si="212"/>
        <v>1.0041206627753077E-2</v>
      </c>
      <c r="E1031" s="10">
        <f t="shared" si="206"/>
        <v>9.8815706442707072E-3</v>
      </c>
      <c r="F1031" s="10">
        <f t="shared" si="207"/>
        <v>9.8882770617137062E-3</v>
      </c>
      <c r="G1031" s="10">
        <f t="shared" si="208"/>
        <v>9.7281541925935879E-3</v>
      </c>
      <c r="H1031" s="9">
        <f t="shared" si="209"/>
        <v>-65.448302920084558</v>
      </c>
      <c r="I1031" s="8">
        <f t="shared" si="202"/>
        <v>3363.202185033118</v>
      </c>
      <c r="J1031" s="9">
        <f t="shared" si="203"/>
        <v>-65.451070676042065</v>
      </c>
      <c r="K1031" s="9">
        <f t="shared" si="204"/>
        <v>-65.448302920084558</v>
      </c>
      <c r="L1031" s="8">
        <f t="shared" si="210"/>
        <v>3344.8762727296603</v>
      </c>
      <c r="N1031" s="16">
        <f t="shared" si="205"/>
        <v>5.3970948262151239</v>
      </c>
    </row>
    <row r="1032" spans="2:14" x14ac:dyDescent="0.25">
      <c r="B1032" s="7">
        <f t="shared" si="211"/>
        <v>287.83999999999787</v>
      </c>
      <c r="C1032" s="9">
        <f t="shared" si="201"/>
        <v>-65.448302920084558</v>
      </c>
      <c r="D1032" s="10">
        <f t="shared" si="212"/>
        <v>9.7284427551957604E-3</v>
      </c>
      <c r="E1032" s="10">
        <f t="shared" si="206"/>
        <v>9.5686832739829732E-3</v>
      </c>
      <c r="F1032" s="10">
        <f t="shared" si="207"/>
        <v>9.5753949428737748E-3</v>
      </c>
      <c r="G1032" s="10">
        <f t="shared" si="208"/>
        <v>9.4151469435467885E-3</v>
      </c>
      <c r="H1032" s="9">
        <f t="shared" si="209"/>
        <v>-65.44562277193171</v>
      </c>
      <c r="I1032" s="8">
        <f t="shared" si="202"/>
        <v>3344.8762727296603</v>
      </c>
      <c r="J1032" s="9">
        <f t="shared" si="203"/>
        <v>-65.448302920084558</v>
      </c>
      <c r="K1032" s="9">
        <f t="shared" si="204"/>
        <v>-65.44562277193171</v>
      </c>
      <c r="L1032" s="8">
        <f t="shared" si="210"/>
        <v>3326.5511231327782</v>
      </c>
      <c r="N1032" s="16">
        <f t="shared" si="205"/>
        <v>5.3973794038748997</v>
      </c>
    </row>
    <row r="1033" spans="2:14" x14ac:dyDescent="0.25">
      <c r="B1033" s="7">
        <f t="shared" si="211"/>
        <v>288.11999999999784</v>
      </c>
      <c r="C1033" s="9">
        <f t="shared" si="201"/>
        <v>-65.44562277193171</v>
      </c>
      <c r="D1033" s="10">
        <f t="shared" si="212"/>
        <v>9.4154357520539033E-3</v>
      </c>
      <c r="E1033" s="10">
        <f t="shared" si="206"/>
        <v>9.2555501893141524E-3</v>
      </c>
      <c r="F1033" s="10">
        <f t="shared" si="207"/>
        <v>9.2622672091393077E-3</v>
      </c>
      <c r="G1033" s="10">
        <f t="shared" si="208"/>
        <v>9.1018914860263051E-3</v>
      </c>
      <c r="H1033" s="9">
        <f t="shared" si="209"/>
        <v>-65.443030300370083</v>
      </c>
      <c r="I1033" s="8">
        <f t="shared" si="202"/>
        <v>3326.5511231327782</v>
      </c>
      <c r="J1033" s="9">
        <f t="shared" si="203"/>
        <v>-65.44562277193171</v>
      </c>
      <c r="K1033" s="9">
        <f t="shared" si="204"/>
        <v>-65.443030300370083</v>
      </c>
      <c r="L1033" s="8">
        <f t="shared" si="210"/>
        <v>3308.2267117026558</v>
      </c>
      <c r="N1033" s="16">
        <f t="shared" si="205"/>
        <v>5.3976494257286287</v>
      </c>
    </row>
    <row r="1034" spans="2:14" x14ac:dyDescent="0.25">
      <c r="B1034" s="7">
        <f t="shared" si="211"/>
        <v>288.39999999999782</v>
      </c>
      <c r="C1034" s="9">
        <f t="shared" si="201"/>
        <v>-65.443030300370083</v>
      </c>
      <c r="D1034" s="10">
        <f t="shared" si="212"/>
        <v>9.1021805443699359E-3</v>
      </c>
      <c r="E1034" s="10">
        <f t="shared" si="206"/>
        <v>8.9421663081975453E-3</v>
      </c>
      <c r="F1034" s="10">
        <f t="shared" si="207"/>
        <v>8.9488887787506285E-3</v>
      </c>
      <c r="G1034" s="10">
        <f t="shared" si="208"/>
        <v>8.7883827300839403E-3</v>
      </c>
      <c r="H1034" s="9">
        <f t="shared" si="209"/>
        <v>-65.440525575609158</v>
      </c>
      <c r="I1034" s="8">
        <f t="shared" si="202"/>
        <v>3308.2267117026558</v>
      </c>
      <c r="J1034" s="9">
        <f t="shared" si="203"/>
        <v>-65.443030300370083</v>
      </c>
      <c r="K1034" s="9">
        <f t="shared" si="204"/>
        <v>-65.440525575609158</v>
      </c>
      <c r="L1034" s="8">
        <f t="shared" si="210"/>
        <v>3289.9030138800185</v>
      </c>
      <c r="N1034" s="16">
        <f t="shared" si="205"/>
        <v>5.3979048736664774</v>
      </c>
    </row>
    <row r="1035" spans="2:14" x14ac:dyDescent="0.25">
      <c r="B1035" s="7">
        <f t="shared" si="211"/>
        <v>288.67999999999779</v>
      </c>
      <c r="C1035" s="9">
        <f t="shared" si="201"/>
        <v>-65.440525575609158</v>
      </c>
      <c r="D1035" s="10">
        <f t="shared" si="212"/>
        <v>8.7886720421936453E-3</v>
      </c>
      <c r="E1035" s="10">
        <f t="shared" si="206"/>
        <v>8.6285265324441314E-3</v>
      </c>
      <c r="F1035" s="10">
        <f t="shared" si="207"/>
        <v>8.635254553836496E-3</v>
      </c>
      <c r="G1035" s="10">
        <f t="shared" si="208"/>
        <v>8.4746155695207478E-3</v>
      </c>
      <c r="H1035" s="9">
        <f t="shared" si="209"/>
        <v>-65.438108669285896</v>
      </c>
      <c r="I1035" s="8">
        <f t="shared" si="202"/>
        <v>3289.9030138800185</v>
      </c>
      <c r="J1035" s="9">
        <f t="shared" si="203"/>
        <v>-65.440525575609158</v>
      </c>
      <c r="K1035" s="9">
        <f t="shared" si="204"/>
        <v>-65.438108669285896</v>
      </c>
      <c r="L1035" s="8">
        <f t="shared" si="210"/>
        <v>3271.5800050857333</v>
      </c>
      <c r="N1035" s="16">
        <f t="shared" si="205"/>
        <v>5.3981457295056714</v>
      </c>
    </row>
    <row r="1036" spans="2:14" x14ac:dyDescent="0.25">
      <c r="B1036" s="7">
        <f t="shared" si="211"/>
        <v>288.95999999999776</v>
      </c>
      <c r="C1036" s="9">
        <f t="shared" si="201"/>
        <v>-65.438108669285896</v>
      </c>
      <c r="D1036" s="10">
        <f t="shared" si="212"/>
        <v>8.4749051393550497E-3</v>
      </c>
      <c r="E1036" s="10">
        <f t="shared" si="206"/>
        <v>8.3146257475149726E-3</v>
      </c>
      <c r="F1036" s="10">
        <f t="shared" si="207"/>
        <v>8.3213594201747322E-3</v>
      </c>
      <c r="G1036" s="10">
        <f t="shared" si="208"/>
        <v>8.1605848816536548E-3</v>
      </c>
      <c r="H1036" s="9">
        <f t="shared" si="209"/>
        <v>-65.435779654469258</v>
      </c>
      <c r="I1036" s="8">
        <f t="shared" si="202"/>
        <v>3271.5800050857333</v>
      </c>
      <c r="J1036" s="9">
        <f t="shared" si="203"/>
        <v>-65.438108669285896</v>
      </c>
      <c r="K1036" s="9">
        <f t="shared" si="204"/>
        <v>-65.435779654469258</v>
      </c>
      <c r="L1036" s="8">
        <f t="shared" si="210"/>
        <v>3253.2576607204078</v>
      </c>
      <c r="N1036" s="16">
        <f t="shared" si="205"/>
        <v>5.398371974990166</v>
      </c>
    </row>
    <row r="1037" spans="2:14" x14ac:dyDescent="0.25">
      <c r="B1037" s="7">
        <f t="shared" si="211"/>
        <v>289.23999999999774</v>
      </c>
      <c r="C1037" s="9">
        <f t="shared" si="201"/>
        <v>-65.435779654469258</v>
      </c>
      <c r="D1037" s="10">
        <f t="shared" si="212"/>
        <v>8.160874713174858E-3</v>
      </c>
      <c r="E1037" s="10">
        <f t="shared" si="206"/>
        <v>8.000458822224419E-3</v>
      </c>
      <c r="F1037" s="10">
        <f t="shared" si="207"/>
        <v>8.0071982469039557E-3</v>
      </c>
      <c r="G1037" s="10">
        <f t="shared" si="208"/>
        <v>7.8462855270475217E-3</v>
      </c>
      <c r="H1037" s="9">
        <f t="shared" si="209"/>
        <v>-65.433538605664936</v>
      </c>
      <c r="I1037" s="8">
        <f t="shared" si="202"/>
        <v>3253.2576607204078</v>
      </c>
      <c r="J1037" s="9">
        <f t="shared" si="203"/>
        <v>-65.435779654469258</v>
      </c>
      <c r="K1037" s="9">
        <f t="shared" si="204"/>
        <v>-65.433538605664936</v>
      </c>
      <c r="L1037" s="8">
        <f t="shared" si="210"/>
        <v>3234.935956163989</v>
      </c>
      <c r="N1037" s="16">
        <f t="shared" si="205"/>
        <v>5.3985835917902998</v>
      </c>
    </row>
    <row r="1038" spans="2:14" x14ac:dyDescent="0.25">
      <c r="B1038" s="7">
        <f t="shared" si="211"/>
        <v>289.51999999999771</v>
      </c>
      <c r="C1038" s="9">
        <f t="shared" si="201"/>
        <v>-65.433538605664936</v>
      </c>
      <c r="D1038" s="10">
        <f t="shared" si="212"/>
        <v>7.8465756242377012E-3</v>
      </c>
      <c r="E1038" s="10">
        <f t="shared" si="206"/>
        <v>7.6860206085281636E-3</v>
      </c>
      <c r="F1038" s="10">
        <f t="shared" si="207"/>
        <v>7.6927658863073806E-3</v>
      </c>
      <c r="G1038" s="10">
        <f t="shared" si="208"/>
        <v>7.5317123492605297E-3</v>
      </c>
      <c r="H1038" s="9">
        <f t="shared" si="209"/>
        <v>-65.431385598819986</v>
      </c>
      <c r="I1038" s="8">
        <f t="shared" si="202"/>
        <v>3234.935956163989</v>
      </c>
      <c r="J1038" s="9">
        <f t="shared" si="203"/>
        <v>-65.433538605664936</v>
      </c>
      <c r="K1038" s="9">
        <f t="shared" si="204"/>
        <v>-65.431385598819986</v>
      </c>
      <c r="L1038" s="8">
        <f t="shared" si="210"/>
        <v>3216.614866775361</v>
      </c>
      <c r="N1038" s="16">
        <f t="shared" si="205"/>
        <v>5.3987805615024582</v>
      </c>
    </row>
    <row r="1039" spans="2:14" x14ac:dyDescent="0.25">
      <c r="B1039" s="7">
        <f t="shared" si="211"/>
        <v>289.79999999999768</v>
      </c>
      <c r="C1039" s="9">
        <f t="shared" si="201"/>
        <v>-65.431385598819986</v>
      </c>
      <c r="D1039" s="10">
        <f t="shared" si="212"/>
        <v>7.5320027161033861E-3</v>
      </c>
      <c r="E1039" s="10">
        <f t="shared" si="206"/>
        <v>7.3713059412131602E-3</v>
      </c>
      <c r="F1039" s="10">
        <f t="shared" si="207"/>
        <v>7.378057173496811E-3</v>
      </c>
      <c r="G1039" s="10">
        <f t="shared" si="208"/>
        <v>7.2168601745510198E-3</v>
      </c>
      <c r="H1039" s="9">
        <f t="shared" si="209"/>
        <v>-65.429320711327719</v>
      </c>
      <c r="I1039" s="8">
        <f t="shared" si="202"/>
        <v>3216.614866775361</v>
      </c>
      <c r="J1039" s="9">
        <f t="shared" si="203"/>
        <v>-65.431385598819986</v>
      </c>
      <c r="K1039" s="9">
        <f t="shared" si="204"/>
        <v>-65.429320711327719</v>
      </c>
      <c r="L1039" s="8">
        <f t="shared" si="210"/>
        <v>3198.2943678919401</v>
      </c>
      <c r="N1039" s="16">
        <f t="shared" si="205"/>
        <v>5.3989628656487296</v>
      </c>
    </row>
    <row r="1040" spans="2:14" x14ac:dyDescent="0.25">
      <c r="B1040" s="7">
        <f t="shared" si="211"/>
        <v>290.07999999999765</v>
      </c>
      <c r="C1040" s="9">
        <f t="shared" si="201"/>
        <v>-65.429320711327719</v>
      </c>
      <c r="D1040" s="10">
        <f t="shared" si="212"/>
        <v>7.2171508150595115E-3</v>
      </c>
      <c r="E1040" s="10">
        <f t="shared" si="206"/>
        <v>7.0563096376613666E-3</v>
      </c>
      <c r="F1040" s="10">
        <f t="shared" si="207"/>
        <v>7.0630669262143351E-3</v>
      </c>
      <c r="G1040" s="10">
        <f t="shared" si="208"/>
        <v>6.9017238116656473E-3</v>
      </c>
      <c r="H1040" s="9">
        <f t="shared" si="209"/>
        <v>-65.427344022032514</v>
      </c>
      <c r="I1040" s="8">
        <f t="shared" si="202"/>
        <v>3198.2943678919401</v>
      </c>
      <c r="J1040" s="9">
        <f t="shared" si="203"/>
        <v>-65.429320711327719</v>
      </c>
      <c r="K1040" s="9">
        <f t="shared" si="204"/>
        <v>-65.427344022032514</v>
      </c>
      <c r="L1040" s="8">
        <f t="shared" si="210"/>
        <v>3179.9744348292697</v>
      </c>
      <c r="N1040" s="16">
        <f t="shared" si="205"/>
        <v>5.3991304856765527</v>
      </c>
    </row>
    <row r="1041" spans="1:14" x14ac:dyDescent="0.25">
      <c r="B1041" s="7">
        <f t="shared" si="211"/>
        <v>290.35999999999763</v>
      </c>
      <c r="C1041" s="9">
        <f t="shared" si="201"/>
        <v>-65.427344022032514</v>
      </c>
      <c r="D1041" s="10">
        <f t="shared" si="212"/>
        <v>6.9020147298510465E-3</v>
      </c>
      <c r="E1041" s="10">
        <f t="shared" si="206"/>
        <v>6.7410264975923976E-3</v>
      </c>
      <c r="F1041" s="10">
        <f t="shared" si="207"/>
        <v>6.7477899444889572E-3</v>
      </c>
      <c r="G1041" s="10">
        <f t="shared" si="208"/>
        <v>6.5862980515188265E-3</v>
      </c>
      <c r="H1041" s="9">
        <f t="shared" si="209"/>
        <v>-65.425455611234796</v>
      </c>
      <c r="I1041" s="8">
        <f t="shared" si="202"/>
        <v>3179.9744348292697</v>
      </c>
      <c r="J1041" s="9">
        <f t="shared" si="203"/>
        <v>-65.427344022032514</v>
      </c>
      <c r="K1041" s="9">
        <f t="shared" si="204"/>
        <v>-65.425455611234796</v>
      </c>
      <c r="L1041" s="8">
        <f t="shared" si="210"/>
        <v>3161.6550428806122</v>
      </c>
      <c r="N1041" s="16">
        <f t="shared" si="205"/>
        <v>5.3992834029583738</v>
      </c>
    </row>
    <row r="1042" spans="1:14" x14ac:dyDescent="0.25">
      <c r="B1042" s="7">
        <f t="shared" si="211"/>
        <v>290.6399999999976</v>
      </c>
      <c r="C1042" s="9">
        <f t="shared" si="201"/>
        <v>-65.425455611234796</v>
      </c>
      <c r="D1042" s="10">
        <f t="shared" si="212"/>
        <v>6.586589251417886E-3</v>
      </c>
      <c r="E1042" s="10">
        <f t="shared" si="206"/>
        <v>6.4254513027624067E-3</v>
      </c>
      <c r="F1042" s="10">
        <f t="shared" si="207"/>
        <v>6.4322210104460287E-3</v>
      </c>
      <c r="G1042" s="10">
        <f t="shared" si="208"/>
        <v>6.2705776669617361E-3</v>
      </c>
      <c r="H1042" s="9">
        <f t="shared" si="209"/>
        <v>-65.423655560696034</v>
      </c>
      <c r="I1042" s="8">
        <f t="shared" si="202"/>
        <v>3161.6550428806122</v>
      </c>
      <c r="J1042" s="9">
        <f t="shared" si="203"/>
        <v>-65.425455611234796</v>
      </c>
      <c r="K1042" s="9">
        <f t="shared" si="204"/>
        <v>-65.423655560696034</v>
      </c>
      <c r="L1042" s="8">
        <f t="shared" si="210"/>
        <v>3143.3361673165418</v>
      </c>
      <c r="N1042" s="16">
        <f t="shared" si="205"/>
        <v>5.3994215987912932</v>
      </c>
    </row>
    <row r="1043" spans="1:14" x14ac:dyDescent="0.25">
      <c r="B1043" s="7">
        <f t="shared" si="211"/>
        <v>290.91999999999757</v>
      </c>
      <c r="C1043" s="9">
        <f t="shared" si="201"/>
        <v>-65.423655560696034</v>
      </c>
      <c r="D1043" s="10">
        <f t="shared" si="212"/>
        <v>6.2708691526179722E-3</v>
      </c>
      <c r="E1043" s="10">
        <f t="shared" si="206"/>
        <v>6.1095788167189044E-3</v>
      </c>
      <c r="F1043" s="10">
        <f t="shared" si="207"/>
        <v>6.1163548879782474E-3</v>
      </c>
      <c r="G1043" s="10">
        <f t="shared" si="208"/>
        <v>5.9545574124951154E-3</v>
      </c>
      <c r="H1043" s="9">
        <f t="shared" si="209"/>
        <v>-65.42194395364389</v>
      </c>
      <c r="I1043" s="8">
        <f t="shared" si="202"/>
        <v>3143.3361673165418</v>
      </c>
      <c r="J1043" s="9">
        <f t="shared" si="203"/>
        <v>-65.423655560696034</v>
      </c>
      <c r="K1043" s="9">
        <f t="shared" si="204"/>
        <v>-65.42194395364389</v>
      </c>
      <c r="L1043" s="8">
        <f t="shared" si="210"/>
        <v>3125.0177833845341</v>
      </c>
      <c r="N1043" s="16">
        <f t="shared" si="205"/>
        <v>5.3995450543967101</v>
      </c>
    </row>
    <row r="1044" spans="1:14" x14ac:dyDescent="0.25">
      <c r="B1044" s="7">
        <f t="shared" si="211"/>
        <v>291.19999999999754</v>
      </c>
      <c r="C1044" s="9">
        <f t="shared" si="201"/>
        <v>-65.42194395364389</v>
      </c>
      <c r="D1044" s="10">
        <f t="shared" si="212"/>
        <v>5.9548491879699433E-3</v>
      </c>
      <c r="E1044" s="10">
        <f t="shared" si="206"/>
        <v>5.7934037845376821E-3</v>
      </c>
      <c r="F1044" s="10">
        <f t="shared" si="207"/>
        <v>5.8001863225118555E-3</v>
      </c>
      <c r="G1044" s="10">
        <f t="shared" si="208"/>
        <v>5.6382320240030755E-3</v>
      </c>
      <c r="H1044" s="9">
        <f t="shared" si="209"/>
        <v>-65.420320874777346</v>
      </c>
      <c r="I1044" s="8">
        <f t="shared" si="202"/>
        <v>3125.0177833845341</v>
      </c>
      <c r="J1044" s="9">
        <f t="shared" si="203"/>
        <v>-65.42194395364389</v>
      </c>
      <c r="K1044" s="9">
        <f t="shared" si="204"/>
        <v>-65.420320874777346</v>
      </c>
      <c r="L1044" s="8">
        <f t="shared" si="210"/>
        <v>3106.6998663085551</v>
      </c>
      <c r="N1044" s="16">
        <f t="shared" si="205"/>
        <v>5.3996537509199651</v>
      </c>
    </row>
    <row r="1045" spans="1:14" x14ac:dyDescent="0.25">
      <c r="B1045" s="7">
        <f t="shared" si="211"/>
        <v>291.47999999999752</v>
      </c>
      <c r="C1045" s="9">
        <f t="shared" si="201"/>
        <v>-65.420320874777346</v>
      </c>
      <c r="D1045" s="10">
        <f t="shared" si="212"/>
        <v>5.6385240933763438E-3</v>
      </c>
      <c r="E1045" s="10">
        <f t="shared" si="206"/>
        <v>5.4769209325240707E-3</v>
      </c>
      <c r="F1045" s="10">
        <f t="shared" si="207"/>
        <v>5.4837100407165353E-3</v>
      </c>
      <c r="G1045" s="10">
        <f t="shared" si="208"/>
        <v>5.3215962184783548E-3</v>
      </c>
      <c r="H1045" s="9">
        <f t="shared" si="209"/>
        <v>-65.418786410271963</v>
      </c>
      <c r="I1045" s="8">
        <f t="shared" si="202"/>
        <v>3106.6998663085551</v>
      </c>
      <c r="J1045" s="9">
        <f t="shared" si="203"/>
        <v>-65.420320874777346</v>
      </c>
      <c r="K1045" s="9">
        <f t="shared" si="204"/>
        <v>-65.418786410271963</v>
      </c>
      <c r="L1045" s="8">
        <f t="shared" si="210"/>
        <v>3088.3823912886483</v>
      </c>
      <c r="N1045" s="16">
        <f t="shared" si="205"/>
        <v>5.3997476694299866</v>
      </c>
    </row>
    <row r="1046" spans="1:14" x14ac:dyDescent="0.25">
      <c r="B1046" s="7">
        <f t="shared" si="211"/>
        <v>291.75999999999749</v>
      </c>
      <c r="C1046" s="9">
        <f t="shared" si="201"/>
        <v>-65.418786410271963</v>
      </c>
      <c r="D1046" s="10">
        <f t="shared" si="212"/>
        <v>5.321888585835966E-3</v>
      </c>
      <c r="E1046" s="10">
        <f t="shared" si="206"/>
        <v>5.1601249679536429E-3</v>
      </c>
      <c r="F1046" s="10">
        <f t="shared" si="207"/>
        <v>5.1669207502311153E-3</v>
      </c>
      <c r="G1046" s="10">
        <f t="shared" si="208"/>
        <v>5.0046446937410654E-3</v>
      </c>
      <c r="H1046" s="9">
        <f t="shared" si="209"/>
        <v>-65.417340647785224</v>
      </c>
      <c r="I1046" s="8">
        <f t="shared" si="202"/>
        <v>3088.3823912886483</v>
      </c>
      <c r="J1046" s="9">
        <f t="shared" si="203"/>
        <v>-65.418786410271963</v>
      </c>
      <c r="K1046" s="9">
        <f t="shared" si="204"/>
        <v>-65.417340647785224</v>
      </c>
      <c r="L1046" s="8">
        <f t="shared" si="210"/>
        <v>3070.0653335005204</v>
      </c>
      <c r="N1046" s="16">
        <f t="shared" si="205"/>
        <v>5.3998267909189197</v>
      </c>
    </row>
    <row r="1047" spans="1:14" x14ac:dyDescent="0.25">
      <c r="B1047" s="7">
        <f t="shared" si="211"/>
        <v>292.03999999999746</v>
      </c>
      <c r="C1047" s="9">
        <f t="shared" si="201"/>
        <v>-65.417340647785224</v>
      </c>
      <c r="D1047" s="10">
        <f t="shared" si="212"/>
        <v>5.0049373631872694E-3</v>
      </c>
      <c r="E1047" s="10">
        <f t="shared" si="206"/>
        <v>4.8430105787930656E-3</v>
      </c>
      <c r="F1047" s="10">
        <f t="shared" si="207"/>
        <v>4.8498131393939822E-3</v>
      </c>
      <c r="G1047" s="10">
        <f t="shared" si="208"/>
        <v>4.6873721281710575E-3</v>
      </c>
      <c r="H1047" s="9">
        <f t="shared" si="209"/>
        <v>-65.415983676461934</v>
      </c>
      <c r="I1047" s="8">
        <f t="shared" si="202"/>
        <v>3070.0653335005204</v>
      </c>
      <c r="J1047" s="9">
        <f t="shared" si="203"/>
        <v>-65.417340647785224</v>
      </c>
      <c r="K1047" s="9">
        <f t="shared" si="204"/>
        <v>-65.415983676461934</v>
      </c>
      <c r="L1047" s="8">
        <f t="shared" si="210"/>
        <v>3051.7486680951256</v>
      </c>
      <c r="N1047" s="16">
        <f t="shared" si="205"/>
        <v>5.3998910963017703</v>
      </c>
    </row>
    <row r="1048" spans="1:14" x14ac:dyDescent="0.25">
      <c r="B1048" s="7">
        <f t="shared" si="211"/>
        <v>292.31999999999744</v>
      </c>
      <c r="C1048" s="9">
        <f t="shared" si="201"/>
        <v>-65.415983676461934</v>
      </c>
      <c r="D1048" s="10">
        <f t="shared" si="212"/>
        <v>4.6876651038225275E-3</v>
      </c>
      <c r="E1048" s="10">
        <f t="shared" si="206"/>
        <v>4.5255724334241094E-3</v>
      </c>
      <c r="F1048" s="10">
        <f t="shared" si="207"/>
        <v>4.5323818769607439E-3</v>
      </c>
      <c r="G1048" s="10">
        <f t="shared" si="208"/>
        <v>4.369773180411555E-3</v>
      </c>
      <c r="H1048" s="9">
        <f t="shared" si="209"/>
        <v>-65.414715586939707</v>
      </c>
      <c r="I1048" s="8">
        <f t="shared" si="202"/>
        <v>3051.7486680951256</v>
      </c>
      <c r="J1048" s="9">
        <f t="shared" si="203"/>
        <v>-65.415983676461934</v>
      </c>
      <c r="K1048" s="9">
        <f t="shared" si="204"/>
        <v>-65.414715586939707</v>
      </c>
      <c r="L1048" s="8">
        <f t="shared" si="210"/>
        <v>3033.4323701982494</v>
      </c>
      <c r="N1048" s="16">
        <f t="shared" si="205"/>
        <v>5.3999405664160349</v>
      </c>
    </row>
    <row r="1049" spans="1:14" x14ac:dyDescent="0.25">
      <c r="B1049" s="7">
        <f t="shared" si="211"/>
        <v>292.59999999999741</v>
      </c>
      <c r="C1049" s="9">
        <f t="shared" si="201"/>
        <v>-65.414715586939707</v>
      </c>
      <c r="D1049" s="10">
        <f t="shared" si="212"/>
        <v>4.3700664664020616E-3</v>
      </c>
      <c r="E1049" s="10">
        <f t="shared" si="206"/>
        <v>4.207805180349234E-3</v>
      </c>
      <c r="F1049" s="10">
        <f t="shared" si="207"/>
        <v>4.2146216118204051E-3</v>
      </c>
      <c r="G1049" s="10">
        <f t="shared" si="208"/>
        <v>4.0518424891013973E-3</v>
      </c>
      <c r="H1049" s="9">
        <f t="shared" si="209"/>
        <v>-65.413536471354519</v>
      </c>
      <c r="I1049" s="8">
        <f t="shared" si="202"/>
        <v>3033.4323701982494</v>
      </c>
      <c r="J1049" s="9">
        <f t="shared" si="203"/>
        <v>-65.414715586939707</v>
      </c>
      <c r="K1049" s="9">
        <f t="shared" si="204"/>
        <v>-65.413536471354519</v>
      </c>
      <c r="L1049" s="8">
        <f t="shared" si="210"/>
        <v>3015.1164149100882</v>
      </c>
      <c r="N1049" s="16">
        <f t="shared" si="205"/>
        <v>5.3999751820213273</v>
      </c>
    </row>
    <row r="1050" spans="1:14" x14ac:dyDescent="0.25">
      <c r="A1050" s="15">
        <f>B1050/60</f>
        <v>4.8813333333332896</v>
      </c>
      <c r="B1050" s="7">
        <f t="shared" si="211"/>
        <v>292.87999999999738</v>
      </c>
      <c r="C1050" s="9">
        <f t="shared" si="201"/>
        <v>-65.413536471354519</v>
      </c>
      <c r="D1050" s="10">
        <f t="shared" si="212"/>
        <v>4.0521360895818884E-3</v>
      </c>
      <c r="E1050" s="10">
        <f t="shared" si="206"/>
        <v>3.8897034479293841E-3</v>
      </c>
      <c r="F1050" s="10">
        <f t="shared" si="207"/>
        <v>3.8965269727065308E-3</v>
      </c>
      <c r="G1050" s="10">
        <f t="shared" si="208"/>
        <v>3.7339883908102459E-3</v>
      </c>
      <c r="H1050" s="9">
        <f t="shared" si="209"/>
        <v>-65.412446404039514</v>
      </c>
      <c r="I1050" s="8">
        <f t="shared" si="202"/>
        <v>3015.1164149100882</v>
      </c>
      <c r="J1050" s="9">
        <f t="shared" si="203"/>
        <v>-65.413536471354519</v>
      </c>
      <c r="K1050" s="9">
        <f t="shared" si="204"/>
        <v>-65.412446404039514</v>
      </c>
      <c r="L1050" s="8">
        <f t="shared" si="210"/>
        <v>2996.8007773075333</v>
      </c>
      <c r="N1050" s="16">
        <f t="shared" si="205"/>
        <v>5.3999949237990128</v>
      </c>
    </row>
  </sheetData>
  <mergeCells count="2">
    <mergeCell ref="B1:H1"/>
    <mergeCell ref="J1:L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Hoja2</vt:lpstr>
      <vt:lpstr>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Audiovisuales</dc:creator>
  <cp:lastModifiedBy>Usuario de Windows</cp:lastModifiedBy>
  <dcterms:created xsi:type="dcterms:W3CDTF">2018-04-19T12:23:53Z</dcterms:created>
  <dcterms:modified xsi:type="dcterms:W3CDTF">2020-08-04T14:20:54Z</dcterms:modified>
</cp:coreProperties>
</file>