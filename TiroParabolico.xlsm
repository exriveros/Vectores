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CI\FIBA 2026-I\"/>
    </mc:Choice>
  </mc:AlternateContent>
  <workbookProtection workbookAlgorithmName="SHA-512" workbookHashValue="Z+yIy5F5hNBWxDeXivi+FebMM9Z+CfXZ8zjrGIeEDMUiv+lP88CcTbuSAyKFTb+qEjSeZZBdzA5szF7tbeK+zg==" workbookSaltValue="GDanhFWmhpiQsePWvO98Rg==" workbookSpinCount="100000" lockStructure="1"/>
  <bookViews>
    <workbookView xWindow="0" yWindow="0" windowWidth="28800" windowHeight="12330"/>
  </bookViews>
  <sheets>
    <sheet name="Parabolico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2" l="1"/>
  <c r="B11" i="2"/>
  <c r="C15" i="2" s="1"/>
  <c r="B19" i="2" s="1"/>
  <c r="C11" i="2" l="1"/>
  <c r="C19" i="2" s="1"/>
</calcChain>
</file>

<file path=xl/sharedStrings.xml><?xml version="1.0" encoding="utf-8"?>
<sst xmlns="http://schemas.openxmlformats.org/spreadsheetml/2006/main" count="11" uniqueCount="8">
  <si>
    <t>Vo</t>
  </si>
  <si>
    <t>Ang</t>
  </si>
  <si>
    <t>Vertical</t>
  </si>
  <si>
    <t>Posición</t>
  </si>
  <si>
    <t>Horizontal</t>
  </si>
  <si>
    <t>x</t>
  </si>
  <si>
    <t>y</t>
  </si>
  <si>
    <t>Tiempo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</si>
</sst>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&quot; s &quot;"/>
    <numFmt numFmtId="165" formatCode="0.00&quot; m &quot;"/>
    <numFmt numFmtId="166" formatCode="General&quot; m/s &quot;"/>
    <numFmt numFmtId="167" formatCode="General&quot;°  &quot;"/>
    <numFmt numFmtId="168" formatCode="0&quot; Pasos &quot;"/>
    <numFmt numFmtId="169" formatCode="General&quot; divsiones &quot;"/>
    <numFmt numFmtId="171" formatCode="&quot;T Ejercicio:&quot;0.00&quot; s &quot;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double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168" fontId="1" fillId="0" borderId="3" xfId="0" applyNumberFormat="1" applyFont="1" applyBorder="1" applyProtection="1">
      <protection locked="0"/>
    </xf>
    <xf numFmtId="169" fontId="1" fillId="0" borderId="4" xfId="0" applyNumberFormat="1" applyFont="1" applyBorder="1" applyProtection="1">
      <protection locked="0"/>
    </xf>
    <xf numFmtId="166" fontId="1" fillId="0" borderId="0" xfId="0" applyNumberFormat="1" applyFont="1" applyAlignment="1" applyProtection="1">
      <alignment horizontal="left"/>
      <protection locked="0"/>
    </xf>
    <xf numFmtId="167" fontId="1" fillId="0" borderId="0" xfId="0" applyNumberFormat="1" applyFont="1" applyAlignment="1" applyProtection="1">
      <alignment horizontal="left"/>
      <protection locked="0"/>
    </xf>
    <xf numFmtId="0" fontId="3" fillId="2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171" fontId="4" fillId="0" borderId="5" xfId="0" applyNumberFormat="1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Movimiento</a:t>
            </a:r>
            <a:br>
              <a:rPr lang="es-CO"/>
            </a:br>
            <a:r>
              <a:rPr lang="es-CO"/>
              <a:t>Vertical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9594496547804136"/>
          <c:y val="0.12553790436295301"/>
          <c:w val="0.46592975241152179"/>
          <c:h val="0.8246140085342318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152400">
                <a:solidFill>
                  <a:schemeClr val="accent1"/>
                </a:solidFill>
              </a:ln>
              <a:effectLst/>
            </c:spPr>
          </c:marker>
          <c:xVal>
            <c:numRef>
              <c:f>Parabolico!$E$8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Parabolico!$C$11</c:f>
              <c:numCache>
                <c:formatCode>0.00" m "</c:formatCode>
                <c:ptCount val="1"/>
                <c:pt idx="0">
                  <c:v>0.14392089843749822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7-4468-9F64-5D58A2D43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367504"/>
        <c:axId val="1318377488"/>
      </c:scatterChart>
      <c:valAx>
        <c:axId val="1318367504"/>
        <c:scaling>
          <c:orientation val="minMax"/>
          <c:max val="0.5"/>
          <c:min val="-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8377488"/>
        <c:crossesAt val="0"/>
        <c:crossBetween val="midCat"/>
      </c:valAx>
      <c:valAx>
        <c:axId val="1318377488"/>
        <c:scaling>
          <c:orientation val="minMax"/>
          <c:max val="5"/>
          <c:min val="-0.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&quot; m &quot;" sourceLinked="1"/>
        <c:majorTickMark val="none"/>
        <c:minorTickMark val="none"/>
        <c:tickLblPos val="low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8367504"/>
        <c:crosses val="max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Movimiento Parabólico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39479134913405E-2"/>
          <c:y val="0.1247539484104702"/>
          <c:w val="0.84018266447802026"/>
          <c:h val="0.847609312890403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52400">
                <a:solidFill>
                  <a:schemeClr val="accent1"/>
                </a:solidFill>
              </a:ln>
              <a:effectLst/>
            </c:spPr>
          </c:marker>
          <c:xVal>
            <c:numRef>
              <c:f>Parabolico!$B$19</c:f>
              <c:numCache>
                <c:formatCode>0.00" m "</c:formatCode>
                <c:ptCount val="1"/>
                <c:pt idx="0">
                  <c:v>17.049875137006136</c:v>
                </c:pt>
              </c:numCache>
            </c:numRef>
          </c:xVal>
          <c:yVal>
            <c:numRef>
              <c:f>Parabolico!$C$19</c:f>
              <c:numCache>
                <c:formatCode>0.00" m "</c:formatCode>
                <c:ptCount val="1"/>
                <c:pt idx="0">
                  <c:v>0.14392089843749822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1B-46A3-A05B-D5B90C7D4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433232"/>
        <c:axId val="831438224"/>
      </c:scatterChart>
      <c:valAx>
        <c:axId val="831433232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&quot; m 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31438224"/>
        <c:crosses val="autoZero"/>
        <c:crossBetween val="midCat"/>
      </c:valAx>
      <c:valAx>
        <c:axId val="831438224"/>
        <c:scaling>
          <c:orientation val="minMax"/>
          <c:max val="5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&quot; m 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3143323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Movimiento</a:t>
            </a:r>
            <a:br>
              <a:rPr lang="es-CO"/>
            </a:br>
            <a:r>
              <a:rPr lang="es-CO"/>
              <a:t>Horizontal</a:t>
            </a:r>
          </a:p>
        </c:rich>
      </c:tx>
      <c:layout>
        <c:manualLayout>
          <c:xMode val="edge"/>
          <c:yMode val="edge"/>
          <c:x val="0.38369951121307561"/>
          <c:y val="0.53109832266280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4663338098264656E-2"/>
          <c:y val="5.2938510226711671E-2"/>
          <c:w val="0.83313311006663571"/>
          <c:h val="0.4416614730457821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152400">
                <a:solidFill>
                  <a:schemeClr val="accent1"/>
                </a:solidFill>
              </a:ln>
              <a:effectLst/>
            </c:spPr>
          </c:marker>
          <c:xVal>
            <c:numRef>
              <c:f>Parabolico!$C$15</c:f>
              <c:numCache>
                <c:formatCode>0.00" m "</c:formatCode>
                <c:ptCount val="1"/>
                <c:pt idx="0">
                  <c:v>17.049875137006136</c:v>
                </c:pt>
              </c:numCache>
            </c:numRef>
          </c:xVal>
          <c:yVal>
            <c:numRef>
              <c:f>Parabolico!$E$8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E3-4FAD-AB20-383114E26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8367504"/>
        <c:axId val="1318377488"/>
      </c:scatterChart>
      <c:valAx>
        <c:axId val="1318367504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&quot; m 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8377488"/>
        <c:crossesAt val="0"/>
        <c:crossBetween val="midCat"/>
      </c:valAx>
      <c:valAx>
        <c:axId val="1318377488"/>
        <c:scaling>
          <c:orientation val="minMax"/>
          <c:max val="0.5"/>
          <c:min val="-0.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8367504"/>
        <c:crosses val="max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40586</xdr:colOff>
          <xdr:row>2</xdr:row>
          <xdr:rowOff>59220</xdr:rowOff>
        </xdr:from>
        <xdr:to>
          <xdr:col>2</xdr:col>
          <xdr:colOff>969065</xdr:colOff>
          <xdr:row>5</xdr:row>
          <xdr:rowOff>57978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Arrancar Proceso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453886</xdr:colOff>
      <xdr:row>0</xdr:row>
      <xdr:rowOff>49694</xdr:rowOff>
    </xdr:from>
    <xdr:to>
      <xdr:col>5</xdr:col>
      <xdr:colOff>425311</xdr:colOff>
      <xdr:row>25</xdr:row>
      <xdr:rowOff>66260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53423</xdr:colOff>
          <xdr:row>0</xdr:row>
          <xdr:rowOff>52180</xdr:rowOff>
        </xdr:from>
        <xdr:to>
          <xdr:col>2</xdr:col>
          <xdr:colOff>958298</xdr:colOff>
          <xdr:row>2</xdr:row>
          <xdr:rowOff>33130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71851</xdr:colOff>
      <xdr:row>0</xdr:row>
      <xdr:rowOff>62946</xdr:rowOff>
    </xdr:from>
    <xdr:to>
      <xdr:col>17</xdr:col>
      <xdr:colOff>8283</xdr:colOff>
      <xdr:row>24</xdr:row>
      <xdr:rowOff>132521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182216</xdr:colOff>
      <xdr:row>19</xdr:row>
      <xdr:rowOff>107673</xdr:rowOff>
    </xdr:from>
    <xdr:ext cx="2592457" cy="1896718"/>
    <xdr:sp macro="" textlink="">
      <xdr:nvSpPr>
        <xdr:cNvPr id="4" name="CuadroTexto 3"/>
        <xdr:cNvSpPr txBox="1"/>
      </xdr:nvSpPr>
      <xdr:spPr>
        <a:xfrm>
          <a:off x="182216" y="3876260"/>
          <a:ext cx="2592457" cy="1896718"/>
        </a:xfrm>
        <a:prstGeom prst="rect">
          <a:avLst/>
        </a:prstGeom>
        <a:noFill/>
        <a:ln cap="rnd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CO" sz="1100" b="1" u="sng"/>
            <a:t>Nota:</a:t>
          </a:r>
          <a:r>
            <a:rPr lang="es-CO" sz="1100"/>
            <a:t/>
          </a:r>
          <a:br>
            <a:rPr lang="es-CO" sz="1100"/>
          </a:br>
          <a:r>
            <a:rPr lang="es-CO" sz="1100"/>
            <a:t>Ajuste</a:t>
          </a:r>
          <a:r>
            <a:rPr lang="es-CO" sz="1100" baseline="0"/>
            <a:t> el valor de "T Ejercicio" para identificar el número de pasos así:</a:t>
          </a:r>
        </a:p>
        <a:p>
          <a:r>
            <a:rPr lang="es-CO" sz="1100" baseline="0"/>
            <a:t>    Número de Pasos = T Ejercicio - 1</a:t>
          </a:r>
        </a:p>
        <a:p>
          <a:r>
            <a:rPr lang="es-CO" sz="1100"/>
            <a:t>Al</a:t>
          </a:r>
          <a:r>
            <a:rPr lang="es-CO" sz="1100" baseline="0"/>
            <a:t> igual el número de divisiones de cada segundo real. Con estos valores puede ajustar el punto donde termina la gráfica.</a:t>
          </a:r>
          <a:br>
            <a:rPr lang="es-CO" sz="1100" baseline="0"/>
          </a:br>
          <a:r>
            <a:rPr lang="es-CO" sz="1100" baseline="0"/>
            <a:t/>
          </a:r>
          <a:br>
            <a:rPr lang="es-CO" sz="1100" baseline="0"/>
          </a:br>
          <a:r>
            <a:rPr lang="es-CO" sz="1100" baseline="0"/>
            <a:t>Mat: FIBA 2026 I</a:t>
          </a:r>
        </a:p>
        <a:p>
          <a:r>
            <a:rPr lang="es-CO" sz="1100" baseline="0"/>
            <a:t>Prof.: ernesto.riveros@escuelaing.edu.co</a:t>
          </a:r>
          <a:endParaRPr lang="es-CO" sz="1100"/>
        </a:p>
      </xdr:txBody>
    </xdr:sp>
    <xdr:clientData/>
  </xdr:oneCellAnchor>
  <xdr:twoCellAnchor>
    <xdr:from>
      <xdr:col>5</xdr:col>
      <xdr:colOff>57978</xdr:colOff>
      <xdr:row>23</xdr:row>
      <xdr:rowOff>149086</xdr:rowOff>
    </xdr:from>
    <xdr:to>
      <xdr:col>17</xdr:col>
      <xdr:colOff>66261</xdr:colOff>
      <xdr:row>31</xdr:row>
      <xdr:rowOff>107674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2:E19"/>
  <sheetViews>
    <sheetView showGridLines="0" tabSelected="1" zoomScale="115" zoomScaleNormal="115" workbookViewId="0">
      <selection activeCell="B2" sqref="B2"/>
    </sheetView>
  </sheetViews>
  <sheetFormatPr baseColWidth="10" defaultRowHeight="15" x14ac:dyDescent="0.25"/>
  <cols>
    <col min="1" max="1" width="2.85546875" customWidth="1"/>
    <col min="2" max="3" width="19.42578125" customWidth="1"/>
  </cols>
  <sheetData>
    <row r="2" spans="2:5" x14ac:dyDescent="0.25">
      <c r="B2" s="8">
        <v>44</v>
      </c>
    </row>
    <row r="3" spans="2:5" x14ac:dyDescent="0.25">
      <c r="B3" s="9">
        <v>32</v>
      </c>
    </row>
    <row r="4" spans="2:5" x14ac:dyDescent="0.25">
      <c r="B4" s="18">
        <v>45</v>
      </c>
    </row>
    <row r="7" spans="2:5" x14ac:dyDescent="0.25">
      <c r="B7" s="2" t="s">
        <v>0</v>
      </c>
      <c r="C7" s="10">
        <v>14</v>
      </c>
    </row>
    <row r="8" spans="2:5" ht="15.75" thickBot="1" x14ac:dyDescent="0.3">
      <c r="B8" s="2" t="s">
        <v>1</v>
      </c>
      <c r="C8" s="11">
        <v>30</v>
      </c>
      <c r="E8" s="1">
        <v>0</v>
      </c>
    </row>
    <row r="9" spans="2:5" ht="16.5" thickTop="1" thickBot="1" x14ac:dyDescent="0.3">
      <c r="B9" s="12" t="s">
        <v>2</v>
      </c>
      <c r="C9" s="13"/>
    </row>
    <row r="10" spans="2:5" ht="16.5" thickTop="1" thickBot="1" x14ac:dyDescent="0.3">
      <c r="B10" s="5" t="s">
        <v>7</v>
      </c>
      <c r="C10" s="5" t="s">
        <v>3</v>
      </c>
    </row>
    <row r="11" spans="2:5" ht="15.75" thickTop="1" x14ac:dyDescent="0.25">
      <c r="B11" s="3">
        <f>B4/B3</f>
        <v>1.40625</v>
      </c>
      <c r="C11" s="4">
        <f>0+C7*SIN(C8*PI()/180)*B11-9.81/2*B11^2</f>
        <v>0.14392089843749822</v>
      </c>
    </row>
    <row r="12" spans="2:5" ht="15.75" thickBot="1" x14ac:dyDescent="0.3"/>
    <row r="13" spans="2:5" ht="16.5" thickTop="1" thickBot="1" x14ac:dyDescent="0.3">
      <c r="B13" s="14" t="s">
        <v>4</v>
      </c>
      <c r="C13" s="15"/>
    </row>
    <row r="14" spans="2:5" ht="16.5" thickTop="1" thickBot="1" x14ac:dyDescent="0.3">
      <c r="B14" s="6" t="s">
        <v>7</v>
      </c>
      <c r="C14" s="6" t="s">
        <v>3</v>
      </c>
    </row>
    <row r="15" spans="2:5" ht="15.75" thickTop="1" x14ac:dyDescent="0.25">
      <c r="B15" s="3">
        <f>B4/B3</f>
        <v>1.40625</v>
      </c>
      <c r="C15" s="4">
        <f>0+C7*COS(C8*PI()/180)*B11</f>
        <v>17.049875137006136</v>
      </c>
    </row>
    <row r="16" spans="2:5" ht="15.75" thickBot="1" x14ac:dyDescent="0.3"/>
    <row r="17" spans="2:3" ht="16.5" thickTop="1" thickBot="1" x14ac:dyDescent="0.3">
      <c r="B17" s="16" t="s">
        <v>3</v>
      </c>
      <c r="C17" s="17"/>
    </row>
    <row r="18" spans="2:3" ht="16.5" thickTop="1" thickBot="1" x14ac:dyDescent="0.3">
      <c r="B18" s="7" t="s">
        <v>5</v>
      </c>
      <c r="C18" s="7" t="s">
        <v>6</v>
      </c>
    </row>
    <row r="19" spans="2:3" ht="15.75" thickTop="1" x14ac:dyDescent="0.25">
      <c r="B19" s="4">
        <f>C15</f>
        <v>17.049875137006136</v>
      </c>
      <c r="C19" s="4">
        <f>C11</f>
        <v>0.14392089843749822</v>
      </c>
    </row>
  </sheetData>
  <sheetProtection algorithmName="SHA-512" hashValue="X/RpkHYoZHpn3sapYMkRbkc4pJ7Sto0H21+sNfLw3NRjXOL28B7DJVXUVKpdAyXR576wHKBNjvn0Az0tHloNxQ==" saltValue="6NYWNBm+OHzuP4w0gsvioQ==" spinCount="100000" sheet="1" objects="1" scenarios="1" selectLockedCells="1"/>
  <mergeCells count="3">
    <mergeCell ref="B9:C9"/>
    <mergeCell ref="B17:C17"/>
    <mergeCell ref="B13:C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ciaCorrida">
                <anchor moveWithCells="1" sizeWithCells="1">
                  <from>
                    <xdr:col>2</xdr:col>
                    <xdr:colOff>38100</xdr:colOff>
                    <xdr:row>2</xdr:row>
                    <xdr:rowOff>57150</xdr:rowOff>
                  </from>
                  <to>
                    <xdr:col>2</xdr:col>
                    <xdr:colOff>971550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Inicio">
                <anchor moveWithCells="1">
                  <from>
                    <xdr:col>2</xdr:col>
                    <xdr:colOff>57150</xdr:colOff>
                    <xdr:row>0</xdr:row>
                    <xdr:rowOff>47625</xdr:rowOff>
                  </from>
                  <to>
                    <xdr:col>2</xdr:col>
                    <xdr:colOff>962025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Parabolico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2026-02-24T15:07:00Z</dcterms:created>
  <dcterms:modified xsi:type="dcterms:W3CDTF">2026-02-24T23:37:19Z</dcterms:modified>
</cp:coreProperties>
</file>